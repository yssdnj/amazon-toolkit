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ython\amazon_toolkit\data\add_new_line\output\"/>
    </mc:Choice>
  </mc:AlternateContent>
  <xr:revisionPtr revIDLastSave="0" documentId="13_ncr:1_{684BE1EC-6A84-492C-9E1B-6BE5295AA276}" xr6:coauthVersionLast="47" xr6:coauthVersionMax="47" xr10:uidLastSave="{00000000-0000-0000-0000-000000000000}"/>
  <bookViews>
    <workbookView xWindow="3120" yWindow="3120" windowWidth="21600" windowHeight="11295" tabRatio="706" firstSheet="2" activeTab="2" xr2:uid="{00000000-000D-0000-FFFF-FFFF00000000}"/>
  </bookViews>
  <sheets>
    <sheet name="SL" sheetId="41" r:id="rId1"/>
    <sheet name="Toy" sheetId="12" r:id="rId2"/>
    <sheet name="ToyDH" sheetId="36" r:id="rId3"/>
    <sheet name="DL" sheetId="13" r:id="rId4"/>
    <sheet name="DSL" sheetId="26" r:id="rId5"/>
    <sheet name="MFL" sheetId="28" r:id="rId6"/>
    <sheet name="SFM" sheetId="34" r:id="rId7"/>
    <sheet name="SL_访问量" sheetId="23" r:id="rId8"/>
    <sheet name="Toy_访问量 " sheetId="17" r:id="rId9"/>
    <sheet name="ToyDH_访问量" sheetId="37" r:id="rId10"/>
    <sheet name="DL_访问量" sheetId="18" r:id="rId11"/>
    <sheet name="DSL_访问量" sheetId="27" r:id="rId12"/>
    <sheet name="MFL_访问量" sheetId="29" r:id="rId13"/>
    <sheet name="SFM_访问量" sheetId="35" r:id="rId14"/>
    <sheet name="产品成本" sheetId="1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B43" i="34" l="1"/>
  <c r="AW43" i="34"/>
  <c r="AV43" i="34"/>
  <c r="AU43" i="34"/>
  <c r="AT43" i="34"/>
  <c r="AS43" i="34"/>
  <c r="BC43" i="34" s="1"/>
  <c r="AN43" i="34"/>
  <c r="AM43" i="34"/>
  <c r="AL43" i="34"/>
  <c r="AK43" i="34"/>
  <c r="AJ43" i="34"/>
  <c r="AO43" i="34" s="1"/>
  <c r="AF43" i="34"/>
  <c r="AE43" i="34"/>
  <c r="AD43" i="34"/>
  <c r="AC43" i="34"/>
  <c r="V43" i="34"/>
  <c r="T43" i="34"/>
  <c r="U43" i="34" s="1"/>
  <c r="S43" i="34"/>
  <c r="R43" i="34"/>
  <c r="Q43" i="34"/>
  <c r="P43" i="34"/>
  <c r="O43" i="34"/>
  <c r="N43" i="34"/>
  <c r="M43" i="34"/>
  <c r="K43" i="34"/>
  <c r="AZ56" i="28"/>
  <c r="AT56" i="28"/>
  <c r="AS56" i="28"/>
  <c r="AS57" i="28" s="1"/>
  <c r="AR56" i="28"/>
  <c r="AQ56" i="28"/>
  <c r="BA56" i="28" s="1"/>
  <c r="AM56" i="28"/>
  <c r="AL56" i="28"/>
  <c r="AK56" i="28"/>
  <c r="AJ56" i="28"/>
  <c r="AI56" i="28"/>
  <c r="AN56" i="28" s="1"/>
  <c r="AF56" i="28"/>
  <c r="AE56" i="28"/>
  <c r="AD56" i="28"/>
  <c r="AC56" i="28"/>
  <c r="V56" i="28"/>
  <c r="T56" i="28"/>
  <c r="U56" i="28" s="1"/>
  <c r="S56" i="28"/>
  <c r="R56" i="28"/>
  <c r="Q56" i="28"/>
  <c r="P56" i="28"/>
  <c r="O56" i="28"/>
  <c r="N56" i="28"/>
  <c r="M56" i="28"/>
  <c r="K56" i="28"/>
  <c r="AZ65" i="26"/>
  <c r="AT65" i="26"/>
  <c r="AS65" i="26"/>
  <c r="AR65" i="26"/>
  <c r="AQ65" i="26"/>
  <c r="BA65" i="26" s="1"/>
  <c r="AM65" i="26"/>
  <c r="AL65" i="26"/>
  <c r="AK65" i="26"/>
  <c r="AJ65" i="26"/>
  <c r="AI65" i="26"/>
  <c r="AN65" i="26" s="1"/>
  <c r="AF65" i="26"/>
  <c r="AE65" i="26"/>
  <c r="AD65" i="26"/>
  <c r="AC65" i="26"/>
  <c r="V65" i="26"/>
  <c r="T65" i="26"/>
  <c r="U65" i="26" s="1"/>
  <c r="S65" i="26"/>
  <c r="R65" i="26"/>
  <c r="Q65" i="26"/>
  <c r="P65" i="26"/>
  <c r="O65" i="26"/>
  <c r="N65" i="26"/>
  <c r="M65" i="26"/>
  <c r="K65" i="26"/>
  <c r="BD77" i="13"/>
  <c r="AX77" i="13"/>
  <c r="AW77" i="13"/>
  <c r="AV77" i="13"/>
  <c r="AU77" i="13"/>
  <c r="BE77" i="13" s="1"/>
  <c r="AO77" i="13"/>
  <c r="AN77" i="13"/>
  <c r="AM77" i="13"/>
  <c r="AL77" i="13"/>
  <c r="AK77" i="13"/>
  <c r="AF77" i="13"/>
  <c r="AE77" i="13"/>
  <c r="AD77" i="13"/>
  <c r="AC77" i="13"/>
  <c r="V77" i="13"/>
  <c r="T77" i="13"/>
  <c r="U77" i="13" s="1"/>
  <c r="S77" i="13"/>
  <c r="R77" i="13"/>
  <c r="Q77" i="13"/>
  <c r="P77" i="13"/>
  <c r="O77" i="13"/>
  <c r="N77" i="13"/>
  <c r="M77" i="13"/>
  <c r="K77" i="13"/>
  <c r="AZ22" i="36"/>
  <c r="AT22" i="36"/>
  <c r="AS22" i="36"/>
  <c r="AR22" i="36"/>
  <c r="AQ22" i="36"/>
  <c r="BA22" i="36" s="1"/>
  <c r="AM22" i="36"/>
  <c r="AL22" i="36"/>
  <c r="AK22" i="36"/>
  <c r="AJ22" i="36"/>
  <c r="AI22" i="36"/>
  <c r="AN22" i="36" s="1"/>
  <c r="AF22" i="36"/>
  <c r="AE22" i="36"/>
  <c r="AD22" i="36"/>
  <c r="AC22" i="36"/>
  <c r="V22" i="36"/>
  <c r="U22" i="36"/>
  <c r="T22" i="36"/>
  <c r="S22" i="36"/>
  <c r="R22" i="36"/>
  <c r="Q22" i="36"/>
  <c r="P22" i="36"/>
  <c r="O22" i="36"/>
  <c r="N22" i="36"/>
  <c r="M22" i="36"/>
  <c r="K22" i="36"/>
  <c r="BD77" i="12"/>
  <c r="AX77" i="12"/>
  <c r="AW77" i="12"/>
  <c r="AV77" i="12"/>
  <c r="AU77" i="12"/>
  <c r="BE77" i="12" s="1"/>
  <c r="AO77" i="12"/>
  <c r="AN77" i="12"/>
  <c r="AM77" i="12"/>
  <c r="AL77" i="12"/>
  <c r="AK77" i="12"/>
  <c r="AP77" i="12" s="1"/>
  <c r="AF77" i="12"/>
  <c r="AE77" i="12"/>
  <c r="AD77" i="12"/>
  <c r="AC77" i="12"/>
  <c r="V77" i="12"/>
  <c r="T77" i="12"/>
  <c r="U77" i="12" s="1"/>
  <c r="S77" i="12"/>
  <c r="R77" i="12"/>
  <c r="Q77" i="12"/>
  <c r="P77" i="12"/>
  <c r="O77" i="12"/>
  <c r="N77" i="12"/>
  <c r="M77" i="12"/>
  <c r="K77" i="12"/>
  <c r="BB77" i="41"/>
  <c r="AV77" i="41"/>
  <c r="AU77" i="41"/>
  <c r="AT77" i="41"/>
  <c r="AS77" i="41"/>
  <c r="BC77" i="41" s="1"/>
  <c r="AN77" i="41"/>
  <c r="AM77" i="41"/>
  <c r="AL77" i="41"/>
  <c r="AK77" i="41"/>
  <c r="AJ77" i="41"/>
  <c r="AF77" i="41"/>
  <c r="AE77" i="41"/>
  <c r="AD77" i="41"/>
  <c r="AC77" i="41"/>
  <c r="V77" i="41"/>
  <c r="T77" i="41"/>
  <c r="U77" i="41" s="1"/>
  <c r="S77" i="41"/>
  <c r="R77" i="41"/>
  <c r="Q77" i="41"/>
  <c r="P77" i="41"/>
  <c r="O77" i="41"/>
  <c r="N77" i="41"/>
  <c r="M77" i="41"/>
  <c r="K77" i="41"/>
  <c r="L17" i="16"/>
  <c r="L16" i="16"/>
  <c r="J16" i="16"/>
  <c r="L15" i="16"/>
  <c r="J15" i="16"/>
  <c r="L14" i="16"/>
  <c r="J14" i="16"/>
  <c r="L13" i="16"/>
  <c r="J13" i="16"/>
  <c r="L12" i="16"/>
  <c r="J12" i="16"/>
  <c r="L11" i="16"/>
  <c r="J11" i="16"/>
  <c r="J10" i="16"/>
  <c r="J9" i="16"/>
  <c r="L8" i="16"/>
  <c r="J8" i="16"/>
  <c r="L7" i="16"/>
  <c r="J7" i="16"/>
  <c r="L6" i="16"/>
  <c r="J6" i="16"/>
  <c r="L5" i="16"/>
  <c r="J5" i="16"/>
  <c r="L4" i="16"/>
  <c r="J4" i="16"/>
  <c r="L3" i="16"/>
  <c r="J3" i="16"/>
  <c r="L2" i="16"/>
  <c r="J2" i="16"/>
  <c r="K41" i="35"/>
  <c r="J41" i="35"/>
  <c r="I41" i="35"/>
  <c r="H41" i="35"/>
  <c r="G41" i="35"/>
  <c r="F41" i="35"/>
  <c r="W40" i="35"/>
  <c r="V40" i="35"/>
  <c r="U40" i="35"/>
  <c r="T40" i="35"/>
  <c r="S40" i="35"/>
  <c r="R40" i="35"/>
  <c r="Q40" i="35"/>
  <c r="P40" i="35"/>
  <c r="O40" i="35"/>
  <c r="N40" i="35"/>
  <c r="E40" i="35"/>
  <c r="M40" i="35" s="1"/>
  <c r="D40" i="35"/>
  <c r="L40" i="35" s="1"/>
  <c r="C40" i="35"/>
  <c r="S39" i="35"/>
  <c r="R39" i="35"/>
  <c r="Q39" i="35"/>
  <c r="W39" i="35" s="1"/>
  <c r="P39" i="35"/>
  <c r="V39" i="35" s="1"/>
  <c r="O39" i="35"/>
  <c r="U39" i="35" s="1"/>
  <c r="N39" i="35"/>
  <c r="E39" i="35"/>
  <c r="M39" i="35" s="1"/>
  <c r="D39" i="35"/>
  <c r="L39" i="35" s="1"/>
  <c r="C39" i="35"/>
  <c r="S38" i="35"/>
  <c r="R38" i="35"/>
  <c r="Q38" i="35"/>
  <c r="W38" i="35" s="1"/>
  <c r="P38" i="35"/>
  <c r="V38" i="35" s="1"/>
  <c r="O38" i="35"/>
  <c r="U38" i="35" s="1"/>
  <c r="N38" i="35"/>
  <c r="E38" i="35"/>
  <c r="M38" i="35" s="1"/>
  <c r="D38" i="35"/>
  <c r="L38" i="35" s="1"/>
  <c r="C38" i="35"/>
  <c r="U37" i="35"/>
  <c r="S37" i="35"/>
  <c r="R37" i="35"/>
  <c r="Q37" i="35"/>
  <c r="T37" i="35" s="1"/>
  <c r="P37" i="35"/>
  <c r="V37" i="35" s="1"/>
  <c r="O37" i="35"/>
  <c r="N37" i="35"/>
  <c r="E37" i="35"/>
  <c r="D37" i="35"/>
  <c r="L37" i="35" s="1"/>
  <c r="C37" i="35"/>
  <c r="S36" i="35"/>
  <c r="R36" i="35"/>
  <c r="Q36" i="35"/>
  <c r="W36" i="35" s="1"/>
  <c r="P36" i="35"/>
  <c r="V36" i="35" s="1"/>
  <c r="O36" i="35"/>
  <c r="U36" i="35" s="1"/>
  <c r="N36" i="35"/>
  <c r="E36" i="35"/>
  <c r="M36" i="35" s="1"/>
  <c r="D36" i="35"/>
  <c r="L36" i="35" s="1"/>
  <c r="C36" i="35"/>
  <c r="W35" i="35"/>
  <c r="V35" i="35"/>
  <c r="S35" i="35"/>
  <c r="R35" i="35"/>
  <c r="Q35" i="35"/>
  <c r="T35" i="35" s="1"/>
  <c r="P35" i="35"/>
  <c r="O35" i="35"/>
  <c r="U35" i="35" s="1"/>
  <c r="N35" i="35"/>
  <c r="E35" i="35"/>
  <c r="M35" i="35" s="1"/>
  <c r="D35" i="35"/>
  <c r="L35" i="35" s="1"/>
  <c r="C35" i="35"/>
  <c r="S34" i="35"/>
  <c r="R34" i="35"/>
  <c r="Q34" i="35"/>
  <c r="W34" i="35" s="1"/>
  <c r="P34" i="35"/>
  <c r="V34" i="35" s="1"/>
  <c r="O34" i="35"/>
  <c r="U34" i="35" s="1"/>
  <c r="N34" i="35"/>
  <c r="M34" i="35"/>
  <c r="E34" i="35"/>
  <c r="D34" i="35"/>
  <c r="L34" i="35" s="1"/>
  <c r="C34" i="35"/>
  <c r="S33" i="35"/>
  <c r="R33" i="35"/>
  <c r="Q33" i="35"/>
  <c r="W33" i="35" s="1"/>
  <c r="P33" i="35"/>
  <c r="V33" i="35" s="1"/>
  <c r="O33" i="35"/>
  <c r="U33" i="35" s="1"/>
  <c r="N33" i="35"/>
  <c r="E33" i="35"/>
  <c r="M33" i="35" s="1"/>
  <c r="D33" i="35"/>
  <c r="L33" i="35" s="1"/>
  <c r="C33" i="35"/>
  <c r="W32" i="35"/>
  <c r="V32" i="35"/>
  <c r="U32" i="35"/>
  <c r="T32" i="35"/>
  <c r="S32" i="35"/>
  <c r="R32" i="35"/>
  <c r="Q32" i="35"/>
  <c r="P32" i="35"/>
  <c r="O32" i="35"/>
  <c r="N32" i="35"/>
  <c r="E32" i="35"/>
  <c r="M32" i="35" s="1"/>
  <c r="D32" i="35"/>
  <c r="L32" i="35" s="1"/>
  <c r="C32" i="35"/>
  <c r="S31" i="35"/>
  <c r="R31" i="35"/>
  <c r="Q31" i="35"/>
  <c r="W31" i="35" s="1"/>
  <c r="P31" i="35"/>
  <c r="V31" i="35" s="1"/>
  <c r="O31" i="35"/>
  <c r="U31" i="35" s="1"/>
  <c r="N31" i="35"/>
  <c r="E31" i="35"/>
  <c r="M31" i="35" s="1"/>
  <c r="D31" i="35"/>
  <c r="L31" i="35" s="1"/>
  <c r="C31" i="35"/>
  <c r="S30" i="35"/>
  <c r="R30" i="35"/>
  <c r="Q30" i="35"/>
  <c r="W30" i="35" s="1"/>
  <c r="P30" i="35"/>
  <c r="V30" i="35" s="1"/>
  <c r="O30" i="35"/>
  <c r="U30" i="35" s="1"/>
  <c r="N30" i="35"/>
  <c r="E30" i="35"/>
  <c r="M30" i="35" s="1"/>
  <c r="D30" i="35"/>
  <c r="L30" i="35" s="1"/>
  <c r="C30" i="35"/>
  <c r="U29" i="35"/>
  <c r="S29" i="35"/>
  <c r="R29" i="35"/>
  <c r="Q29" i="35"/>
  <c r="M29" i="35" s="1"/>
  <c r="P29" i="35"/>
  <c r="V29" i="35" s="1"/>
  <c r="O29" i="35"/>
  <c r="N29" i="35"/>
  <c r="E29" i="35"/>
  <c r="D29" i="35"/>
  <c r="L29" i="35" s="1"/>
  <c r="C29" i="35"/>
  <c r="S28" i="35"/>
  <c r="R28" i="35"/>
  <c r="Q28" i="35"/>
  <c r="T28" i="35" s="1"/>
  <c r="P28" i="35"/>
  <c r="V28" i="35" s="1"/>
  <c r="O28" i="35"/>
  <c r="U28" i="35" s="1"/>
  <c r="N28" i="35"/>
  <c r="E28" i="35"/>
  <c r="M28" i="35" s="1"/>
  <c r="D28" i="35"/>
  <c r="L28" i="35" s="1"/>
  <c r="C28" i="35"/>
  <c r="W27" i="35"/>
  <c r="V27" i="35"/>
  <c r="S27" i="35"/>
  <c r="R27" i="35"/>
  <c r="Q27" i="35"/>
  <c r="T27" i="35" s="1"/>
  <c r="P27" i="35"/>
  <c r="O27" i="35"/>
  <c r="U27" i="35" s="1"/>
  <c r="N27" i="35"/>
  <c r="E27" i="35"/>
  <c r="M27" i="35" s="1"/>
  <c r="D27" i="35"/>
  <c r="L27" i="35" s="1"/>
  <c r="C27" i="35"/>
  <c r="S26" i="35"/>
  <c r="R26" i="35"/>
  <c r="Q26" i="35"/>
  <c r="T26" i="35" s="1"/>
  <c r="P26" i="35"/>
  <c r="V26" i="35" s="1"/>
  <c r="O26" i="35"/>
  <c r="U26" i="35" s="1"/>
  <c r="N26" i="35"/>
  <c r="M26" i="35"/>
  <c r="E26" i="35"/>
  <c r="D26" i="35"/>
  <c r="L26" i="35" s="1"/>
  <c r="C26" i="35"/>
  <c r="S25" i="35"/>
  <c r="R25" i="35"/>
  <c r="Q25" i="35"/>
  <c r="W25" i="35" s="1"/>
  <c r="P25" i="35"/>
  <c r="V25" i="35" s="1"/>
  <c r="O25" i="35"/>
  <c r="U25" i="35" s="1"/>
  <c r="N25" i="35"/>
  <c r="E25" i="35"/>
  <c r="M25" i="35" s="1"/>
  <c r="D25" i="35"/>
  <c r="L25" i="35" s="1"/>
  <c r="C25" i="35"/>
  <c r="W24" i="35"/>
  <c r="V24" i="35"/>
  <c r="U24" i="35"/>
  <c r="T24" i="35"/>
  <c r="S24" i="35"/>
  <c r="R24" i="35"/>
  <c r="Q24" i="35"/>
  <c r="P24" i="35"/>
  <c r="O24" i="35"/>
  <c r="N24" i="35"/>
  <c r="E24" i="35"/>
  <c r="M24" i="35" s="1"/>
  <c r="D24" i="35"/>
  <c r="L24" i="35" s="1"/>
  <c r="C24" i="35"/>
  <c r="S23" i="35"/>
  <c r="R23" i="35"/>
  <c r="Q23" i="35"/>
  <c r="T23" i="35" s="1"/>
  <c r="P23" i="35"/>
  <c r="V23" i="35" s="1"/>
  <c r="O23" i="35"/>
  <c r="U23" i="35" s="1"/>
  <c r="N23" i="35"/>
  <c r="E23" i="35"/>
  <c r="M23" i="35" s="1"/>
  <c r="D23" i="35"/>
  <c r="L23" i="35" s="1"/>
  <c r="C23" i="35"/>
  <c r="S22" i="35"/>
  <c r="R22" i="35"/>
  <c r="Q22" i="35"/>
  <c r="W22" i="35" s="1"/>
  <c r="P22" i="35"/>
  <c r="V22" i="35" s="1"/>
  <c r="O22" i="35"/>
  <c r="U22" i="35" s="1"/>
  <c r="N22" i="35"/>
  <c r="E22" i="35"/>
  <c r="M22" i="35" s="1"/>
  <c r="D22" i="35"/>
  <c r="L22" i="35" s="1"/>
  <c r="C22" i="35"/>
  <c r="U21" i="35"/>
  <c r="S21" i="35"/>
  <c r="R21" i="35"/>
  <c r="Q21" i="35"/>
  <c r="W21" i="35" s="1"/>
  <c r="P21" i="35"/>
  <c r="V21" i="35" s="1"/>
  <c r="O21" i="35"/>
  <c r="N21" i="35"/>
  <c r="E21" i="35"/>
  <c r="D21" i="35"/>
  <c r="L21" i="35" s="1"/>
  <c r="C21" i="35"/>
  <c r="S20" i="35"/>
  <c r="R20" i="35"/>
  <c r="Q20" i="35"/>
  <c r="T20" i="35" s="1"/>
  <c r="P20" i="35"/>
  <c r="V20" i="35" s="1"/>
  <c r="O20" i="35"/>
  <c r="U20" i="35" s="1"/>
  <c r="N20" i="35"/>
  <c r="E20" i="35"/>
  <c r="M20" i="35" s="1"/>
  <c r="D20" i="35"/>
  <c r="L20" i="35" s="1"/>
  <c r="C20" i="35"/>
  <c r="W19" i="35"/>
  <c r="V19" i="35"/>
  <c r="S19" i="35"/>
  <c r="R19" i="35"/>
  <c r="Q19" i="35"/>
  <c r="T19" i="35" s="1"/>
  <c r="P19" i="35"/>
  <c r="O19" i="35"/>
  <c r="U19" i="35" s="1"/>
  <c r="N19" i="35"/>
  <c r="E19" i="35"/>
  <c r="M19" i="35" s="1"/>
  <c r="D19" i="35"/>
  <c r="L19" i="35" s="1"/>
  <c r="C19" i="35"/>
  <c r="S18" i="35"/>
  <c r="R18" i="35"/>
  <c r="Q18" i="35"/>
  <c r="W18" i="35" s="1"/>
  <c r="P18" i="35"/>
  <c r="V18" i="35" s="1"/>
  <c r="O18" i="35"/>
  <c r="U18" i="35" s="1"/>
  <c r="N18" i="35"/>
  <c r="M18" i="35"/>
  <c r="E18" i="35"/>
  <c r="D18" i="35"/>
  <c r="L18" i="35" s="1"/>
  <c r="C18" i="35"/>
  <c r="S17" i="35"/>
  <c r="R17" i="35"/>
  <c r="Q17" i="35"/>
  <c r="W17" i="35" s="1"/>
  <c r="P17" i="35"/>
  <c r="V17" i="35" s="1"/>
  <c r="O17" i="35"/>
  <c r="U17" i="35" s="1"/>
  <c r="N17" i="35"/>
  <c r="E17" i="35"/>
  <c r="M17" i="35" s="1"/>
  <c r="D17" i="35"/>
  <c r="L17" i="35" s="1"/>
  <c r="C17" i="35"/>
  <c r="W16" i="35"/>
  <c r="V16" i="35"/>
  <c r="U16" i="35"/>
  <c r="T16" i="35"/>
  <c r="S16" i="35"/>
  <c r="R16" i="35"/>
  <c r="Q16" i="35"/>
  <c r="P16" i="35"/>
  <c r="O16" i="35"/>
  <c r="N16" i="35"/>
  <c r="E16" i="35"/>
  <c r="M16" i="35" s="1"/>
  <c r="D16" i="35"/>
  <c r="L16" i="35" s="1"/>
  <c r="C16" i="35"/>
  <c r="S15" i="35"/>
  <c r="R15" i="35"/>
  <c r="Q15" i="35"/>
  <c r="W15" i="35" s="1"/>
  <c r="P15" i="35"/>
  <c r="V15" i="35" s="1"/>
  <c r="O15" i="35"/>
  <c r="U15" i="35" s="1"/>
  <c r="N15" i="35"/>
  <c r="E15" i="35"/>
  <c r="M15" i="35" s="1"/>
  <c r="D15" i="35"/>
  <c r="L15" i="35" s="1"/>
  <c r="C15" i="35"/>
  <c r="S14" i="35"/>
  <c r="R14" i="35"/>
  <c r="Q14" i="35"/>
  <c r="W14" i="35" s="1"/>
  <c r="P14" i="35"/>
  <c r="V14" i="35" s="1"/>
  <c r="O14" i="35"/>
  <c r="U14" i="35" s="1"/>
  <c r="N14" i="35"/>
  <c r="E14" i="35"/>
  <c r="M14" i="35" s="1"/>
  <c r="D14" i="35"/>
  <c r="L14" i="35" s="1"/>
  <c r="C14" i="35"/>
  <c r="U13" i="35"/>
  <c r="S13" i="35"/>
  <c r="R13" i="35"/>
  <c r="Q13" i="35"/>
  <c r="M13" i="35" s="1"/>
  <c r="P13" i="35"/>
  <c r="V13" i="35" s="1"/>
  <c r="O13" i="35"/>
  <c r="N13" i="35"/>
  <c r="E13" i="35"/>
  <c r="D13" i="35"/>
  <c r="L13" i="35" s="1"/>
  <c r="C13" i="35"/>
  <c r="S12" i="35"/>
  <c r="R12" i="35"/>
  <c r="Q12" i="35"/>
  <c r="T12" i="35" s="1"/>
  <c r="P12" i="35"/>
  <c r="V12" i="35" s="1"/>
  <c r="O12" i="35"/>
  <c r="U12" i="35" s="1"/>
  <c r="N12" i="35"/>
  <c r="E12" i="35"/>
  <c r="M12" i="35" s="1"/>
  <c r="D12" i="35"/>
  <c r="L12" i="35" s="1"/>
  <c r="C12" i="35"/>
  <c r="W11" i="35"/>
  <c r="V11" i="35"/>
  <c r="S11" i="35"/>
  <c r="R11" i="35"/>
  <c r="Q11" i="35"/>
  <c r="T11" i="35" s="1"/>
  <c r="P11" i="35"/>
  <c r="O11" i="35"/>
  <c r="U11" i="35" s="1"/>
  <c r="N11" i="35"/>
  <c r="E11" i="35"/>
  <c r="M11" i="35" s="1"/>
  <c r="D11" i="35"/>
  <c r="L11" i="35" s="1"/>
  <c r="C11" i="35"/>
  <c r="S10" i="35"/>
  <c r="R10" i="35"/>
  <c r="Q10" i="35"/>
  <c r="W10" i="35" s="1"/>
  <c r="P10" i="35"/>
  <c r="V10" i="35" s="1"/>
  <c r="O10" i="35"/>
  <c r="U10" i="35" s="1"/>
  <c r="N10" i="35"/>
  <c r="M10" i="35"/>
  <c r="E10" i="35"/>
  <c r="D10" i="35"/>
  <c r="L10" i="35" s="1"/>
  <c r="C10" i="35"/>
  <c r="S9" i="35"/>
  <c r="R9" i="35"/>
  <c r="Q9" i="35"/>
  <c r="W9" i="35" s="1"/>
  <c r="P9" i="35"/>
  <c r="V9" i="35" s="1"/>
  <c r="O9" i="35"/>
  <c r="U9" i="35" s="1"/>
  <c r="N9" i="35"/>
  <c r="E9" i="35"/>
  <c r="M9" i="35" s="1"/>
  <c r="D9" i="35"/>
  <c r="L9" i="35" s="1"/>
  <c r="C9" i="35"/>
  <c r="W8" i="35"/>
  <c r="V8" i="35"/>
  <c r="U8" i="35"/>
  <c r="T8" i="35"/>
  <c r="S8" i="35"/>
  <c r="R8" i="35"/>
  <c r="Q8" i="35"/>
  <c r="P8" i="35"/>
  <c r="O8" i="35"/>
  <c r="N8" i="35"/>
  <c r="E8" i="35"/>
  <c r="M8" i="35" s="1"/>
  <c r="D8" i="35"/>
  <c r="L8" i="35" s="1"/>
  <c r="C8" i="35"/>
  <c r="S7" i="35"/>
  <c r="R7" i="35"/>
  <c r="Q7" i="35"/>
  <c r="W7" i="35" s="1"/>
  <c r="P7" i="35"/>
  <c r="V7" i="35" s="1"/>
  <c r="O7" i="35"/>
  <c r="U7" i="35" s="1"/>
  <c r="N7" i="35"/>
  <c r="E7" i="35"/>
  <c r="M7" i="35" s="1"/>
  <c r="D7" i="35"/>
  <c r="L7" i="35" s="1"/>
  <c r="C7" i="35"/>
  <c r="S6" i="35"/>
  <c r="R6" i="35"/>
  <c r="Q6" i="35"/>
  <c r="W6" i="35" s="1"/>
  <c r="P6" i="35"/>
  <c r="V6" i="35" s="1"/>
  <c r="O6" i="35"/>
  <c r="U6" i="35" s="1"/>
  <c r="N6" i="35"/>
  <c r="E6" i="35"/>
  <c r="M6" i="35" s="1"/>
  <c r="D6" i="35"/>
  <c r="L6" i="35" s="1"/>
  <c r="C6" i="35"/>
  <c r="U5" i="35"/>
  <c r="S5" i="35"/>
  <c r="R5" i="35"/>
  <c r="Q5" i="35"/>
  <c r="M5" i="35" s="1"/>
  <c r="P5" i="35"/>
  <c r="V5" i="35" s="1"/>
  <c r="O5" i="35"/>
  <c r="N5" i="35"/>
  <c r="E5" i="35"/>
  <c r="D5" i="35"/>
  <c r="L5" i="35" s="1"/>
  <c r="C5" i="35"/>
  <c r="S4" i="35"/>
  <c r="S41" i="35" s="1"/>
  <c r="R4" i="35"/>
  <c r="R41" i="35" s="1"/>
  <c r="Q4" i="35"/>
  <c r="T4" i="35" s="1"/>
  <c r="P4" i="35"/>
  <c r="V4" i="35" s="1"/>
  <c r="O4" i="35"/>
  <c r="U4" i="35" s="1"/>
  <c r="N4" i="35"/>
  <c r="N41" i="35" s="1"/>
  <c r="E4" i="35"/>
  <c r="E41" i="35" s="1"/>
  <c r="D4" i="35"/>
  <c r="D41" i="35" s="1"/>
  <c r="C4" i="35"/>
  <c r="C41" i="35" s="1"/>
  <c r="K54" i="29"/>
  <c r="J54" i="29"/>
  <c r="I54" i="29"/>
  <c r="H54" i="29"/>
  <c r="G54" i="29"/>
  <c r="F54" i="29"/>
  <c r="U53" i="29"/>
  <c r="S53" i="29"/>
  <c r="R53" i="29"/>
  <c r="Q53" i="29"/>
  <c r="P53" i="29"/>
  <c r="V53" i="29" s="1"/>
  <c r="O53" i="29"/>
  <c r="N53" i="29"/>
  <c r="E53" i="29"/>
  <c r="D53" i="29"/>
  <c r="L53" i="29" s="1"/>
  <c r="C53" i="29"/>
  <c r="S52" i="29"/>
  <c r="R52" i="29"/>
  <c r="Q52" i="29"/>
  <c r="T52" i="29" s="1"/>
  <c r="P52" i="29"/>
  <c r="V52" i="29" s="1"/>
  <c r="O52" i="29"/>
  <c r="U52" i="29" s="1"/>
  <c r="N52" i="29"/>
  <c r="E52" i="29"/>
  <c r="M52" i="29" s="1"/>
  <c r="D52" i="29"/>
  <c r="L52" i="29" s="1"/>
  <c r="C52" i="29"/>
  <c r="W51" i="29"/>
  <c r="V51" i="29"/>
  <c r="S51" i="29"/>
  <c r="R51" i="29"/>
  <c r="Q51" i="29"/>
  <c r="T51" i="29" s="1"/>
  <c r="P51" i="29"/>
  <c r="O51" i="29"/>
  <c r="U51" i="29" s="1"/>
  <c r="N51" i="29"/>
  <c r="E51" i="29"/>
  <c r="M51" i="29" s="1"/>
  <c r="D51" i="29"/>
  <c r="L51" i="29" s="1"/>
  <c r="C51" i="29"/>
  <c r="S50" i="29"/>
  <c r="R50" i="29"/>
  <c r="Q50" i="29"/>
  <c r="P50" i="29"/>
  <c r="O50" i="29"/>
  <c r="N50" i="29"/>
  <c r="M50" i="29"/>
  <c r="E50" i="29"/>
  <c r="D50" i="29"/>
  <c r="L50" i="29" s="1"/>
  <c r="C50" i="29"/>
  <c r="S49" i="29"/>
  <c r="R49" i="29"/>
  <c r="Q49" i="29"/>
  <c r="W49" i="29" s="1"/>
  <c r="P49" i="29"/>
  <c r="V49" i="29" s="1"/>
  <c r="O49" i="29"/>
  <c r="U49" i="29" s="1"/>
  <c r="N49" i="29"/>
  <c r="E49" i="29"/>
  <c r="M49" i="29" s="1"/>
  <c r="D49" i="29"/>
  <c r="L49" i="29" s="1"/>
  <c r="C49" i="29"/>
  <c r="W48" i="29"/>
  <c r="V48" i="29"/>
  <c r="U48" i="29"/>
  <c r="T48" i="29"/>
  <c r="S48" i="29"/>
  <c r="R48" i="29"/>
  <c r="Q48" i="29"/>
  <c r="P48" i="29"/>
  <c r="O48" i="29"/>
  <c r="N48" i="29"/>
  <c r="M48" i="29"/>
  <c r="E48" i="29"/>
  <c r="D48" i="29"/>
  <c r="L48" i="29" s="1"/>
  <c r="C48" i="29"/>
  <c r="S47" i="29"/>
  <c r="R47" i="29"/>
  <c r="Q47" i="29"/>
  <c r="W47" i="29" s="1"/>
  <c r="P47" i="29"/>
  <c r="V47" i="29" s="1"/>
  <c r="O47" i="29"/>
  <c r="N47" i="29"/>
  <c r="E47" i="29"/>
  <c r="M47" i="29" s="1"/>
  <c r="D47" i="29"/>
  <c r="L47" i="29" s="1"/>
  <c r="C47" i="29"/>
  <c r="S46" i="29"/>
  <c r="R46" i="29"/>
  <c r="Q46" i="29"/>
  <c r="W46" i="29" s="1"/>
  <c r="P46" i="29"/>
  <c r="V46" i="29" s="1"/>
  <c r="O46" i="29"/>
  <c r="U46" i="29" s="1"/>
  <c r="N46" i="29"/>
  <c r="E46" i="29"/>
  <c r="M46" i="29" s="1"/>
  <c r="D46" i="29"/>
  <c r="L46" i="29" s="1"/>
  <c r="C46" i="29"/>
  <c r="U45" i="29"/>
  <c r="S45" i="29"/>
  <c r="R45" i="29"/>
  <c r="Q45" i="29"/>
  <c r="P45" i="29"/>
  <c r="V45" i="29" s="1"/>
  <c r="O45" i="29"/>
  <c r="N45" i="29"/>
  <c r="E45" i="29"/>
  <c r="D45" i="29"/>
  <c r="L45" i="29" s="1"/>
  <c r="C45" i="29"/>
  <c r="S44" i="29"/>
  <c r="R44" i="29"/>
  <c r="Q44" i="29"/>
  <c r="T44" i="29" s="1"/>
  <c r="P44" i="29"/>
  <c r="V44" i="29" s="1"/>
  <c r="O44" i="29"/>
  <c r="U44" i="29" s="1"/>
  <c r="N44" i="29"/>
  <c r="E44" i="29"/>
  <c r="M44" i="29" s="1"/>
  <c r="D44" i="29"/>
  <c r="L44" i="29" s="1"/>
  <c r="C44" i="29"/>
  <c r="W43" i="29"/>
  <c r="V43" i="29"/>
  <c r="S43" i="29"/>
  <c r="R43" i="29"/>
  <c r="Q43" i="29"/>
  <c r="T43" i="29" s="1"/>
  <c r="P43" i="29"/>
  <c r="O43" i="29"/>
  <c r="U43" i="29" s="1"/>
  <c r="N43" i="29"/>
  <c r="E43" i="29"/>
  <c r="M43" i="29" s="1"/>
  <c r="D43" i="29"/>
  <c r="L43" i="29" s="1"/>
  <c r="C43" i="29"/>
  <c r="S42" i="29"/>
  <c r="R42" i="29"/>
  <c r="Q42" i="29"/>
  <c r="P42" i="29"/>
  <c r="O42" i="29"/>
  <c r="N42" i="29"/>
  <c r="M42" i="29"/>
  <c r="E42" i="29"/>
  <c r="D42" i="29"/>
  <c r="L42" i="29" s="1"/>
  <c r="C42" i="29"/>
  <c r="S41" i="29"/>
  <c r="R41" i="29"/>
  <c r="Q41" i="29"/>
  <c r="W41" i="29" s="1"/>
  <c r="P41" i="29"/>
  <c r="V41" i="29" s="1"/>
  <c r="O41" i="29"/>
  <c r="U41" i="29" s="1"/>
  <c r="N41" i="29"/>
  <c r="E41" i="29"/>
  <c r="M41" i="29" s="1"/>
  <c r="D41" i="29"/>
  <c r="L41" i="29" s="1"/>
  <c r="C41" i="29"/>
  <c r="W40" i="29"/>
  <c r="V40" i="29"/>
  <c r="U40" i="29"/>
  <c r="T40" i="29"/>
  <c r="S40" i="29"/>
  <c r="R40" i="29"/>
  <c r="Q40" i="29"/>
  <c r="P40" i="29"/>
  <c r="O40" i="29"/>
  <c r="N40" i="29"/>
  <c r="M40" i="29"/>
  <c r="E40" i="29"/>
  <c r="D40" i="29"/>
  <c r="L40" i="29" s="1"/>
  <c r="C40" i="29"/>
  <c r="S39" i="29"/>
  <c r="R39" i="29"/>
  <c r="Q39" i="29"/>
  <c r="W39" i="29" s="1"/>
  <c r="P39" i="29"/>
  <c r="O39" i="29"/>
  <c r="N39" i="29"/>
  <c r="E39" i="29"/>
  <c r="M39" i="29" s="1"/>
  <c r="D39" i="29"/>
  <c r="L39" i="29" s="1"/>
  <c r="C39" i="29"/>
  <c r="S38" i="29"/>
  <c r="R38" i="29"/>
  <c r="Q38" i="29"/>
  <c r="W38" i="29" s="1"/>
  <c r="P38" i="29"/>
  <c r="V38" i="29" s="1"/>
  <c r="O38" i="29"/>
  <c r="U38" i="29" s="1"/>
  <c r="N38" i="29"/>
  <c r="E38" i="29"/>
  <c r="M38" i="29" s="1"/>
  <c r="D38" i="29"/>
  <c r="L38" i="29" s="1"/>
  <c r="C38" i="29"/>
  <c r="U37" i="29"/>
  <c r="S37" i="29"/>
  <c r="R37" i="29"/>
  <c r="Q37" i="29"/>
  <c r="P37" i="29"/>
  <c r="V37" i="29" s="1"/>
  <c r="O37" i="29"/>
  <c r="N37" i="29"/>
  <c r="E37" i="29"/>
  <c r="D37" i="29"/>
  <c r="L37" i="29" s="1"/>
  <c r="C37" i="29"/>
  <c r="S36" i="29"/>
  <c r="R36" i="29"/>
  <c r="Q36" i="29"/>
  <c r="T36" i="29" s="1"/>
  <c r="P36" i="29"/>
  <c r="V36" i="29" s="1"/>
  <c r="O36" i="29"/>
  <c r="U36" i="29" s="1"/>
  <c r="N36" i="29"/>
  <c r="L36" i="29"/>
  <c r="E36" i="29"/>
  <c r="M36" i="29" s="1"/>
  <c r="D36" i="29"/>
  <c r="C36" i="29"/>
  <c r="W35" i="29"/>
  <c r="V35" i="29"/>
  <c r="S35" i="29"/>
  <c r="R35" i="29"/>
  <c r="Q35" i="29"/>
  <c r="T35" i="29" s="1"/>
  <c r="P35" i="29"/>
  <c r="O35" i="29"/>
  <c r="U35" i="29" s="1"/>
  <c r="N35" i="29"/>
  <c r="E35" i="29"/>
  <c r="M35" i="29" s="1"/>
  <c r="D35" i="29"/>
  <c r="L35" i="29" s="1"/>
  <c r="C35" i="29"/>
  <c r="S34" i="29"/>
  <c r="R34" i="29"/>
  <c r="Q34" i="29"/>
  <c r="P34" i="29"/>
  <c r="O34" i="29"/>
  <c r="N34" i="29"/>
  <c r="M34" i="29"/>
  <c r="E34" i="29"/>
  <c r="D34" i="29"/>
  <c r="L34" i="29" s="1"/>
  <c r="C34" i="29"/>
  <c r="S33" i="29"/>
  <c r="R33" i="29"/>
  <c r="Q33" i="29"/>
  <c r="W33" i="29" s="1"/>
  <c r="P33" i="29"/>
  <c r="V33" i="29" s="1"/>
  <c r="O33" i="29"/>
  <c r="U33" i="29" s="1"/>
  <c r="N33" i="29"/>
  <c r="E33" i="29"/>
  <c r="M33" i="29" s="1"/>
  <c r="D33" i="29"/>
  <c r="L33" i="29" s="1"/>
  <c r="C33" i="29"/>
  <c r="W32" i="29"/>
  <c r="V32" i="29"/>
  <c r="U32" i="29"/>
  <c r="T32" i="29"/>
  <c r="S32" i="29"/>
  <c r="R32" i="29"/>
  <c r="Q32" i="29"/>
  <c r="P32" i="29"/>
  <c r="O32" i="29"/>
  <c r="N32" i="29"/>
  <c r="M32" i="29"/>
  <c r="E32" i="29"/>
  <c r="D32" i="29"/>
  <c r="L32" i="29" s="1"/>
  <c r="C32" i="29"/>
  <c r="S31" i="29"/>
  <c r="R31" i="29"/>
  <c r="Q31" i="29"/>
  <c r="T31" i="29" s="1"/>
  <c r="P31" i="29"/>
  <c r="V31" i="29" s="1"/>
  <c r="O31" i="29"/>
  <c r="N31" i="29"/>
  <c r="E31" i="29"/>
  <c r="M31" i="29" s="1"/>
  <c r="D31" i="29"/>
  <c r="L31" i="29" s="1"/>
  <c r="C31" i="29"/>
  <c r="S30" i="29"/>
  <c r="R30" i="29"/>
  <c r="Q30" i="29"/>
  <c r="W30" i="29" s="1"/>
  <c r="P30" i="29"/>
  <c r="V30" i="29" s="1"/>
  <c r="O30" i="29"/>
  <c r="U30" i="29" s="1"/>
  <c r="N30" i="29"/>
  <c r="E30" i="29"/>
  <c r="M30" i="29" s="1"/>
  <c r="D30" i="29"/>
  <c r="L30" i="29" s="1"/>
  <c r="C30" i="29"/>
  <c r="U29" i="29"/>
  <c r="S29" i="29"/>
  <c r="R29" i="29"/>
  <c r="Q29" i="29"/>
  <c r="T29" i="29" s="1"/>
  <c r="P29" i="29"/>
  <c r="V29" i="29" s="1"/>
  <c r="O29" i="29"/>
  <c r="N29" i="29"/>
  <c r="E29" i="29"/>
  <c r="D29" i="29"/>
  <c r="L29" i="29" s="1"/>
  <c r="C29" i="29"/>
  <c r="S28" i="29"/>
  <c r="R28" i="29"/>
  <c r="Q28" i="29"/>
  <c r="T28" i="29" s="1"/>
  <c r="P28" i="29"/>
  <c r="V28" i="29" s="1"/>
  <c r="O28" i="29"/>
  <c r="U28" i="29" s="1"/>
  <c r="N28" i="29"/>
  <c r="E28" i="29"/>
  <c r="M28" i="29" s="1"/>
  <c r="D28" i="29"/>
  <c r="L28" i="29" s="1"/>
  <c r="C28" i="29"/>
  <c r="W27" i="29"/>
  <c r="V27" i="29"/>
  <c r="S27" i="29"/>
  <c r="R27" i="29"/>
  <c r="Q27" i="29"/>
  <c r="T27" i="29" s="1"/>
  <c r="P27" i="29"/>
  <c r="O27" i="29"/>
  <c r="U27" i="29" s="1"/>
  <c r="N27" i="29"/>
  <c r="E27" i="29"/>
  <c r="M27" i="29" s="1"/>
  <c r="D27" i="29"/>
  <c r="L27" i="29" s="1"/>
  <c r="C27" i="29"/>
  <c r="S26" i="29"/>
  <c r="R26" i="29"/>
  <c r="Q26" i="29"/>
  <c r="P26" i="29"/>
  <c r="V26" i="29" s="1"/>
  <c r="O26" i="29"/>
  <c r="N26" i="29"/>
  <c r="M26" i="29"/>
  <c r="E26" i="29"/>
  <c r="D26" i="29"/>
  <c r="L26" i="29" s="1"/>
  <c r="C26" i="29"/>
  <c r="S25" i="29"/>
  <c r="R25" i="29"/>
  <c r="Q25" i="29"/>
  <c r="W25" i="29" s="1"/>
  <c r="P25" i="29"/>
  <c r="V25" i="29" s="1"/>
  <c r="O25" i="29"/>
  <c r="U25" i="29" s="1"/>
  <c r="N25" i="29"/>
  <c r="E25" i="29"/>
  <c r="M25" i="29" s="1"/>
  <c r="D25" i="29"/>
  <c r="L25" i="29" s="1"/>
  <c r="C25" i="29"/>
  <c r="W24" i="29"/>
  <c r="V24" i="29"/>
  <c r="U24" i="29"/>
  <c r="T24" i="29"/>
  <c r="S24" i="29"/>
  <c r="R24" i="29"/>
  <c r="Q24" i="29"/>
  <c r="P24" i="29"/>
  <c r="O24" i="29"/>
  <c r="N24" i="29"/>
  <c r="M24" i="29"/>
  <c r="E24" i="29"/>
  <c r="D24" i="29"/>
  <c r="L24" i="29" s="1"/>
  <c r="C24" i="29"/>
  <c r="S23" i="29"/>
  <c r="R23" i="29"/>
  <c r="Q23" i="29"/>
  <c r="W23" i="29" s="1"/>
  <c r="P23" i="29"/>
  <c r="O23" i="29"/>
  <c r="N23" i="29"/>
  <c r="E23" i="29"/>
  <c r="M23" i="29" s="1"/>
  <c r="D23" i="29"/>
  <c r="L23" i="29" s="1"/>
  <c r="C23" i="29"/>
  <c r="S22" i="29"/>
  <c r="R22" i="29"/>
  <c r="Q22" i="29"/>
  <c r="W22" i="29" s="1"/>
  <c r="P22" i="29"/>
  <c r="V22" i="29" s="1"/>
  <c r="O22" i="29"/>
  <c r="U22" i="29" s="1"/>
  <c r="N22" i="29"/>
  <c r="E22" i="29"/>
  <c r="M22" i="29" s="1"/>
  <c r="D22" i="29"/>
  <c r="L22" i="29" s="1"/>
  <c r="C22" i="29"/>
  <c r="U21" i="29"/>
  <c r="S21" i="29"/>
  <c r="R21" i="29"/>
  <c r="Q21" i="29"/>
  <c r="T21" i="29" s="1"/>
  <c r="P21" i="29"/>
  <c r="V21" i="29" s="1"/>
  <c r="O21" i="29"/>
  <c r="N21" i="29"/>
  <c r="E21" i="29"/>
  <c r="D21" i="29"/>
  <c r="L21" i="29" s="1"/>
  <c r="C21" i="29"/>
  <c r="S20" i="29"/>
  <c r="R20" i="29"/>
  <c r="Q20" i="29"/>
  <c r="T20" i="29" s="1"/>
  <c r="P20" i="29"/>
  <c r="V20" i="29" s="1"/>
  <c r="O20" i="29"/>
  <c r="U20" i="29" s="1"/>
  <c r="N20" i="29"/>
  <c r="E20" i="29"/>
  <c r="M20" i="29" s="1"/>
  <c r="D20" i="29"/>
  <c r="L20" i="29" s="1"/>
  <c r="C20" i="29"/>
  <c r="W19" i="29"/>
  <c r="V19" i="29"/>
  <c r="T19" i="29"/>
  <c r="S19" i="29"/>
  <c r="R19" i="29"/>
  <c r="Q19" i="29"/>
  <c r="P19" i="29"/>
  <c r="O19" i="29"/>
  <c r="U19" i="29" s="1"/>
  <c r="N19" i="29"/>
  <c r="E19" i="29"/>
  <c r="M19" i="29" s="1"/>
  <c r="D19" i="29"/>
  <c r="L19" i="29" s="1"/>
  <c r="C19" i="29"/>
  <c r="S18" i="29"/>
  <c r="R18" i="29"/>
  <c r="Q18" i="29"/>
  <c r="P18" i="29"/>
  <c r="O18" i="29"/>
  <c r="N18" i="29"/>
  <c r="M18" i="29"/>
  <c r="E18" i="29"/>
  <c r="D18" i="29"/>
  <c r="L18" i="29" s="1"/>
  <c r="C18" i="29"/>
  <c r="S17" i="29"/>
  <c r="R17" i="29"/>
  <c r="Q17" i="29"/>
  <c r="W17" i="29" s="1"/>
  <c r="P17" i="29"/>
  <c r="V17" i="29" s="1"/>
  <c r="O17" i="29"/>
  <c r="U17" i="29" s="1"/>
  <c r="N17" i="29"/>
  <c r="E17" i="29"/>
  <c r="M17" i="29" s="1"/>
  <c r="D17" i="29"/>
  <c r="L17" i="29" s="1"/>
  <c r="C17" i="29"/>
  <c r="W16" i="29"/>
  <c r="V16" i="29"/>
  <c r="U16" i="29"/>
  <c r="T16" i="29"/>
  <c r="S16" i="29"/>
  <c r="R16" i="29"/>
  <c r="Q16" i="29"/>
  <c r="P16" i="29"/>
  <c r="O16" i="29"/>
  <c r="N16" i="29"/>
  <c r="M16" i="29"/>
  <c r="E16" i="29"/>
  <c r="D16" i="29"/>
  <c r="L16" i="29" s="1"/>
  <c r="C16" i="29"/>
  <c r="S15" i="29"/>
  <c r="R15" i="29"/>
  <c r="Q15" i="29"/>
  <c r="W15" i="29" s="1"/>
  <c r="P15" i="29"/>
  <c r="O15" i="29"/>
  <c r="U15" i="29" s="1"/>
  <c r="N15" i="29"/>
  <c r="E15" i="29"/>
  <c r="M15" i="29" s="1"/>
  <c r="D15" i="29"/>
  <c r="L15" i="29" s="1"/>
  <c r="C15" i="29"/>
  <c r="S14" i="29"/>
  <c r="R14" i="29"/>
  <c r="Q14" i="29"/>
  <c r="W14" i="29" s="1"/>
  <c r="P14" i="29"/>
  <c r="V14" i="29" s="1"/>
  <c r="O14" i="29"/>
  <c r="U14" i="29" s="1"/>
  <c r="N14" i="29"/>
  <c r="E14" i="29"/>
  <c r="M14" i="29" s="1"/>
  <c r="D14" i="29"/>
  <c r="L14" i="29" s="1"/>
  <c r="C14" i="29"/>
  <c r="U13" i="29"/>
  <c r="T13" i="29"/>
  <c r="S13" i="29"/>
  <c r="S54" i="29" s="1"/>
  <c r="R13" i="29"/>
  <c r="Q13" i="29"/>
  <c r="P13" i="29"/>
  <c r="V13" i="29" s="1"/>
  <c r="O13" i="29"/>
  <c r="N13" i="29"/>
  <c r="E13" i="29"/>
  <c r="D13" i="29"/>
  <c r="L13" i="29" s="1"/>
  <c r="C13" i="29"/>
  <c r="S12" i="29"/>
  <c r="R12" i="29"/>
  <c r="Q12" i="29"/>
  <c r="T12" i="29" s="1"/>
  <c r="P12" i="29"/>
  <c r="V12" i="29" s="1"/>
  <c r="O12" i="29"/>
  <c r="U12" i="29" s="1"/>
  <c r="N12" i="29"/>
  <c r="E12" i="29"/>
  <c r="M12" i="29" s="1"/>
  <c r="D12" i="29"/>
  <c r="L12" i="29" s="1"/>
  <c r="C12" i="29"/>
  <c r="W11" i="29"/>
  <c r="V11" i="29"/>
  <c r="T11" i="29"/>
  <c r="S11" i="29"/>
  <c r="R11" i="29"/>
  <c r="Q11" i="29"/>
  <c r="P11" i="29"/>
  <c r="O11" i="29"/>
  <c r="U11" i="29" s="1"/>
  <c r="N11" i="29"/>
  <c r="E11" i="29"/>
  <c r="M11" i="29" s="1"/>
  <c r="D11" i="29"/>
  <c r="L11" i="29" s="1"/>
  <c r="C11" i="29"/>
  <c r="S10" i="29"/>
  <c r="R10" i="29"/>
  <c r="Q10" i="29"/>
  <c r="P10" i="29"/>
  <c r="O10" i="29"/>
  <c r="N10" i="29"/>
  <c r="D10" i="29"/>
  <c r="L10" i="29" s="1"/>
  <c r="C10" i="29"/>
  <c r="S9" i="29"/>
  <c r="R9" i="29"/>
  <c r="Q9" i="29"/>
  <c r="W9" i="29" s="1"/>
  <c r="P9" i="29"/>
  <c r="V9" i="29" s="1"/>
  <c r="O9" i="29"/>
  <c r="U9" i="29" s="1"/>
  <c r="N9" i="29"/>
  <c r="E9" i="29"/>
  <c r="M9" i="29" s="1"/>
  <c r="D9" i="29"/>
  <c r="L9" i="29" s="1"/>
  <c r="C9" i="29"/>
  <c r="W8" i="29"/>
  <c r="V8" i="29"/>
  <c r="U8" i="29"/>
  <c r="T8" i="29"/>
  <c r="S8" i="29"/>
  <c r="R8" i="29"/>
  <c r="Q8" i="29"/>
  <c r="P8" i="29"/>
  <c r="O8" i="29"/>
  <c r="N8" i="29"/>
  <c r="M8" i="29"/>
  <c r="E8" i="29"/>
  <c r="D8" i="29"/>
  <c r="L8" i="29" s="1"/>
  <c r="C8" i="29"/>
  <c r="S7" i="29"/>
  <c r="R7" i="29"/>
  <c r="Q7" i="29"/>
  <c r="W7" i="29" s="1"/>
  <c r="P7" i="29"/>
  <c r="O7" i="29"/>
  <c r="N7" i="29"/>
  <c r="E7" i="29"/>
  <c r="M7" i="29" s="1"/>
  <c r="D7" i="29"/>
  <c r="L7" i="29" s="1"/>
  <c r="C7" i="29"/>
  <c r="S6" i="29"/>
  <c r="R6" i="29"/>
  <c r="Q6" i="29"/>
  <c r="W6" i="29" s="1"/>
  <c r="P6" i="29"/>
  <c r="V6" i="29" s="1"/>
  <c r="O6" i="29"/>
  <c r="U6" i="29" s="1"/>
  <c r="N6" i="29"/>
  <c r="E6" i="29"/>
  <c r="M6" i="29" s="1"/>
  <c r="D6" i="29"/>
  <c r="L6" i="29" s="1"/>
  <c r="C6" i="29"/>
  <c r="U5" i="29"/>
  <c r="S5" i="29"/>
  <c r="R5" i="29"/>
  <c r="Q5" i="29"/>
  <c r="P5" i="29"/>
  <c r="V5" i="29" s="1"/>
  <c r="O5" i="29"/>
  <c r="N5" i="29"/>
  <c r="E5" i="29"/>
  <c r="D5" i="29"/>
  <c r="L5" i="29" s="1"/>
  <c r="C5" i="29"/>
  <c r="S4" i="29"/>
  <c r="R4" i="29"/>
  <c r="R54" i="29" s="1"/>
  <c r="Q4" i="29"/>
  <c r="Q54" i="29" s="1"/>
  <c r="T54" i="29" s="1"/>
  <c r="P4" i="29"/>
  <c r="O4" i="29"/>
  <c r="N4" i="29"/>
  <c r="E4" i="29"/>
  <c r="D4" i="29"/>
  <c r="C4" i="29"/>
  <c r="K63" i="27"/>
  <c r="J63" i="27"/>
  <c r="I63" i="27"/>
  <c r="H63" i="27"/>
  <c r="G63" i="27"/>
  <c r="F63" i="27"/>
  <c r="W62" i="27"/>
  <c r="V62" i="27"/>
  <c r="U62" i="27"/>
  <c r="S62" i="27"/>
  <c r="R62" i="27"/>
  <c r="T62" i="27" s="1"/>
  <c r="Q62" i="27"/>
  <c r="P62" i="27"/>
  <c r="O62" i="27"/>
  <c r="N62" i="27"/>
  <c r="L62" i="27"/>
  <c r="E62" i="27"/>
  <c r="M62" i="27" s="1"/>
  <c r="D62" i="27"/>
  <c r="C62" i="27"/>
  <c r="S61" i="27"/>
  <c r="R61" i="27"/>
  <c r="Q61" i="27"/>
  <c r="T61" i="27" s="1"/>
  <c r="P61" i="27"/>
  <c r="O61" i="27"/>
  <c r="N61" i="27"/>
  <c r="M61" i="27"/>
  <c r="E61" i="27"/>
  <c r="D61" i="27"/>
  <c r="L61" i="27" s="1"/>
  <c r="C61" i="27"/>
  <c r="S60" i="27"/>
  <c r="R60" i="27"/>
  <c r="Q60" i="27"/>
  <c r="W60" i="27" s="1"/>
  <c r="P60" i="27"/>
  <c r="V60" i="27" s="1"/>
  <c r="O60" i="27"/>
  <c r="U60" i="27" s="1"/>
  <c r="N60" i="27"/>
  <c r="E60" i="27"/>
  <c r="M60" i="27" s="1"/>
  <c r="D60" i="27"/>
  <c r="L60" i="27" s="1"/>
  <c r="C60" i="27"/>
  <c r="S59" i="27"/>
  <c r="R59" i="27"/>
  <c r="Q59" i="27"/>
  <c r="P59" i="27"/>
  <c r="V59" i="27" s="1"/>
  <c r="O59" i="27"/>
  <c r="U59" i="27" s="1"/>
  <c r="N59" i="27"/>
  <c r="L59" i="27"/>
  <c r="E59" i="27"/>
  <c r="D59" i="27"/>
  <c r="C59" i="27"/>
  <c r="S58" i="27"/>
  <c r="R58" i="27"/>
  <c r="Q58" i="27"/>
  <c r="T58" i="27" s="1"/>
  <c r="P58" i="27"/>
  <c r="V58" i="27" s="1"/>
  <c r="O58" i="27"/>
  <c r="U58" i="27" s="1"/>
  <c r="N58" i="27"/>
  <c r="E58" i="27"/>
  <c r="M58" i="27" s="1"/>
  <c r="D58" i="27"/>
  <c r="L58" i="27" s="1"/>
  <c r="C58" i="27"/>
  <c r="W57" i="27"/>
  <c r="V57" i="27"/>
  <c r="U57" i="27"/>
  <c r="S57" i="27"/>
  <c r="R57" i="27"/>
  <c r="Q57" i="27"/>
  <c r="T57" i="27" s="1"/>
  <c r="P57" i="27"/>
  <c r="O57" i="27"/>
  <c r="N57" i="27"/>
  <c r="E57" i="27"/>
  <c r="M57" i="27" s="1"/>
  <c r="D57" i="27"/>
  <c r="L57" i="27" s="1"/>
  <c r="C57" i="27"/>
  <c r="S56" i="27"/>
  <c r="R56" i="27"/>
  <c r="Q56" i="27"/>
  <c r="P56" i="27"/>
  <c r="V56" i="27" s="1"/>
  <c r="O56" i="27"/>
  <c r="N56" i="27"/>
  <c r="M56" i="27"/>
  <c r="L56" i="27"/>
  <c r="E56" i="27"/>
  <c r="D56" i="27"/>
  <c r="C56" i="27"/>
  <c r="S55" i="27"/>
  <c r="R55" i="27"/>
  <c r="Q55" i="27"/>
  <c r="W55" i="27" s="1"/>
  <c r="P55" i="27"/>
  <c r="V55" i="27" s="1"/>
  <c r="O55" i="27"/>
  <c r="U55" i="27" s="1"/>
  <c r="N55" i="27"/>
  <c r="E55" i="27"/>
  <c r="M55" i="27" s="1"/>
  <c r="D55" i="27"/>
  <c r="L55" i="27" s="1"/>
  <c r="C55" i="27"/>
  <c r="W54" i="27"/>
  <c r="V54" i="27"/>
  <c r="U54" i="27"/>
  <c r="S54" i="27"/>
  <c r="R54" i="27"/>
  <c r="T54" i="27" s="1"/>
  <c r="Q54" i="27"/>
  <c r="P54" i="27"/>
  <c r="O54" i="27"/>
  <c r="N54" i="27"/>
  <c r="L54" i="27"/>
  <c r="E54" i="27"/>
  <c r="M54" i="27" s="1"/>
  <c r="D54" i="27"/>
  <c r="C54" i="27"/>
  <c r="S53" i="27"/>
  <c r="R53" i="27"/>
  <c r="Q53" i="27"/>
  <c r="P53" i="27"/>
  <c r="O53" i="27"/>
  <c r="N53" i="27"/>
  <c r="E53" i="27"/>
  <c r="M53" i="27" s="1"/>
  <c r="D53" i="27"/>
  <c r="L53" i="27" s="1"/>
  <c r="C53" i="27"/>
  <c r="S52" i="27"/>
  <c r="R52" i="27"/>
  <c r="Q52" i="27"/>
  <c r="W52" i="27" s="1"/>
  <c r="P52" i="27"/>
  <c r="V52" i="27" s="1"/>
  <c r="O52" i="27"/>
  <c r="U52" i="27" s="1"/>
  <c r="N52" i="27"/>
  <c r="E52" i="27"/>
  <c r="M52" i="27" s="1"/>
  <c r="D52" i="27"/>
  <c r="L52" i="27" s="1"/>
  <c r="C52" i="27"/>
  <c r="S51" i="27"/>
  <c r="R51" i="27"/>
  <c r="Q51" i="27"/>
  <c r="T51" i="27" s="1"/>
  <c r="P51" i="27"/>
  <c r="V51" i="27" s="1"/>
  <c r="O51" i="27"/>
  <c r="U51" i="27" s="1"/>
  <c r="N51" i="27"/>
  <c r="L51" i="27"/>
  <c r="E51" i="27"/>
  <c r="D51" i="27"/>
  <c r="C51" i="27"/>
  <c r="S50" i="27"/>
  <c r="R50" i="27"/>
  <c r="Q50" i="27"/>
  <c r="T50" i="27" s="1"/>
  <c r="P50" i="27"/>
  <c r="V50" i="27" s="1"/>
  <c r="O50" i="27"/>
  <c r="U50" i="27" s="1"/>
  <c r="N50" i="27"/>
  <c r="E50" i="27"/>
  <c r="M50" i="27" s="1"/>
  <c r="D50" i="27"/>
  <c r="L50" i="27" s="1"/>
  <c r="C50" i="27"/>
  <c r="W49" i="27"/>
  <c r="V49" i="27"/>
  <c r="U49" i="27"/>
  <c r="S49" i="27"/>
  <c r="R49" i="27"/>
  <c r="Q49" i="27"/>
  <c r="T49" i="27" s="1"/>
  <c r="P49" i="27"/>
  <c r="O49" i="27"/>
  <c r="N49" i="27"/>
  <c r="E49" i="27"/>
  <c r="M49" i="27" s="1"/>
  <c r="D49" i="27"/>
  <c r="L49" i="27" s="1"/>
  <c r="C49" i="27"/>
  <c r="S48" i="27"/>
  <c r="R48" i="27"/>
  <c r="Q48" i="27"/>
  <c r="P48" i="27"/>
  <c r="O48" i="27"/>
  <c r="U48" i="27" s="1"/>
  <c r="N48" i="27"/>
  <c r="L48" i="27"/>
  <c r="E48" i="27"/>
  <c r="D48" i="27"/>
  <c r="C48" i="27"/>
  <c r="S47" i="27"/>
  <c r="R47" i="27"/>
  <c r="Q47" i="27"/>
  <c r="W47" i="27" s="1"/>
  <c r="P47" i="27"/>
  <c r="V47" i="27" s="1"/>
  <c r="O47" i="27"/>
  <c r="U47" i="27" s="1"/>
  <c r="N47" i="27"/>
  <c r="E47" i="27"/>
  <c r="M47" i="27" s="1"/>
  <c r="D47" i="27"/>
  <c r="L47" i="27" s="1"/>
  <c r="C47" i="27"/>
  <c r="W46" i="27"/>
  <c r="V46" i="27"/>
  <c r="U46" i="27"/>
  <c r="S46" i="27"/>
  <c r="R46" i="27"/>
  <c r="T46" i="27" s="1"/>
  <c r="Q46" i="27"/>
  <c r="P46" i="27"/>
  <c r="O46" i="27"/>
  <c r="N46" i="27"/>
  <c r="L46" i="27"/>
  <c r="E46" i="27"/>
  <c r="M46" i="27" s="1"/>
  <c r="D46" i="27"/>
  <c r="C46" i="27"/>
  <c r="S45" i="27"/>
  <c r="R45" i="27"/>
  <c r="Q45" i="27"/>
  <c r="P45" i="27"/>
  <c r="O45" i="27"/>
  <c r="N45" i="27"/>
  <c r="E45" i="27"/>
  <c r="M45" i="27" s="1"/>
  <c r="D45" i="27"/>
  <c r="L45" i="27" s="1"/>
  <c r="C45" i="27"/>
  <c r="S44" i="27"/>
  <c r="R44" i="27"/>
  <c r="Q44" i="27"/>
  <c r="W44" i="27" s="1"/>
  <c r="P44" i="27"/>
  <c r="V44" i="27" s="1"/>
  <c r="O44" i="27"/>
  <c r="U44" i="27" s="1"/>
  <c r="N44" i="27"/>
  <c r="E44" i="27"/>
  <c r="M44" i="27" s="1"/>
  <c r="D44" i="27"/>
  <c r="L44" i="27" s="1"/>
  <c r="C44" i="27"/>
  <c r="S43" i="27"/>
  <c r="R43" i="27"/>
  <c r="Q43" i="27"/>
  <c r="P43" i="27"/>
  <c r="V43" i="27" s="1"/>
  <c r="O43" i="27"/>
  <c r="U43" i="27" s="1"/>
  <c r="N43" i="27"/>
  <c r="L43" i="27"/>
  <c r="E43" i="27"/>
  <c r="D43" i="27"/>
  <c r="C43" i="27"/>
  <c r="S42" i="27"/>
  <c r="R42" i="27"/>
  <c r="Q42" i="27"/>
  <c r="T42" i="27" s="1"/>
  <c r="P42" i="27"/>
  <c r="V42" i="27" s="1"/>
  <c r="O42" i="27"/>
  <c r="U42" i="27" s="1"/>
  <c r="N42" i="27"/>
  <c r="E42" i="27"/>
  <c r="M42" i="27" s="1"/>
  <c r="D42" i="27"/>
  <c r="L42" i="27" s="1"/>
  <c r="C42" i="27"/>
  <c r="W41" i="27"/>
  <c r="V41" i="27"/>
  <c r="U41" i="27"/>
  <c r="S41" i="27"/>
  <c r="R41" i="27"/>
  <c r="Q41" i="27"/>
  <c r="T41" i="27" s="1"/>
  <c r="P41" i="27"/>
  <c r="O41" i="27"/>
  <c r="N41" i="27"/>
  <c r="E41" i="27"/>
  <c r="M41" i="27" s="1"/>
  <c r="D41" i="27"/>
  <c r="L41" i="27" s="1"/>
  <c r="C41" i="27"/>
  <c r="S40" i="27"/>
  <c r="R40" i="27"/>
  <c r="Q40" i="27"/>
  <c r="P40" i="27"/>
  <c r="O40" i="27"/>
  <c r="N40" i="27"/>
  <c r="M40" i="27"/>
  <c r="L40" i="27"/>
  <c r="E40" i="27"/>
  <c r="D40" i="27"/>
  <c r="C40" i="27"/>
  <c r="S39" i="27"/>
  <c r="R39" i="27"/>
  <c r="Q39" i="27"/>
  <c r="W39" i="27" s="1"/>
  <c r="P39" i="27"/>
  <c r="V39" i="27" s="1"/>
  <c r="O39" i="27"/>
  <c r="U39" i="27" s="1"/>
  <c r="N39" i="27"/>
  <c r="E39" i="27"/>
  <c r="M39" i="27" s="1"/>
  <c r="D39" i="27"/>
  <c r="L39" i="27" s="1"/>
  <c r="C39" i="27"/>
  <c r="W38" i="27"/>
  <c r="V38" i="27"/>
  <c r="U38" i="27"/>
  <c r="S38" i="27"/>
  <c r="R38" i="27"/>
  <c r="T38" i="27" s="1"/>
  <c r="Q38" i="27"/>
  <c r="P38" i="27"/>
  <c r="O38" i="27"/>
  <c r="N38" i="27"/>
  <c r="L38" i="27"/>
  <c r="E38" i="27"/>
  <c r="M38" i="27" s="1"/>
  <c r="D38" i="27"/>
  <c r="C38" i="27"/>
  <c r="S37" i="27"/>
  <c r="R37" i="27"/>
  <c r="Q37" i="27"/>
  <c r="T37" i="27" s="1"/>
  <c r="P37" i="27"/>
  <c r="V37" i="27" s="1"/>
  <c r="O37" i="27"/>
  <c r="N37" i="27"/>
  <c r="E37" i="27"/>
  <c r="M37" i="27" s="1"/>
  <c r="D37" i="27"/>
  <c r="L37" i="27" s="1"/>
  <c r="C37" i="27"/>
  <c r="S36" i="27"/>
  <c r="R36" i="27"/>
  <c r="Q36" i="27"/>
  <c r="W36" i="27" s="1"/>
  <c r="P36" i="27"/>
  <c r="V36" i="27" s="1"/>
  <c r="O36" i="27"/>
  <c r="U36" i="27" s="1"/>
  <c r="N36" i="27"/>
  <c r="E36" i="27"/>
  <c r="M36" i="27" s="1"/>
  <c r="D36" i="27"/>
  <c r="L36" i="27" s="1"/>
  <c r="C36" i="27"/>
  <c r="V35" i="27"/>
  <c r="U35" i="27"/>
  <c r="S35" i="27"/>
  <c r="R35" i="27"/>
  <c r="T35" i="27" s="1"/>
  <c r="Q35" i="27"/>
  <c r="P35" i="27"/>
  <c r="O35" i="27"/>
  <c r="N35" i="27"/>
  <c r="L35" i="27"/>
  <c r="E35" i="27"/>
  <c r="D35" i="27"/>
  <c r="C35" i="27"/>
  <c r="S34" i="27"/>
  <c r="R34" i="27"/>
  <c r="Q34" i="27"/>
  <c r="T34" i="27" s="1"/>
  <c r="P34" i="27"/>
  <c r="V34" i="27" s="1"/>
  <c r="O34" i="27"/>
  <c r="U34" i="27" s="1"/>
  <c r="N34" i="27"/>
  <c r="E34" i="27"/>
  <c r="M34" i="27" s="1"/>
  <c r="D34" i="27"/>
  <c r="L34" i="27" s="1"/>
  <c r="C34" i="27"/>
  <c r="W33" i="27"/>
  <c r="V33" i="27"/>
  <c r="U33" i="27"/>
  <c r="S33" i="27"/>
  <c r="R33" i="27"/>
  <c r="Q33" i="27"/>
  <c r="T33" i="27" s="1"/>
  <c r="P33" i="27"/>
  <c r="O33" i="27"/>
  <c r="N33" i="27"/>
  <c r="E33" i="27"/>
  <c r="M33" i="27" s="1"/>
  <c r="D33" i="27"/>
  <c r="L33" i="27" s="1"/>
  <c r="C33" i="27"/>
  <c r="S32" i="27"/>
  <c r="R32" i="27"/>
  <c r="Q32" i="27"/>
  <c r="P32" i="27"/>
  <c r="O32" i="27"/>
  <c r="N32" i="27"/>
  <c r="M32" i="27"/>
  <c r="L32" i="27"/>
  <c r="E32" i="27"/>
  <c r="D32" i="27"/>
  <c r="C32" i="27"/>
  <c r="S31" i="27"/>
  <c r="R31" i="27"/>
  <c r="Q31" i="27"/>
  <c r="W31" i="27" s="1"/>
  <c r="P31" i="27"/>
  <c r="V31" i="27" s="1"/>
  <c r="O31" i="27"/>
  <c r="U31" i="27" s="1"/>
  <c r="N31" i="27"/>
  <c r="E31" i="27"/>
  <c r="M31" i="27" s="1"/>
  <c r="D31" i="27"/>
  <c r="L31" i="27" s="1"/>
  <c r="C31" i="27"/>
  <c r="W30" i="27"/>
  <c r="V30" i="27"/>
  <c r="U30" i="27"/>
  <c r="S30" i="27"/>
  <c r="R30" i="27"/>
  <c r="T30" i="27" s="1"/>
  <c r="Q30" i="27"/>
  <c r="P30" i="27"/>
  <c r="O30" i="27"/>
  <c r="N30" i="27"/>
  <c r="L30" i="27"/>
  <c r="E30" i="27"/>
  <c r="M30" i="27" s="1"/>
  <c r="D30" i="27"/>
  <c r="C30" i="27"/>
  <c r="S29" i="27"/>
  <c r="R29" i="27"/>
  <c r="Q29" i="27"/>
  <c r="T29" i="27" s="1"/>
  <c r="P29" i="27"/>
  <c r="O29" i="27"/>
  <c r="N29" i="27"/>
  <c r="M29" i="27"/>
  <c r="E29" i="27"/>
  <c r="D29" i="27"/>
  <c r="L29" i="27" s="1"/>
  <c r="C29" i="27"/>
  <c r="S28" i="27"/>
  <c r="R28" i="27"/>
  <c r="Q28" i="27"/>
  <c r="W28" i="27" s="1"/>
  <c r="P28" i="27"/>
  <c r="V28" i="27" s="1"/>
  <c r="O28" i="27"/>
  <c r="U28" i="27" s="1"/>
  <c r="N28" i="27"/>
  <c r="E28" i="27"/>
  <c r="M28" i="27" s="1"/>
  <c r="D28" i="27"/>
  <c r="L28" i="27" s="1"/>
  <c r="C28" i="27"/>
  <c r="S27" i="27"/>
  <c r="R27" i="27"/>
  <c r="Q27" i="27"/>
  <c r="T27" i="27" s="1"/>
  <c r="P27" i="27"/>
  <c r="V27" i="27" s="1"/>
  <c r="O27" i="27"/>
  <c r="U27" i="27" s="1"/>
  <c r="N27" i="27"/>
  <c r="L27" i="27"/>
  <c r="E27" i="27"/>
  <c r="D27" i="27"/>
  <c r="C27" i="27"/>
  <c r="S26" i="27"/>
  <c r="R26" i="27"/>
  <c r="Q26" i="27"/>
  <c r="T26" i="27" s="1"/>
  <c r="P26" i="27"/>
  <c r="V26" i="27" s="1"/>
  <c r="O26" i="27"/>
  <c r="U26" i="27" s="1"/>
  <c r="N26" i="27"/>
  <c r="E26" i="27"/>
  <c r="M26" i="27" s="1"/>
  <c r="D26" i="27"/>
  <c r="L26" i="27" s="1"/>
  <c r="C26" i="27"/>
  <c r="W25" i="27"/>
  <c r="V25" i="27"/>
  <c r="U25" i="27"/>
  <c r="S25" i="27"/>
  <c r="R25" i="27"/>
  <c r="Q25" i="27"/>
  <c r="T25" i="27" s="1"/>
  <c r="P25" i="27"/>
  <c r="O25" i="27"/>
  <c r="N25" i="27"/>
  <c r="E25" i="27"/>
  <c r="M25" i="27" s="1"/>
  <c r="D25" i="27"/>
  <c r="L25" i="27" s="1"/>
  <c r="C25" i="27"/>
  <c r="S24" i="27"/>
  <c r="R24" i="27"/>
  <c r="Q24" i="27"/>
  <c r="P24" i="27"/>
  <c r="O24" i="27"/>
  <c r="N24" i="27"/>
  <c r="M24" i="27"/>
  <c r="L24" i="27"/>
  <c r="E24" i="27"/>
  <c r="D24" i="27"/>
  <c r="C24" i="27"/>
  <c r="S23" i="27"/>
  <c r="R23" i="27"/>
  <c r="Q23" i="27"/>
  <c r="W23" i="27" s="1"/>
  <c r="P23" i="27"/>
  <c r="V23" i="27" s="1"/>
  <c r="O23" i="27"/>
  <c r="U23" i="27" s="1"/>
  <c r="N23" i="27"/>
  <c r="E23" i="27"/>
  <c r="M23" i="27" s="1"/>
  <c r="D23" i="27"/>
  <c r="L23" i="27" s="1"/>
  <c r="C23" i="27"/>
  <c r="W22" i="27"/>
  <c r="V22" i="27"/>
  <c r="U22" i="27"/>
  <c r="S22" i="27"/>
  <c r="R22" i="27"/>
  <c r="T22" i="27" s="1"/>
  <c r="Q22" i="27"/>
  <c r="P22" i="27"/>
  <c r="O22" i="27"/>
  <c r="N22" i="27"/>
  <c r="L22" i="27"/>
  <c r="E22" i="27"/>
  <c r="M22" i="27" s="1"/>
  <c r="D22" i="27"/>
  <c r="C22" i="27"/>
  <c r="S21" i="27"/>
  <c r="R21" i="27"/>
  <c r="Q21" i="27"/>
  <c r="T21" i="27" s="1"/>
  <c r="P21" i="27"/>
  <c r="O21" i="27"/>
  <c r="N21" i="27"/>
  <c r="E21" i="27"/>
  <c r="M21" i="27" s="1"/>
  <c r="D21" i="27"/>
  <c r="L21" i="27" s="1"/>
  <c r="C21" i="27"/>
  <c r="S20" i="27"/>
  <c r="R20" i="27"/>
  <c r="Q20" i="27"/>
  <c r="W20" i="27" s="1"/>
  <c r="P20" i="27"/>
  <c r="V20" i="27" s="1"/>
  <c r="O20" i="27"/>
  <c r="U20" i="27" s="1"/>
  <c r="N20" i="27"/>
  <c r="E20" i="27"/>
  <c r="M20" i="27" s="1"/>
  <c r="D20" i="27"/>
  <c r="L20" i="27" s="1"/>
  <c r="C20" i="27"/>
  <c r="S19" i="27"/>
  <c r="R19" i="27"/>
  <c r="Q19" i="27"/>
  <c r="P19" i="27"/>
  <c r="V19" i="27" s="1"/>
  <c r="O19" i="27"/>
  <c r="U19" i="27" s="1"/>
  <c r="N19" i="27"/>
  <c r="L19" i="27"/>
  <c r="E19" i="27"/>
  <c r="D19" i="27"/>
  <c r="C19" i="27"/>
  <c r="S18" i="27"/>
  <c r="R18" i="27"/>
  <c r="Q18" i="27"/>
  <c r="W18" i="27" s="1"/>
  <c r="P18" i="27"/>
  <c r="V18" i="27" s="1"/>
  <c r="O18" i="27"/>
  <c r="U18" i="27" s="1"/>
  <c r="N18" i="27"/>
  <c r="E18" i="27"/>
  <c r="M18" i="27" s="1"/>
  <c r="D18" i="27"/>
  <c r="L18" i="27" s="1"/>
  <c r="C18" i="27"/>
  <c r="W17" i="27"/>
  <c r="V17" i="27"/>
  <c r="U17" i="27"/>
  <c r="S17" i="27"/>
  <c r="R17" i="27"/>
  <c r="Q17" i="27"/>
  <c r="T17" i="27" s="1"/>
  <c r="P17" i="27"/>
  <c r="O17" i="27"/>
  <c r="N17" i="27"/>
  <c r="E17" i="27"/>
  <c r="M17" i="27" s="1"/>
  <c r="D17" i="27"/>
  <c r="L17" i="27" s="1"/>
  <c r="C17" i="27"/>
  <c r="S16" i="27"/>
  <c r="R16" i="27"/>
  <c r="Q16" i="27"/>
  <c r="M16" i="27" s="1"/>
  <c r="P16" i="27"/>
  <c r="O16" i="27"/>
  <c r="U16" i="27" s="1"/>
  <c r="N16" i="27"/>
  <c r="L16" i="27"/>
  <c r="E16" i="27"/>
  <c r="D16" i="27"/>
  <c r="C16" i="27"/>
  <c r="S15" i="27"/>
  <c r="R15" i="27"/>
  <c r="Q15" i="27"/>
  <c r="W15" i="27" s="1"/>
  <c r="P15" i="27"/>
  <c r="V15" i="27" s="1"/>
  <c r="O15" i="27"/>
  <c r="U15" i="27" s="1"/>
  <c r="N15" i="27"/>
  <c r="E15" i="27"/>
  <c r="M15" i="27" s="1"/>
  <c r="D15" i="27"/>
  <c r="L15" i="27" s="1"/>
  <c r="C15" i="27"/>
  <c r="W14" i="27"/>
  <c r="V14" i="27"/>
  <c r="U14" i="27"/>
  <c r="S14" i="27"/>
  <c r="R14" i="27"/>
  <c r="T14" i="27" s="1"/>
  <c r="Q14" i="27"/>
  <c r="P14" i="27"/>
  <c r="O14" i="27"/>
  <c r="N14" i="27"/>
  <c r="L14" i="27"/>
  <c r="E14" i="27"/>
  <c r="M14" i="27" s="1"/>
  <c r="D14" i="27"/>
  <c r="C14" i="27"/>
  <c r="S13" i="27"/>
  <c r="R13" i="27"/>
  <c r="Q13" i="27"/>
  <c r="P13" i="27"/>
  <c r="O13" i="27"/>
  <c r="N13" i="27"/>
  <c r="E13" i="27"/>
  <c r="M13" i="27" s="1"/>
  <c r="D13" i="27"/>
  <c r="L13" i="27" s="1"/>
  <c r="C13" i="27"/>
  <c r="S12" i="27"/>
  <c r="R12" i="27"/>
  <c r="Q12" i="27"/>
  <c r="W12" i="27" s="1"/>
  <c r="P12" i="27"/>
  <c r="V12" i="27" s="1"/>
  <c r="O12" i="27"/>
  <c r="U12" i="27" s="1"/>
  <c r="N12" i="27"/>
  <c r="E12" i="27"/>
  <c r="M12" i="27" s="1"/>
  <c r="D12" i="27"/>
  <c r="L12" i="27" s="1"/>
  <c r="C12" i="27"/>
  <c r="S11" i="27"/>
  <c r="R11" i="27"/>
  <c r="Q11" i="27"/>
  <c r="P11" i="27"/>
  <c r="V11" i="27" s="1"/>
  <c r="O11" i="27"/>
  <c r="U11" i="27" s="1"/>
  <c r="N11" i="27"/>
  <c r="L11" i="27"/>
  <c r="E11" i="27"/>
  <c r="D11" i="27"/>
  <c r="C11" i="27"/>
  <c r="S10" i="27"/>
  <c r="R10" i="27"/>
  <c r="Q10" i="27"/>
  <c r="T10" i="27" s="1"/>
  <c r="P10" i="27"/>
  <c r="V10" i="27" s="1"/>
  <c r="O10" i="27"/>
  <c r="U10" i="27" s="1"/>
  <c r="N10" i="27"/>
  <c r="E10" i="27"/>
  <c r="M10" i="27" s="1"/>
  <c r="D10" i="27"/>
  <c r="L10" i="27" s="1"/>
  <c r="C10" i="27"/>
  <c r="W9" i="27"/>
  <c r="V9" i="27"/>
  <c r="U9" i="27"/>
  <c r="S9" i="27"/>
  <c r="R9" i="27"/>
  <c r="Q9" i="27"/>
  <c r="T9" i="27" s="1"/>
  <c r="P9" i="27"/>
  <c r="O9" i="27"/>
  <c r="N9" i="27"/>
  <c r="E9" i="27"/>
  <c r="M9" i="27" s="1"/>
  <c r="D9" i="27"/>
  <c r="L9" i="27" s="1"/>
  <c r="C9" i="27"/>
  <c r="S8" i="27"/>
  <c r="R8" i="27"/>
  <c r="Q8" i="27"/>
  <c r="P8" i="27"/>
  <c r="O8" i="27"/>
  <c r="N8" i="27"/>
  <c r="M8" i="27"/>
  <c r="L8" i="27"/>
  <c r="E8" i="27"/>
  <c r="D8" i="27"/>
  <c r="C8" i="27"/>
  <c r="S7" i="27"/>
  <c r="R7" i="27"/>
  <c r="Q7" i="27"/>
  <c r="P7" i="27"/>
  <c r="O7" i="27"/>
  <c r="N7" i="27"/>
  <c r="E7" i="27"/>
  <c r="D7" i="27"/>
  <c r="L7" i="27" s="1"/>
  <c r="C7" i="27"/>
  <c r="C63" i="27" s="1"/>
  <c r="W6" i="27"/>
  <c r="V6" i="27"/>
  <c r="U6" i="27"/>
  <c r="T6" i="27"/>
  <c r="M6" i="27"/>
  <c r="L6" i="27"/>
  <c r="W5" i="27"/>
  <c r="V5" i="27"/>
  <c r="U5" i="27"/>
  <c r="T5" i="27"/>
  <c r="M5" i="27"/>
  <c r="L5" i="27"/>
  <c r="W4" i="27"/>
  <c r="V4" i="27"/>
  <c r="U4" i="27"/>
  <c r="T4" i="27"/>
  <c r="M4" i="27"/>
  <c r="L4" i="27"/>
  <c r="K75" i="18"/>
  <c r="J75" i="18"/>
  <c r="I75" i="18"/>
  <c r="H75" i="18"/>
  <c r="G75" i="18"/>
  <c r="F75" i="18"/>
  <c r="S74" i="18"/>
  <c r="R74" i="18"/>
  <c r="Q74" i="18"/>
  <c r="P74" i="18"/>
  <c r="O74" i="18"/>
  <c r="N74" i="18"/>
  <c r="E74" i="18"/>
  <c r="M74" i="18" s="1"/>
  <c r="D74" i="18"/>
  <c r="L74" i="18" s="1"/>
  <c r="C74" i="18"/>
  <c r="W73" i="18"/>
  <c r="S73" i="18"/>
  <c r="R73" i="18"/>
  <c r="Q73" i="18"/>
  <c r="T73" i="18" s="1"/>
  <c r="P73" i="18"/>
  <c r="V73" i="18" s="1"/>
  <c r="O73" i="18"/>
  <c r="U73" i="18" s="1"/>
  <c r="N73" i="18"/>
  <c r="E73" i="18"/>
  <c r="M73" i="18" s="1"/>
  <c r="D73" i="18"/>
  <c r="L73" i="18" s="1"/>
  <c r="C73" i="18"/>
  <c r="S72" i="18"/>
  <c r="R72" i="18"/>
  <c r="Q72" i="18"/>
  <c r="T72" i="18" s="1"/>
  <c r="P72" i="18"/>
  <c r="V72" i="18" s="1"/>
  <c r="O72" i="18"/>
  <c r="U72" i="18" s="1"/>
  <c r="N72" i="18"/>
  <c r="L72" i="18"/>
  <c r="E72" i="18"/>
  <c r="D72" i="18"/>
  <c r="C72" i="18"/>
  <c r="S71" i="18"/>
  <c r="R71" i="18"/>
  <c r="Q71" i="18"/>
  <c r="W71" i="18" s="1"/>
  <c r="P71" i="18"/>
  <c r="V71" i="18" s="1"/>
  <c r="O71" i="18"/>
  <c r="U71" i="18" s="1"/>
  <c r="N71" i="18"/>
  <c r="E71" i="18"/>
  <c r="M71" i="18" s="1"/>
  <c r="D71" i="18"/>
  <c r="L71" i="18" s="1"/>
  <c r="C71" i="18"/>
  <c r="W70" i="18"/>
  <c r="V70" i="18"/>
  <c r="U70" i="18"/>
  <c r="T70" i="18"/>
  <c r="S70" i="18"/>
  <c r="R70" i="18"/>
  <c r="Q70" i="18"/>
  <c r="P70" i="18"/>
  <c r="O70" i="18"/>
  <c r="N70" i="18"/>
  <c r="E70" i="18"/>
  <c r="M70" i="18" s="1"/>
  <c r="D70" i="18"/>
  <c r="L70" i="18" s="1"/>
  <c r="C70" i="18"/>
  <c r="S69" i="18"/>
  <c r="R69" i="18"/>
  <c r="Q69" i="18"/>
  <c r="P69" i="18"/>
  <c r="O69" i="18"/>
  <c r="N69" i="18"/>
  <c r="L69" i="18"/>
  <c r="E69" i="18"/>
  <c r="M69" i="18" s="1"/>
  <c r="D69" i="18"/>
  <c r="C69" i="18"/>
  <c r="S68" i="18"/>
  <c r="R68" i="18"/>
  <c r="Q68" i="18"/>
  <c r="W68" i="18" s="1"/>
  <c r="P68" i="18"/>
  <c r="V68" i="18" s="1"/>
  <c r="O68" i="18"/>
  <c r="U68" i="18" s="1"/>
  <c r="N68" i="18"/>
  <c r="E68" i="18"/>
  <c r="M68" i="18" s="1"/>
  <c r="D68" i="18"/>
  <c r="L68" i="18" s="1"/>
  <c r="C68" i="18"/>
  <c r="V67" i="18"/>
  <c r="U67" i="18"/>
  <c r="S67" i="18"/>
  <c r="R67" i="18"/>
  <c r="Q67" i="18"/>
  <c r="M67" i="18" s="1"/>
  <c r="P67" i="18"/>
  <c r="O67" i="18"/>
  <c r="N67" i="18"/>
  <c r="E67" i="18"/>
  <c r="D67" i="18"/>
  <c r="L67" i="18" s="1"/>
  <c r="C67" i="18"/>
  <c r="S66" i="18"/>
  <c r="R66" i="18"/>
  <c r="Q66" i="18"/>
  <c r="T66" i="18" s="1"/>
  <c r="P66" i="18"/>
  <c r="O66" i="18"/>
  <c r="N66" i="18"/>
  <c r="E66" i="18"/>
  <c r="M66" i="18" s="1"/>
  <c r="D66" i="18"/>
  <c r="L66" i="18" s="1"/>
  <c r="C66" i="18"/>
  <c r="W65" i="18"/>
  <c r="S65" i="18"/>
  <c r="R65" i="18"/>
  <c r="Q65" i="18"/>
  <c r="T65" i="18" s="1"/>
  <c r="P65" i="18"/>
  <c r="V65" i="18" s="1"/>
  <c r="O65" i="18"/>
  <c r="U65" i="18" s="1"/>
  <c r="N65" i="18"/>
  <c r="E65" i="18"/>
  <c r="M65" i="18" s="1"/>
  <c r="D65" i="18"/>
  <c r="L65" i="18" s="1"/>
  <c r="C65" i="18"/>
  <c r="S64" i="18"/>
  <c r="R64" i="18"/>
  <c r="Q64" i="18"/>
  <c r="T64" i="18" s="1"/>
  <c r="P64" i="18"/>
  <c r="V64" i="18" s="1"/>
  <c r="O64" i="18"/>
  <c r="U64" i="18" s="1"/>
  <c r="N64" i="18"/>
  <c r="L64" i="18"/>
  <c r="E64" i="18"/>
  <c r="D64" i="18"/>
  <c r="C64" i="18"/>
  <c r="S63" i="18"/>
  <c r="R63" i="18"/>
  <c r="Q63" i="18"/>
  <c r="T63" i="18" s="1"/>
  <c r="P63" i="18"/>
  <c r="V63" i="18" s="1"/>
  <c r="O63" i="18"/>
  <c r="U63" i="18" s="1"/>
  <c r="N63" i="18"/>
  <c r="E63" i="18"/>
  <c r="M63" i="18" s="1"/>
  <c r="D63" i="18"/>
  <c r="L63" i="18" s="1"/>
  <c r="C63" i="18"/>
  <c r="W62" i="18"/>
  <c r="V62" i="18"/>
  <c r="U62" i="18"/>
  <c r="T62" i="18"/>
  <c r="S62" i="18"/>
  <c r="R62" i="18"/>
  <c r="Q62" i="18"/>
  <c r="P62" i="18"/>
  <c r="O62" i="18"/>
  <c r="N62" i="18"/>
  <c r="E62" i="18"/>
  <c r="M62" i="18" s="1"/>
  <c r="D62" i="18"/>
  <c r="L62" i="18" s="1"/>
  <c r="C62" i="18"/>
  <c r="S61" i="18"/>
  <c r="R61" i="18"/>
  <c r="Q61" i="18"/>
  <c r="P61" i="18"/>
  <c r="O61" i="18"/>
  <c r="N61" i="18"/>
  <c r="L61" i="18"/>
  <c r="E61" i="18"/>
  <c r="M61" i="18" s="1"/>
  <c r="D61" i="18"/>
  <c r="C61" i="18"/>
  <c r="S60" i="18"/>
  <c r="R60" i="18"/>
  <c r="Q60" i="18"/>
  <c r="W60" i="18" s="1"/>
  <c r="P60" i="18"/>
  <c r="V60" i="18" s="1"/>
  <c r="O60" i="18"/>
  <c r="U60" i="18" s="1"/>
  <c r="N60" i="18"/>
  <c r="E60" i="18"/>
  <c r="M60" i="18" s="1"/>
  <c r="D60" i="18"/>
  <c r="L60" i="18" s="1"/>
  <c r="C60" i="18"/>
  <c r="W59" i="18"/>
  <c r="V59" i="18"/>
  <c r="U59" i="18"/>
  <c r="T59" i="18"/>
  <c r="S59" i="18"/>
  <c r="R59" i="18"/>
  <c r="Q59" i="18"/>
  <c r="M59" i="18" s="1"/>
  <c r="P59" i="18"/>
  <c r="O59" i="18"/>
  <c r="N59" i="18"/>
  <c r="E59" i="18"/>
  <c r="D59" i="18"/>
  <c r="L59" i="18" s="1"/>
  <c r="C59" i="18"/>
  <c r="S58" i="18"/>
  <c r="R58" i="18"/>
  <c r="Q58" i="18"/>
  <c r="T58" i="18" s="1"/>
  <c r="P58" i="18"/>
  <c r="O58" i="18"/>
  <c r="N58" i="18"/>
  <c r="E58" i="18"/>
  <c r="M58" i="18" s="1"/>
  <c r="D58" i="18"/>
  <c r="L58" i="18" s="1"/>
  <c r="C58" i="18"/>
  <c r="W57" i="18"/>
  <c r="S57" i="18"/>
  <c r="R57" i="18"/>
  <c r="Q57" i="18"/>
  <c r="T57" i="18" s="1"/>
  <c r="P57" i="18"/>
  <c r="V57" i="18" s="1"/>
  <c r="O57" i="18"/>
  <c r="U57" i="18" s="1"/>
  <c r="N57" i="18"/>
  <c r="E57" i="18"/>
  <c r="M57" i="18" s="1"/>
  <c r="D57" i="18"/>
  <c r="L57" i="18" s="1"/>
  <c r="C57" i="18"/>
  <c r="S56" i="18"/>
  <c r="R56" i="18"/>
  <c r="Q56" i="18"/>
  <c r="P56" i="18"/>
  <c r="V56" i="18" s="1"/>
  <c r="O56" i="18"/>
  <c r="U56" i="18" s="1"/>
  <c r="N56" i="18"/>
  <c r="L56" i="18"/>
  <c r="E56" i="18"/>
  <c r="D56" i="18"/>
  <c r="C56" i="18"/>
  <c r="S55" i="18"/>
  <c r="R55" i="18"/>
  <c r="Q55" i="18"/>
  <c r="W55" i="18" s="1"/>
  <c r="P55" i="18"/>
  <c r="V55" i="18" s="1"/>
  <c r="O55" i="18"/>
  <c r="U55" i="18" s="1"/>
  <c r="N55" i="18"/>
  <c r="E55" i="18"/>
  <c r="M55" i="18" s="1"/>
  <c r="D55" i="18"/>
  <c r="L55" i="18" s="1"/>
  <c r="C55" i="18"/>
  <c r="W54" i="18"/>
  <c r="V54" i="18"/>
  <c r="U54" i="18"/>
  <c r="T54" i="18"/>
  <c r="S54" i="18"/>
  <c r="R54" i="18"/>
  <c r="Q54" i="18"/>
  <c r="P54" i="18"/>
  <c r="O54" i="18"/>
  <c r="N54" i="18"/>
  <c r="E54" i="18"/>
  <c r="M54" i="18" s="1"/>
  <c r="D54" i="18"/>
  <c r="L54" i="18" s="1"/>
  <c r="C54" i="18"/>
  <c r="S53" i="18"/>
  <c r="R53" i="18"/>
  <c r="Q53" i="18"/>
  <c r="P53" i="18"/>
  <c r="O53" i="18"/>
  <c r="N53" i="18"/>
  <c r="L53" i="18"/>
  <c r="E53" i="18"/>
  <c r="D53" i="18"/>
  <c r="C53" i="18"/>
  <c r="S52" i="18"/>
  <c r="R52" i="18"/>
  <c r="Q52" i="18"/>
  <c r="W52" i="18" s="1"/>
  <c r="P52" i="18"/>
  <c r="V52" i="18" s="1"/>
  <c r="O52" i="18"/>
  <c r="U52" i="18" s="1"/>
  <c r="N52" i="18"/>
  <c r="E52" i="18"/>
  <c r="M52" i="18" s="1"/>
  <c r="D52" i="18"/>
  <c r="L52" i="18" s="1"/>
  <c r="C52" i="18"/>
  <c r="V51" i="18"/>
  <c r="U51" i="18"/>
  <c r="S51" i="18"/>
  <c r="R51" i="18"/>
  <c r="Q51" i="18"/>
  <c r="M51" i="18" s="1"/>
  <c r="P51" i="18"/>
  <c r="O51" i="18"/>
  <c r="N51" i="18"/>
  <c r="E51" i="18"/>
  <c r="D51" i="18"/>
  <c r="L51" i="18" s="1"/>
  <c r="C51" i="18"/>
  <c r="S50" i="18"/>
  <c r="R50" i="18"/>
  <c r="Q50" i="18"/>
  <c r="T50" i="18" s="1"/>
  <c r="P50" i="18"/>
  <c r="O50" i="18"/>
  <c r="N50" i="18"/>
  <c r="E50" i="18"/>
  <c r="M50" i="18" s="1"/>
  <c r="D50" i="18"/>
  <c r="L50" i="18" s="1"/>
  <c r="C50" i="18"/>
  <c r="W49" i="18"/>
  <c r="S49" i="18"/>
  <c r="R49" i="18"/>
  <c r="Q49" i="18"/>
  <c r="T49" i="18" s="1"/>
  <c r="P49" i="18"/>
  <c r="V49" i="18" s="1"/>
  <c r="O49" i="18"/>
  <c r="U49" i="18" s="1"/>
  <c r="N49" i="18"/>
  <c r="E49" i="18"/>
  <c r="M49" i="18" s="1"/>
  <c r="D49" i="18"/>
  <c r="L49" i="18" s="1"/>
  <c r="C49" i="18"/>
  <c r="S48" i="18"/>
  <c r="R48" i="18"/>
  <c r="Q48" i="18"/>
  <c r="P48" i="18"/>
  <c r="V48" i="18" s="1"/>
  <c r="O48" i="18"/>
  <c r="U48" i="18" s="1"/>
  <c r="N48" i="18"/>
  <c r="L48" i="18"/>
  <c r="E48" i="18"/>
  <c r="D48" i="18"/>
  <c r="C48" i="18"/>
  <c r="S47" i="18"/>
  <c r="R47" i="18"/>
  <c r="Q47" i="18"/>
  <c r="T47" i="18" s="1"/>
  <c r="P47" i="18"/>
  <c r="V47" i="18" s="1"/>
  <c r="O47" i="18"/>
  <c r="U47" i="18" s="1"/>
  <c r="N47" i="18"/>
  <c r="E47" i="18"/>
  <c r="M47" i="18" s="1"/>
  <c r="D47" i="18"/>
  <c r="L47" i="18" s="1"/>
  <c r="C47" i="18"/>
  <c r="W46" i="18"/>
  <c r="V46" i="18"/>
  <c r="U46" i="18"/>
  <c r="T46" i="18"/>
  <c r="S46" i="18"/>
  <c r="R46" i="18"/>
  <c r="Q46" i="18"/>
  <c r="P46" i="18"/>
  <c r="O46" i="18"/>
  <c r="N46" i="18"/>
  <c r="E46" i="18"/>
  <c r="M46" i="18" s="1"/>
  <c r="D46" i="18"/>
  <c r="L46" i="18" s="1"/>
  <c r="C46" i="18"/>
  <c r="S45" i="18"/>
  <c r="R45" i="18"/>
  <c r="Q45" i="18"/>
  <c r="P45" i="18"/>
  <c r="O45" i="18"/>
  <c r="N45" i="18"/>
  <c r="L45" i="18"/>
  <c r="E45" i="18"/>
  <c r="M45" i="18" s="1"/>
  <c r="D45" i="18"/>
  <c r="C45" i="18"/>
  <c r="S44" i="18"/>
  <c r="R44" i="18"/>
  <c r="Q44" i="18"/>
  <c r="W44" i="18" s="1"/>
  <c r="P44" i="18"/>
  <c r="V44" i="18" s="1"/>
  <c r="O44" i="18"/>
  <c r="U44" i="18" s="1"/>
  <c r="N44" i="18"/>
  <c r="E44" i="18"/>
  <c r="M44" i="18" s="1"/>
  <c r="D44" i="18"/>
  <c r="L44" i="18" s="1"/>
  <c r="C44" i="18"/>
  <c r="V43" i="18"/>
  <c r="U43" i="18"/>
  <c r="S43" i="18"/>
  <c r="R43" i="18"/>
  <c r="Q43" i="18"/>
  <c r="M43" i="18" s="1"/>
  <c r="P43" i="18"/>
  <c r="O43" i="18"/>
  <c r="N43" i="18"/>
  <c r="E43" i="18"/>
  <c r="D43" i="18"/>
  <c r="L43" i="18" s="1"/>
  <c r="C43" i="18"/>
  <c r="S42" i="18"/>
  <c r="R42" i="18"/>
  <c r="Q42" i="18"/>
  <c r="P42" i="18"/>
  <c r="V42" i="18" s="1"/>
  <c r="O42" i="18"/>
  <c r="N42" i="18"/>
  <c r="E42" i="18"/>
  <c r="M42" i="18" s="1"/>
  <c r="D42" i="18"/>
  <c r="L42" i="18" s="1"/>
  <c r="C42" i="18"/>
  <c r="W41" i="18"/>
  <c r="S41" i="18"/>
  <c r="R41" i="18"/>
  <c r="Q41" i="18"/>
  <c r="T41" i="18" s="1"/>
  <c r="P41" i="18"/>
  <c r="V41" i="18" s="1"/>
  <c r="O41" i="18"/>
  <c r="U41" i="18" s="1"/>
  <c r="N41" i="18"/>
  <c r="E41" i="18"/>
  <c r="M41" i="18" s="1"/>
  <c r="D41" i="18"/>
  <c r="L41" i="18" s="1"/>
  <c r="C41" i="18"/>
  <c r="V40" i="18"/>
  <c r="U40" i="18"/>
  <c r="S40" i="18"/>
  <c r="R40" i="18"/>
  <c r="T40" i="18" s="1"/>
  <c r="Q40" i="18"/>
  <c r="P40" i="18"/>
  <c r="O40" i="18"/>
  <c r="N40" i="18"/>
  <c r="L40" i="18"/>
  <c r="E40" i="18"/>
  <c r="D40" i="18"/>
  <c r="C40" i="18"/>
  <c r="S39" i="18"/>
  <c r="R39" i="18"/>
  <c r="Q39" i="18"/>
  <c r="T39" i="18" s="1"/>
  <c r="P39" i="18"/>
  <c r="V39" i="18" s="1"/>
  <c r="O39" i="18"/>
  <c r="U39" i="18" s="1"/>
  <c r="N39" i="18"/>
  <c r="E39" i="18"/>
  <c r="M39" i="18" s="1"/>
  <c r="D39" i="18"/>
  <c r="L39" i="18" s="1"/>
  <c r="C39" i="18"/>
  <c r="W38" i="18"/>
  <c r="V38" i="18"/>
  <c r="U38" i="18"/>
  <c r="T38" i="18"/>
  <c r="S38" i="18"/>
  <c r="R38" i="18"/>
  <c r="Q38" i="18"/>
  <c r="P38" i="18"/>
  <c r="O38" i="18"/>
  <c r="N38" i="18"/>
  <c r="E38" i="18"/>
  <c r="M38" i="18" s="1"/>
  <c r="D38" i="18"/>
  <c r="L38" i="18" s="1"/>
  <c r="C38" i="18"/>
  <c r="S37" i="18"/>
  <c r="R37" i="18"/>
  <c r="Q37" i="18"/>
  <c r="P37" i="18"/>
  <c r="O37" i="18"/>
  <c r="N37" i="18"/>
  <c r="L37" i="18"/>
  <c r="E37" i="18"/>
  <c r="M37" i="18" s="1"/>
  <c r="D37" i="18"/>
  <c r="C37" i="18"/>
  <c r="S36" i="18"/>
  <c r="R36" i="18"/>
  <c r="Q36" i="18"/>
  <c r="W36" i="18" s="1"/>
  <c r="P36" i="18"/>
  <c r="V36" i="18" s="1"/>
  <c r="O36" i="18"/>
  <c r="U36" i="18" s="1"/>
  <c r="N36" i="18"/>
  <c r="E36" i="18"/>
  <c r="M36" i="18" s="1"/>
  <c r="D36" i="18"/>
  <c r="L36" i="18" s="1"/>
  <c r="C36" i="18"/>
  <c r="V35" i="18"/>
  <c r="U35" i="18"/>
  <c r="S35" i="18"/>
  <c r="R35" i="18"/>
  <c r="Q35" i="18"/>
  <c r="M35" i="18" s="1"/>
  <c r="P35" i="18"/>
  <c r="O35" i="18"/>
  <c r="N35" i="18"/>
  <c r="E35" i="18"/>
  <c r="D35" i="18"/>
  <c r="L35" i="18" s="1"/>
  <c r="C35" i="18"/>
  <c r="S34" i="18"/>
  <c r="R34" i="18"/>
  <c r="Q34" i="18"/>
  <c r="P34" i="18"/>
  <c r="O34" i="18"/>
  <c r="N34" i="18"/>
  <c r="M34" i="18"/>
  <c r="E34" i="18"/>
  <c r="D34" i="18"/>
  <c r="L34" i="18" s="1"/>
  <c r="C34" i="18"/>
  <c r="W33" i="18"/>
  <c r="S33" i="18"/>
  <c r="R33" i="18"/>
  <c r="Q33" i="18"/>
  <c r="T33" i="18" s="1"/>
  <c r="P33" i="18"/>
  <c r="V33" i="18" s="1"/>
  <c r="O33" i="18"/>
  <c r="U33" i="18" s="1"/>
  <c r="N33" i="18"/>
  <c r="E33" i="18"/>
  <c r="M33" i="18" s="1"/>
  <c r="D33" i="18"/>
  <c r="L33" i="18" s="1"/>
  <c r="C33" i="18"/>
  <c r="S32" i="18"/>
  <c r="R32" i="18"/>
  <c r="Q32" i="18"/>
  <c r="P32" i="18"/>
  <c r="V32" i="18" s="1"/>
  <c r="O32" i="18"/>
  <c r="U32" i="18" s="1"/>
  <c r="N32" i="18"/>
  <c r="L32" i="18"/>
  <c r="E32" i="18"/>
  <c r="D32" i="18"/>
  <c r="C32" i="18"/>
  <c r="S31" i="18"/>
  <c r="R31" i="18"/>
  <c r="Q31" i="18"/>
  <c r="W31" i="18" s="1"/>
  <c r="P31" i="18"/>
  <c r="V31" i="18" s="1"/>
  <c r="O31" i="18"/>
  <c r="U31" i="18" s="1"/>
  <c r="N31" i="18"/>
  <c r="E31" i="18"/>
  <c r="M31" i="18" s="1"/>
  <c r="D31" i="18"/>
  <c r="L31" i="18" s="1"/>
  <c r="C31" i="18"/>
  <c r="W30" i="18"/>
  <c r="V30" i="18"/>
  <c r="U30" i="18"/>
  <c r="T30" i="18"/>
  <c r="S30" i="18"/>
  <c r="R30" i="18"/>
  <c r="Q30" i="18"/>
  <c r="P30" i="18"/>
  <c r="O30" i="18"/>
  <c r="N30" i="18"/>
  <c r="E30" i="18"/>
  <c r="M30" i="18" s="1"/>
  <c r="D30" i="18"/>
  <c r="L30" i="18" s="1"/>
  <c r="C30" i="18"/>
  <c r="S29" i="18"/>
  <c r="R29" i="18"/>
  <c r="Q29" i="18"/>
  <c r="P29" i="18"/>
  <c r="O29" i="18"/>
  <c r="N29" i="18"/>
  <c r="L29" i="18"/>
  <c r="E29" i="18"/>
  <c r="M29" i="18" s="1"/>
  <c r="D29" i="18"/>
  <c r="C29" i="18"/>
  <c r="S28" i="18"/>
  <c r="R28" i="18"/>
  <c r="Q28" i="18"/>
  <c r="W28" i="18" s="1"/>
  <c r="P28" i="18"/>
  <c r="V28" i="18" s="1"/>
  <c r="O28" i="18"/>
  <c r="U28" i="18" s="1"/>
  <c r="N28" i="18"/>
  <c r="E28" i="18"/>
  <c r="M28" i="18" s="1"/>
  <c r="D28" i="18"/>
  <c r="L28" i="18" s="1"/>
  <c r="C28" i="18"/>
  <c r="W27" i="18"/>
  <c r="V27" i="18"/>
  <c r="U27" i="18"/>
  <c r="S27" i="18"/>
  <c r="R27" i="18"/>
  <c r="Q27" i="18"/>
  <c r="M27" i="18" s="1"/>
  <c r="P27" i="18"/>
  <c r="O27" i="18"/>
  <c r="N27" i="18"/>
  <c r="E27" i="18"/>
  <c r="D27" i="18"/>
  <c r="L27" i="18" s="1"/>
  <c r="C27" i="18"/>
  <c r="S26" i="18"/>
  <c r="R26" i="18"/>
  <c r="Q26" i="18"/>
  <c r="T26" i="18" s="1"/>
  <c r="P26" i="18"/>
  <c r="O26" i="18"/>
  <c r="N26" i="18"/>
  <c r="E26" i="18"/>
  <c r="M26" i="18" s="1"/>
  <c r="D26" i="18"/>
  <c r="L26" i="18" s="1"/>
  <c r="C26" i="18"/>
  <c r="W25" i="18"/>
  <c r="S25" i="18"/>
  <c r="R25" i="18"/>
  <c r="Q25" i="18"/>
  <c r="T25" i="18" s="1"/>
  <c r="P25" i="18"/>
  <c r="V25" i="18" s="1"/>
  <c r="O25" i="18"/>
  <c r="U25" i="18" s="1"/>
  <c r="N25" i="18"/>
  <c r="E25" i="18"/>
  <c r="M25" i="18" s="1"/>
  <c r="D25" i="18"/>
  <c r="L25" i="18" s="1"/>
  <c r="C25" i="18"/>
  <c r="S24" i="18"/>
  <c r="R24" i="18"/>
  <c r="Q24" i="18"/>
  <c r="Q75" i="18" s="1"/>
  <c r="P24" i="18"/>
  <c r="V24" i="18" s="1"/>
  <c r="O24" i="18"/>
  <c r="U24" i="18" s="1"/>
  <c r="N24" i="18"/>
  <c r="N75" i="18" s="1"/>
  <c r="L24" i="18"/>
  <c r="E24" i="18"/>
  <c r="D24" i="18"/>
  <c r="C24" i="18"/>
  <c r="S23" i="18"/>
  <c r="R23" i="18"/>
  <c r="Q23" i="18"/>
  <c r="T23" i="18" s="1"/>
  <c r="P23" i="18"/>
  <c r="V23" i="18" s="1"/>
  <c r="O23" i="18"/>
  <c r="U23" i="18" s="1"/>
  <c r="N23" i="18"/>
  <c r="E23" i="18"/>
  <c r="M23" i="18" s="1"/>
  <c r="D23" i="18"/>
  <c r="L23" i="18" s="1"/>
  <c r="C23" i="18"/>
  <c r="W22" i="18"/>
  <c r="V22" i="18"/>
  <c r="U22" i="18"/>
  <c r="T22" i="18"/>
  <c r="S22" i="18"/>
  <c r="R22" i="18"/>
  <c r="Q22" i="18"/>
  <c r="P22" i="18"/>
  <c r="O22" i="18"/>
  <c r="N22" i="18"/>
  <c r="E22" i="18"/>
  <c r="M22" i="18" s="1"/>
  <c r="D22" i="18"/>
  <c r="L22" i="18" s="1"/>
  <c r="C22" i="18"/>
  <c r="S21" i="18"/>
  <c r="R21" i="18"/>
  <c r="Q21" i="18"/>
  <c r="P21" i="18"/>
  <c r="O21" i="18"/>
  <c r="N21" i="18"/>
  <c r="L21" i="18"/>
  <c r="E21" i="18"/>
  <c r="M21" i="18" s="1"/>
  <c r="D21" i="18"/>
  <c r="C21" i="18"/>
  <c r="S20" i="18"/>
  <c r="R20" i="18"/>
  <c r="Q20" i="18"/>
  <c r="W20" i="18" s="1"/>
  <c r="P20" i="18"/>
  <c r="V20" i="18" s="1"/>
  <c r="O20" i="18"/>
  <c r="U20" i="18" s="1"/>
  <c r="N20" i="18"/>
  <c r="E20" i="18"/>
  <c r="M20" i="18" s="1"/>
  <c r="D20" i="18"/>
  <c r="L20" i="18" s="1"/>
  <c r="C20" i="18"/>
  <c r="W19" i="18"/>
  <c r="V19" i="18"/>
  <c r="U19" i="18"/>
  <c r="S19" i="18"/>
  <c r="S75" i="18" s="1"/>
  <c r="R19" i="18"/>
  <c r="T19" i="18" s="1"/>
  <c r="Q19" i="18"/>
  <c r="M19" i="18" s="1"/>
  <c r="P19" i="18"/>
  <c r="O19" i="18"/>
  <c r="N19" i="18"/>
  <c r="E19" i="18"/>
  <c r="D19" i="18"/>
  <c r="L19" i="18" s="1"/>
  <c r="C19" i="18"/>
  <c r="W18" i="18"/>
  <c r="V18" i="18"/>
  <c r="U18" i="18"/>
  <c r="T18" i="18"/>
  <c r="M18" i="18"/>
  <c r="L18" i="18"/>
  <c r="W17" i="18"/>
  <c r="V17" i="18"/>
  <c r="U17" i="18"/>
  <c r="T17" i="18"/>
  <c r="M17" i="18"/>
  <c r="L17" i="18"/>
  <c r="W16" i="18"/>
  <c r="V16" i="18"/>
  <c r="U16" i="18"/>
  <c r="T16" i="18"/>
  <c r="M16" i="18"/>
  <c r="L16" i="18"/>
  <c r="W15" i="18"/>
  <c r="V15" i="18"/>
  <c r="U15" i="18"/>
  <c r="T15" i="18"/>
  <c r="M15" i="18"/>
  <c r="L15" i="18"/>
  <c r="W14" i="18"/>
  <c r="V14" i="18"/>
  <c r="U14" i="18"/>
  <c r="T14" i="18"/>
  <c r="M14" i="18"/>
  <c r="L14" i="18"/>
  <c r="W13" i="18"/>
  <c r="V13" i="18"/>
  <c r="U13" i="18"/>
  <c r="T13" i="18"/>
  <c r="M13" i="18"/>
  <c r="L13" i="18"/>
  <c r="W12" i="18"/>
  <c r="V12" i="18"/>
  <c r="U12" i="18"/>
  <c r="T12" i="18"/>
  <c r="M12" i="18"/>
  <c r="L12" i="18"/>
  <c r="W11" i="18"/>
  <c r="V11" i="18"/>
  <c r="U11" i="18"/>
  <c r="T11" i="18"/>
  <c r="M11" i="18"/>
  <c r="L11" i="18"/>
  <c r="W10" i="18"/>
  <c r="V10" i="18"/>
  <c r="U10" i="18"/>
  <c r="T10" i="18"/>
  <c r="M10" i="18"/>
  <c r="L10" i="18"/>
  <c r="W9" i="18"/>
  <c r="V9" i="18"/>
  <c r="U9" i="18"/>
  <c r="T9" i="18"/>
  <c r="M9" i="18"/>
  <c r="L9" i="18"/>
  <c r="W8" i="18"/>
  <c r="V8" i="18"/>
  <c r="U8" i="18"/>
  <c r="T8" i="18"/>
  <c r="M8" i="18"/>
  <c r="L8" i="18"/>
  <c r="W7" i="18"/>
  <c r="V7" i="18"/>
  <c r="U7" i="18"/>
  <c r="T7" i="18"/>
  <c r="M7" i="18"/>
  <c r="L7" i="18"/>
  <c r="W6" i="18"/>
  <c r="V6" i="18"/>
  <c r="U6" i="18"/>
  <c r="T6" i="18"/>
  <c r="M6" i="18"/>
  <c r="L6" i="18"/>
  <c r="W5" i="18"/>
  <c r="V5" i="18"/>
  <c r="U5" i="18"/>
  <c r="T5" i="18"/>
  <c r="M5" i="18"/>
  <c r="L5" i="18"/>
  <c r="W4" i="18"/>
  <c r="V4" i="18"/>
  <c r="U4" i="18"/>
  <c r="T4" i="18"/>
  <c r="M4" i="18"/>
  <c r="L4" i="18"/>
  <c r="K20" i="37"/>
  <c r="J20" i="37"/>
  <c r="I20" i="37"/>
  <c r="H20" i="37"/>
  <c r="G20" i="37"/>
  <c r="F20" i="37"/>
  <c r="W19" i="37"/>
  <c r="V19" i="37"/>
  <c r="S19" i="37"/>
  <c r="R19" i="37"/>
  <c r="Q19" i="37"/>
  <c r="T19" i="37" s="1"/>
  <c r="P19" i="37"/>
  <c r="O19" i="37"/>
  <c r="U19" i="37" s="1"/>
  <c r="N19" i="37"/>
  <c r="E19" i="37"/>
  <c r="M19" i="37" s="1"/>
  <c r="D19" i="37"/>
  <c r="L19" i="37" s="1"/>
  <c r="C19" i="37"/>
  <c r="S18" i="37"/>
  <c r="R18" i="37"/>
  <c r="Q18" i="37"/>
  <c r="T18" i="37" s="1"/>
  <c r="P18" i="37"/>
  <c r="V18" i="37" s="1"/>
  <c r="O18" i="37"/>
  <c r="U18" i="37" s="1"/>
  <c r="N18" i="37"/>
  <c r="M18" i="37"/>
  <c r="E18" i="37"/>
  <c r="D18" i="37"/>
  <c r="L18" i="37" s="1"/>
  <c r="C18" i="37"/>
  <c r="S17" i="37"/>
  <c r="R17" i="37"/>
  <c r="Q17" i="37"/>
  <c r="W17" i="37" s="1"/>
  <c r="P17" i="37"/>
  <c r="V17" i="37" s="1"/>
  <c r="O17" i="37"/>
  <c r="U17" i="37" s="1"/>
  <c r="N17" i="37"/>
  <c r="E17" i="37"/>
  <c r="M17" i="37" s="1"/>
  <c r="D17" i="37"/>
  <c r="L17" i="37" s="1"/>
  <c r="C17" i="37"/>
  <c r="W16" i="37"/>
  <c r="V16" i="37"/>
  <c r="U16" i="37"/>
  <c r="T16" i="37"/>
  <c r="S16" i="37"/>
  <c r="R16" i="37"/>
  <c r="Q16" i="37"/>
  <c r="P16" i="37"/>
  <c r="O16" i="37"/>
  <c r="N16" i="37"/>
  <c r="E16" i="37"/>
  <c r="M16" i="37" s="1"/>
  <c r="D16" i="37"/>
  <c r="L16" i="37" s="1"/>
  <c r="C16" i="37"/>
  <c r="S15" i="37"/>
  <c r="R15" i="37"/>
  <c r="Q15" i="37"/>
  <c r="W15" i="37" s="1"/>
  <c r="P15" i="37"/>
  <c r="V15" i="37" s="1"/>
  <c r="O15" i="37"/>
  <c r="U15" i="37" s="1"/>
  <c r="N15" i="37"/>
  <c r="E15" i="37"/>
  <c r="M15" i="37" s="1"/>
  <c r="D15" i="37"/>
  <c r="L15" i="37" s="1"/>
  <c r="C15" i="37"/>
  <c r="S14" i="37"/>
  <c r="R14" i="37"/>
  <c r="Q14" i="37"/>
  <c r="W14" i="37" s="1"/>
  <c r="P14" i="37"/>
  <c r="V14" i="37" s="1"/>
  <c r="O14" i="37"/>
  <c r="U14" i="37" s="1"/>
  <c r="N14" i="37"/>
  <c r="E14" i="37"/>
  <c r="M14" i="37" s="1"/>
  <c r="D14" i="37"/>
  <c r="L14" i="37" s="1"/>
  <c r="C14" i="37"/>
  <c r="U13" i="37"/>
  <c r="S13" i="37"/>
  <c r="R13" i="37"/>
  <c r="Q13" i="37"/>
  <c r="M13" i="37" s="1"/>
  <c r="P13" i="37"/>
  <c r="V13" i="37" s="1"/>
  <c r="O13" i="37"/>
  <c r="N13" i="37"/>
  <c r="E13" i="37"/>
  <c r="D13" i="37"/>
  <c r="L13" i="37" s="1"/>
  <c r="C13" i="37"/>
  <c r="S12" i="37"/>
  <c r="R12" i="37"/>
  <c r="Q12" i="37"/>
  <c r="T12" i="37" s="1"/>
  <c r="P12" i="37"/>
  <c r="V12" i="37" s="1"/>
  <c r="O12" i="37"/>
  <c r="U12" i="37" s="1"/>
  <c r="N12" i="37"/>
  <c r="E12" i="37"/>
  <c r="M12" i="37" s="1"/>
  <c r="D12" i="37"/>
  <c r="L12" i="37" s="1"/>
  <c r="C12" i="37"/>
  <c r="W11" i="37"/>
  <c r="V11" i="37"/>
  <c r="S11" i="37"/>
  <c r="R11" i="37"/>
  <c r="Q11" i="37"/>
  <c r="T11" i="37" s="1"/>
  <c r="P11" i="37"/>
  <c r="O11" i="37"/>
  <c r="U11" i="37" s="1"/>
  <c r="N11" i="37"/>
  <c r="E11" i="37"/>
  <c r="M11" i="37" s="1"/>
  <c r="D11" i="37"/>
  <c r="L11" i="37" s="1"/>
  <c r="C11" i="37"/>
  <c r="S10" i="37"/>
  <c r="R10" i="37"/>
  <c r="Q10" i="37"/>
  <c r="T10" i="37" s="1"/>
  <c r="P10" i="37"/>
  <c r="V10" i="37" s="1"/>
  <c r="O10" i="37"/>
  <c r="U10" i="37" s="1"/>
  <c r="N10" i="37"/>
  <c r="M10" i="37"/>
  <c r="L10" i="37"/>
  <c r="E10" i="37"/>
  <c r="D10" i="37"/>
  <c r="C10" i="37"/>
  <c r="S9" i="37"/>
  <c r="R9" i="37"/>
  <c r="Q9" i="37"/>
  <c r="W9" i="37" s="1"/>
  <c r="P9" i="37"/>
  <c r="V9" i="37" s="1"/>
  <c r="O9" i="37"/>
  <c r="U9" i="37" s="1"/>
  <c r="N9" i="37"/>
  <c r="E9" i="37"/>
  <c r="M9" i="37" s="1"/>
  <c r="D9" i="37"/>
  <c r="L9" i="37" s="1"/>
  <c r="C9" i="37"/>
  <c r="W8" i="37"/>
  <c r="V8" i="37"/>
  <c r="U8" i="37"/>
  <c r="T8" i="37"/>
  <c r="S8" i="37"/>
  <c r="R8" i="37"/>
  <c r="Q8" i="37"/>
  <c r="P8" i="37"/>
  <c r="O8" i="37"/>
  <c r="N8" i="37"/>
  <c r="M8" i="37"/>
  <c r="E8" i="37"/>
  <c r="D8" i="37"/>
  <c r="L8" i="37" s="1"/>
  <c r="C8" i="37"/>
  <c r="S7" i="37"/>
  <c r="R7" i="37"/>
  <c r="Q7" i="37"/>
  <c r="T7" i="37" s="1"/>
  <c r="P7" i="37"/>
  <c r="V7" i="37" s="1"/>
  <c r="O7" i="37"/>
  <c r="U7" i="37" s="1"/>
  <c r="N7" i="37"/>
  <c r="E7" i="37"/>
  <c r="M7" i="37" s="1"/>
  <c r="D7" i="37"/>
  <c r="L7" i="37" s="1"/>
  <c r="C7" i="37"/>
  <c r="S6" i="37"/>
  <c r="R6" i="37"/>
  <c r="Q6" i="37"/>
  <c r="W6" i="37" s="1"/>
  <c r="P6" i="37"/>
  <c r="V6" i="37" s="1"/>
  <c r="O6" i="37"/>
  <c r="U6" i="37" s="1"/>
  <c r="N6" i="37"/>
  <c r="E6" i="37"/>
  <c r="M6" i="37" s="1"/>
  <c r="D6" i="37"/>
  <c r="L6" i="37" s="1"/>
  <c r="C6" i="37"/>
  <c r="U5" i="37"/>
  <c r="S5" i="37"/>
  <c r="R5" i="37"/>
  <c r="Q5" i="37"/>
  <c r="W5" i="37" s="1"/>
  <c r="P5" i="37"/>
  <c r="V5" i="37" s="1"/>
  <c r="O5" i="37"/>
  <c r="N5" i="37"/>
  <c r="E5" i="37"/>
  <c r="D5" i="37"/>
  <c r="L5" i="37" s="1"/>
  <c r="C5" i="37"/>
  <c r="S4" i="37"/>
  <c r="S20" i="37" s="1"/>
  <c r="R4" i="37"/>
  <c r="R20" i="37" s="1"/>
  <c r="Q4" i="37"/>
  <c r="Q20" i="37" s="1"/>
  <c r="P4" i="37"/>
  <c r="P20" i="37" s="1"/>
  <c r="O4" i="37"/>
  <c r="O20" i="37" s="1"/>
  <c r="N4" i="37"/>
  <c r="N20" i="37" s="1"/>
  <c r="E4" i="37"/>
  <c r="E20" i="37" s="1"/>
  <c r="D4" i="37"/>
  <c r="D20" i="37" s="1"/>
  <c r="C4" i="37"/>
  <c r="C20" i="37" s="1"/>
  <c r="K75" i="17"/>
  <c r="J75" i="17"/>
  <c r="I75" i="17"/>
  <c r="H75" i="17"/>
  <c r="G75" i="17"/>
  <c r="F75" i="17"/>
  <c r="W74" i="17"/>
  <c r="V74" i="17"/>
  <c r="U74" i="17"/>
  <c r="S74" i="17"/>
  <c r="R74" i="17"/>
  <c r="T74" i="17" s="1"/>
  <c r="Q74" i="17"/>
  <c r="P74" i="17"/>
  <c r="O74" i="17"/>
  <c r="N74" i="17"/>
  <c r="M74" i="17"/>
  <c r="E74" i="17"/>
  <c r="D74" i="17"/>
  <c r="L74" i="17" s="1"/>
  <c r="C74" i="17"/>
  <c r="V73" i="17"/>
  <c r="U73" i="17"/>
  <c r="S73" i="17"/>
  <c r="R73" i="17"/>
  <c r="Q73" i="17"/>
  <c r="T73" i="17" s="1"/>
  <c r="P73" i="17"/>
  <c r="O73" i="17"/>
  <c r="N73" i="17"/>
  <c r="E73" i="17"/>
  <c r="D73" i="17"/>
  <c r="L73" i="17" s="1"/>
  <c r="C73" i="17"/>
  <c r="S72" i="17"/>
  <c r="R72" i="17"/>
  <c r="Q72" i="17"/>
  <c r="W72" i="17" s="1"/>
  <c r="P72" i="17"/>
  <c r="O72" i="17"/>
  <c r="U72" i="17" s="1"/>
  <c r="N72" i="17"/>
  <c r="M72" i="17"/>
  <c r="L72" i="17"/>
  <c r="E72" i="17"/>
  <c r="D72" i="17"/>
  <c r="C72" i="17"/>
  <c r="W71" i="17"/>
  <c r="U71" i="17"/>
  <c r="T71" i="17"/>
  <c r="S71" i="17"/>
  <c r="R71" i="17"/>
  <c r="Q71" i="17"/>
  <c r="M71" i="17" s="1"/>
  <c r="P71" i="17"/>
  <c r="O71" i="17"/>
  <c r="N71" i="17"/>
  <c r="E71" i="17"/>
  <c r="D71" i="17"/>
  <c r="L71" i="17" s="1"/>
  <c r="C71" i="17"/>
  <c r="S70" i="17"/>
  <c r="R70" i="17"/>
  <c r="T70" i="17" s="1"/>
  <c r="Q70" i="17"/>
  <c r="P70" i="17"/>
  <c r="W70" i="17" s="1"/>
  <c r="O70" i="17"/>
  <c r="U70" i="17" s="1"/>
  <c r="N70" i="17"/>
  <c r="L70" i="17"/>
  <c r="E70" i="17"/>
  <c r="M70" i="17" s="1"/>
  <c r="D70" i="17"/>
  <c r="C70" i="17"/>
  <c r="W69" i="17"/>
  <c r="V69" i="17"/>
  <c r="U69" i="17"/>
  <c r="S69" i="17"/>
  <c r="R69" i="17"/>
  <c r="Q69" i="17"/>
  <c r="T69" i="17" s="1"/>
  <c r="P69" i="17"/>
  <c r="O69" i="17"/>
  <c r="N69" i="17"/>
  <c r="E69" i="17"/>
  <c r="M69" i="17" s="1"/>
  <c r="D69" i="17"/>
  <c r="L69" i="17" s="1"/>
  <c r="C69" i="17"/>
  <c r="S68" i="17"/>
  <c r="R68" i="17"/>
  <c r="Q68" i="17"/>
  <c r="W68" i="17" s="1"/>
  <c r="P68" i="17"/>
  <c r="O68" i="17"/>
  <c r="N68" i="17"/>
  <c r="U68" i="17" s="1"/>
  <c r="L68" i="17"/>
  <c r="E68" i="17"/>
  <c r="D68" i="17"/>
  <c r="C68" i="17"/>
  <c r="S67" i="17"/>
  <c r="R67" i="17"/>
  <c r="Q67" i="17"/>
  <c r="P67" i="17"/>
  <c r="V67" i="17" s="1"/>
  <c r="O67" i="17"/>
  <c r="U67" i="17" s="1"/>
  <c r="N67" i="17"/>
  <c r="L67" i="17"/>
  <c r="E67" i="17"/>
  <c r="D67" i="17"/>
  <c r="C67" i="17"/>
  <c r="W66" i="17"/>
  <c r="V66" i="17"/>
  <c r="U66" i="17"/>
  <c r="S66" i="17"/>
  <c r="R66" i="17"/>
  <c r="T66" i="17" s="1"/>
  <c r="Q66" i="17"/>
  <c r="P66" i="17"/>
  <c r="O66" i="17"/>
  <c r="N66" i="17"/>
  <c r="M66" i="17"/>
  <c r="E66" i="17"/>
  <c r="D66" i="17"/>
  <c r="L66" i="17" s="1"/>
  <c r="C66" i="17"/>
  <c r="W65" i="17"/>
  <c r="V65" i="17"/>
  <c r="U65" i="17"/>
  <c r="S65" i="17"/>
  <c r="R65" i="17"/>
  <c r="Q65" i="17"/>
  <c r="T65" i="17" s="1"/>
  <c r="P65" i="17"/>
  <c r="O65" i="17"/>
  <c r="N65" i="17"/>
  <c r="E65" i="17"/>
  <c r="M65" i="17" s="1"/>
  <c r="D65" i="17"/>
  <c r="L65" i="17" s="1"/>
  <c r="C65" i="17"/>
  <c r="S64" i="17"/>
  <c r="R64" i="17"/>
  <c r="Q64" i="17"/>
  <c r="W64" i="17" s="1"/>
  <c r="P64" i="17"/>
  <c r="O64" i="17"/>
  <c r="N64" i="17"/>
  <c r="M64" i="17"/>
  <c r="L64" i="17"/>
  <c r="E64" i="17"/>
  <c r="D64" i="17"/>
  <c r="C64" i="17"/>
  <c r="W63" i="17"/>
  <c r="U63" i="17"/>
  <c r="T63" i="17"/>
  <c r="S63" i="17"/>
  <c r="R63" i="17"/>
  <c r="Q63" i="17"/>
  <c r="M63" i="17" s="1"/>
  <c r="P63" i="17"/>
  <c r="O63" i="17"/>
  <c r="N63" i="17"/>
  <c r="E63" i="17"/>
  <c r="D63" i="17"/>
  <c r="L63" i="17" s="1"/>
  <c r="C63" i="17"/>
  <c r="U62" i="17"/>
  <c r="T62" i="17"/>
  <c r="S62" i="17"/>
  <c r="R62" i="17"/>
  <c r="Q62" i="17"/>
  <c r="P62" i="17"/>
  <c r="W62" i="17" s="1"/>
  <c r="O62" i="17"/>
  <c r="N62" i="17"/>
  <c r="E62" i="17"/>
  <c r="M62" i="17" s="1"/>
  <c r="D62" i="17"/>
  <c r="L62" i="17" s="1"/>
  <c r="C62" i="17"/>
  <c r="W61" i="17"/>
  <c r="V61" i="17"/>
  <c r="U61" i="17"/>
  <c r="S61" i="17"/>
  <c r="R61" i="17"/>
  <c r="Q61" i="17"/>
  <c r="T61" i="17" s="1"/>
  <c r="P61" i="17"/>
  <c r="O61" i="17"/>
  <c r="N61" i="17"/>
  <c r="E61" i="17"/>
  <c r="M61" i="17" s="1"/>
  <c r="D61" i="17"/>
  <c r="L61" i="17" s="1"/>
  <c r="C61" i="17"/>
  <c r="U60" i="17"/>
  <c r="T60" i="17"/>
  <c r="S60" i="17"/>
  <c r="R60" i="17"/>
  <c r="Q60" i="17"/>
  <c r="P60" i="17"/>
  <c r="V60" i="17" s="1"/>
  <c r="O60" i="17"/>
  <c r="N60" i="17"/>
  <c r="M60" i="17"/>
  <c r="L60" i="17"/>
  <c r="E60" i="17"/>
  <c r="D60" i="17"/>
  <c r="C60" i="17"/>
  <c r="S59" i="17"/>
  <c r="R59" i="17"/>
  <c r="Q59" i="17"/>
  <c r="P59" i="17"/>
  <c r="V59" i="17" s="1"/>
  <c r="O59" i="17"/>
  <c r="U59" i="17" s="1"/>
  <c r="N59" i="17"/>
  <c r="L59" i="17"/>
  <c r="E59" i="17"/>
  <c r="D59" i="17"/>
  <c r="C59" i="17"/>
  <c r="W58" i="17"/>
  <c r="V58" i="17"/>
  <c r="U58" i="17"/>
  <c r="S58" i="17"/>
  <c r="R58" i="17"/>
  <c r="T58" i="17" s="1"/>
  <c r="Q58" i="17"/>
  <c r="P58" i="17"/>
  <c r="O58" i="17"/>
  <c r="N58" i="17"/>
  <c r="E58" i="17"/>
  <c r="M58" i="17" s="1"/>
  <c r="D58" i="17"/>
  <c r="L58" i="17" s="1"/>
  <c r="C58" i="17"/>
  <c r="W57" i="17"/>
  <c r="V57" i="17"/>
  <c r="S57" i="17"/>
  <c r="R57" i="17"/>
  <c r="Q57" i="17"/>
  <c r="P57" i="17"/>
  <c r="O57" i="17"/>
  <c r="U57" i="17" s="1"/>
  <c r="N57" i="17"/>
  <c r="E57" i="17"/>
  <c r="M57" i="17" s="1"/>
  <c r="D57" i="17"/>
  <c r="L57" i="17" s="1"/>
  <c r="C57" i="17"/>
  <c r="S56" i="17"/>
  <c r="R56" i="17"/>
  <c r="Q56" i="17"/>
  <c r="W56" i="17" s="1"/>
  <c r="P56" i="17"/>
  <c r="V56" i="17" s="1"/>
  <c r="O56" i="17"/>
  <c r="N56" i="17"/>
  <c r="M56" i="17"/>
  <c r="L56" i="17"/>
  <c r="E56" i="17"/>
  <c r="D56" i="17"/>
  <c r="C56" i="17"/>
  <c r="W55" i="17"/>
  <c r="S55" i="17"/>
  <c r="R55" i="17"/>
  <c r="Q55" i="17"/>
  <c r="M55" i="17" s="1"/>
  <c r="P55" i="17"/>
  <c r="O55" i="17"/>
  <c r="U55" i="17" s="1"/>
  <c r="N55" i="17"/>
  <c r="E55" i="17"/>
  <c r="D55" i="17"/>
  <c r="L55" i="17" s="1"/>
  <c r="C55" i="17"/>
  <c r="U54" i="17"/>
  <c r="S54" i="17"/>
  <c r="R54" i="17"/>
  <c r="T54" i="17" s="1"/>
  <c r="Q54" i="17"/>
  <c r="P54" i="17"/>
  <c r="W54" i="17" s="1"/>
  <c r="O54" i="17"/>
  <c r="N54" i="17"/>
  <c r="L54" i="17"/>
  <c r="E54" i="17"/>
  <c r="M54" i="17" s="1"/>
  <c r="D54" i="17"/>
  <c r="C54" i="17"/>
  <c r="W53" i="17"/>
  <c r="V53" i="17"/>
  <c r="U53" i="17"/>
  <c r="S53" i="17"/>
  <c r="R53" i="17"/>
  <c r="Q53" i="17"/>
  <c r="T53" i="17" s="1"/>
  <c r="P53" i="17"/>
  <c r="O53" i="17"/>
  <c r="N53" i="17"/>
  <c r="E53" i="17"/>
  <c r="M53" i="17" s="1"/>
  <c r="D53" i="17"/>
  <c r="L53" i="17" s="1"/>
  <c r="C53" i="17"/>
  <c r="S52" i="17"/>
  <c r="R52" i="17"/>
  <c r="T52" i="17" s="1"/>
  <c r="Q52" i="17"/>
  <c r="P52" i="17"/>
  <c r="O52" i="17"/>
  <c r="U52" i="17" s="1"/>
  <c r="N52" i="17"/>
  <c r="M52" i="17"/>
  <c r="L52" i="17"/>
  <c r="E52" i="17"/>
  <c r="D52" i="17"/>
  <c r="C52" i="17"/>
  <c r="S51" i="17"/>
  <c r="R51" i="17"/>
  <c r="Q51" i="17"/>
  <c r="P51" i="17"/>
  <c r="V51" i="17" s="1"/>
  <c r="O51" i="17"/>
  <c r="U51" i="17" s="1"/>
  <c r="N51" i="17"/>
  <c r="L51" i="17"/>
  <c r="E51" i="17"/>
  <c r="D51" i="17"/>
  <c r="C51" i="17"/>
  <c r="W50" i="17"/>
  <c r="V50" i="17"/>
  <c r="U50" i="17"/>
  <c r="T50" i="17"/>
  <c r="S50" i="17"/>
  <c r="R50" i="17"/>
  <c r="Q50" i="17"/>
  <c r="P50" i="17"/>
  <c r="O50" i="17"/>
  <c r="N50" i="17"/>
  <c r="E50" i="17"/>
  <c r="M50" i="17" s="1"/>
  <c r="D50" i="17"/>
  <c r="L50" i="17" s="1"/>
  <c r="C50" i="17"/>
  <c r="S49" i="17"/>
  <c r="R49" i="17"/>
  <c r="Q49" i="17"/>
  <c r="T49" i="17" s="1"/>
  <c r="P49" i="17"/>
  <c r="O49" i="17"/>
  <c r="V49" i="17" s="1"/>
  <c r="N49" i="17"/>
  <c r="L49" i="17"/>
  <c r="E49" i="17"/>
  <c r="M49" i="17" s="1"/>
  <c r="D49" i="17"/>
  <c r="C49" i="17"/>
  <c r="S48" i="17"/>
  <c r="R48" i="17"/>
  <c r="Q48" i="17"/>
  <c r="W48" i="17" s="1"/>
  <c r="P48" i="17"/>
  <c r="O48" i="17"/>
  <c r="N48" i="17"/>
  <c r="M48" i="17"/>
  <c r="L48" i="17"/>
  <c r="E48" i="17"/>
  <c r="D48" i="17"/>
  <c r="C48" i="17"/>
  <c r="S47" i="17"/>
  <c r="R47" i="17"/>
  <c r="Q47" i="17"/>
  <c r="M47" i="17" s="1"/>
  <c r="P47" i="17"/>
  <c r="O47" i="17"/>
  <c r="U47" i="17" s="1"/>
  <c r="N47" i="17"/>
  <c r="E47" i="17"/>
  <c r="D47" i="17"/>
  <c r="L47" i="17" s="1"/>
  <c r="C47" i="17"/>
  <c r="T46" i="17"/>
  <c r="S46" i="17"/>
  <c r="R46" i="17"/>
  <c r="Q46" i="17"/>
  <c r="P46" i="17"/>
  <c r="W46" i="17" s="1"/>
  <c r="O46" i="17"/>
  <c r="U46" i="17" s="1"/>
  <c r="N46" i="17"/>
  <c r="L46" i="17"/>
  <c r="E46" i="17"/>
  <c r="M46" i="17" s="1"/>
  <c r="D46" i="17"/>
  <c r="C46" i="17"/>
  <c r="W45" i="17"/>
  <c r="V45" i="17"/>
  <c r="U45" i="17"/>
  <c r="S45" i="17"/>
  <c r="R45" i="17"/>
  <c r="Q45" i="17"/>
  <c r="T45" i="17" s="1"/>
  <c r="P45" i="17"/>
  <c r="O45" i="17"/>
  <c r="N45" i="17"/>
  <c r="L45" i="17"/>
  <c r="E45" i="17"/>
  <c r="M45" i="17" s="1"/>
  <c r="D45" i="17"/>
  <c r="C45" i="17"/>
  <c r="S44" i="17"/>
  <c r="R44" i="17"/>
  <c r="Q44" i="17"/>
  <c r="T44" i="17" s="1"/>
  <c r="P44" i="17"/>
  <c r="O44" i="17"/>
  <c r="U44" i="17" s="1"/>
  <c r="N44" i="17"/>
  <c r="M44" i="17"/>
  <c r="L44" i="17"/>
  <c r="E44" i="17"/>
  <c r="D44" i="17"/>
  <c r="C44" i="17"/>
  <c r="S43" i="17"/>
  <c r="R43" i="17"/>
  <c r="Q43" i="17"/>
  <c r="P43" i="17"/>
  <c r="O43" i="17"/>
  <c r="U43" i="17" s="1"/>
  <c r="N43" i="17"/>
  <c r="L43" i="17"/>
  <c r="E43" i="17"/>
  <c r="D43" i="17"/>
  <c r="C43" i="17"/>
  <c r="W42" i="17"/>
  <c r="V42" i="17"/>
  <c r="U42" i="17"/>
  <c r="S42" i="17"/>
  <c r="R42" i="17"/>
  <c r="T42" i="17" s="1"/>
  <c r="Q42" i="17"/>
  <c r="P42" i="17"/>
  <c r="O42" i="17"/>
  <c r="N42" i="17"/>
  <c r="E42" i="17"/>
  <c r="M42" i="17" s="1"/>
  <c r="D42" i="17"/>
  <c r="L42" i="17" s="1"/>
  <c r="C42" i="17"/>
  <c r="S41" i="17"/>
  <c r="R41" i="17"/>
  <c r="Q41" i="17"/>
  <c r="T41" i="17" s="1"/>
  <c r="P41" i="17"/>
  <c r="O41" i="17"/>
  <c r="V41" i="17" s="1"/>
  <c r="N41" i="17"/>
  <c r="M41" i="17"/>
  <c r="E41" i="17"/>
  <c r="D41" i="17"/>
  <c r="L41" i="17" s="1"/>
  <c r="C41" i="17"/>
  <c r="S40" i="17"/>
  <c r="R40" i="17"/>
  <c r="Q40" i="17"/>
  <c r="W40" i="17" s="1"/>
  <c r="P40" i="17"/>
  <c r="O40" i="17"/>
  <c r="U40" i="17" s="1"/>
  <c r="N40" i="17"/>
  <c r="M40" i="17"/>
  <c r="L40" i="17"/>
  <c r="E40" i="17"/>
  <c r="D40" i="17"/>
  <c r="C40" i="17"/>
  <c r="S39" i="17"/>
  <c r="R39" i="17"/>
  <c r="Q39" i="17"/>
  <c r="M39" i="17" s="1"/>
  <c r="P39" i="17"/>
  <c r="O39" i="17"/>
  <c r="U39" i="17" s="1"/>
  <c r="N39" i="17"/>
  <c r="E39" i="17"/>
  <c r="D39" i="17"/>
  <c r="L39" i="17" s="1"/>
  <c r="C39" i="17"/>
  <c r="S38" i="17"/>
  <c r="R38" i="17"/>
  <c r="T38" i="17" s="1"/>
  <c r="Q38" i="17"/>
  <c r="P38" i="17"/>
  <c r="W38" i="17" s="1"/>
  <c r="O38" i="17"/>
  <c r="U38" i="17" s="1"/>
  <c r="N38" i="17"/>
  <c r="L38" i="17"/>
  <c r="E38" i="17"/>
  <c r="M38" i="17" s="1"/>
  <c r="D38" i="17"/>
  <c r="C38" i="17"/>
  <c r="W37" i="17"/>
  <c r="V37" i="17"/>
  <c r="U37" i="17"/>
  <c r="S37" i="17"/>
  <c r="R37" i="17"/>
  <c r="Q37" i="17"/>
  <c r="T37" i="17" s="1"/>
  <c r="P37" i="17"/>
  <c r="O37" i="17"/>
  <c r="N37" i="17"/>
  <c r="E37" i="17"/>
  <c r="M37" i="17" s="1"/>
  <c r="D37" i="17"/>
  <c r="L37" i="17" s="1"/>
  <c r="C37" i="17"/>
  <c r="S36" i="17"/>
  <c r="R36" i="17"/>
  <c r="Q36" i="17"/>
  <c r="W36" i="17" s="1"/>
  <c r="P36" i="17"/>
  <c r="O36" i="17"/>
  <c r="U36" i="17" s="1"/>
  <c r="N36" i="17"/>
  <c r="L36" i="17"/>
  <c r="E36" i="17"/>
  <c r="D36" i="17"/>
  <c r="C36" i="17"/>
  <c r="S35" i="17"/>
  <c r="R35" i="17"/>
  <c r="Q35" i="17"/>
  <c r="P35" i="17"/>
  <c r="O35" i="17"/>
  <c r="U35" i="17" s="1"/>
  <c r="N35" i="17"/>
  <c r="L35" i="17"/>
  <c r="E35" i="17"/>
  <c r="D35" i="17"/>
  <c r="C35" i="17"/>
  <c r="W34" i="17"/>
  <c r="V34" i="17"/>
  <c r="U34" i="17"/>
  <c r="S34" i="17"/>
  <c r="R34" i="17"/>
  <c r="T34" i="17" s="1"/>
  <c r="Q34" i="17"/>
  <c r="P34" i="17"/>
  <c r="O34" i="17"/>
  <c r="N34" i="17"/>
  <c r="E34" i="17"/>
  <c r="M34" i="17" s="1"/>
  <c r="D34" i="17"/>
  <c r="L34" i="17" s="1"/>
  <c r="C34" i="17"/>
  <c r="S33" i="17"/>
  <c r="R33" i="17"/>
  <c r="Q33" i="17"/>
  <c r="T33" i="17" s="1"/>
  <c r="P33" i="17"/>
  <c r="O33" i="17"/>
  <c r="V33" i="17" s="1"/>
  <c r="N33" i="17"/>
  <c r="L33" i="17"/>
  <c r="E33" i="17"/>
  <c r="D33" i="17"/>
  <c r="C33" i="17"/>
  <c r="S32" i="17"/>
  <c r="R32" i="17"/>
  <c r="Q32" i="17"/>
  <c r="W32" i="17" s="1"/>
  <c r="P32" i="17"/>
  <c r="O32" i="17"/>
  <c r="U32" i="17" s="1"/>
  <c r="N32" i="17"/>
  <c r="M32" i="17"/>
  <c r="L32" i="17"/>
  <c r="E32" i="17"/>
  <c r="D32" i="17"/>
  <c r="C32" i="17"/>
  <c r="U31" i="17"/>
  <c r="S31" i="17"/>
  <c r="R31" i="17"/>
  <c r="Q31" i="17"/>
  <c r="M31" i="17" s="1"/>
  <c r="P31" i="17"/>
  <c r="V31" i="17" s="1"/>
  <c r="O31" i="17"/>
  <c r="N31" i="17"/>
  <c r="E31" i="17"/>
  <c r="D31" i="17"/>
  <c r="L31" i="17" s="1"/>
  <c r="C31" i="17"/>
  <c r="S30" i="17"/>
  <c r="R30" i="17"/>
  <c r="T30" i="17" s="1"/>
  <c r="Q30" i="17"/>
  <c r="P30" i="17"/>
  <c r="W30" i="17" s="1"/>
  <c r="O30" i="17"/>
  <c r="U30" i="17" s="1"/>
  <c r="N30" i="17"/>
  <c r="E30" i="17"/>
  <c r="M30" i="17" s="1"/>
  <c r="D30" i="17"/>
  <c r="L30" i="17" s="1"/>
  <c r="C30" i="17"/>
  <c r="W29" i="17"/>
  <c r="V29" i="17"/>
  <c r="U29" i="17"/>
  <c r="S29" i="17"/>
  <c r="R29" i="17"/>
  <c r="Q29" i="17"/>
  <c r="T29" i="17" s="1"/>
  <c r="P29" i="17"/>
  <c r="O29" i="17"/>
  <c r="N29" i="17"/>
  <c r="L29" i="17"/>
  <c r="E29" i="17"/>
  <c r="M29" i="17" s="1"/>
  <c r="D29" i="17"/>
  <c r="C29" i="17"/>
  <c r="U28" i="17"/>
  <c r="T28" i="17"/>
  <c r="S28" i="17"/>
  <c r="R28" i="17"/>
  <c r="Q28" i="17"/>
  <c r="W28" i="17" s="1"/>
  <c r="P28" i="17"/>
  <c r="V28" i="17" s="1"/>
  <c r="O28" i="17"/>
  <c r="N28" i="17"/>
  <c r="L28" i="17"/>
  <c r="E28" i="17"/>
  <c r="D28" i="17"/>
  <c r="C28" i="17"/>
  <c r="S27" i="17"/>
  <c r="R27" i="17"/>
  <c r="Q27" i="17"/>
  <c r="P27" i="17"/>
  <c r="O27" i="17"/>
  <c r="U27" i="17" s="1"/>
  <c r="N27" i="17"/>
  <c r="L27" i="17"/>
  <c r="E27" i="17"/>
  <c r="D27" i="17"/>
  <c r="C27" i="17"/>
  <c r="W26" i="17"/>
  <c r="V26" i="17"/>
  <c r="U26" i="17"/>
  <c r="T26" i="17"/>
  <c r="S26" i="17"/>
  <c r="R26" i="17"/>
  <c r="Q26" i="17"/>
  <c r="P26" i="17"/>
  <c r="O26" i="17"/>
  <c r="N26" i="17"/>
  <c r="E26" i="17"/>
  <c r="M26" i="17" s="1"/>
  <c r="D26" i="17"/>
  <c r="L26" i="17" s="1"/>
  <c r="C26" i="17"/>
  <c r="V25" i="17"/>
  <c r="U25" i="17"/>
  <c r="S25" i="17"/>
  <c r="R25" i="17"/>
  <c r="Q25" i="17"/>
  <c r="T25" i="17" s="1"/>
  <c r="P25" i="17"/>
  <c r="O25" i="17"/>
  <c r="N25" i="17"/>
  <c r="E25" i="17"/>
  <c r="D25" i="17"/>
  <c r="L25" i="17" s="1"/>
  <c r="C25" i="17"/>
  <c r="S24" i="17"/>
  <c r="R24" i="17"/>
  <c r="Q24" i="17"/>
  <c r="W24" i="17" s="1"/>
  <c r="P24" i="17"/>
  <c r="V24" i="17" s="1"/>
  <c r="O24" i="17"/>
  <c r="N24" i="17"/>
  <c r="M24" i="17"/>
  <c r="L24" i="17"/>
  <c r="E24" i="17"/>
  <c r="D24" i="17"/>
  <c r="C24" i="17"/>
  <c r="W23" i="17"/>
  <c r="U23" i="17"/>
  <c r="S23" i="17"/>
  <c r="R23" i="17"/>
  <c r="T23" i="17" s="1"/>
  <c r="Q23" i="17"/>
  <c r="M23" i="17" s="1"/>
  <c r="P23" i="17"/>
  <c r="O23" i="17"/>
  <c r="N23" i="17"/>
  <c r="E23" i="17"/>
  <c r="D23" i="17"/>
  <c r="L23" i="17" s="1"/>
  <c r="C23" i="17"/>
  <c r="U22" i="17"/>
  <c r="T22" i="17"/>
  <c r="S22" i="17"/>
  <c r="R22" i="17"/>
  <c r="Q22" i="17"/>
  <c r="P22" i="17"/>
  <c r="W22" i="17" s="1"/>
  <c r="O22" i="17"/>
  <c r="N22" i="17"/>
  <c r="E22" i="17"/>
  <c r="M22" i="17" s="1"/>
  <c r="D22" i="17"/>
  <c r="L22" i="17" s="1"/>
  <c r="C22" i="17"/>
  <c r="W21" i="17"/>
  <c r="V21" i="17"/>
  <c r="U21" i="17"/>
  <c r="S21" i="17"/>
  <c r="R21" i="17"/>
  <c r="Q21" i="17"/>
  <c r="T21" i="17" s="1"/>
  <c r="P21" i="17"/>
  <c r="O21" i="17"/>
  <c r="N21" i="17"/>
  <c r="E21" i="17"/>
  <c r="M21" i="17" s="1"/>
  <c r="D21" i="17"/>
  <c r="L21" i="17" s="1"/>
  <c r="C21" i="17"/>
  <c r="U20" i="17"/>
  <c r="T20" i="17"/>
  <c r="S20" i="17"/>
  <c r="R20" i="17"/>
  <c r="Q20" i="17"/>
  <c r="P20" i="17"/>
  <c r="O20" i="17"/>
  <c r="N20" i="17"/>
  <c r="M20" i="17"/>
  <c r="L20" i="17"/>
  <c r="E20" i="17"/>
  <c r="D20" i="17"/>
  <c r="C20" i="17"/>
  <c r="S19" i="17"/>
  <c r="R19" i="17"/>
  <c r="Q19" i="17"/>
  <c r="P19" i="17"/>
  <c r="O19" i="17"/>
  <c r="N19" i="17"/>
  <c r="L19" i="17"/>
  <c r="E19" i="17"/>
  <c r="E75" i="17" s="1"/>
  <c r="D19" i="17"/>
  <c r="C19" i="17"/>
  <c r="C75" i="17" s="1"/>
  <c r="W18" i="17"/>
  <c r="V18" i="17"/>
  <c r="U18" i="17"/>
  <c r="T18" i="17"/>
  <c r="M18" i="17"/>
  <c r="L18" i="17"/>
  <c r="W17" i="17"/>
  <c r="V17" i="17"/>
  <c r="U17" i="17"/>
  <c r="T17" i="17"/>
  <c r="M17" i="17"/>
  <c r="L17" i="17"/>
  <c r="W16" i="17"/>
  <c r="V16" i="17"/>
  <c r="U16" i="17"/>
  <c r="T16" i="17"/>
  <c r="M16" i="17"/>
  <c r="L16" i="17"/>
  <c r="W15" i="17"/>
  <c r="V15" i="17"/>
  <c r="U15" i="17"/>
  <c r="T15" i="17"/>
  <c r="M15" i="17"/>
  <c r="L15" i="17"/>
  <c r="W14" i="17"/>
  <c r="V14" i="17"/>
  <c r="U14" i="17"/>
  <c r="T14" i="17"/>
  <c r="M14" i="17"/>
  <c r="L14" i="17"/>
  <c r="W13" i="17"/>
  <c r="V13" i="17"/>
  <c r="U13" i="17"/>
  <c r="T13" i="17"/>
  <c r="M13" i="17"/>
  <c r="L13" i="17"/>
  <c r="W12" i="17"/>
  <c r="V12" i="17"/>
  <c r="U12" i="17"/>
  <c r="T12" i="17"/>
  <c r="M12" i="17"/>
  <c r="L12" i="17"/>
  <c r="W11" i="17"/>
  <c r="V11" i="17"/>
  <c r="U11" i="17"/>
  <c r="T11" i="17"/>
  <c r="M11" i="17"/>
  <c r="L11" i="17"/>
  <c r="W10" i="17"/>
  <c r="V10" i="17"/>
  <c r="U10" i="17"/>
  <c r="T10" i="17"/>
  <c r="M10" i="17"/>
  <c r="L10" i="17"/>
  <c r="W9" i="17"/>
  <c r="V9" i="17"/>
  <c r="U9" i="17"/>
  <c r="T9" i="17"/>
  <c r="M9" i="17"/>
  <c r="L9" i="17"/>
  <c r="W8" i="17"/>
  <c r="V8" i="17"/>
  <c r="U8" i="17"/>
  <c r="T8" i="17"/>
  <c r="M8" i="17"/>
  <c r="L8" i="17"/>
  <c r="W7" i="17"/>
  <c r="V7" i="17"/>
  <c r="U7" i="17"/>
  <c r="T7" i="17"/>
  <c r="M7" i="17"/>
  <c r="L7" i="17"/>
  <c r="W6" i="17"/>
  <c r="V6" i="17"/>
  <c r="U6" i="17"/>
  <c r="T6" i="17"/>
  <c r="M6" i="17"/>
  <c r="L6" i="17"/>
  <c r="W5" i="17"/>
  <c r="V5" i="17"/>
  <c r="U5" i="17"/>
  <c r="T5" i="17"/>
  <c r="M5" i="17"/>
  <c r="L5" i="17"/>
  <c r="W4" i="17"/>
  <c r="V4" i="17"/>
  <c r="U4" i="17"/>
  <c r="T4" i="17"/>
  <c r="M4" i="17"/>
  <c r="L4" i="17"/>
  <c r="K75" i="23"/>
  <c r="J75" i="23"/>
  <c r="I75" i="23"/>
  <c r="H75" i="23"/>
  <c r="G75" i="23"/>
  <c r="F75" i="23"/>
  <c r="X74" i="23"/>
  <c r="W74" i="23"/>
  <c r="V74" i="23"/>
  <c r="S74" i="23"/>
  <c r="R74" i="23"/>
  <c r="Q74" i="23"/>
  <c r="T74" i="23" s="1"/>
  <c r="P74" i="23"/>
  <c r="O74" i="23"/>
  <c r="U74" i="23" s="1"/>
  <c r="N74" i="23"/>
  <c r="L74" i="23"/>
  <c r="E74" i="23"/>
  <c r="M74" i="23" s="1"/>
  <c r="D74" i="23"/>
  <c r="C74" i="23"/>
  <c r="V73" i="23"/>
  <c r="S73" i="23"/>
  <c r="R73" i="23"/>
  <c r="T73" i="23" s="1"/>
  <c r="Q73" i="23"/>
  <c r="P73" i="23"/>
  <c r="O73" i="23"/>
  <c r="N73" i="23"/>
  <c r="U73" i="23" s="1"/>
  <c r="E73" i="23"/>
  <c r="D73" i="23"/>
  <c r="L73" i="23" s="1"/>
  <c r="C73" i="23"/>
  <c r="W72" i="23"/>
  <c r="T72" i="23"/>
  <c r="S72" i="23"/>
  <c r="R72" i="23"/>
  <c r="Q72" i="23"/>
  <c r="P72" i="23"/>
  <c r="V72" i="23" s="1"/>
  <c r="O72" i="23"/>
  <c r="N72" i="23"/>
  <c r="U72" i="23" s="1"/>
  <c r="M72" i="23"/>
  <c r="L72" i="23"/>
  <c r="E72" i="23"/>
  <c r="D72" i="23"/>
  <c r="C72" i="23"/>
  <c r="S71" i="23"/>
  <c r="R71" i="23"/>
  <c r="Q71" i="23"/>
  <c r="T71" i="23" s="1"/>
  <c r="P71" i="23"/>
  <c r="O71" i="23"/>
  <c r="U71" i="23" s="1"/>
  <c r="N71" i="23"/>
  <c r="M71" i="23"/>
  <c r="L71" i="23"/>
  <c r="E71" i="23"/>
  <c r="D71" i="23"/>
  <c r="C71" i="23"/>
  <c r="S70" i="23"/>
  <c r="R70" i="23"/>
  <c r="T70" i="23" s="1"/>
  <c r="Q70" i="23"/>
  <c r="P70" i="23"/>
  <c r="V70" i="23" s="1"/>
  <c r="O70" i="23"/>
  <c r="U70" i="23" s="1"/>
  <c r="N70" i="23"/>
  <c r="E70" i="23"/>
  <c r="D70" i="23"/>
  <c r="L70" i="23" s="1"/>
  <c r="C70" i="23"/>
  <c r="U69" i="23"/>
  <c r="T69" i="23"/>
  <c r="S69" i="23"/>
  <c r="R69" i="23"/>
  <c r="Q69" i="23"/>
  <c r="P69" i="23"/>
  <c r="V69" i="23" s="1"/>
  <c r="O69" i="23"/>
  <c r="N69" i="23"/>
  <c r="M69" i="23"/>
  <c r="E69" i="23"/>
  <c r="D69" i="23"/>
  <c r="L69" i="23" s="1"/>
  <c r="C69" i="23"/>
  <c r="W68" i="23"/>
  <c r="V68" i="23"/>
  <c r="S68" i="23"/>
  <c r="R68" i="23"/>
  <c r="Q68" i="23"/>
  <c r="T68" i="23" s="1"/>
  <c r="P68" i="23"/>
  <c r="O68" i="23"/>
  <c r="U68" i="23" s="1"/>
  <c r="N68" i="23"/>
  <c r="L68" i="23"/>
  <c r="E68" i="23"/>
  <c r="M68" i="23" s="1"/>
  <c r="D68" i="23"/>
  <c r="C68" i="23"/>
  <c r="X67" i="23"/>
  <c r="V67" i="23"/>
  <c r="U67" i="23"/>
  <c r="T67" i="23"/>
  <c r="S67" i="23"/>
  <c r="R67" i="23"/>
  <c r="Q67" i="23"/>
  <c r="P67" i="23"/>
  <c r="O67" i="23"/>
  <c r="N67" i="23"/>
  <c r="E67" i="23"/>
  <c r="D67" i="23"/>
  <c r="L67" i="23" s="1"/>
  <c r="C67" i="23"/>
  <c r="W66" i="23"/>
  <c r="T66" i="23"/>
  <c r="S66" i="23"/>
  <c r="R66" i="23"/>
  <c r="Q66" i="23"/>
  <c r="P66" i="23"/>
  <c r="V66" i="23" s="1"/>
  <c r="O66" i="23"/>
  <c r="N66" i="23"/>
  <c r="U66" i="23" s="1"/>
  <c r="M66" i="23"/>
  <c r="L66" i="23"/>
  <c r="E66" i="23"/>
  <c r="D66" i="23"/>
  <c r="C66" i="23"/>
  <c r="S65" i="23"/>
  <c r="R65" i="23"/>
  <c r="Q65" i="23"/>
  <c r="T65" i="23" s="1"/>
  <c r="P65" i="23"/>
  <c r="W65" i="23" s="1"/>
  <c r="O65" i="23"/>
  <c r="U65" i="23" s="1"/>
  <c r="N65" i="23"/>
  <c r="M65" i="23"/>
  <c r="L65" i="23"/>
  <c r="E65" i="23"/>
  <c r="D65" i="23"/>
  <c r="C65" i="23"/>
  <c r="T64" i="23"/>
  <c r="S64" i="23"/>
  <c r="R64" i="23"/>
  <c r="Q64" i="23"/>
  <c r="W64" i="23" s="1"/>
  <c r="P64" i="23"/>
  <c r="V64" i="23" s="1"/>
  <c r="O64" i="23"/>
  <c r="U64" i="23" s="1"/>
  <c r="N64" i="23"/>
  <c r="E64" i="23"/>
  <c r="D64" i="23"/>
  <c r="L64" i="23" s="1"/>
  <c r="C64" i="23"/>
  <c r="U63" i="23"/>
  <c r="T63" i="23"/>
  <c r="S63" i="23"/>
  <c r="R63" i="23"/>
  <c r="Q63" i="23"/>
  <c r="P63" i="23"/>
  <c r="V63" i="23" s="1"/>
  <c r="O63" i="23"/>
  <c r="N63" i="23"/>
  <c r="M63" i="23"/>
  <c r="E63" i="23"/>
  <c r="D63" i="23"/>
  <c r="L63" i="23" s="1"/>
  <c r="C63" i="23"/>
  <c r="W62" i="23"/>
  <c r="V62" i="23"/>
  <c r="S62" i="23"/>
  <c r="R62" i="23"/>
  <c r="Q62" i="23"/>
  <c r="T62" i="23" s="1"/>
  <c r="P62" i="23"/>
  <c r="O62" i="23"/>
  <c r="U62" i="23" s="1"/>
  <c r="N62" i="23"/>
  <c r="L62" i="23"/>
  <c r="E62" i="23"/>
  <c r="M62" i="23" s="1"/>
  <c r="D62" i="23"/>
  <c r="C62" i="23"/>
  <c r="V61" i="23"/>
  <c r="S61" i="23"/>
  <c r="R61" i="23"/>
  <c r="T61" i="23" s="1"/>
  <c r="Q61" i="23"/>
  <c r="P61" i="23"/>
  <c r="O61" i="23"/>
  <c r="N61" i="23"/>
  <c r="U61" i="23" s="1"/>
  <c r="E61" i="23"/>
  <c r="D61" i="23"/>
  <c r="L61" i="23" s="1"/>
  <c r="C61" i="23"/>
  <c r="W60" i="23"/>
  <c r="T60" i="23"/>
  <c r="S60" i="23"/>
  <c r="R60" i="23"/>
  <c r="Q60" i="23"/>
  <c r="P60" i="23"/>
  <c r="V60" i="23" s="1"/>
  <c r="O60" i="23"/>
  <c r="N60" i="23"/>
  <c r="U60" i="23" s="1"/>
  <c r="M60" i="23"/>
  <c r="L60" i="23"/>
  <c r="E60" i="23"/>
  <c r="D60" i="23"/>
  <c r="C60" i="23"/>
  <c r="S59" i="23"/>
  <c r="R59" i="23"/>
  <c r="Q59" i="23"/>
  <c r="T59" i="23" s="1"/>
  <c r="P59" i="23"/>
  <c r="O59" i="23"/>
  <c r="U59" i="23" s="1"/>
  <c r="N59" i="23"/>
  <c r="M59" i="23"/>
  <c r="L59" i="23"/>
  <c r="E59" i="23"/>
  <c r="D59" i="23"/>
  <c r="C59" i="23"/>
  <c r="S58" i="23"/>
  <c r="R58" i="23"/>
  <c r="T58" i="23" s="1"/>
  <c r="Q58" i="23"/>
  <c r="P58" i="23"/>
  <c r="V58" i="23" s="1"/>
  <c r="O58" i="23"/>
  <c r="U58" i="23" s="1"/>
  <c r="N58" i="23"/>
  <c r="E58" i="23"/>
  <c r="D58" i="23"/>
  <c r="L58" i="23" s="1"/>
  <c r="C58" i="23"/>
  <c r="U57" i="23"/>
  <c r="T57" i="23"/>
  <c r="S57" i="23"/>
  <c r="R57" i="23"/>
  <c r="Q57" i="23"/>
  <c r="P57" i="23"/>
  <c r="V57" i="23" s="1"/>
  <c r="O57" i="23"/>
  <c r="N57" i="23"/>
  <c r="M57" i="23"/>
  <c r="E57" i="23"/>
  <c r="D57" i="23"/>
  <c r="L57" i="23" s="1"/>
  <c r="C57" i="23"/>
  <c r="W56" i="23"/>
  <c r="V56" i="23"/>
  <c r="S56" i="23"/>
  <c r="R56" i="23"/>
  <c r="Q56" i="23"/>
  <c r="T56" i="23" s="1"/>
  <c r="P56" i="23"/>
  <c r="O56" i="23"/>
  <c r="U56" i="23" s="1"/>
  <c r="N56" i="23"/>
  <c r="L56" i="23"/>
  <c r="E56" i="23"/>
  <c r="M56" i="23" s="1"/>
  <c r="D56" i="23"/>
  <c r="C56" i="23"/>
  <c r="X55" i="23"/>
  <c r="V55" i="23"/>
  <c r="U55" i="23"/>
  <c r="T55" i="23"/>
  <c r="S55" i="23"/>
  <c r="R55" i="23"/>
  <c r="Q55" i="23"/>
  <c r="P55" i="23"/>
  <c r="O55" i="23"/>
  <c r="N55" i="23"/>
  <c r="E55" i="23"/>
  <c r="D55" i="23"/>
  <c r="L55" i="23" s="1"/>
  <c r="C55" i="23"/>
  <c r="W54" i="23"/>
  <c r="T54" i="23"/>
  <c r="S54" i="23"/>
  <c r="R54" i="23"/>
  <c r="Q54" i="23"/>
  <c r="P54" i="23"/>
  <c r="V54" i="23" s="1"/>
  <c r="O54" i="23"/>
  <c r="N54" i="23"/>
  <c r="U54" i="23" s="1"/>
  <c r="M54" i="23"/>
  <c r="L54" i="23"/>
  <c r="E54" i="23"/>
  <c r="D54" i="23"/>
  <c r="C54" i="23"/>
  <c r="S53" i="23"/>
  <c r="R53" i="23"/>
  <c r="Q53" i="23"/>
  <c r="T53" i="23" s="1"/>
  <c r="P53" i="23"/>
  <c r="W53" i="23" s="1"/>
  <c r="O53" i="23"/>
  <c r="U53" i="23" s="1"/>
  <c r="N53" i="23"/>
  <c r="M53" i="23"/>
  <c r="L53" i="23"/>
  <c r="E53" i="23"/>
  <c r="D53" i="23"/>
  <c r="C53" i="23"/>
  <c r="T52" i="23"/>
  <c r="S52" i="23"/>
  <c r="R52" i="23"/>
  <c r="Q52" i="23"/>
  <c r="W52" i="23" s="1"/>
  <c r="P52" i="23"/>
  <c r="V52" i="23" s="1"/>
  <c r="O52" i="23"/>
  <c r="U52" i="23" s="1"/>
  <c r="N52" i="23"/>
  <c r="E52" i="23"/>
  <c r="D52" i="23"/>
  <c r="L52" i="23" s="1"/>
  <c r="C52" i="23"/>
  <c r="U51" i="23"/>
  <c r="T51" i="23"/>
  <c r="S51" i="23"/>
  <c r="R51" i="23"/>
  <c r="Q51" i="23"/>
  <c r="P51" i="23"/>
  <c r="V51" i="23" s="1"/>
  <c r="O51" i="23"/>
  <c r="N51" i="23"/>
  <c r="M51" i="23"/>
  <c r="E51" i="23"/>
  <c r="D51" i="23"/>
  <c r="L51" i="23" s="1"/>
  <c r="C51" i="23"/>
  <c r="X50" i="23"/>
  <c r="W50" i="23"/>
  <c r="V50" i="23"/>
  <c r="S50" i="23"/>
  <c r="R50" i="23"/>
  <c r="Q50" i="23"/>
  <c r="T50" i="23" s="1"/>
  <c r="P50" i="23"/>
  <c r="O50" i="23"/>
  <c r="U50" i="23" s="1"/>
  <c r="N50" i="23"/>
  <c r="L50" i="23"/>
  <c r="E50" i="23"/>
  <c r="M50" i="23" s="1"/>
  <c r="D50" i="23"/>
  <c r="C50" i="23"/>
  <c r="V49" i="23"/>
  <c r="S49" i="23"/>
  <c r="R49" i="23"/>
  <c r="T49" i="23" s="1"/>
  <c r="Q49" i="23"/>
  <c r="P49" i="23"/>
  <c r="O49" i="23"/>
  <c r="N49" i="23"/>
  <c r="U49" i="23" s="1"/>
  <c r="E49" i="23"/>
  <c r="D49" i="23"/>
  <c r="L49" i="23" s="1"/>
  <c r="C49" i="23"/>
  <c r="W48" i="23"/>
  <c r="T48" i="23"/>
  <c r="S48" i="23"/>
  <c r="R48" i="23"/>
  <c r="Q48" i="23"/>
  <c r="P48" i="23"/>
  <c r="V48" i="23" s="1"/>
  <c r="O48" i="23"/>
  <c r="N48" i="23"/>
  <c r="U48" i="23" s="1"/>
  <c r="M48" i="23"/>
  <c r="L48" i="23"/>
  <c r="E48" i="23"/>
  <c r="D48" i="23"/>
  <c r="C48" i="23"/>
  <c r="S47" i="23"/>
  <c r="R47" i="23"/>
  <c r="Q47" i="23"/>
  <c r="T47" i="23" s="1"/>
  <c r="P47" i="23"/>
  <c r="O47" i="23"/>
  <c r="U47" i="23" s="1"/>
  <c r="N47" i="23"/>
  <c r="M47" i="23"/>
  <c r="L47" i="23"/>
  <c r="E47" i="23"/>
  <c r="D47" i="23"/>
  <c r="C47" i="23"/>
  <c r="S46" i="23"/>
  <c r="R46" i="23"/>
  <c r="T46" i="23" s="1"/>
  <c r="Q46" i="23"/>
  <c r="P46" i="23"/>
  <c r="V46" i="23" s="1"/>
  <c r="O46" i="23"/>
  <c r="U46" i="23" s="1"/>
  <c r="N46" i="23"/>
  <c r="E46" i="23"/>
  <c r="D46" i="23"/>
  <c r="L46" i="23" s="1"/>
  <c r="C46" i="23"/>
  <c r="U45" i="23"/>
  <c r="T45" i="23"/>
  <c r="S45" i="23"/>
  <c r="R45" i="23"/>
  <c r="Q45" i="23"/>
  <c r="P45" i="23"/>
  <c r="V45" i="23" s="1"/>
  <c r="O45" i="23"/>
  <c r="N45" i="23"/>
  <c r="M45" i="23"/>
  <c r="E45" i="23"/>
  <c r="D45" i="23"/>
  <c r="L45" i="23" s="1"/>
  <c r="C45" i="23"/>
  <c r="W44" i="23"/>
  <c r="V44" i="23"/>
  <c r="S44" i="23"/>
  <c r="R44" i="23"/>
  <c r="Q44" i="23"/>
  <c r="T44" i="23" s="1"/>
  <c r="P44" i="23"/>
  <c r="O44" i="23"/>
  <c r="U44" i="23" s="1"/>
  <c r="N44" i="23"/>
  <c r="L44" i="23"/>
  <c r="E44" i="23"/>
  <c r="M44" i="23" s="1"/>
  <c r="D44" i="23"/>
  <c r="C44" i="23"/>
  <c r="X43" i="23"/>
  <c r="V43" i="23"/>
  <c r="U43" i="23"/>
  <c r="T43" i="23"/>
  <c r="S43" i="23"/>
  <c r="R43" i="23"/>
  <c r="Q43" i="23"/>
  <c r="P43" i="23"/>
  <c r="O43" i="23"/>
  <c r="N43" i="23"/>
  <c r="E43" i="23"/>
  <c r="D43" i="23"/>
  <c r="L43" i="23" s="1"/>
  <c r="C43" i="23"/>
  <c r="W42" i="23"/>
  <c r="T42" i="23"/>
  <c r="S42" i="23"/>
  <c r="R42" i="23"/>
  <c r="Q42" i="23"/>
  <c r="P42" i="23"/>
  <c r="V42" i="23" s="1"/>
  <c r="O42" i="23"/>
  <c r="N42" i="23"/>
  <c r="U42" i="23" s="1"/>
  <c r="M42" i="23"/>
  <c r="L42" i="23"/>
  <c r="E42" i="23"/>
  <c r="D42" i="23"/>
  <c r="C42" i="23"/>
  <c r="S41" i="23"/>
  <c r="R41" i="23"/>
  <c r="Q41" i="23"/>
  <c r="T41" i="23" s="1"/>
  <c r="P41" i="23"/>
  <c r="W41" i="23" s="1"/>
  <c r="O41" i="23"/>
  <c r="U41" i="23" s="1"/>
  <c r="N41" i="23"/>
  <c r="M41" i="23"/>
  <c r="L41" i="23"/>
  <c r="E41" i="23"/>
  <c r="D41" i="23"/>
  <c r="C41" i="23"/>
  <c r="T40" i="23"/>
  <c r="S40" i="23"/>
  <c r="R40" i="23"/>
  <c r="Q40" i="23"/>
  <c r="W40" i="23" s="1"/>
  <c r="P40" i="23"/>
  <c r="V40" i="23" s="1"/>
  <c r="O40" i="23"/>
  <c r="U40" i="23" s="1"/>
  <c r="N40" i="23"/>
  <c r="E40" i="23"/>
  <c r="D40" i="23"/>
  <c r="L40" i="23" s="1"/>
  <c r="C40" i="23"/>
  <c r="U39" i="23"/>
  <c r="T39" i="23"/>
  <c r="S39" i="23"/>
  <c r="R39" i="23"/>
  <c r="Q39" i="23"/>
  <c r="P39" i="23"/>
  <c r="V39" i="23" s="1"/>
  <c r="O39" i="23"/>
  <c r="N39" i="23"/>
  <c r="M39" i="23"/>
  <c r="E39" i="23"/>
  <c r="D39" i="23"/>
  <c r="L39" i="23" s="1"/>
  <c r="C39" i="23"/>
  <c r="X38" i="23"/>
  <c r="W38" i="23"/>
  <c r="V38" i="23"/>
  <c r="S38" i="23"/>
  <c r="R38" i="23"/>
  <c r="Q38" i="23"/>
  <c r="T38" i="23" s="1"/>
  <c r="P38" i="23"/>
  <c r="O38" i="23"/>
  <c r="U38" i="23" s="1"/>
  <c r="N38" i="23"/>
  <c r="L38" i="23"/>
  <c r="E38" i="23"/>
  <c r="M38" i="23" s="1"/>
  <c r="D38" i="23"/>
  <c r="C38" i="23"/>
  <c r="V37" i="23"/>
  <c r="S37" i="23"/>
  <c r="R37" i="23"/>
  <c r="T37" i="23" s="1"/>
  <c r="Q37" i="23"/>
  <c r="P37" i="23"/>
  <c r="O37" i="23"/>
  <c r="N37" i="23"/>
  <c r="U37" i="23" s="1"/>
  <c r="E37" i="23"/>
  <c r="D37" i="23"/>
  <c r="L37" i="23" s="1"/>
  <c r="C37" i="23"/>
  <c r="W36" i="23"/>
  <c r="T36" i="23"/>
  <c r="S36" i="23"/>
  <c r="R36" i="23"/>
  <c r="Q36" i="23"/>
  <c r="P36" i="23"/>
  <c r="V36" i="23" s="1"/>
  <c r="O36" i="23"/>
  <c r="N36" i="23"/>
  <c r="U36" i="23" s="1"/>
  <c r="M36" i="23"/>
  <c r="L36" i="23"/>
  <c r="E36" i="23"/>
  <c r="D36" i="23"/>
  <c r="C36" i="23"/>
  <c r="S35" i="23"/>
  <c r="R35" i="23"/>
  <c r="Q35" i="23"/>
  <c r="T35" i="23" s="1"/>
  <c r="P35" i="23"/>
  <c r="O35" i="23"/>
  <c r="U35" i="23" s="1"/>
  <c r="N35" i="23"/>
  <c r="M35" i="23"/>
  <c r="L35" i="23"/>
  <c r="E35" i="23"/>
  <c r="D35" i="23"/>
  <c r="C35" i="23"/>
  <c r="S34" i="23"/>
  <c r="R34" i="23"/>
  <c r="T34" i="23" s="1"/>
  <c r="Q34" i="23"/>
  <c r="P34" i="23"/>
  <c r="V34" i="23" s="1"/>
  <c r="O34" i="23"/>
  <c r="U34" i="23" s="1"/>
  <c r="N34" i="23"/>
  <c r="E34" i="23"/>
  <c r="D34" i="23"/>
  <c r="L34" i="23" s="1"/>
  <c r="C34" i="23"/>
  <c r="U33" i="23"/>
  <c r="T33" i="23"/>
  <c r="S33" i="23"/>
  <c r="R33" i="23"/>
  <c r="Q33" i="23"/>
  <c r="P33" i="23"/>
  <c r="V33" i="23" s="1"/>
  <c r="O33" i="23"/>
  <c r="N33" i="23"/>
  <c r="M33" i="23"/>
  <c r="E33" i="23"/>
  <c r="D33" i="23"/>
  <c r="L33" i="23" s="1"/>
  <c r="C33" i="23"/>
  <c r="W32" i="23"/>
  <c r="V32" i="23"/>
  <c r="S32" i="23"/>
  <c r="R32" i="23"/>
  <c r="Q32" i="23"/>
  <c r="T32" i="23" s="1"/>
  <c r="P32" i="23"/>
  <c r="O32" i="23"/>
  <c r="U32" i="23" s="1"/>
  <c r="N32" i="23"/>
  <c r="L32" i="23"/>
  <c r="E32" i="23"/>
  <c r="M32" i="23" s="1"/>
  <c r="D32" i="23"/>
  <c r="C32" i="23"/>
  <c r="V31" i="23"/>
  <c r="U31" i="23"/>
  <c r="T31" i="23"/>
  <c r="S31" i="23"/>
  <c r="R31" i="23"/>
  <c r="Q31" i="23"/>
  <c r="P31" i="23"/>
  <c r="O31" i="23"/>
  <c r="N31" i="23"/>
  <c r="E31" i="23"/>
  <c r="D31" i="23"/>
  <c r="L31" i="23" s="1"/>
  <c r="C31" i="23"/>
  <c r="W30" i="23"/>
  <c r="T30" i="23"/>
  <c r="S30" i="23"/>
  <c r="R30" i="23"/>
  <c r="Q30" i="23"/>
  <c r="P30" i="23"/>
  <c r="V30" i="23" s="1"/>
  <c r="O30" i="23"/>
  <c r="N30" i="23"/>
  <c r="U30" i="23" s="1"/>
  <c r="M30" i="23"/>
  <c r="L30" i="23"/>
  <c r="E30" i="23"/>
  <c r="D30" i="23"/>
  <c r="C30" i="23"/>
  <c r="S29" i="23"/>
  <c r="R29" i="23"/>
  <c r="Q29" i="23"/>
  <c r="T29" i="23" s="1"/>
  <c r="P29" i="23"/>
  <c r="W29" i="23" s="1"/>
  <c r="O29" i="23"/>
  <c r="U29" i="23" s="1"/>
  <c r="N29" i="23"/>
  <c r="M29" i="23"/>
  <c r="L29" i="23"/>
  <c r="E29" i="23"/>
  <c r="D29" i="23"/>
  <c r="C29" i="23"/>
  <c r="S28" i="23"/>
  <c r="R28" i="23"/>
  <c r="Q28" i="23"/>
  <c r="P28" i="23"/>
  <c r="V28" i="23" s="1"/>
  <c r="O28" i="23"/>
  <c r="U28" i="23" s="1"/>
  <c r="N28" i="23"/>
  <c r="E28" i="23"/>
  <c r="D28" i="23"/>
  <c r="L28" i="23" s="1"/>
  <c r="C28" i="23"/>
  <c r="U27" i="23"/>
  <c r="T27" i="23"/>
  <c r="S27" i="23"/>
  <c r="R27" i="23"/>
  <c r="Q27" i="23"/>
  <c r="P27" i="23"/>
  <c r="V27" i="23" s="1"/>
  <c r="O27" i="23"/>
  <c r="N27" i="23"/>
  <c r="M27" i="23"/>
  <c r="E27" i="23"/>
  <c r="D27" i="23"/>
  <c r="L27" i="23" s="1"/>
  <c r="C27" i="23"/>
  <c r="X26" i="23"/>
  <c r="W26" i="23"/>
  <c r="V26" i="23"/>
  <c r="S26" i="23"/>
  <c r="R26" i="23"/>
  <c r="Q26" i="23"/>
  <c r="T26" i="23" s="1"/>
  <c r="P26" i="23"/>
  <c r="O26" i="23"/>
  <c r="U26" i="23" s="1"/>
  <c r="N26" i="23"/>
  <c r="L26" i="23"/>
  <c r="E26" i="23"/>
  <c r="M26" i="23" s="1"/>
  <c r="D26" i="23"/>
  <c r="C26" i="23"/>
  <c r="V25" i="23"/>
  <c r="S25" i="23"/>
  <c r="R25" i="23"/>
  <c r="T25" i="23" s="1"/>
  <c r="Q25" i="23"/>
  <c r="P25" i="23"/>
  <c r="O25" i="23"/>
  <c r="N25" i="23"/>
  <c r="U25" i="23" s="1"/>
  <c r="E25" i="23"/>
  <c r="D25" i="23"/>
  <c r="L25" i="23" s="1"/>
  <c r="C25" i="23"/>
  <c r="W24" i="23"/>
  <c r="T24" i="23"/>
  <c r="S24" i="23"/>
  <c r="R24" i="23"/>
  <c r="Q24" i="23"/>
  <c r="P24" i="23"/>
  <c r="V24" i="23" s="1"/>
  <c r="O24" i="23"/>
  <c r="N24" i="23"/>
  <c r="U24" i="23" s="1"/>
  <c r="M24" i="23"/>
  <c r="L24" i="23"/>
  <c r="E24" i="23"/>
  <c r="D24" i="23"/>
  <c r="C24" i="23"/>
  <c r="S23" i="23"/>
  <c r="R23" i="23"/>
  <c r="Q23" i="23"/>
  <c r="T23" i="23" s="1"/>
  <c r="P23" i="23"/>
  <c r="O23" i="23"/>
  <c r="U23" i="23" s="1"/>
  <c r="N23" i="23"/>
  <c r="M23" i="23"/>
  <c r="L23" i="23"/>
  <c r="E23" i="23"/>
  <c r="D23" i="23"/>
  <c r="C23" i="23"/>
  <c r="S22" i="23"/>
  <c r="R22" i="23"/>
  <c r="Q22" i="23"/>
  <c r="P22" i="23"/>
  <c r="V22" i="23" s="1"/>
  <c r="O22" i="23"/>
  <c r="U22" i="23" s="1"/>
  <c r="N22" i="23"/>
  <c r="E22" i="23"/>
  <c r="D22" i="23"/>
  <c r="L22" i="23" s="1"/>
  <c r="C22" i="23"/>
  <c r="U21" i="23"/>
  <c r="T21" i="23"/>
  <c r="S21" i="23"/>
  <c r="R21" i="23"/>
  <c r="Q21" i="23"/>
  <c r="P21" i="23"/>
  <c r="V21" i="23" s="1"/>
  <c r="O21" i="23"/>
  <c r="N21" i="23"/>
  <c r="M21" i="23"/>
  <c r="E21" i="23"/>
  <c r="D21" i="23"/>
  <c r="L21" i="23" s="1"/>
  <c r="C21" i="23"/>
  <c r="W20" i="23"/>
  <c r="V20" i="23"/>
  <c r="S20" i="23"/>
  <c r="R20" i="23"/>
  <c r="Q20" i="23"/>
  <c r="T20" i="23" s="1"/>
  <c r="P20" i="23"/>
  <c r="O20" i="23"/>
  <c r="U20" i="23" s="1"/>
  <c r="N20" i="23"/>
  <c r="L20" i="23"/>
  <c r="E20" i="23"/>
  <c r="M20" i="23" s="1"/>
  <c r="D20" i="23"/>
  <c r="C20" i="23"/>
  <c r="X19" i="23"/>
  <c r="V19" i="23"/>
  <c r="U19" i="23"/>
  <c r="T19" i="23"/>
  <c r="S19" i="23"/>
  <c r="R19" i="23"/>
  <c r="Q19" i="23"/>
  <c r="P19" i="23"/>
  <c r="O19" i="23"/>
  <c r="N19" i="23"/>
  <c r="E19" i="23"/>
  <c r="D19" i="23"/>
  <c r="L19" i="23" s="1"/>
  <c r="C19" i="23"/>
  <c r="W18" i="23"/>
  <c r="T18" i="23"/>
  <c r="S18" i="23"/>
  <c r="R18" i="23"/>
  <c r="Q18" i="23"/>
  <c r="P18" i="23"/>
  <c r="V18" i="23" s="1"/>
  <c r="O18" i="23"/>
  <c r="N18" i="23"/>
  <c r="U18" i="23" s="1"/>
  <c r="M18" i="23"/>
  <c r="L18" i="23"/>
  <c r="E18" i="23"/>
  <c r="D18" i="23"/>
  <c r="C18" i="23"/>
  <c r="S17" i="23"/>
  <c r="R17" i="23"/>
  <c r="Q17" i="23"/>
  <c r="T17" i="23" s="1"/>
  <c r="P17" i="23"/>
  <c r="W17" i="23" s="1"/>
  <c r="O17" i="23"/>
  <c r="U17" i="23" s="1"/>
  <c r="N17" i="23"/>
  <c r="M17" i="23"/>
  <c r="L17" i="23"/>
  <c r="E17" i="23"/>
  <c r="D17" i="23"/>
  <c r="C17" i="23"/>
  <c r="S16" i="23"/>
  <c r="R16" i="23"/>
  <c r="Q16" i="23"/>
  <c r="P16" i="23"/>
  <c r="V16" i="23" s="1"/>
  <c r="O16" i="23"/>
  <c r="U16" i="23" s="1"/>
  <c r="N16" i="23"/>
  <c r="E16" i="23"/>
  <c r="D16" i="23"/>
  <c r="L16" i="23" s="1"/>
  <c r="C16" i="23"/>
  <c r="U15" i="23"/>
  <c r="T15" i="23"/>
  <c r="S15" i="23"/>
  <c r="R15" i="23"/>
  <c r="Q15" i="23"/>
  <c r="P15" i="23"/>
  <c r="V15" i="23" s="1"/>
  <c r="O15" i="23"/>
  <c r="N15" i="23"/>
  <c r="M15" i="23"/>
  <c r="E15" i="23"/>
  <c r="D15" i="23"/>
  <c r="L15" i="23" s="1"/>
  <c r="C15" i="23"/>
  <c r="X14" i="23"/>
  <c r="W14" i="23"/>
  <c r="V14" i="23"/>
  <c r="S14" i="23"/>
  <c r="R14" i="23"/>
  <c r="Q14" i="23"/>
  <c r="T14" i="23" s="1"/>
  <c r="P14" i="23"/>
  <c r="O14" i="23"/>
  <c r="U14" i="23" s="1"/>
  <c r="N14" i="23"/>
  <c r="L14" i="23"/>
  <c r="E14" i="23"/>
  <c r="M14" i="23" s="1"/>
  <c r="D14" i="23"/>
  <c r="C14" i="23"/>
  <c r="V13" i="23"/>
  <c r="S13" i="23"/>
  <c r="R13" i="23"/>
  <c r="T13" i="23" s="1"/>
  <c r="Q13" i="23"/>
  <c r="P13" i="23"/>
  <c r="O13" i="23"/>
  <c r="N13" i="23"/>
  <c r="U13" i="23" s="1"/>
  <c r="E13" i="23"/>
  <c r="D13" i="23"/>
  <c r="L13" i="23" s="1"/>
  <c r="C13" i="23"/>
  <c r="W12" i="23"/>
  <c r="T12" i="23"/>
  <c r="S12" i="23"/>
  <c r="R12" i="23"/>
  <c r="Q12" i="23"/>
  <c r="P12" i="23"/>
  <c r="V12" i="23" s="1"/>
  <c r="O12" i="23"/>
  <c r="N12" i="23"/>
  <c r="U12" i="23" s="1"/>
  <c r="M12" i="23"/>
  <c r="L12" i="23"/>
  <c r="E12" i="23"/>
  <c r="D12" i="23"/>
  <c r="C12" i="23"/>
  <c r="S11" i="23"/>
  <c r="R11" i="23"/>
  <c r="Q11" i="23"/>
  <c r="T11" i="23" s="1"/>
  <c r="P11" i="23"/>
  <c r="O11" i="23"/>
  <c r="U11" i="23" s="1"/>
  <c r="N11" i="23"/>
  <c r="M11" i="23"/>
  <c r="L11" i="23"/>
  <c r="E11" i="23"/>
  <c r="D11" i="23"/>
  <c r="C11" i="23"/>
  <c r="S10" i="23"/>
  <c r="R10" i="23"/>
  <c r="Q10" i="23"/>
  <c r="P10" i="23"/>
  <c r="V10" i="23" s="1"/>
  <c r="O10" i="23"/>
  <c r="U10" i="23" s="1"/>
  <c r="N10" i="23"/>
  <c r="E10" i="23"/>
  <c r="D10" i="23"/>
  <c r="L10" i="23" s="1"/>
  <c r="C10" i="23"/>
  <c r="U9" i="23"/>
  <c r="T9" i="23"/>
  <c r="S9" i="23"/>
  <c r="R9" i="23"/>
  <c r="Q9" i="23"/>
  <c r="P9" i="23"/>
  <c r="V9" i="23" s="1"/>
  <c r="O9" i="23"/>
  <c r="N9" i="23"/>
  <c r="M9" i="23"/>
  <c r="E9" i="23"/>
  <c r="D9" i="23"/>
  <c r="L9" i="23" s="1"/>
  <c r="C9" i="23"/>
  <c r="W8" i="23"/>
  <c r="V8" i="23"/>
  <c r="S8" i="23"/>
  <c r="R8" i="23"/>
  <c r="Q8" i="23"/>
  <c r="T8" i="23" s="1"/>
  <c r="P8" i="23"/>
  <c r="O8" i="23"/>
  <c r="U8" i="23" s="1"/>
  <c r="N8" i="23"/>
  <c r="L8" i="23"/>
  <c r="E8" i="23"/>
  <c r="M8" i="23" s="1"/>
  <c r="D8" i="23"/>
  <c r="C8" i="23"/>
  <c r="X7" i="23"/>
  <c r="V7" i="23"/>
  <c r="U7" i="23"/>
  <c r="T7" i="23"/>
  <c r="S7" i="23"/>
  <c r="R7" i="23"/>
  <c r="Q7" i="23"/>
  <c r="P7" i="23"/>
  <c r="O7" i="23"/>
  <c r="N7" i="23"/>
  <c r="E7" i="23"/>
  <c r="D7" i="23"/>
  <c r="L7" i="23" s="1"/>
  <c r="C7" i="23"/>
  <c r="W6" i="23"/>
  <c r="T6" i="23"/>
  <c r="S6" i="23"/>
  <c r="R6" i="23"/>
  <c r="Q6" i="23"/>
  <c r="P6" i="23"/>
  <c r="V6" i="23" s="1"/>
  <c r="O6" i="23"/>
  <c r="N6" i="23"/>
  <c r="M6" i="23"/>
  <c r="L6" i="23"/>
  <c r="E6" i="23"/>
  <c r="D6" i="23"/>
  <c r="D75" i="23" s="1"/>
  <c r="L75" i="23" s="1"/>
  <c r="C6" i="23"/>
  <c r="S5" i="23"/>
  <c r="R5" i="23"/>
  <c r="Q5" i="23"/>
  <c r="T5" i="23" s="1"/>
  <c r="P5" i="23"/>
  <c r="W5" i="23" s="1"/>
  <c r="O5" i="23"/>
  <c r="U5" i="23" s="1"/>
  <c r="N5" i="23"/>
  <c r="M5" i="23"/>
  <c r="L5" i="23"/>
  <c r="E5" i="23"/>
  <c r="D5" i="23"/>
  <c r="C5" i="23"/>
  <c r="S4" i="23"/>
  <c r="S75" i="23" s="1"/>
  <c r="R4" i="23"/>
  <c r="R75" i="23" s="1"/>
  <c r="Q4" i="23"/>
  <c r="P4" i="23"/>
  <c r="O4" i="23"/>
  <c r="O75" i="23" s="1"/>
  <c r="N4" i="23"/>
  <c r="E4" i="23"/>
  <c r="D4" i="23"/>
  <c r="L4" i="23" s="1"/>
  <c r="C4" i="23"/>
  <c r="AR44" i="34"/>
  <c r="AQ44" i="34"/>
  <c r="AP44" i="34"/>
  <c r="AI44" i="34"/>
  <c r="AH44" i="34"/>
  <c r="AG44" i="34"/>
  <c r="AB44" i="34"/>
  <c r="AA44" i="34"/>
  <c r="Z44" i="34"/>
  <c r="Y44" i="34"/>
  <c r="X44" i="34"/>
  <c r="W44" i="34"/>
  <c r="L44" i="34"/>
  <c r="J44" i="34"/>
  <c r="I44" i="34"/>
  <c r="H44" i="34"/>
  <c r="G44" i="34"/>
  <c r="F44" i="34"/>
  <c r="E44" i="34"/>
  <c r="D44" i="34"/>
  <c r="C44" i="34"/>
  <c r="BC42" i="34"/>
  <c r="BB42" i="34"/>
  <c r="AX42" i="34"/>
  <c r="AY42" i="34" s="1"/>
  <c r="AW42" i="34"/>
  <c r="AV42" i="34"/>
  <c r="AU42" i="34"/>
  <c r="AT42" i="34"/>
  <c r="AS42" i="34"/>
  <c r="AN42" i="34"/>
  <c r="AM42" i="34"/>
  <c r="AL42" i="34"/>
  <c r="AK42" i="34"/>
  <c r="AJ42" i="34"/>
  <c r="AO42" i="34" s="1"/>
  <c r="AF42" i="34"/>
  <c r="AE42" i="34"/>
  <c r="AD42" i="34"/>
  <c r="AC42" i="34"/>
  <c r="V42" i="34"/>
  <c r="T42" i="34"/>
  <c r="U42" i="34" s="1"/>
  <c r="S42" i="34"/>
  <c r="R42" i="34"/>
  <c r="Q42" i="34"/>
  <c r="P42" i="34"/>
  <c r="O42" i="34"/>
  <c r="N42" i="34"/>
  <c r="M42" i="34"/>
  <c r="K42" i="34"/>
  <c r="BB41" i="34"/>
  <c r="AW41" i="34"/>
  <c r="AV41" i="34"/>
  <c r="AU41" i="34"/>
  <c r="AT41" i="34"/>
  <c r="AS41" i="34"/>
  <c r="BC41" i="34" s="1"/>
  <c r="AN41" i="34"/>
  <c r="AM41" i="34"/>
  <c r="AL41" i="34"/>
  <c r="AK41" i="34"/>
  <c r="AJ41" i="34"/>
  <c r="AO41" i="34" s="1"/>
  <c r="AF41" i="34"/>
  <c r="AE41" i="34"/>
  <c r="AD41" i="34"/>
  <c r="AC41" i="34"/>
  <c r="V41" i="34"/>
  <c r="T41" i="34"/>
  <c r="U41" i="34" s="1"/>
  <c r="S41" i="34"/>
  <c r="R41" i="34"/>
  <c r="Q41" i="34"/>
  <c r="P41" i="34"/>
  <c r="O41" i="34"/>
  <c r="N41" i="34"/>
  <c r="M41" i="34"/>
  <c r="K41" i="34"/>
  <c r="BB40" i="34"/>
  <c r="AW40" i="34"/>
  <c r="AV40" i="34"/>
  <c r="AU40" i="34"/>
  <c r="AT40" i="34"/>
  <c r="AS40" i="34"/>
  <c r="AX40" i="34" s="1"/>
  <c r="AY40" i="34" s="1"/>
  <c r="AO40" i="34"/>
  <c r="AN40" i="34"/>
  <c r="AM40" i="34"/>
  <c r="AL40" i="34"/>
  <c r="AK40" i="34"/>
  <c r="AJ40" i="34"/>
  <c r="AF40" i="34"/>
  <c r="AE40" i="34"/>
  <c r="AD40" i="34"/>
  <c r="AC40" i="34"/>
  <c r="V40" i="34"/>
  <c r="T40" i="34"/>
  <c r="U40" i="34" s="1"/>
  <c r="S40" i="34"/>
  <c r="R40" i="34"/>
  <c r="Q40" i="34"/>
  <c r="P40" i="34"/>
  <c r="O40" i="34"/>
  <c r="N40" i="34"/>
  <c r="M40" i="34"/>
  <c r="K40" i="34"/>
  <c r="BC39" i="34"/>
  <c r="BB39" i="34"/>
  <c r="AW39" i="34"/>
  <c r="AV39" i="34"/>
  <c r="AU39" i="34"/>
  <c r="AT39" i="34"/>
  <c r="AS39" i="34"/>
  <c r="AX39" i="34" s="1"/>
  <c r="AY39" i="34" s="1"/>
  <c r="AN39" i="34"/>
  <c r="AM39" i="34"/>
  <c r="AL39" i="34"/>
  <c r="AK39" i="34"/>
  <c r="AJ39" i="34"/>
  <c r="AO39" i="34" s="1"/>
  <c r="AF39" i="34"/>
  <c r="AE39" i="34"/>
  <c r="AD39" i="34"/>
  <c r="AC39" i="34"/>
  <c r="V39" i="34"/>
  <c r="T39" i="34"/>
  <c r="U39" i="34" s="1"/>
  <c r="S39" i="34"/>
  <c r="R39" i="34"/>
  <c r="Q39" i="34"/>
  <c r="P39" i="34"/>
  <c r="O39" i="34"/>
  <c r="N39" i="34"/>
  <c r="M39" i="34"/>
  <c r="K39" i="34"/>
  <c r="BB38" i="34"/>
  <c r="AW38" i="34"/>
  <c r="AV38" i="34"/>
  <c r="AU38" i="34"/>
  <c r="AT38" i="34"/>
  <c r="AS38" i="34"/>
  <c r="AX38" i="34" s="1"/>
  <c r="AY38" i="34" s="1"/>
  <c r="AN38" i="34"/>
  <c r="AM38" i="34"/>
  <c r="AL38" i="34"/>
  <c r="AK38" i="34"/>
  <c r="AO38" i="34" s="1"/>
  <c r="AJ38" i="34"/>
  <c r="AF38" i="34"/>
  <c r="AE38" i="34"/>
  <c r="AD38" i="34"/>
  <c r="AC38" i="34"/>
  <c r="V38" i="34"/>
  <c r="T38" i="34"/>
  <c r="U38" i="34" s="1"/>
  <c r="S38" i="34"/>
  <c r="R38" i="34"/>
  <c r="Q38" i="34"/>
  <c r="P38" i="34"/>
  <c r="O38" i="34"/>
  <c r="N38" i="34"/>
  <c r="M38" i="34"/>
  <c r="K38" i="34"/>
  <c r="BC37" i="34"/>
  <c r="BB37" i="34"/>
  <c r="AX37" i="34"/>
  <c r="AW37" i="34"/>
  <c r="AV37" i="34"/>
  <c r="AU37" i="34"/>
  <c r="AT37" i="34"/>
  <c r="AS37" i="34"/>
  <c r="AN37" i="34"/>
  <c r="AM37" i="34"/>
  <c r="AL37" i="34"/>
  <c r="AK37" i="34"/>
  <c r="AJ37" i="34"/>
  <c r="AO37" i="34" s="1"/>
  <c r="AF37" i="34"/>
  <c r="AE37" i="34"/>
  <c r="AD37" i="34"/>
  <c r="AC37" i="34"/>
  <c r="V37" i="34"/>
  <c r="T37" i="34"/>
  <c r="U37" i="34" s="1"/>
  <c r="S37" i="34"/>
  <c r="R37" i="34"/>
  <c r="Q37" i="34"/>
  <c r="P37" i="34"/>
  <c r="O37" i="34"/>
  <c r="N37" i="34"/>
  <c r="M37" i="34"/>
  <c r="K37" i="34"/>
  <c r="BB36" i="34"/>
  <c r="AW36" i="34"/>
  <c r="AV36" i="34"/>
  <c r="AU36" i="34"/>
  <c r="AT36" i="34"/>
  <c r="AS36" i="34"/>
  <c r="BC36" i="34" s="1"/>
  <c r="AN36" i="34"/>
  <c r="AM36" i="34"/>
  <c r="AL36" i="34"/>
  <c r="AK36" i="34"/>
  <c r="AJ36" i="34"/>
  <c r="AO36" i="34" s="1"/>
  <c r="AF36" i="34"/>
  <c r="AE36" i="34"/>
  <c r="AD36" i="34"/>
  <c r="AC36" i="34"/>
  <c r="V36" i="34"/>
  <c r="T36" i="34"/>
  <c r="U36" i="34" s="1"/>
  <c r="S36" i="34"/>
  <c r="R36" i="34"/>
  <c r="Q36" i="34"/>
  <c r="P36" i="34"/>
  <c r="O36" i="34"/>
  <c r="N36" i="34"/>
  <c r="M36" i="34"/>
  <c r="K36" i="34"/>
  <c r="BC35" i="34"/>
  <c r="BB35" i="34"/>
  <c r="AX35" i="34"/>
  <c r="AY35" i="34" s="1"/>
  <c r="AW35" i="34"/>
  <c r="AV35" i="34"/>
  <c r="AU35" i="34"/>
  <c r="AT35" i="34"/>
  <c r="AZ35" i="34" s="1"/>
  <c r="AS35" i="34"/>
  <c r="AN35" i="34"/>
  <c r="AM35" i="34"/>
  <c r="AL35" i="34"/>
  <c r="AK35" i="34"/>
  <c r="AJ35" i="34"/>
  <c r="AO35" i="34" s="1"/>
  <c r="BA35" i="34" s="1"/>
  <c r="AF35" i="34"/>
  <c r="AE35" i="34"/>
  <c r="AD35" i="34"/>
  <c r="AC35" i="34"/>
  <c r="V35" i="34"/>
  <c r="T35" i="34"/>
  <c r="U35" i="34" s="1"/>
  <c r="S35" i="34"/>
  <c r="R35" i="34"/>
  <c r="Q35" i="34"/>
  <c r="P35" i="34"/>
  <c r="O35" i="34"/>
  <c r="N35" i="34"/>
  <c r="M35" i="34"/>
  <c r="K35" i="34"/>
  <c r="BB34" i="34"/>
  <c r="AW34" i="34"/>
  <c r="AV34" i="34"/>
  <c r="AU34" i="34"/>
  <c r="AT34" i="34"/>
  <c r="AS34" i="34"/>
  <c r="BC34" i="34" s="1"/>
  <c r="AN34" i="34"/>
  <c r="AM34" i="34"/>
  <c r="AL34" i="34"/>
  <c r="AK34" i="34"/>
  <c r="AJ34" i="34"/>
  <c r="AO34" i="34" s="1"/>
  <c r="AF34" i="34"/>
  <c r="AE34" i="34"/>
  <c r="AD34" i="34"/>
  <c r="AC34" i="34"/>
  <c r="V34" i="34"/>
  <c r="T34" i="34"/>
  <c r="U34" i="34" s="1"/>
  <c r="S34" i="34"/>
  <c r="R34" i="34"/>
  <c r="Q34" i="34"/>
  <c r="P34" i="34"/>
  <c r="O34" i="34"/>
  <c r="N34" i="34"/>
  <c r="M34" i="34"/>
  <c r="K34" i="34"/>
  <c r="BB33" i="34"/>
  <c r="AW33" i="34"/>
  <c r="AV33" i="34"/>
  <c r="AU33" i="34"/>
  <c r="AT33" i="34"/>
  <c r="AS33" i="34"/>
  <c r="BC33" i="34" s="1"/>
  <c r="AN33" i="34"/>
  <c r="AM33" i="34"/>
  <c r="AO33" i="34" s="1"/>
  <c r="AL33" i="34"/>
  <c r="AK33" i="34"/>
  <c r="AJ33" i="34"/>
  <c r="AF33" i="34"/>
  <c r="AE33" i="34"/>
  <c r="AD33" i="34"/>
  <c r="AC33" i="34"/>
  <c r="V33" i="34"/>
  <c r="T33" i="34"/>
  <c r="U33" i="34" s="1"/>
  <c r="S33" i="34"/>
  <c r="R33" i="34"/>
  <c r="Q33" i="34"/>
  <c r="P33" i="34"/>
  <c r="O33" i="34"/>
  <c r="N33" i="34"/>
  <c r="M33" i="34"/>
  <c r="K33" i="34"/>
  <c r="BC32" i="34"/>
  <c r="BB32" i="34"/>
  <c r="AW32" i="34"/>
  <c r="AV32" i="34"/>
  <c r="AU32" i="34"/>
  <c r="AT32" i="34"/>
  <c r="AS32" i="34"/>
  <c r="AX32" i="34" s="1"/>
  <c r="AN32" i="34"/>
  <c r="AM32" i="34"/>
  <c r="AL32" i="34"/>
  <c r="AK32" i="34"/>
  <c r="AJ32" i="34"/>
  <c r="AO32" i="34" s="1"/>
  <c r="AF32" i="34"/>
  <c r="AE32" i="34"/>
  <c r="AD32" i="34"/>
  <c r="AC32" i="34"/>
  <c r="V32" i="34"/>
  <c r="T32" i="34"/>
  <c r="U32" i="34" s="1"/>
  <c r="S32" i="34"/>
  <c r="R32" i="34"/>
  <c r="Q32" i="34"/>
  <c r="P32" i="34"/>
  <c r="O32" i="34"/>
  <c r="N32" i="34"/>
  <c r="M32" i="34"/>
  <c r="K32" i="34"/>
  <c r="BB31" i="34"/>
  <c r="AW31" i="34"/>
  <c r="AV31" i="34"/>
  <c r="AU31" i="34"/>
  <c r="AT31" i="34"/>
  <c r="AS31" i="34"/>
  <c r="AX31" i="34" s="1"/>
  <c r="AY31" i="34" s="1"/>
  <c r="AN31" i="34"/>
  <c r="AM31" i="34"/>
  <c r="AL31" i="34"/>
  <c r="AK31" i="34"/>
  <c r="AJ31" i="34"/>
  <c r="AO31" i="34" s="1"/>
  <c r="AF31" i="34"/>
  <c r="AE31" i="34"/>
  <c r="AD31" i="34"/>
  <c r="AC31" i="34"/>
  <c r="V31" i="34"/>
  <c r="U31" i="34"/>
  <c r="T31" i="34"/>
  <c r="S31" i="34"/>
  <c r="R31" i="34"/>
  <c r="Q31" i="34"/>
  <c r="P31" i="34"/>
  <c r="O31" i="34"/>
  <c r="N31" i="34"/>
  <c r="M31" i="34"/>
  <c r="K31" i="34"/>
  <c r="BC30" i="34"/>
  <c r="BB30" i="34"/>
  <c r="AX30" i="34"/>
  <c r="AY30" i="34" s="1"/>
  <c r="AW30" i="34"/>
  <c r="AV30" i="34"/>
  <c r="AZ30" i="34" s="1"/>
  <c r="AU30" i="34"/>
  <c r="AT30" i="34"/>
  <c r="AS30" i="34"/>
  <c r="AN30" i="34"/>
  <c r="AM30" i="34"/>
  <c r="AL30" i="34"/>
  <c r="AK30" i="34"/>
  <c r="AJ30" i="34"/>
  <c r="AO30" i="34" s="1"/>
  <c r="AF30" i="34"/>
  <c r="AE30" i="34"/>
  <c r="AD30" i="34"/>
  <c r="AC30" i="34"/>
  <c r="V30" i="34"/>
  <c r="T30" i="34"/>
  <c r="U30" i="34" s="1"/>
  <c r="S30" i="34"/>
  <c r="R30" i="34"/>
  <c r="Q30" i="34"/>
  <c r="P30" i="34"/>
  <c r="O30" i="34"/>
  <c r="N30" i="34"/>
  <c r="M30" i="34"/>
  <c r="K30" i="34"/>
  <c r="BB29" i="34"/>
  <c r="AW29" i="34"/>
  <c r="AV29" i="34"/>
  <c r="AU29" i="34"/>
  <c r="AT29" i="34"/>
  <c r="AS29" i="34"/>
  <c r="BC29" i="34" s="1"/>
  <c r="AN29" i="34"/>
  <c r="AM29" i="34"/>
  <c r="AL29" i="34"/>
  <c r="AK29" i="34"/>
  <c r="AJ29" i="34"/>
  <c r="AO29" i="34" s="1"/>
  <c r="AF29" i="34"/>
  <c r="AE29" i="34"/>
  <c r="AD29" i="34"/>
  <c r="AC29" i="34"/>
  <c r="V29" i="34"/>
  <c r="T29" i="34"/>
  <c r="U29" i="34" s="1"/>
  <c r="S29" i="34"/>
  <c r="R29" i="34"/>
  <c r="Q29" i="34"/>
  <c r="P29" i="34"/>
  <c r="O29" i="34"/>
  <c r="N29" i="34"/>
  <c r="M29" i="34"/>
  <c r="K29" i="34"/>
  <c r="BB28" i="34"/>
  <c r="AW28" i="34"/>
  <c r="AV28" i="34"/>
  <c r="AU28" i="34"/>
  <c r="AT28" i="34"/>
  <c r="AS28" i="34"/>
  <c r="AX28" i="34" s="1"/>
  <c r="AY28" i="34" s="1"/>
  <c r="AO28" i="34"/>
  <c r="AN28" i="34"/>
  <c r="AM28" i="34"/>
  <c r="AL28" i="34"/>
  <c r="AK28" i="34"/>
  <c r="AJ28" i="34"/>
  <c r="AF28" i="34"/>
  <c r="AE28" i="34"/>
  <c r="AD28" i="34"/>
  <c r="AC28" i="34"/>
  <c r="V28" i="34"/>
  <c r="T28" i="34"/>
  <c r="U28" i="34" s="1"/>
  <c r="S28" i="34"/>
  <c r="R28" i="34"/>
  <c r="Q28" i="34"/>
  <c r="P28" i="34"/>
  <c r="O28" i="34"/>
  <c r="N28" i="34"/>
  <c r="M28" i="34"/>
  <c r="K28" i="34"/>
  <c r="BC27" i="34"/>
  <c r="BB27" i="34"/>
  <c r="AW27" i="34"/>
  <c r="AV27" i="34"/>
  <c r="AU27" i="34"/>
  <c r="AT27" i="34"/>
  <c r="AS27" i="34"/>
  <c r="AX27" i="34" s="1"/>
  <c r="AY27" i="34" s="1"/>
  <c r="AN27" i="34"/>
  <c r="AM27" i="34"/>
  <c r="AL27" i="34"/>
  <c r="AK27" i="34"/>
  <c r="AJ27" i="34"/>
  <c r="AO27" i="34" s="1"/>
  <c r="AF27" i="34"/>
  <c r="AE27" i="34"/>
  <c r="AD27" i="34"/>
  <c r="AC27" i="34"/>
  <c r="V27" i="34"/>
  <c r="T27" i="34"/>
  <c r="U27" i="34" s="1"/>
  <c r="S27" i="34"/>
  <c r="R27" i="34"/>
  <c r="Q27" i="34"/>
  <c r="P27" i="34"/>
  <c r="O27" i="34"/>
  <c r="N27" i="34"/>
  <c r="M27" i="34"/>
  <c r="K27" i="34"/>
  <c r="BB26" i="34"/>
  <c r="AW26" i="34"/>
  <c r="AV26" i="34"/>
  <c r="AU26" i="34"/>
  <c r="AT26" i="34"/>
  <c r="AZ26" i="34" s="1"/>
  <c r="AS26" i="34"/>
  <c r="AX26" i="34" s="1"/>
  <c r="AY26" i="34" s="1"/>
  <c r="AN26" i="34"/>
  <c r="AM26" i="34"/>
  <c r="AL26" i="34"/>
  <c r="AK26" i="34"/>
  <c r="AO26" i="34" s="1"/>
  <c r="AJ26" i="34"/>
  <c r="AF26" i="34"/>
  <c r="AE26" i="34"/>
  <c r="AD26" i="34"/>
  <c r="AC26" i="34"/>
  <c r="V26" i="34"/>
  <c r="T26" i="34"/>
  <c r="U26" i="34" s="1"/>
  <c r="S26" i="34"/>
  <c r="R26" i="34"/>
  <c r="Q26" i="34"/>
  <c r="P26" i="34"/>
  <c r="O26" i="34"/>
  <c r="N26" i="34"/>
  <c r="M26" i="34"/>
  <c r="K26" i="34"/>
  <c r="BC25" i="34"/>
  <c r="BB25" i="34"/>
  <c r="AX25" i="34"/>
  <c r="AW25" i="34"/>
  <c r="AV25" i="34"/>
  <c r="AU25" i="34"/>
  <c r="AT25" i="34"/>
  <c r="AS25" i="34"/>
  <c r="AN25" i="34"/>
  <c r="AM25" i="34"/>
  <c r="AL25" i="34"/>
  <c r="AK25" i="34"/>
  <c r="AJ25" i="34"/>
  <c r="AO25" i="34" s="1"/>
  <c r="AF25" i="34"/>
  <c r="AE25" i="34"/>
  <c r="AD25" i="34"/>
  <c r="AC25" i="34"/>
  <c r="V25" i="34"/>
  <c r="T25" i="34"/>
  <c r="U25" i="34" s="1"/>
  <c r="S25" i="34"/>
  <c r="R25" i="34"/>
  <c r="Q25" i="34"/>
  <c r="P25" i="34"/>
  <c r="O25" i="34"/>
  <c r="N25" i="34"/>
  <c r="M25" i="34"/>
  <c r="K25" i="34"/>
  <c r="BB24" i="34"/>
  <c r="AW24" i="34"/>
  <c r="AV24" i="34"/>
  <c r="AU24" i="34"/>
  <c r="AT24" i="34"/>
  <c r="AS24" i="34"/>
  <c r="AX24" i="34" s="1"/>
  <c r="AY24" i="34" s="1"/>
  <c r="AN24" i="34"/>
  <c r="AM24" i="34"/>
  <c r="AL24" i="34"/>
  <c r="AK24" i="34"/>
  <c r="AJ24" i="34"/>
  <c r="AO24" i="34" s="1"/>
  <c r="AF24" i="34"/>
  <c r="AE24" i="34"/>
  <c r="AD24" i="34"/>
  <c r="AC24" i="34"/>
  <c r="V24" i="34"/>
  <c r="T24" i="34"/>
  <c r="U24" i="34" s="1"/>
  <c r="S24" i="34"/>
  <c r="R24" i="34"/>
  <c r="Q24" i="34"/>
  <c r="P24" i="34"/>
  <c r="O24" i="34"/>
  <c r="N24" i="34"/>
  <c r="M24" i="34"/>
  <c r="K24" i="34"/>
  <c r="BC23" i="34"/>
  <c r="BB23" i="34"/>
  <c r="AX23" i="34"/>
  <c r="AY23" i="34" s="1"/>
  <c r="AW23" i="34"/>
  <c r="AV23" i="34"/>
  <c r="AU23" i="34"/>
  <c r="AT23" i="34"/>
  <c r="AS23" i="34"/>
  <c r="AN23" i="34"/>
  <c r="AM23" i="34"/>
  <c r="AL23" i="34"/>
  <c r="AK23" i="34"/>
  <c r="AJ23" i="34"/>
  <c r="AO23" i="34" s="1"/>
  <c r="AF23" i="34"/>
  <c r="AE23" i="34"/>
  <c r="AD23" i="34"/>
  <c r="AC23" i="34"/>
  <c r="V23" i="34"/>
  <c r="T23" i="34"/>
  <c r="U23" i="34" s="1"/>
  <c r="S23" i="34"/>
  <c r="R23" i="34"/>
  <c r="Q23" i="34"/>
  <c r="P23" i="34"/>
  <c r="O23" i="34"/>
  <c r="N23" i="34"/>
  <c r="M23" i="34"/>
  <c r="K23" i="34"/>
  <c r="BB22" i="34"/>
  <c r="AW22" i="34"/>
  <c r="AV22" i="34"/>
  <c r="AU22" i="34"/>
  <c r="AT22" i="34"/>
  <c r="AS22" i="34"/>
  <c r="BC22" i="34" s="1"/>
  <c r="AN22" i="34"/>
  <c r="AM22" i="34"/>
  <c r="AL22" i="34"/>
  <c r="AK22" i="34"/>
  <c r="AJ22" i="34"/>
  <c r="AO22" i="34" s="1"/>
  <c r="AF22" i="34"/>
  <c r="AE22" i="34"/>
  <c r="AD22" i="34"/>
  <c r="AC22" i="34"/>
  <c r="V22" i="34"/>
  <c r="T22" i="34"/>
  <c r="U22" i="34" s="1"/>
  <c r="S22" i="34"/>
  <c r="R22" i="34"/>
  <c r="Q22" i="34"/>
  <c r="P22" i="34"/>
  <c r="O22" i="34"/>
  <c r="N22" i="34"/>
  <c r="M22" i="34"/>
  <c r="K22" i="34"/>
  <c r="BB21" i="34"/>
  <c r="AW21" i="34"/>
  <c r="AV21" i="34"/>
  <c r="AU21" i="34"/>
  <c r="AT21" i="34"/>
  <c r="AS21" i="34"/>
  <c r="BC21" i="34" s="1"/>
  <c r="AN21" i="34"/>
  <c r="AM21" i="34"/>
  <c r="AO21" i="34" s="1"/>
  <c r="AL21" i="34"/>
  <c r="AK21" i="34"/>
  <c r="AJ21" i="34"/>
  <c r="AF21" i="34"/>
  <c r="AE21" i="34"/>
  <c r="AD21" i="34"/>
  <c r="AC21" i="34"/>
  <c r="V21" i="34"/>
  <c r="T21" i="34"/>
  <c r="U21" i="34" s="1"/>
  <c r="S21" i="34"/>
  <c r="R21" i="34"/>
  <c r="Q21" i="34"/>
  <c r="P21" i="34"/>
  <c r="O21" i="34"/>
  <c r="N21" i="34"/>
  <c r="M21" i="34"/>
  <c r="K21" i="34"/>
  <c r="BC20" i="34"/>
  <c r="BB20" i="34"/>
  <c r="AW20" i="34"/>
  <c r="AV20" i="34"/>
  <c r="AU20" i="34"/>
  <c r="AT20" i="34"/>
  <c r="AS20" i="34"/>
  <c r="AX20" i="34" s="1"/>
  <c r="AN20" i="34"/>
  <c r="AM20" i="34"/>
  <c r="AL20" i="34"/>
  <c r="AK20" i="34"/>
  <c r="AJ20" i="34"/>
  <c r="AO20" i="34" s="1"/>
  <c r="AF20" i="34"/>
  <c r="AE20" i="34"/>
  <c r="AD20" i="34"/>
  <c r="AC20" i="34"/>
  <c r="V20" i="34"/>
  <c r="T20" i="34"/>
  <c r="U20" i="34" s="1"/>
  <c r="S20" i="34"/>
  <c r="R20" i="34"/>
  <c r="Q20" i="34"/>
  <c r="P20" i="34"/>
  <c r="O20" i="34"/>
  <c r="N20" i="34"/>
  <c r="M20" i="34"/>
  <c r="K20" i="34"/>
  <c r="BB19" i="34"/>
  <c r="AW19" i="34"/>
  <c r="AV19" i="34"/>
  <c r="AU19" i="34"/>
  <c r="AT19" i="34"/>
  <c r="AS19" i="34"/>
  <c r="AX19" i="34" s="1"/>
  <c r="AY19" i="34" s="1"/>
  <c r="AN19" i="34"/>
  <c r="AM19" i="34"/>
  <c r="AL19" i="34"/>
  <c r="AK19" i="34"/>
  <c r="AJ19" i="34"/>
  <c r="AO19" i="34" s="1"/>
  <c r="AF19" i="34"/>
  <c r="AE19" i="34"/>
  <c r="AD19" i="34"/>
  <c r="AC19" i="34"/>
  <c r="V19" i="34"/>
  <c r="U19" i="34"/>
  <c r="T19" i="34"/>
  <c r="S19" i="34"/>
  <c r="R19" i="34"/>
  <c r="Q19" i="34"/>
  <c r="P19" i="34"/>
  <c r="O19" i="34"/>
  <c r="N19" i="34"/>
  <c r="M19" i="34"/>
  <c r="K19" i="34"/>
  <c r="BC18" i="34"/>
  <c r="BB18" i="34"/>
  <c r="AX18" i="34"/>
  <c r="AY18" i="34" s="1"/>
  <c r="AW18" i="34"/>
  <c r="AV18" i="34"/>
  <c r="AZ18" i="34" s="1"/>
  <c r="AU18" i="34"/>
  <c r="AT18" i="34"/>
  <c r="AS18" i="34"/>
  <c r="AN18" i="34"/>
  <c r="AM18" i="34"/>
  <c r="AL18" i="34"/>
  <c r="AK18" i="34"/>
  <c r="AJ18" i="34"/>
  <c r="AO18" i="34" s="1"/>
  <c r="AF18" i="34"/>
  <c r="AE18" i="34"/>
  <c r="AD18" i="34"/>
  <c r="AC18" i="34"/>
  <c r="V18" i="34"/>
  <c r="T18" i="34"/>
  <c r="U18" i="34" s="1"/>
  <c r="S18" i="34"/>
  <c r="R18" i="34"/>
  <c r="Q18" i="34"/>
  <c r="P18" i="34"/>
  <c r="O18" i="34"/>
  <c r="N18" i="34"/>
  <c r="M18" i="34"/>
  <c r="K18" i="34"/>
  <c r="BB17" i="34"/>
  <c r="AW17" i="34"/>
  <c r="AV17" i="34"/>
  <c r="AU17" i="34"/>
  <c r="AT17" i="34"/>
  <c r="AS17" i="34"/>
  <c r="BC17" i="34" s="1"/>
  <c r="AN17" i="34"/>
  <c r="AM17" i="34"/>
  <c r="AL17" i="34"/>
  <c r="AK17" i="34"/>
  <c r="AJ17" i="34"/>
  <c r="AO17" i="34" s="1"/>
  <c r="AF17" i="34"/>
  <c r="AE17" i="34"/>
  <c r="AD17" i="34"/>
  <c r="AC17" i="34"/>
  <c r="V17" i="34"/>
  <c r="T17" i="34"/>
  <c r="U17" i="34" s="1"/>
  <c r="S17" i="34"/>
  <c r="R17" i="34"/>
  <c r="Q17" i="34"/>
  <c r="P17" i="34"/>
  <c r="O17" i="34"/>
  <c r="N17" i="34"/>
  <c r="M17" i="34"/>
  <c r="K17" i="34"/>
  <c r="BB16" i="34"/>
  <c r="AW16" i="34"/>
  <c r="AV16" i="34"/>
  <c r="AU16" i="34"/>
  <c r="AT16" i="34"/>
  <c r="AS16" i="34"/>
  <c r="BC16" i="34" s="1"/>
  <c r="AO16" i="34"/>
  <c r="AN16" i="34"/>
  <c r="AM16" i="34"/>
  <c r="AL16" i="34"/>
  <c r="AK16" i="34"/>
  <c r="AJ16" i="34"/>
  <c r="AF16" i="34"/>
  <c r="AE16" i="34"/>
  <c r="AD16" i="34"/>
  <c r="AC16" i="34"/>
  <c r="V16" i="34"/>
  <c r="T16" i="34"/>
  <c r="U16" i="34" s="1"/>
  <c r="S16" i="34"/>
  <c r="R16" i="34"/>
  <c r="Q16" i="34"/>
  <c r="P16" i="34"/>
  <c r="O16" i="34"/>
  <c r="N16" i="34"/>
  <c r="M16" i="34"/>
  <c r="K16" i="34"/>
  <c r="BC15" i="34"/>
  <c r="BD15" i="34" s="1"/>
  <c r="BE15" i="34" s="1"/>
  <c r="BB15" i="34"/>
  <c r="AW15" i="34"/>
  <c r="AV15" i="34"/>
  <c r="AU15" i="34"/>
  <c r="AT15" i="34"/>
  <c r="AZ15" i="34" s="1"/>
  <c r="AS15" i="34"/>
  <c r="AX15" i="34" s="1"/>
  <c r="AY15" i="34" s="1"/>
  <c r="AN15" i="34"/>
  <c r="AM15" i="34"/>
  <c r="AL15" i="34"/>
  <c r="AK15" i="34"/>
  <c r="AJ15" i="34"/>
  <c r="AO15" i="34" s="1"/>
  <c r="BA15" i="34" s="1"/>
  <c r="AF15" i="34"/>
  <c r="AE15" i="34"/>
  <c r="AD15" i="34"/>
  <c r="AC15" i="34"/>
  <c r="V15" i="34"/>
  <c r="T15" i="34"/>
  <c r="U15" i="34" s="1"/>
  <c r="S15" i="34"/>
  <c r="R15" i="34"/>
  <c r="Q15" i="34"/>
  <c r="P15" i="34"/>
  <c r="O15" i="34"/>
  <c r="N15" i="34"/>
  <c r="M15" i="34"/>
  <c r="K15" i="34"/>
  <c r="BB14" i="34"/>
  <c r="AW14" i="34"/>
  <c r="AV14" i="34"/>
  <c r="AU14" i="34"/>
  <c r="AT14" i="34"/>
  <c r="AS14" i="34"/>
  <c r="AX14" i="34" s="1"/>
  <c r="AY14" i="34" s="1"/>
  <c r="AN14" i="34"/>
  <c r="AM14" i="34"/>
  <c r="AL14" i="34"/>
  <c r="AK14" i="34"/>
  <c r="AO14" i="34" s="1"/>
  <c r="AJ14" i="34"/>
  <c r="AF14" i="34"/>
  <c r="AE14" i="34"/>
  <c r="AD14" i="34"/>
  <c r="AC14" i="34"/>
  <c r="V14" i="34"/>
  <c r="T14" i="34"/>
  <c r="U14" i="34" s="1"/>
  <c r="S14" i="34"/>
  <c r="R14" i="34"/>
  <c r="Q14" i="34"/>
  <c r="P14" i="34"/>
  <c r="O14" i="34"/>
  <c r="N14" i="34"/>
  <c r="M14" i="34"/>
  <c r="K14" i="34"/>
  <c r="BC13" i="34"/>
  <c r="BB13" i="34"/>
  <c r="AX13" i="34"/>
  <c r="AW13" i="34"/>
  <c r="AV13" i="34"/>
  <c r="AU13" i="34"/>
  <c r="AT13" i="34"/>
  <c r="AS13" i="34"/>
  <c r="AN13" i="34"/>
  <c r="AM13" i="34"/>
  <c r="AL13" i="34"/>
  <c r="AK13" i="34"/>
  <c r="AJ13" i="34"/>
  <c r="AO13" i="34" s="1"/>
  <c r="AF13" i="34"/>
  <c r="AE13" i="34"/>
  <c r="AD13" i="34"/>
  <c r="AC13" i="34"/>
  <c r="V13" i="34"/>
  <c r="T13" i="34"/>
  <c r="U13" i="34" s="1"/>
  <c r="S13" i="34"/>
  <c r="R13" i="34"/>
  <c r="Q13" i="34"/>
  <c r="P13" i="34"/>
  <c r="O13" i="34"/>
  <c r="N13" i="34"/>
  <c r="M13" i="34"/>
  <c r="K13" i="34"/>
  <c r="BB12" i="34"/>
  <c r="AW12" i="34"/>
  <c r="AV12" i="34"/>
  <c r="AU12" i="34"/>
  <c r="AT12" i="34"/>
  <c r="AS12" i="34"/>
  <c r="AX12" i="34" s="1"/>
  <c r="AY12" i="34" s="1"/>
  <c r="AN12" i="34"/>
  <c r="AM12" i="34"/>
  <c r="AL12" i="34"/>
  <c r="AK12" i="34"/>
  <c r="AJ12" i="34"/>
  <c r="AO12" i="34" s="1"/>
  <c r="AF12" i="34"/>
  <c r="AE12" i="34"/>
  <c r="AD12" i="34"/>
  <c r="AC12" i="34"/>
  <c r="V12" i="34"/>
  <c r="T12" i="34"/>
  <c r="U12" i="34" s="1"/>
  <c r="S12" i="34"/>
  <c r="R12" i="34"/>
  <c r="Q12" i="34"/>
  <c r="P12" i="34"/>
  <c r="O12" i="34"/>
  <c r="N12" i="34"/>
  <c r="M12" i="34"/>
  <c r="K12" i="34"/>
  <c r="BC11" i="34"/>
  <c r="BB11" i="34"/>
  <c r="AX11" i="34"/>
  <c r="AY11" i="34" s="1"/>
  <c r="AW11" i="34"/>
  <c r="AV11" i="34"/>
  <c r="AU11" i="34"/>
  <c r="AT11" i="34"/>
  <c r="AZ11" i="34" s="1"/>
  <c r="AS11" i="34"/>
  <c r="AN11" i="34"/>
  <c r="AM11" i="34"/>
  <c r="AL11" i="34"/>
  <c r="AK11" i="34"/>
  <c r="AJ11" i="34"/>
  <c r="AO11" i="34" s="1"/>
  <c r="BA11" i="34" s="1"/>
  <c r="AF11" i="34"/>
  <c r="AE11" i="34"/>
  <c r="AD11" i="34"/>
  <c r="AC11" i="34"/>
  <c r="V11" i="34"/>
  <c r="T11" i="34"/>
  <c r="U11" i="34" s="1"/>
  <c r="S11" i="34"/>
  <c r="R11" i="34"/>
  <c r="Q11" i="34"/>
  <c r="P11" i="34"/>
  <c r="O11" i="34"/>
  <c r="N11" i="34"/>
  <c r="M11" i="34"/>
  <c r="K11" i="34"/>
  <c r="BB10" i="34"/>
  <c r="AW10" i="34"/>
  <c r="AV10" i="34"/>
  <c r="AU10" i="34"/>
  <c r="AT10" i="34"/>
  <c r="AS10" i="34"/>
  <c r="BC10" i="34" s="1"/>
  <c r="AN10" i="34"/>
  <c r="AM10" i="34"/>
  <c r="AL10" i="34"/>
  <c r="AK10" i="34"/>
  <c r="AJ10" i="34"/>
  <c r="AO10" i="34" s="1"/>
  <c r="AF10" i="34"/>
  <c r="AE10" i="34"/>
  <c r="AD10" i="34"/>
  <c r="AC10" i="34"/>
  <c r="V10" i="34"/>
  <c r="T10" i="34"/>
  <c r="T44" i="34" s="1"/>
  <c r="S10" i="34"/>
  <c r="R10" i="34"/>
  <c r="Q10" i="34"/>
  <c r="P10" i="34"/>
  <c r="O10" i="34"/>
  <c r="N10" i="34"/>
  <c r="M10" i="34"/>
  <c r="K10" i="34"/>
  <c r="BB9" i="34"/>
  <c r="AW9" i="34"/>
  <c r="AV9" i="34"/>
  <c r="AU9" i="34"/>
  <c r="AT9" i="34"/>
  <c r="AS9" i="34"/>
  <c r="BC9" i="34" s="1"/>
  <c r="AN9" i="34"/>
  <c r="AM9" i="34"/>
  <c r="AO9" i="34" s="1"/>
  <c r="AL9" i="34"/>
  <c r="AK9" i="34"/>
  <c r="AJ9" i="34"/>
  <c r="AF9" i="34"/>
  <c r="AE9" i="34"/>
  <c r="AD9" i="34"/>
  <c r="AC9" i="34"/>
  <c r="V9" i="34"/>
  <c r="T9" i="34"/>
  <c r="U9" i="34" s="1"/>
  <c r="S9" i="34"/>
  <c r="R9" i="34"/>
  <c r="Q9" i="34"/>
  <c r="P9" i="34"/>
  <c r="O9" i="34"/>
  <c r="N9" i="34"/>
  <c r="M9" i="34"/>
  <c r="K9" i="34"/>
  <c r="BC8" i="34"/>
  <c r="BB8" i="34"/>
  <c r="AW8" i="34"/>
  <c r="AV8" i="34"/>
  <c r="AU8" i="34"/>
  <c r="AT8" i="34"/>
  <c r="AS8" i="34"/>
  <c r="AX8" i="34" s="1"/>
  <c r="AN8" i="34"/>
  <c r="AM8" i="34"/>
  <c r="AL8" i="34"/>
  <c r="AK8" i="34"/>
  <c r="AJ8" i="34"/>
  <c r="AO8" i="34" s="1"/>
  <c r="AF8" i="34"/>
  <c r="AE8" i="34"/>
  <c r="AD8" i="34"/>
  <c r="AC8" i="34"/>
  <c r="V8" i="34"/>
  <c r="T8" i="34"/>
  <c r="U8" i="34" s="1"/>
  <c r="S8" i="34"/>
  <c r="R8" i="34"/>
  <c r="Q8" i="34"/>
  <c r="P8" i="34"/>
  <c r="O8" i="34"/>
  <c r="N8" i="34"/>
  <c r="M8" i="34"/>
  <c r="K8" i="34"/>
  <c r="BB7" i="34"/>
  <c r="AW7" i="34"/>
  <c r="AV7" i="34"/>
  <c r="AU7" i="34"/>
  <c r="AT7" i="34"/>
  <c r="AS7" i="34"/>
  <c r="AX7" i="34" s="1"/>
  <c r="AY7" i="34" s="1"/>
  <c r="AN7" i="34"/>
  <c r="AM7" i="34"/>
  <c r="AL7" i="34"/>
  <c r="AK7" i="34"/>
  <c r="AJ7" i="34"/>
  <c r="AO7" i="34" s="1"/>
  <c r="AF7" i="34"/>
  <c r="AE7" i="34"/>
  <c r="AD7" i="34"/>
  <c r="AC7" i="34"/>
  <c r="V7" i="34"/>
  <c r="T7" i="34"/>
  <c r="U7" i="34" s="1"/>
  <c r="S7" i="34"/>
  <c r="R7" i="34"/>
  <c r="Q7" i="34"/>
  <c r="P7" i="34"/>
  <c r="O7" i="34"/>
  <c r="N7" i="34"/>
  <c r="M7" i="34"/>
  <c r="K7" i="34"/>
  <c r="BC6" i="34"/>
  <c r="BB6" i="34"/>
  <c r="AX6" i="34"/>
  <c r="AY6" i="34" s="1"/>
  <c r="AW6" i="34"/>
  <c r="AV6" i="34"/>
  <c r="AZ6" i="34" s="1"/>
  <c r="AU6" i="34"/>
  <c r="AT6" i="34"/>
  <c r="AS6" i="34"/>
  <c r="AN6" i="34"/>
  <c r="AM6" i="34"/>
  <c r="AL6" i="34"/>
  <c r="AK6" i="34"/>
  <c r="AJ6" i="34"/>
  <c r="AO6" i="34" s="1"/>
  <c r="AF6" i="34"/>
  <c r="AE6" i="34"/>
  <c r="AD6" i="34"/>
  <c r="AC6" i="34"/>
  <c r="V6" i="34"/>
  <c r="T6" i="34"/>
  <c r="U6" i="34" s="1"/>
  <c r="S6" i="34"/>
  <c r="R6" i="34"/>
  <c r="Q6" i="34"/>
  <c r="P6" i="34"/>
  <c r="O6" i="34"/>
  <c r="N6" i="34"/>
  <c r="M6" i="34"/>
  <c r="K6" i="34"/>
  <c r="BB5" i="34"/>
  <c r="AW5" i="34"/>
  <c r="AV5" i="34"/>
  <c r="AU5" i="34"/>
  <c r="AT5" i="34"/>
  <c r="AS5" i="34"/>
  <c r="BC5" i="34" s="1"/>
  <c r="AN5" i="34"/>
  <c r="AM5" i="34"/>
  <c r="AL5" i="34"/>
  <c r="AK5" i="34"/>
  <c r="AJ5" i="34"/>
  <c r="AO5" i="34" s="1"/>
  <c r="AF5" i="34"/>
  <c r="AE5" i="34"/>
  <c r="AD5" i="34"/>
  <c r="AC5" i="34"/>
  <c r="V5" i="34"/>
  <c r="V44" i="34" s="1"/>
  <c r="T5" i="34"/>
  <c r="U5" i="34" s="1"/>
  <c r="S5" i="34"/>
  <c r="R5" i="34"/>
  <c r="Q5" i="34"/>
  <c r="P5" i="34"/>
  <c r="O5" i="34"/>
  <c r="N5" i="34"/>
  <c r="M5" i="34"/>
  <c r="K5" i="34"/>
  <c r="BB4" i="34"/>
  <c r="BB44" i="34" s="1"/>
  <c r="AW4" i="34"/>
  <c r="AW44" i="34" s="1"/>
  <c r="AV4" i="34"/>
  <c r="AV44" i="34" s="1"/>
  <c r="AU4" i="34"/>
  <c r="AU44" i="34" s="1"/>
  <c r="AT4" i="34"/>
  <c r="AS4" i="34"/>
  <c r="AX4" i="34" s="1"/>
  <c r="AO4" i="34"/>
  <c r="AN4" i="34"/>
  <c r="AM4" i="34"/>
  <c r="AL4" i="34"/>
  <c r="AK4" i="34"/>
  <c r="AJ4" i="34"/>
  <c r="AF4" i="34"/>
  <c r="AE4" i="34"/>
  <c r="AD4" i="34"/>
  <c r="AC4" i="34"/>
  <c r="V4" i="34"/>
  <c r="T4" i="34"/>
  <c r="U4" i="34" s="1"/>
  <c r="S4" i="34"/>
  <c r="S44" i="34" s="1"/>
  <c r="R4" i="34"/>
  <c r="R44" i="34" s="1"/>
  <c r="Q4" i="34"/>
  <c r="Q44" i="34" s="1"/>
  <c r="P4" i="34"/>
  <c r="P44" i="34" s="1"/>
  <c r="O4" i="34"/>
  <c r="N4" i="34"/>
  <c r="M4" i="34"/>
  <c r="K4" i="34"/>
  <c r="AU57" i="28"/>
  <c r="AP57" i="28"/>
  <c r="AO57" i="28"/>
  <c r="AH57" i="28"/>
  <c r="AG57" i="28"/>
  <c r="AB57" i="28"/>
  <c r="AA57" i="28"/>
  <c r="Z57" i="28"/>
  <c r="Y57" i="28"/>
  <c r="X57" i="28"/>
  <c r="W57" i="28"/>
  <c r="L57" i="28"/>
  <c r="J57" i="28"/>
  <c r="I57" i="28"/>
  <c r="H57" i="28"/>
  <c r="G57" i="28"/>
  <c r="F57" i="28"/>
  <c r="D57" i="28"/>
  <c r="C57" i="28"/>
  <c r="BA55" i="28"/>
  <c r="AZ55" i="28"/>
  <c r="AV55" i="28"/>
  <c r="AW55" i="28" s="1"/>
  <c r="AT55" i="28"/>
  <c r="AS55" i="28"/>
  <c r="AR55" i="28"/>
  <c r="AX55" i="28" s="1"/>
  <c r="AQ55" i="28"/>
  <c r="AM55" i="28"/>
  <c r="AL55" i="28"/>
  <c r="AK55" i="28"/>
  <c r="AJ55" i="28"/>
  <c r="AN55" i="28" s="1"/>
  <c r="AI55" i="28"/>
  <c r="AF55" i="28"/>
  <c r="AE55" i="28"/>
  <c r="AD55" i="28"/>
  <c r="AC55" i="28"/>
  <c r="V55" i="28"/>
  <c r="T55" i="28"/>
  <c r="U55" i="28" s="1"/>
  <c r="S55" i="28"/>
  <c r="R55" i="28"/>
  <c r="Q55" i="28"/>
  <c r="P55" i="28"/>
  <c r="O55" i="28"/>
  <c r="N55" i="28"/>
  <c r="M55" i="28"/>
  <c r="K55" i="28"/>
  <c r="AZ54" i="28"/>
  <c r="AT54" i="28"/>
  <c r="AS54" i="28"/>
  <c r="AR54" i="28"/>
  <c r="AQ54" i="28"/>
  <c r="BA54" i="28" s="1"/>
  <c r="AM54" i="28"/>
  <c r="AL54" i="28"/>
  <c r="AK54" i="28"/>
  <c r="AJ54" i="28"/>
  <c r="AI54" i="28"/>
  <c r="AN54" i="28" s="1"/>
  <c r="AF54" i="28"/>
  <c r="AE54" i="28"/>
  <c r="AD54" i="28"/>
  <c r="AC54" i="28"/>
  <c r="V54" i="28"/>
  <c r="T54" i="28"/>
  <c r="U54" i="28" s="1"/>
  <c r="S54" i="28"/>
  <c r="R54" i="28"/>
  <c r="Q54" i="28"/>
  <c r="P54" i="28"/>
  <c r="O54" i="28"/>
  <c r="N54" i="28"/>
  <c r="M54" i="28"/>
  <c r="K54" i="28"/>
  <c r="AZ53" i="28"/>
  <c r="AT53" i="28"/>
  <c r="AS53" i="28"/>
  <c r="AR53" i="28"/>
  <c r="AQ53" i="28"/>
  <c r="AM53" i="28"/>
  <c r="AL53" i="28"/>
  <c r="AK53" i="28"/>
  <c r="AJ53" i="28"/>
  <c r="AN53" i="28" s="1"/>
  <c r="AI53" i="28"/>
  <c r="AF53" i="28"/>
  <c r="AE53" i="28"/>
  <c r="AD53" i="28"/>
  <c r="AC53" i="28"/>
  <c r="V53" i="28"/>
  <c r="T53" i="28"/>
  <c r="U53" i="28" s="1"/>
  <c r="S53" i="28"/>
  <c r="R53" i="28"/>
  <c r="Q53" i="28"/>
  <c r="P53" i="28"/>
  <c r="O53" i="28"/>
  <c r="N53" i="28"/>
  <c r="M53" i="28"/>
  <c r="K53" i="28"/>
  <c r="BA52" i="28"/>
  <c r="AZ52" i="28"/>
  <c r="AV52" i="28"/>
  <c r="AW52" i="28" s="1"/>
  <c r="AT52" i="28"/>
  <c r="AS52" i="28"/>
  <c r="AR52" i="28"/>
  <c r="AQ52" i="28"/>
  <c r="AM52" i="28"/>
  <c r="AL52" i="28"/>
  <c r="AK52" i="28"/>
  <c r="AJ52" i="28"/>
  <c r="AI52" i="28"/>
  <c r="AN52" i="28" s="1"/>
  <c r="AF52" i="28"/>
  <c r="AE52" i="28"/>
  <c r="AD52" i="28"/>
  <c r="AC52" i="28"/>
  <c r="V52" i="28"/>
  <c r="T52" i="28"/>
  <c r="U52" i="28" s="1"/>
  <c r="S52" i="28"/>
  <c r="R52" i="28"/>
  <c r="Q52" i="28"/>
  <c r="P52" i="28"/>
  <c r="O52" i="28"/>
  <c r="N52" i="28"/>
  <c r="M52" i="28"/>
  <c r="K52" i="28"/>
  <c r="AZ51" i="28"/>
  <c r="AT51" i="28"/>
  <c r="AS51" i="28"/>
  <c r="AR51" i="28"/>
  <c r="AQ51" i="28"/>
  <c r="AV51" i="28" s="1"/>
  <c r="AW51" i="28" s="1"/>
  <c r="AM51" i="28"/>
  <c r="AL51" i="28"/>
  <c r="AK51" i="28"/>
  <c r="AJ51" i="28"/>
  <c r="AI51" i="28"/>
  <c r="AN51" i="28" s="1"/>
  <c r="AF51" i="28"/>
  <c r="AE51" i="28"/>
  <c r="AD51" i="28"/>
  <c r="AC51" i="28"/>
  <c r="V51" i="28"/>
  <c r="T51" i="28"/>
  <c r="U51" i="28" s="1"/>
  <c r="S51" i="28"/>
  <c r="R51" i="28"/>
  <c r="Q51" i="28"/>
  <c r="P51" i="28"/>
  <c r="O51" i="28"/>
  <c r="N51" i="28"/>
  <c r="M51" i="28"/>
  <c r="K51" i="28"/>
  <c r="AZ50" i="28"/>
  <c r="AT50" i="28"/>
  <c r="AS50" i="28"/>
  <c r="AR50" i="28"/>
  <c r="AQ50" i="28"/>
  <c r="AM50" i="28"/>
  <c r="AN50" i="28" s="1"/>
  <c r="AL50" i="28"/>
  <c r="AK50" i="28"/>
  <c r="AJ50" i="28"/>
  <c r="AI50" i="28"/>
  <c r="AF50" i="28"/>
  <c r="AE50" i="28"/>
  <c r="AD50" i="28"/>
  <c r="AC50" i="28"/>
  <c r="V50" i="28"/>
  <c r="T50" i="28"/>
  <c r="U50" i="28" s="1"/>
  <c r="S50" i="28"/>
  <c r="R50" i="28"/>
  <c r="Q50" i="28"/>
  <c r="P50" i="28"/>
  <c r="O50" i="28"/>
  <c r="N50" i="28"/>
  <c r="M50" i="28"/>
  <c r="K50" i="28"/>
  <c r="BA49" i="28"/>
  <c r="AZ49" i="28"/>
  <c r="AW49" i="28"/>
  <c r="AV49" i="28"/>
  <c r="AT49" i="28"/>
  <c r="AS49" i="28"/>
  <c r="AR49" i="28"/>
  <c r="AX49" i="28" s="1"/>
  <c r="AY49" i="28" s="1"/>
  <c r="AQ49" i="28"/>
  <c r="AM49" i="28"/>
  <c r="AL49" i="28"/>
  <c r="AK49" i="28"/>
  <c r="AJ49" i="28"/>
  <c r="AI49" i="28"/>
  <c r="AN49" i="28" s="1"/>
  <c r="AF49" i="28"/>
  <c r="AE49" i="28"/>
  <c r="AD49" i="28"/>
  <c r="AC49" i="28"/>
  <c r="V49" i="28"/>
  <c r="T49" i="28"/>
  <c r="U49" i="28" s="1"/>
  <c r="S49" i="28"/>
  <c r="R49" i="28"/>
  <c r="Q49" i="28"/>
  <c r="P49" i="28"/>
  <c r="O49" i="28"/>
  <c r="N49" i="28"/>
  <c r="M49" i="28"/>
  <c r="K49" i="28"/>
  <c r="AZ48" i="28"/>
  <c r="AT48" i="28"/>
  <c r="AS48" i="28"/>
  <c r="AR48" i="28"/>
  <c r="AQ48" i="28"/>
  <c r="BA48" i="28" s="1"/>
  <c r="AM48" i="28"/>
  <c r="AL48" i="28"/>
  <c r="AK48" i="28"/>
  <c r="AJ48" i="28"/>
  <c r="AI48" i="28"/>
  <c r="AF48" i="28"/>
  <c r="AE48" i="28"/>
  <c r="AD48" i="28"/>
  <c r="AC48" i="28"/>
  <c r="V48" i="28"/>
  <c r="T48" i="28"/>
  <c r="U48" i="28" s="1"/>
  <c r="S48" i="28"/>
  <c r="R48" i="28"/>
  <c r="Q48" i="28"/>
  <c r="P48" i="28"/>
  <c r="O48" i="28"/>
  <c r="N48" i="28"/>
  <c r="M48" i="28"/>
  <c r="K48" i="28"/>
  <c r="BA47" i="28"/>
  <c r="AZ47" i="28"/>
  <c r="AV47" i="28"/>
  <c r="AW47" i="28" s="1"/>
  <c r="AX47" i="28" s="1"/>
  <c r="AT47" i="28"/>
  <c r="AS47" i="28"/>
  <c r="AR47" i="28"/>
  <c r="AQ47" i="28"/>
  <c r="AM47" i="28"/>
  <c r="AL47" i="28"/>
  <c r="AK47" i="28"/>
  <c r="AJ47" i="28"/>
  <c r="AN47" i="28" s="1"/>
  <c r="AI47" i="28"/>
  <c r="AF47" i="28"/>
  <c r="AE47" i="28"/>
  <c r="AD47" i="28"/>
  <c r="AC47" i="28"/>
  <c r="V47" i="28"/>
  <c r="T47" i="28"/>
  <c r="U47" i="28" s="1"/>
  <c r="S47" i="28"/>
  <c r="R47" i="28"/>
  <c r="Q47" i="28"/>
  <c r="P47" i="28"/>
  <c r="O47" i="28"/>
  <c r="N47" i="28"/>
  <c r="M47" i="28"/>
  <c r="K47" i="28"/>
  <c r="AZ46" i="28"/>
  <c r="AT46" i="28"/>
  <c r="AS46" i="28"/>
  <c r="AR46" i="28"/>
  <c r="AQ46" i="28"/>
  <c r="BA46" i="28" s="1"/>
  <c r="AM46" i="28"/>
  <c r="AL46" i="28"/>
  <c r="AK46" i="28"/>
  <c r="AJ46" i="28"/>
  <c r="AI46" i="28"/>
  <c r="AN46" i="28" s="1"/>
  <c r="AF46" i="28"/>
  <c r="AE46" i="28"/>
  <c r="AD46" i="28"/>
  <c r="AC46" i="28"/>
  <c r="V46" i="28"/>
  <c r="T46" i="28"/>
  <c r="U46" i="28" s="1"/>
  <c r="S46" i="28"/>
  <c r="R46" i="28"/>
  <c r="Q46" i="28"/>
  <c r="P46" i="28"/>
  <c r="O46" i="28"/>
  <c r="N46" i="28"/>
  <c r="M46" i="28"/>
  <c r="K46" i="28"/>
  <c r="AZ45" i="28"/>
  <c r="AT45" i="28"/>
  <c r="AS45" i="28"/>
  <c r="AR45" i="28"/>
  <c r="AQ45" i="28"/>
  <c r="AM45" i="28"/>
  <c r="AL45" i="28"/>
  <c r="AK45" i="28"/>
  <c r="AJ45" i="28"/>
  <c r="AN45" i="28" s="1"/>
  <c r="AI45" i="28"/>
  <c r="AF45" i="28"/>
  <c r="AE45" i="28"/>
  <c r="AD45" i="28"/>
  <c r="AC45" i="28"/>
  <c r="V45" i="28"/>
  <c r="T45" i="28"/>
  <c r="U45" i="28" s="1"/>
  <c r="S45" i="28"/>
  <c r="R45" i="28"/>
  <c r="Q45" i="28"/>
  <c r="P45" i="28"/>
  <c r="O45" i="28"/>
  <c r="N45" i="28"/>
  <c r="M45" i="28"/>
  <c r="K45" i="28"/>
  <c r="BA44" i="28"/>
  <c r="AZ44" i="28"/>
  <c r="AV44" i="28"/>
  <c r="AT44" i="28"/>
  <c r="AS44" i="28"/>
  <c r="AR44" i="28"/>
  <c r="AQ44" i="28"/>
  <c r="AM44" i="28"/>
  <c r="AL44" i="28"/>
  <c r="AK44" i="28"/>
  <c r="AJ44" i="28"/>
  <c r="AI44" i="28"/>
  <c r="AN44" i="28" s="1"/>
  <c r="AF44" i="28"/>
  <c r="AE44" i="28"/>
  <c r="AD44" i="28"/>
  <c r="AC44" i="28"/>
  <c r="V44" i="28"/>
  <c r="T44" i="28"/>
  <c r="U44" i="28" s="1"/>
  <c r="S44" i="28"/>
  <c r="R44" i="28"/>
  <c r="Q44" i="28"/>
  <c r="P44" i="28"/>
  <c r="O44" i="28"/>
  <c r="N44" i="28"/>
  <c r="M44" i="28"/>
  <c r="K44" i="28"/>
  <c r="AZ43" i="28"/>
  <c r="AT43" i="28"/>
  <c r="AS43" i="28"/>
  <c r="AR43" i="28"/>
  <c r="AQ43" i="28"/>
  <c r="AV43" i="28" s="1"/>
  <c r="AW43" i="28" s="1"/>
  <c r="AM43" i="28"/>
  <c r="AL43" i="28"/>
  <c r="AK43" i="28"/>
  <c r="AJ43" i="28"/>
  <c r="AI43" i="28"/>
  <c r="AN43" i="28" s="1"/>
  <c r="AF43" i="28"/>
  <c r="AE43" i="28"/>
  <c r="AD43" i="28"/>
  <c r="AC43" i="28"/>
  <c r="V43" i="28"/>
  <c r="T43" i="28"/>
  <c r="U43" i="28" s="1"/>
  <c r="S43" i="28"/>
  <c r="R43" i="28"/>
  <c r="Q43" i="28"/>
  <c r="P43" i="28"/>
  <c r="O43" i="28"/>
  <c r="N43" i="28"/>
  <c r="M43" i="28"/>
  <c r="K43" i="28"/>
  <c r="AZ42" i="28"/>
  <c r="AT42" i="28"/>
  <c r="AS42" i="28"/>
  <c r="AR42" i="28"/>
  <c r="AQ42" i="28"/>
  <c r="AM42" i="28"/>
  <c r="AN42" i="28" s="1"/>
  <c r="AL42" i="28"/>
  <c r="AK42" i="28"/>
  <c r="AJ42" i="28"/>
  <c r="AI42" i="28"/>
  <c r="AF42" i="28"/>
  <c r="AE42" i="28"/>
  <c r="AD42" i="28"/>
  <c r="AC42" i="28"/>
  <c r="V42" i="28"/>
  <c r="T42" i="28"/>
  <c r="U42" i="28" s="1"/>
  <c r="S42" i="28"/>
  <c r="R42" i="28"/>
  <c r="Q42" i="28"/>
  <c r="P42" i="28"/>
  <c r="O42" i="28"/>
  <c r="N42" i="28"/>
  <c r="M42" i="28"/>
  <c r="K42" i="28"/>
  <c r="BA41" i="28"/>
  <c r="BB41" i="28" s="1"/>
  <c r="BC41" i="28" s="1"/>
  <c r="AZ41" i="28"/>
  <c r="AW41" i="28"/>
  <c r="AV41" i="28"/>
  <c r="AT41" i="28"/>
  <c r="AS41" i="28"/>
  <c r="AR41" i="28"/>
  <c r="AX41" i="28" s="1"/>
  <c r="AY41" i="28" s="1"/>
  <c r="AQ41" i="28"/>
  <c r="AM41" i="28"/>
  <c r="AL41" i="28"/>
  <c r="AK41" i="28"/>
  <c r="AJ41" i="28"/>
  <c r="AI41" i="28"/>
  <c r="AN41" i="28" s="1"/>
  <c r="AF41" i="28"/>
  <c r="AE41" i="28"/>
  <c r="AD41" i="28"/>
  <c r="AC41" i="28"/>
  <c r="V41" i="28"/>
  <c r="T41" i="28"/>
  <c r="U41" i="28" s="1"/>
  <c r="S41" i="28"/>
  <c r="R41" i="28"/>
  <c r="Q41" i="28"/>
  <c r="P41" i="28"/>
  <c r="O41" i="28"/>
  <c r="N41" i="28"/>
  <c r="M41" i="28"/>
  <c r="K41" i="28"/>
  <c r="AZ40" i="28"/>
  <c r="AT40" i="28"/>
  <c r="AS40" i="28"/>
  <c r="AR40" i="28"/>
  <c r="AQ40" i="28"/>
  <c r="AV40" i="28" s="1"/>
  <c r="AW40" i="28" s="1"/>
  <c r="AM40" i="28"/>
  <c r="AL40" i="28"/>
  <c r="AK40" i="28"/>
  <c r="AJ40" i="28"/>
  <c r="AI40" i="28"/>
  <c r="AF40" i="28"/>
  <c r="AE40" i="28"/>
  <c r="AD40" i="28"/>
  <c r="AC40" i="28"/>
  <c r="V40" i="28"/>
  <c r="T40" i="28"/>
  <c r="U40" i="28" s="1"/>
  <c r="S40" i="28"/>
  <c r="R40" i="28"/>
  <c r="Q40" i="28"/>
  <c r="P40" i="28"/>
  <c r="O40" i="28"/>
  <c r="N40" i="28"/>
  <c r="M40" i="28"/>
  <c r="K40" i="28"/>
  <c r="BA39" i="28"/>
  <c r="AZ39" i="28"/>
  <c r="AV39" i="28"/>
  <c r="AW39" i="28" s="1"/>
  <c r="AT39" i="28"/>
  <c r="AX39" i="28" s="1"/>
  <c r="AS39" i="28"/>
  <c r="AR39" i="28"/>
  <c r="AQ39" i="28"/>
  <c r="AM39" i="28"/>
  <c r="AL39" i="28"/>
  <c r="AK39" i="28"/>
  <c r="AJ39" i="28"/>
  <c r="AN39" i="28" s="1"/>
  <c r="AI39" i="28"/>
  <c r="AF39" i="28"/>
  <c r="AE39" i="28"/>
  <c r="AD39" i="28"/>
  <c r="AC39" i="28"/>
  <c r="V39" i="28"/>
  <c r="T39" i="28"/>
  <c r="U39" i="28" s="1"/>
  <c r="S39" i="28"/>
  <c r="R39" i="28"/>
  <c r="Q39" i="28"/>
  <c r="P39" i="28"/>
  <c r="O39" i="28"/>
  <c r="N39" i="28"/>
  <c r="M39" i="28"/>
  <c r="K39" i="28"/>
  <c r="AZ38" i="28"/>
  <c r="AT38" i="28"/>
  <c r="AS38" i="28"/>
  <c r="AR38" i="28"/>
  <c r="AQ38" i="28"/>
  <c r="BA38" i="28" s="1"/>
  <c r="AM38" i="28"/>
  <c r="AL38" i="28"/>
  <c r="AK38" i="28"/>
  <c r="AJ38" i="28"/>
  <c r="AI38" i="28"/>
  <c r="AN38" i="28" s="1"/>
  <c r="AF38" i="28"/>
  <c r="AE38" i="28"/>
  <c r="AD38" i="28"/>
  <c r="AC38" i="28"/>
  <c r="V38" i="28"/>
  <c r="T38" i="28"/>
  <c r="U38" i="28" s="1"/>
  <c r="S38" i="28"/>
  <c r="R38" i="28"/>
  <c r="Q38" i="28"/>
  <c r="P38" i="28"/>
  <c r="O38" i="28"/>
  <c r="N38" i="28"/>
  <c r="M38" i="28"/>
  <c r="K38" i="28"/>
  <c r="AZ37" i="28"/>
  <c r="AT37" i="28"/>
  <c r="AS37" i="28"/>
  <c r="AR37" i="28"/>
  <c r="AQ37" i="28"/>
  <c r="AM37" i="28"/>
  <c r="AL37" i="28"/>
  <c r="AK37" i="28"/>
  <c r="AJ37" i="28"/>
  <c r="AN37" i="28" s="1"/>
  <c r="AI37" i="28"/>
  <c r="AF37" i="28"/>
  <c r="AE37" i="28"/>
  <c r="AD37" i="28"/>
  <c r="AC37" i="28"/>
  <c r="V37" i="28"/>
  <c r="T37" i="28"/>
  <c r="U37" i="28" s="1"/>
  <c r="S37" i="28"/>
  <c r="R37" i="28"/>
  <c r="Q37" i="28"/>
  <c r="P37" i="28"/>
  <c r="O37" i="28"/>
  <c r="N37" i="28"/>
  <c r="M37" i="28"/>
  <c r="K37" i="28"/>
  <c r="BA36" i="28"/>
  <c r="AZ36" i="28"/>
  <c r="AV36" i="28"/>
  <c r="AW36" i="28" s="1"/>
  <c r="AX36" i="28" s="1"/>
  <c r="AT36" i="28"/>
  <c r="AS36" i="28"/>
  <c r="AR36" i="28"/>
  <c r="AQ36" i="28"/>
  <c r="AM36" i="28"/>
  <c r="AL36" i="28"/>
  <c r="AK36" i="28"/>
  <c r="AJ36" i="28"/>
  <c r="AI36" i="28"/>
  <c r="AN36" i="28" s="1"/>
  <c r="AY36" i="28" s="1"/>
  <c r="AF36" i="28"/>
  <c r="AE36" i="28"/>
  <c r="AD36" i="28"/>
  <c r="AC36" i="28"/>
  <c r="V36" i="28"/>
  <c r="T36" i="28"/>
  <c r="U36" i="28" s="1"/>
  <c r="S36" i="28"/>
  <c r="R36" i="28"/>
  <c r="Q36" i="28"/>
  <c r="P36" i="28"/>
  <c r="O36" i="28"/>
  <c r="N36" i="28"/>
  <c r="M36" i="28"/>
  <c r="K36" i="28"/>
  <c r="AZ35" i="28"/>
  <c r="AT35" i="28"/>
  <c r="AS35" i="28"/>
  <c r="AR35" i="28"/>
  <c r="AQ35" i="28"/>
  <c r="BA35" i="28" s="1"/>
  <c r="AM35" i="28"/>
  <c r="AL35" i="28"/>
  <c r="AK35" i="28"/>
  <c r="AJ35" i="28"/>
  <c r="AI35" i="28"/>
  <c r="AN35" i="28" s="1"/>
  <c r="AF35" i="28"/>
  <c r="AE35" i="28"/>
  <c r="AD35" i="28"/>
  <c r="AC35" i="28"/>
  <c r="V35" i="28"/>
  <c r="T35" i="28"/>
  <c r="U35" i="28" s="1"/>
  <c r="S35" i="28"/>
  <c r="R35" i="28"/>
  <c r="Q35" i="28"/>
  <c r="P35" i="28"/>
  <c r="O35" i="28"/>
  <c r="N35" i="28"/>
  <c r="M35" i="28"/>
  <c r="K35" i="28"/>
  <c r="AZ34" i="28"/>
  <c r="AT34" i="28"/>
  <c r="AS34" i="28"/>
  <c r="AR34" i="28"/>
  <c r="AQ34" i="28"/>
  <c r="AM34" i="28"/>
  <c r="AN34" i="28" s="1"/>
  <c r="AL34" i="28"/>
  <c r="AK34" i="28"/>
  <c r="AJ34" i="28"/>
  <c r="AI34" i="28"/>
  <c r="AF34" i="28"/>
  <c r="AE34" i="28"/>
  <c r="AD34" i="28"/>
  <c r="AC34" i="28"/>
  <c r="V34" i="28"/>
  <c r="T34" i="28"/>
  <c r="U34" i="28" s="1"/>
  <c r="S34" i="28"/>
  <c r="R34" i="28"/>
  <c r="Q34" i="28"/>
  <c r="P34" i="28"/>
  <c r="O34" i="28"/>
  <c r="N34" i="28"/>
  <c r="M34" i="28"/>
  <c r="K34" i="28"/>
  <c r="BA33" i="28"/>
  <c r="AZ33" i="28"/>
  <c r="AW33" i="28"/>
  <c r="AV33" i="28"/>
  <c r="AT33" i="28"/>
  <c r="AS33" i="28"/>
  <c r="AR33" i="28"/>
  <c r="AX33" i="28" s="1"/>
  <c r="AQ33" i="28"/>
  <c r="AM33" i="28"/>
  <c r="AL33" i="28"/>
  <c r="AK33" i="28"/>
  <c r="AJ33" i="28"/>
  <c r="AI33" i="28"/>
  <c r="AN33" i="28" s="1"/>
  <c r="AY33" i="28" s="1"/>
  <c r="AF33" i="28"/>
  <c r="AE33" i="28"/>
  <c r="AD33" i="28"/>
  <c r="AC33" i="28"/>
  <c r="V33" i="28"/>
  <c r="U33" i="28"/>
  <c r="T33" i="28"/>
  <c r="S33" i="28"/>
  <c r="R33" i="28"/>
  <c r="Q33" i="28"/>
  <c r="P33" i="28"/>
  <c r="O33" i="28"/>
  <c r="N33" i="28"/>
  <c r="M33" i="28"/>
  <c r="K33" i="28"/>
  <c r="AZ32" i="28"/>
  <c r="AT32" i="28"/>
  <c r="AS32" i="28"/>
  <c r="AR32" i="28"/>
  <c r="AQ32" i="28"/>
  <c r="AV32" i="28" s="1"/>
  <c r="AW32" i="28" s="1"/>
  <c r="AM32" i="28"/>
  <c r="AL32" i="28"/>
  <c r="AK32" i="28"/>
  <c r="AJ32" i="28"/>
  <c r="AI32" i="28"/>
  <c r="AF32" i="28"/>
  <c r="AE32" i="28"/>
  <c r="AD32" i="28"/>
  <c r="AC32" i="28"/>
  <c r="V32" i="28"/>
  <c r="T32" i="28"/>
  <c r="U32" i="28" s="1"/>
  <c r="S32" i="28"/>
  <c r="R32" i="28"/>
  <c r="Q32" i="28"/>
  <c r="P32" i="28"/>
  <c r="O32" i="28"/>
  <c r="N32" i="28"/>
  <c r="M32" i="28"/>
  <c r="K32" i="28"/>
  <c r="BA31" i="28"/>
  <c r="AZ31" i="28"/>
  <c r="AV31" i="28"/>
  <c r="AW31" i="28" s="1"/>
  <c r="AT31" i="28"/>
  <c r="AS31" i="28"/>
  <c r="AR31" i="28"/>
  <c r="AX31" i="28" s="1"/>
  <c r="AQ31" i="28"/>
  <c r="AM31" i="28"/>
  <c r="AL31" i="28"/>
  <c r="AK31" i="28"/>
  <c r="AJ31" i="28"/>
  <c r="AN31" i="28" s="1"/>
  <c r="AI31" i="28"/>
  <c r="AF31" i="28"/>
  <c r="AE31" i="28"/>
  <c r="AD31" i="28"/>
  <c r="AC31" i="28"/>
  <c r="V31" i="28"/>
  <c r="T31" i="28"/>
  <c r="U31" i="28" s="1"/>
  <c r="S31" i="28"/>
  <c r="R31" i="28"/>
  <c r="Q31" i="28"/>
  <c r="P31" i="28"/>
  <c r="O31" i="28"/>
  <c r="N31" i="28"/>
  <c r="M31" i="28"/>
  <c r="K31" i="28"/>
  <c r="AZ30" i="28"/>
  <c r="AT30" i="28"/>
  <c r="AS30" i="28"/>
  <c r="AR30" i="28"/>
  <c r="AQ30" i="28"/>
  <c r="BA30" i="28" s="1"/>
  <c r="AM30" i="28"/>
  <c r="AL30" i="28"/>
  <c r="AK30" i="28"/>
  <c r="AJ30" i="28"/>
  <c r="AI30" i="28"/>
  <c r="AN30" i="28" s="1"/>
  <c r="AF30" i="28"/>
  <c r="AE30" i="28"/>
  <c r="AD30" i="28"/>
  <c r="AC30" i="28"/>
  <c r="V30" i="28"/>
  <c r="T30" i="28"/>
  <c r="U30" i="28" s="1"/>
  <c r="S30" i="28"/>
  <c r="R30" i="28"/>
  <c r="Q30" i="28"/>
  <c r="P30" i="28"/>
  <c r="O30" i="28"/>
  <c r="N30" i="28"/>
  <c r="M30" i="28"/>
  <c r="K30" i="28"/>
  <c r="AZ29" i="28"/>
  <c r="AT29" i="28"/>
  <c r="AS29" i="28"/>
  <c r="AR29" i="28"/>
  <c r="AQ29" i="28"/>
  <c r="AM29" i="28"/>
  <c r="AL29" i="28"/>
  <c r="AK29" i="28"/>
  <c r="AJ29" i="28"/>
  <c r="AN29" i="28" s="1"/>
  <c r="AI29" i="28"/>
  <c r="AF29" i="28"/>
  <c r="AE29" i="28"/>
  <c r="AD29" i="28"/>
  <c r="AC29" i="28"/>
  <c r="V29" i="28"/>
  <c r="T29" i="28"/>
  <c r="U29" i="28" s="1"/>
  <c r="S29" i="28"/>
  <c r="R29" i="28"/>
  <c r="Q29" i="28"/>
  <c r="P29" i="28"/>
  <c r="O29" i="28"/>
  <c r="N29" i="28"/>
  <c r="M29" i="28"/>
  <c r="K29" i="28"/>
  <c r="BA28" i="28"/>
  <c r="AZ28" i="28"/>
  <c r="AV28" i="28"/>
  <c r="AT28" i="28"/>
  <c r="AS28" i="28"/>
  <c r="AR28" i="28"/>
  <c r="AQ28" i="28"/>
  <c r="AM28" i="28"/>
  <c r="AL28" i="28"/>
  <c r="AK28" i="28"/>
  <c r="AJ28" i="28"/>
  <c r="AI28" i="28"/>
  <c r="AN28" i="28" s="1"/>
  <c r="AF28" i="28"/>
  <c r="AE28" i="28"/>
  <c r="AD28" i="28"/>
  <c r="AC28" i="28"/>
  <c r="V28" i="28"/>
  <c r="T28" i="28"/>
  <c r="U28" i="28" s="1"/>
  <c r="S28" i="28"/>
  <c r="R28" i="28"/>
  <c r="Q28" i="28"/>
  <c r="P28" i="28"/>
  <c r="O28" i="28"/>
  <c r="N28" i="28"/>
  <c r="M28" i="28"/>
  <c r="K28" i="28"/>
  <c r="AZ27" i="28"/>
  <c r="AT27" i="28"/>
  <c r="AS27" i="28"/>
  <c r="AR27" i="28"/>
  <c r="AQ27" i="28"/>
  <c r="BA27" i="28" s="1"/>
  <c r="AM27" i="28"/>
  <c r="AL27" i="28"/>
  <c r="AK27" i="28"/>
  <c r="AJ27" i="28"/>
  <c r="AI27" i="28"/>
  <c r="AN27" i="28" s="1"/>
  <c r="AF27" i="28"/>
  <c r="AE27" i="28"/>
  <c r="AD27" i="28"/>
  <c r="AC27" i="28"/>
  <c r="V27" i="28"/>
  <c r="T27" i="28"/>
  <c r="U27" i="28" s="1"/>
  <c r="S27" i="28"/>
  <c r="R27" i="28"/>
  <c r="Q27" i="28"/>
  <c r="P27" i="28"/>
  <c r="O27" i="28"/>
  <c r="N27" i="28"/>
  <c r="M27" i="28"/>
  <c r="K27" i="28"/>
  <c r="AZ26" i="28"/>
  <c r="AT26" i="28"/>
  <c r="AS26" i="28"/>
  <c r="AR26" i="28"/>
  <c r="AQ26" i="28"/>
  <c r="AM26" i="28"/>
  <c r="AN26" i="28" s="1"/>
  <c r="AL26" i="28"/>
  <c r="AK26" i="28"/>
  <c r="AJ26" i="28"/>
  <c r="AI26" i="28"/>
  <c r="AF26" i="28"/>
  <c r="AE26" i="28"/>
  <c r="AD26" i="28"/>
  <c r="AC26" i="28"/>
  <c r="V26" i="28"/>
  <c r="T26" i="28"/>
  <c r="U26" i="28" s="1"/>
  <c r="S26" i="28"/>
  <c r="R26" i="28"/>
  <c r="Q26" i="28"/>
  <c r="P26" i="28"/>
  <c r="O26" i="28"/>
  <c r="N26" i="28"/>
  <c r="M26" i="28"/>
  <c r="K26" i="28"/>
  <c r="BA25" i="28"/>
  <c r="AZ25" i="28"/>
  <c r="AV25" i="28"/>
  <c r="AW25" i="28" s="1"/>
  <c r="AT25" i="28"/>
  <c r="AS25" i="28"/>
  <c r="AR25" i="28"/>
  <c r="AX25" i="28" s="1"/>
  <c r="AQ25" i="28"/>
  <c r="AM25" i="28"/>
  <c r="AL25" i="28"/>
  <c r="AK25" i="28"/>
  <c r="AJ25" i="28"/>
  <c r="AI25" i="28"/>
  <c r="AN25" i="28" s="1"/>
  <c r="AY25" i="28" s="1"/>
  <c r="AF25" i="28"/>
  <c r="AE25" i="28"/>
  <c r="AD25" i="28"/>
  <c r="AC25" i="28"/>
  <c r="V25" i="28"/>
  <c r="T25" i="28"/>
  <c r="U25" i="28" s="1"/>
  <c r="S25" i="28"/>
  <c r="R25" i="28"/>
  <c r="Q25" i="28"/>
  <c r="P25" i="28"/>
  <c r="O25" i="28"/>
  <c r="N25" i="28"/>
  <c r="M25" i="28"/>
  <c r="K25" i="28"/>
  <c r="AZ24" i="28"/>
  <c r="AT24" i="28"/>
  <c r="AS24" i="28"/>
  <c r="AR24" i="28"/>
  <c r="AQ24" i="28"/>
  <c r="BA24" i="28" s="1"/>
  <c r="AM24" i="28"/>
  <c r="AL24" i="28"/>
  <c r="AK24" i="28"/>
  <c r="AJ24" i="28"/>
  <c r="AI24" i="28"/>
  <c r="AN24" i="28" s="1"/>
  <c r="AF24" i="28"/>
  <c r="AE24" i="28"/>
  <c r="AD24" i="28"/>
  <c r="AC24" i="28"/>
  <c r="V24" i="28"/>
  <c r="T24" i="28"/>
  <c r="U24" i="28" s="1"/>
  <c r="S24" i="28"/>
  <c r="R24" i="28"/>
  <c r="Q24" i="28"/>
  <c r="P24" i="28"/>
  <c r="O24" i="28"/>
  <c r="N24" i="28"/>
  <c r="M24" i="28"/>
  <c r="K24" i="28"/>
  <c r="BA23" i="28"/>
  <c r="AZ23" i="28"/>
  <c r="AV23" i="28"/>
  <c r="AW23" i="28" s="1"/>
  <c r="AT23" i="28"/>
  <c r="AS23" i="28"/>
  <c r="AR23" i="28"/>
  <c r="AX23" i="28" s="1"/>
  <c r="AQ23" i="28"/>
  <c r="AM23" i="28"/>
  <c r="AL23" i="28"/>
  <c r="AK23" i="28"/>
  <c r="AJ23" i="28"/>
  <c r="AN23" i="28" s="1"/>
  <c r="AI23" i="28"/>
  <c r="AF23" i="28"/>
  <c r="AE23" i="28"/>
  <c r="AD23" i="28"/>
  <c r="AC23" i="28"/>
  <c r="V23" i="28"/>
  <c r="T23" i="28"/>
  <c r="U23" i="28" s="1"/>
  <c r="S23" i="28"/>
  <c r="R23" i="28"/>
  <c r="Q23" i="28"/>
  <c r="P23" i="28"/>
  <c r="O23" i="28"/>
  <c r="N23" i="28"/>
  <c r="M23" i="28"/>
  <c r="K23" i="28"/>
  <c r="AZ22" i="28"/>
  <c r="AT22" i="28"/>
  <c r="AS22" i="28"/>
  <c r="AR22" i="28"/>
  <c r="AQ22" i="28"/>
  <c r="BA22" i="28" s="1"/>
  <c r="AM22" i="28"/>
  <c r="AL22" i="28"/>
  <c r="AK22" i="28"/>
  <c r="AJ22" i="28"/>
  <c r="AI22" i="28"/>
  <c r="AN22" i="28" s="1"/>
  <c r="AF22" i="28"/>
  <c r="AE22" i="28"/>
  <c r="AD22" i="28"/>
  <c r="AC22" i="28"/>
  <c r="V22" i="28"/>
  <c r="T22" i="28"/>
  <c r="U22" i="28" s="1"/>
  <c r="S22" i="28"/>
  <c r="R22" i="28"/>
  <c r="Q22" i="28"/>
  <c r="P22" i="28"/>
  <c r="O22" i="28"/>
  <c r="N22" i="28"/>
  <c r="M22" i="28"/>
  <c r="K22" i="28"/>
  <c r="AZ21" i="28"/>
  <c r="AT21" i="28"/>
  <c r="AS21" i="28"/>
  <c r="AR21" i="28"/>
  <c r="AQ21" i="28"/>
  <c r="AN21" i="28"/>
  <c r="AM21" i="28"/>
  <c r="AL21" i="28"/>
  <c r="AK21" i="28"/>
  <c r="AJ21" i="28"/>
  <c r="AI21" i="28"/>
  <c r="AF21" i="28"/>
  <c r="AE21" i="28"/>
  <c r="AD21" i="28"/>
  <c r="AC21" i="28"/>
  <c r="V21" i="28"/>
  <c r="T21" i="28"/>
  <c r="U21" i="28" s="1"/>
  <c r="S21" i="28"/>
  <c r="R21" i="28"/>
  <c r="Q21" i="28"/>
  <c r="P21" i="28"/>
  <c r="O21" i="28"/>
  <c r="N21" i="28"/>
  <c r="M21" i="28"/>
  <c r="K21" i="28"/>
  <c r="BA20" i="28"/>
  <c r="AZ20" i="28"/>
  <c r="AW20" i="28"/>
  <c r="AX20" i="28" s="1"/>
  <c r="AY20" i="28" s="1"/>
  <c r="AV20" i="28"/>
  <c r="AT20" i="28"/>
  <c r="AS20" i="28"/>
  <c r="AR20" i="28"/>
  <c r="AQ20" i="28"/>
  <c r="AM20" i="28"/>
  <c r="AL20" i="28"/>
  <c r="AK20" i="28"/>
  <c r="AJ20" i="28"/>
  <c r="AI20" i="28"/>
  <c r="AN20" i="28" s="1"/>
  <c r="AF20" i="28"/>
  <c r="AE20" i="28"/>
  <c r="AD20" i="28"/>
  <c r="AC20" i="28"/>
  <c r="V20" i="28"/>
  <c r="T20" i="28"/>
  <c r="U20" i="28" s="1"/>
  <c r="S20" i="28"/>
  <c r="R20" i="28"/>
  <c r="Q20" i="28"/>
  <c r="P20" i="28"/>
  <c r="O20" i="28"/>
  <c r="N20" i="28"/>
  <c r="M20" i="28"/>
  <c r="K20" i="28"/>
  <c r="AZ19" i="28"/>
  <c r="AT19" i="28"/>
  <c r="AS19" i="28"/>
  <c r="AR19" i="28"/>
  <c r="AQ19" i="28"/>
  <c r="BA19" i="28" s="1"/>
  <c r="AM19" i="28"/>
  <c r="AL19" i="28"/>
  <c r="AK19" i="28"/>
  <c r="AJ19" i="28"/>
  <c r="AI19" i="28"/>
  <c r="AN19" i="28" s="1"/>
  <c r="AF19" i="28"/>
  <c r="AE19" i="28"/>
  <c r="AD19" i="28"/>
  <c r="AC19" i="28"/>
  <c r="V19" i="28"/>
  <c r="T19" i="28"/>
  <c r="U19" i="28" s="1"/>
  <c r="S19" i="28"/>
  <c r="R19" i="28"/>
  <c r="Q19" i="28"/>
  <c r="P19" i="28"/>
  <c r="O19" i="28"/>
  <c r="N19" i="28"/>
  <c r="M19" i="28"/>
  <c r="K19" i="28"/>
  <c r="AZ18" i="28"/>
  <c r="AT18" i="28"/>
  <c r="AS18" i="28"/>
  <c r="AR18" i="28"/>
  <c r="AQ18" i="28"/>
  <c r="AN18" i="28"/>
  <c r="AM18" i="28"/>
  <c r="AL18" i="28"/>
  <c r="AK18" i="28"/>
  <c r="AJ18" i="28"/>
  <c r="AI18" i="28"/>
  <c r="AF18" i="28"/>
  <c r="AE18" i="28"/>
  <c r="AD18" i="28"/>
  <c r="AC18" i="28"/>
  <c r="V18" i="28"/>
  <c r="T18" i="28"/>
  <c r="U18" i="28" s="1"/>
  <c r="S18" i="28"/>
  <c r="R18" i="28"/>
  <c r="Q18" i="28"/>
  <c r="P18" i="28"/>
  <c r="O18" i="28"/>
  <c r="N18" i="28"/>
  <c r="M18" i="28"/>
  <c r="K18" i="28"/>
  <c r="BA17" i="28"/>
  <c r="BB17" i="28" s="1"/>
  <c r="BC17" i="28" s="1"/>
  <c r="AZ17" i="28"/>
  <c r="AV17" i="28"/>
  <c r="AW17" i="28" s="1"/>
  <c r="AT17" i="28"/>
  <c r="AS17" i="28"/>
  <c r="AR17" i="28"/>
  <c r="AX17" i="28" s="1"/>
  <c r="AQ17" i="28"/>
  <c r="AM17" i="28"/>
  <c r="AL17" i="28"/>
  <c r="AK17" i="28"/>
  <c r="AJ17" i="28"/>
  <c r="AI17" i="28"/>
  <c r="AN17" i="28" s="1"/>
  <c r="AY17" i="28" s="1"/>
  <c r="AF17" i="28"/>
  <c r="AE17" i="28"/>
  <c r="AD17" i="28"/>
  <c r="AC17" i="28"/>
  <c r="V17" i="28"/>
  <c r="T17" i="28"/>
  <c r="U17" i="28" s="1"/>
  <c r="S17" i="28"/>
  <c r="R17" i="28"/>
  <c r="Q17" i="28"/>
  <c r="P17" i="28"/>
  <c r="O17" i="28"/>
  <c r="N17" i="28"/>
  <c r="M17" i="28"/>
  <c r="K17" i="28"/>
  <c r="AZ16" i="28"/>
  <c r="AT16" i="28"/>
  <c r="AS16" i="28"/>
  <c r="AR16" i="28"/>
  <c r="AQ16" i="28"/>
  <c r="BA16" i="28" s="1"/>
  <c r="AM16" i="28"/>
  <c r="AL16" i="28"/>
  <c r="AK16" i="28"/>
  <c r="AJ16" i="28"/>
  <c r="AI16" i="28"/>
  <c r="AN16" i="28" s="1"/>
  <c r="AF16" i="28"/>
  <c r="AE16" i="28"/>
  <c r="AD16" i="28"/>
  <c r="AC16" i="28"/>
  <c r="V16" i="28"/>
  <c r="T16" i="28"/>
  <c r="U16" i="28" s="1"/>
  <c r="S16" i="28"/>
  <c r="R16" i="28"/>
  <c r="Q16" i="28"/>
  <c r="P16" i="28"/>
  <c r="O16" i="28"/>
  <c r="N16" i="28"/>
  <c r="M16" i="28"/>
  <c r="K16" i="28"/>
  <c r="BA15" i="28"/>
  <c r="AZ15" i="28"/>
  <c r="AV15" i="28"/>
  <c r="AW15" i="28" s="1"/>
  <c r="AT15" i="28"/>
  <c r="AS15" i="28"/>
  <c r="AR15" i="28"/>
  <c r="AQ15" i="28"/>
  <c r="AM15" i="28"/>
  <c r="AL15" i="28"/>
  <c r="AK15" i="28"/>
  <c r="AJ15" i="28"/>
  <c r="AN15" i="28" s="1"/>
  <c r="AI15" i="28"/>
  <c r="AF15" i="28"/>
  <c r="AE15" i="28"/>
  <c r="AD15" i="28"/>
  <c r="AC15" i="28"/>
  <c r="V15" i="28"/>
  <c r="T15" i="28"/>
  <c r="U15" i="28" s="1"/>
  <c r="S15" i="28"/>
  <c r="R15" i="28"/>
  <c r="Q15" i="28"/>
  <c r="P15" i="28"/>
  <c r="O15" i="28"/>
  <c r="N15" i="28"/>
  <c r="M15" i="28"/>
  <c r="K15" i="28"/>
  <c r="AZ14" i="28"/>
  <c r="AT14" i="28"/>
  <c r="AS14" i="28"/>
  <c r="AR14" i="28"/>
  <c r="AQ14" i="28"/>
  <c r="BA14" i="28" s="1"/>
  <c r="AM14" i="28"/>
  <c r="AL14" i="28"/>
  <c r="AK14" i="28"/>
  <c r="AJ14" i="28"/>
  <c r="AI14" i="28"/>
  <c r="AN14" i="28" s="1"/>
  <c r="AF14" i="28"/>
  <c r="AE14" i="28"/>
  <c r="AD14" i="28"/>
  <c r="AC14" i="28"/>
  <c r="V14" i="28"/>
  <c r="T14" i="28"/>
  <c r="U14" i="28" s="1"/>
  <c r="S14" i="28"/>
  <c r="R14" i="28"/>
  <c r="Q14" i="28"/>
  <c r="P14" i="28"/>
  <c r="O14" i="28"/>
  <c r="N14" i="28"/>
  <c r="M14" i="28"/>
  <c r="K14" i="28"/>
  <c r="AZ13" i="28"/>
  <c r="AT13" i="28"/>
  <c r="AS13" i="28"/>
  <c r="AR13" i="28"/>
  <c r="AQ13" i="28"/>
  <c r="AM13" i="28"/>
  <c r="AL13" i="28"/>
  <c r="AK13" i="28"/>
  <c r="AJ13" i="28"/>
  <c r="AN13" i="28" s="1"/>
  <c r="AI13" i="28"/>
  <c r="AF13" i="28"/>
  <c r="AE13" i="28"/>
  <c r="AD13" i="28"/>
  <c r="AC13" i="28"/>
  <c r="V13" i="28"/>
  <c r="T13" i="28"/>
  <c r="U13" i="28" s="1"/>
  <c r="S13" i="28"/>
  <c r="R13" i="28"/>
  <c r="Q13" i="28"/>
  <c r="P13" i="28"/>
  <c r="O13" i="28"/>
  <c r="N13" i="28"/>
  <c r="M13" i="28"/>
  <c r="K13" i="28"/>
  <c r="BA12" i="28"/>
  <c r="AZ12" i="28"/>
  <c r="AV12" i="28"/>
  <c r="AT12" i="28"/>
  <c r="AS12" i="28"/>
  <c r="AR12" i="28"/>
  <c r="AQ12" i="28"/>
  <c r="AM12" i="28"/>
  <c r="AL12" i="28"/>
  <c r="AK12" i="28"/>
  <c r="AJ12" i="28"/>
  <c r="AI12" i="28"/>
  <c r="AN12" i="28" s="1"/>
  <c r="AF12" i="28"/>
  <c r="AE12" i="28"/>
  <c r="AD12" i="28"/>
  <c r="AC12" i="28"/>
  <c r="V12" i="28"/>
  <c r="T12" i="28"/>
  <c r="U12" i="28" s="1"/>
  <c r="S12" i="28"/>
  <c r="R12" i="28"/>
  <c r="Q12" i="28"/>
  <c r="P12" i="28"/>
  <c r="O12" i="28"/>
  <c r="N12" i="28"/>
  <c r="M12" i="28"/>
  <c r="K12" i="28"/>
  <c r="AZ11" i="28"/>
  <c r="AT11" i="28"/>
  <c r="AS11" i="28"/>
  <c r="AR11" i="28"/>
  <c r="AQ11" i="28"/>
  <c r="BA11" i="28" s="1"/>
  <c r="AM11" i="28"/>
  <c r="AL11" i="28"/>
  <c r="AK11" i="28"/>
  <c r="AJ11" i="28"/>
  <c r="AI11" i="28"/>
  <c r="AN11" i="28" s="1"/>
  <c r="AF11" i="28"/>
  <c r="AE11" i="28"/>
  <c r="AD11" i="28"/>
  <c r="AC11" i="28"/>
  <c r="V11" i="28"/>
  <c r="T11" i="28"/>
  <c r="U11" i="28" s="1"/>
  <c r="S11" i="28"/>
  <c r="R11" i="28"/>
  <c r="Q11" i="28"/>
  <c r="P11" i="28"/>
  <c r="N11" i="28"/>
  <c r="M11" i="28"/>
  <c r="K11" i="28"/>
  <c r="AT10" i="28"/>
  <c r="AS10" i="28"/>
  <c r="AR10" i="28"/>
  <c r="AQ10" i="28"/>
  <c r="AV10" i="28" s="1"/>
  <c r="AW10" i="28" s="1"/>
  <c r="AL10" i="28"/>
  <c r="AK10" i="28"/>
  <c r="AJ10" i="28"/>
  <c r="AI10" i="28"/>
  <c r="AF10" i="28"/>
  <c r="AE10" i="28"/>
  <c r="AD10" i="28"/>
  <c r="AC10" i="28"/>
  <c r="T10" i="28"/>
  <c r="U10" i="28" s="1"/>
  <c r="S10" i="28"/>
  <c r="P10" i="28"/>
  <c r="N10" i="28"/>
  <c r="M10" i="28"/>
  <c r="K10" i="28"/>
  <c r="E10" i="28"/>
  <c r="BA9" i="28"/>
  <c r="AZ9" i="28"/>
  <c r="AT9" i="28"/>
  <c r="AS9" i="28"/>
  <c r="AR9" i="28"/>
  <c r="AQ9" i="28"/>
  <c r="AV9" i="28" s="1"/>
  <c r="AW9" i="28" s="1"/>
  <c r="AM9" i="28"/>
  <c r="AL9" i="28"/>
  <c r="AK9" i="28"/>
  <c r="AJ9" i="28"/>
  <c r="AI9" i="28"/>
  <c r="AN9" i="28" s="1"/>
  <c r="AF9" i="28"/>
  <c r="AE9" i="28"/>
  <c r="AD9" i="28"/>
  <c r="AC9" i="28"/>
  <c r="V9" i="28"/>
  <c r="T9" i="28"/>
  <c r="U9" i="28" s="1"/>
  <c r="S9" i="28"/>
  <c r="R9" i="28"/>
  <c r="Q9" i="28"/>
  <c r="P9" i="28"/>
  <c r="O9" i="28"/>
  <c r="N9" i="28"/>
  <c r="M9" i="28"/>
  <c r="K9" i="28"/>
  <c r="AZ8" i="28"/>
  <c r="AT8" i="28"/>
  <c r="AS8" i="28"/>
  <c r="AR8" i="28"/>
  <c r="AX8" i="28" s="1"/>
  <c r="AQ8" i="28"/>
  <c r="AV8" i="28" s="1"/>
  <c r="AW8" i="28" s="1"/>
  <c r="AM8" i="28"/>
  <c r="AL8" i="28"/>
  <c r="AK8" i="28"/>
  <c r="AJ8" i="28"/>
  <c r="AI8" i="28"/>
  <c r="AN8" i="28" s="1"/>
  <c r="AF8" i="28"/>
  <c r="AE8" i="28"/>
  <c r="AD8" i="28"/>
  <c r="AC8" i="28"/>
  <c r="V8" i="28"/>
  <c r="T8" i="28"/>
  <c r="U8" i="28" s="1"/>
  <c r="S8" i="28"/>
  <c r="R8" i="28"/>
  <c r="Q8" i="28"/>
  <c r="P8" i="28"/>
  <c r="O8" i="28"/>
  <c r="N8" i="28"/>
  <c r="M8" i="28"/>
  <c r="K8" i="28"/>
  <c r="BA7" i="28"/>
  <c r="AZ7" i="28"/>
  <c r="AV7" i="28"/>
  <c r="AW7" i="28" s="1"/>
  <c r="AX7" i="28" s="1"/>
  <c r="AY7" i="28" s="1"/>
  <c r="AT7" i="28"/>
  <c r="AS7" i="28"/>
  <c r="AR7" i="28"/>
  <c r="AQ7" i="28"/>
  <c r="AM7" i="28"/>
  <c r="AL7" i="28"/>
  <c r="AK7" i="28"/>
  <c r="AJ7" i="28"/>
  <c r="AI7" i="28"/>
  <c r="AN7" i="28" s="1"/>
  <c r="AF7" i="28"/>
  <c r="AE7" i="28"/>
  <c r="AD7" i="28"/>
  <c r="AC7" i="28"/>
  <c r="V7" i="28"/>
  <c r="T7" i="28"/>
  <c r="U7" i="28" s="1"/>
  <c r="S7" i="28"/>
  <c r="R7" i="28"/>
  <c r="Q7" i="28"/>
  <c r="P7" i="28"/>
  <c r="O7" i="28"/>
  <c r="N7" i="28"/>
  <c r="M7" i="28"/>
  <c r="K7" i="28"/>
  <c r="AZ6" i="28"/>
  <c r="AT6" i="28"/>
  <c r="AS6" i="28"/>
  <c r="AR6" i="28"/>
  <c r="AQ6" i="28"/>
  <c r="BA6" i="28" s="1"/>
  <c r="AM6" i="28"/>
  <c r="AL6" i="28"/>
  <c r="AK6" i="28"/>
  <c r="AJ6" i="28"/>
  <c r="AI6" i="28"/>
  <c r="AN6" i="28" s="1"/>
  <c r="AF6" i="28"/>
  <c r="AE6" i="28"/>
  <c r="AD6" i="28"/>
  <c r="AC6" i="28"/>
  <c r="V6" i="28"/>
  <c r="T6" i="28"/>
  <c r="U6" i="28" s="1"/>
  <c r="S6" i="28"/>
  <c r="R6" i="28"/>
  <c r="Q6" i="28"/>
  <c r="P6" i="28"/>
  <c r="O6" i="28"/>
  <c r="N6" i="28"/>
  <c r="M6" i="28"/>
  <c r="K6" i="28"/>
  <c r="AZ5" i="28"/>
  <c r="AT5" i="28"/>
  <c r="AS5" i="28"/>
  <c r="AR5" i="28"/>
  <c r="AQ5" i="28"/>
  <c r="AM5" i="28"/>
  <c r="AL5" i="28"/>
  <c r="AK5" i="28"/>
  <c r="AN5" i="28" s="1"/>
  <c r="AJ5" i="28"/>
  <c r="AI5" i="28"/>
  <c r="AF5" i="28"/>
  <c r="AE5" i="28"/>
  <c r="AD5" i="28"/>
  <c r="AC5" i="28"/>
  <c r="V5" i="28"/>
  <c r="T5" i="28"/>
  <c r="U5" i="28" s="1"/>
  <c r="S5" i="28"/>
  <c r="R5" i="28"/>
  <c r="Q5" i="28"/>
  <c r="P5" i="28"/>
  <c r="O5" i="28"/>
  <c r="N5" i="28"/>
  <c r="M5" i="28"/>
  <c r="K5" i="28"/>
  <c r="BA4" i="28"/>
  <c r="AZ4" i="28"/>
  <c r="AT4" i="28"/>
  <c r="AS4" i="28"/>
  <c r="AR4" i="28"/>
  <c r="AQ4" i="28"/>
  <c r="AV4" i="28" s="1"/>
  <c r="AM4" i="28"/>
  <c r="AL4" i="28"/>
  <c r="AK4" i="28"/>
  <c r="AJ4" i="28"/>
  <c r="AI4" i="28"/>
  <c r="AN4" i="28" s="1"/>
  <c r="AF4" i="28"/>
  <c r="AE4" i="28"/>
  <c r="AD4" i="28"/>
  <c r="AC4" i="28"/>
  <c r="V4" i="28"/>
  <c r="T4" i="28"/>
  <c r="U4" i="28" s="1"/>
  <c r="S4" i="28"/>
  <c r="R4" i="28"/>
  <c r="Q4" i="28"/>
  <c r="P4" i="28"/>
  <c r="O4" i="28"/>
  <c r="N4" i="28"/>
  <c r="M4" i="28"/>
  <c r="K4" i="28"/>
  <c r="AU66" i="26"/>
  <c r="AP66" i="26"/>
  <c r="AO66" i="26"/>
  <c r="AH66" i="26"/>
  <c r="AG66" i="26"/>
  <c r="AB66" i="26"/>
  <c r="AA66" i="26"/>
  <c r="Z66" i="26"/>
  <c r="Y66" i="26"/>
  <c r="X66" i="26"/>
  <c r="W66" i="26"/>
  <c r="L66" i="26"/>
  <c r="J66" i="26"/>
  <c r="I66" i="26"/>
  <c r="H66" i="26"/>
  <c r="G66" i="26"/>
  <c r="F66" i="26"/>
  <c r="E66" i="26"/>
  <c r="D66" i="26"/>
  <c r="C66" i="26"/>
  <c r="BA64" i="26"/>
  <c r="AZ64" i="26"/>
  <c r="AT64" i="26"/>
  <c r="AS64" i="26"/>
  <c r="AR64" i="26"/>
  <c r="AQ64" i="26"/>
  <c r="AV64" i="26" s="1"/>
  <c r="AW64" i="26" s="1"/>
  <c r="AM64" i="26"/>
  <c r="AL64" i="26"/>
  <c r="AK64" i="26"/>
  <c r="AJ64" i="26"/>
  <c r="AI64" i="26"/>
  <c r="AN64" i="26" s="1"/>
  <c r="AF64" i="26"/>
  <c r="AE64" i="26"/>
  <c r="AD64" i="26"/>
  <c r="AC64" i="26"/>
  <c r="V64" i="26"/>
  <c r="T64" i="26"/>
  <c r="U64" i="26" s="1"/>
  <c r="S64" i="26"/>
  <c r="R64" i="26"/>
  <c r="Q64" i="26"/>
  <c r="P64" i="26"/>
  <c r="O64" i="26"/>
  <c r="N64" i="26"/>
  <c r="M64" i="26"/>
  <c r="K64" i="26"/>
  <c r="AZ63" i="26"/>
  <c r="AT63" i="26"/>
  <c r="AS63" i="26"/>
  <c r="AR63" i="26"/>
  <c r="AX63" i="26" s="1"/>
  <c r="AQ63" i="26"/>
  <c r="AV63" i="26" s="1"/>
  <c r="AW63" i="26" s="1"/>
  <c r="AM63" i="26"/>
  <c r="AL63" i="26"/>
  <c r="AK63" i="26"/>
  <c r="AJ63" i="26"/>
  <c r="AI63" i="26"/>
  <c r="AN63" i="26" s="1"/>
  <c r="AF63" i="26"/>
  <c r="AE63" i="26"/>
  <c r="AD63" i="26"/>
  <c r="AC63" i="26"/>
  <c r="V63" i="26"/>
  <c r="U63" i="26"/>
  <c r="T63" i="26"/>
  <c r="S63" i="26"/>
  <c r="R63" i="26"/>
  <c r="Q63" i="26"/>
  <c r="P63" i="26"/>
  <c r="O63" i="26"/>
  <c r="N63" i="26"/>
  <c r="M63" i="26"/>
  <c r="K63" i="26"/>
  <c r="AZ62" i="26"/>
  <c r="AT62" i="26"/>
  <c r="AS62" i="26"/>
  <c r="AR62" i="26"/>
  <c r="AQ62" i="26"/>
  <c r="BA62" i="26" s="1"/>
  <c r="AM62" i="26"/>
  <c r="AL62" i="26"/>
  <c r="AK62" i="26"/>
  <c r="AJ62" i="26"/>
  <c r="AI62" i="26"/>
  <c r="AN62" i="26" s="1"/>
  <c r="AF62" i="26"/>
  <c r="AE62" i="26"/>
  <c r="AD62" i="26"/>
  <c r="AC62" i="26"/>
  <c r="V62" i="26"/>
  <c r="T62" i="26"/>
  <c r="U62" i="26" s="1"/>
  <c r="S62" i="26"/>
  <c r="R62" i="26"/>
  <c r="Q62" i="26"/>
  <c r="P62" i="26"/>
  <c r="O62" i="26"/>
  <c r="N62" i="26"/>
  <c r="M62" i="26"/>
  <c r="K62" i="26"/>
  <c r="BA61" i="26"/>
  <c r="AZ61" i="26"/>
  <c r="AT61" i="26"/>
  <c r="AS61" i="26"/>
  <c r="AR61" i="26"/>
  <c r="AQ61" i="26"/>
  <c r="AV61" i="26" s="1"/>
  <c r="AW61" i="26" s="1"/>
  <c r="AM61" i="26"/>
  <c r="AL61" i="26"/>
  <c r="AK61" i="26"/>
  <c r="AJ61" i="26"/>
  <c r="AI61" i="26"/>
  <c r="AN61" i="26" s="1"/>
  <c r="AF61" i="26"/>
  <c r="AE61" i="26"/>
  <c r="AD61" i="26"/>
  <c r="AC61" i="26"/>
  <c r="V61" i="26"/>
  <c r="T61" i="26"/>
  <c r="U61" i="26" s="1"/>
  <c r="S61" i="26"/>
  <c r="R61" i="26"/>
  <c r="Q61" i="26"/>
  <c r="P61" i="26"/>
  <c r="O61" i="26"/>
  <c r="N61" i="26"/>
  <c r="M61" i="26"/>
  <c r="K61" i="26"/>
  <c r="AZ60" i="26"/>
  <c r="AT60" i="26"/>
  <c r="AS60" i="26"/>
  <c r="AR60" i="26"/>
  <c r="AQ60" i="26"/>
  <c r="AM60" i="26"/>
  <c r="AL60" i="26"/>
  <c r="AK60" i="26"/>
  <c r="AJ60" i="26"/>
  <c r="AI60" i="26"/>
  <c r="AN60" i="26" s="1"/>
  <c r="AF60" i="26"/>
  <c r="AE60" i="26"/>
  <c r="AD60" i="26"/>
  <c r="AC60" i="26"/>
  <c r="V60" i="26"/>
  <c r="U60" i="26"/>
  <c r="T60" i="26"/>
  <c r="S60" i="26"/>
  <c r="R60" i="26"/>
  <c r="Q60" i="26"/>
  <c r="P60" i="26"/>
  <c r="O60" i="26"/>
  <c r="N60" i="26"/>
  <c r="M60" i="26"/>
  <c r="K60" i="26"/>
  <c r="BA59" i="26"/>
  <c r="BB59" i="26" s="1"/>
  <c r="BC59" i="26" s="1"/>
  <c r="AZ59" i="26"/>
  <c r="AV59" i="26"/>
  <c r="AW59" i="26" s="1"/>
  <c r="AT59" i="26"/>
  <c r="AX59" i="26" s="1"/>
  <c r="AS59" i="26"/>
  <c r="AR59" i="26"/>
  <c r="AQ59" i="26"/>
  <c r="AM59" i="26"/>
  <c r="AL59" i="26"/>
  <c r="AK59" i="26"/>
  <c r="AJ59" i="26"/>
  <c r="AI59" i="26"/>
  <c r="AN59" i="26" s="1"/>
  <c r="AY59" i="26" s="1"/>
  <c r="AF59" i="26"/>
  <c r="AE59" i="26"/>
  <c r="AD59" i="26"/>
  <c r="AC59" i="26"/>
  <c r="V59" i="26"/>
  <c r="T59" i="26"/>
  <c r="U59" i="26" s="1"/>
  <c r="S59" i="26"/>
  <c r="R59" i="26"/>
  <c r="Q59" i="26"/>
  <c r="P59" i="26"/>
  <c r="O59" i="26"/>
  <c r="N59" i="26"/>
  <c r="M59" i="26"/>
  <c r="K59" i="26"/>
  <c r="AZ58" i="26"/>
  <c r="AT58" i="26"/>
  <c r="AS58" i="26"/>
  <c r="AR58" i="26"/>
  <c r="AQ58" i="26"/>
  <c r="BA58" i="26" s="1"/>
  <c r="AM58" i="26"/>
  <c r="AL58" i="26"/>
  <c r="AK58" i="26"/>
  <c r="AJ58" i="26"/>
  <c r="AI58" i="26"/>
  <c r="AN58" i="26" s="1"/>
  <c r="AF58" i="26"/>
  <c r="AE58" i="26"/>
  <c r="AD58" i="26"/>
  <c r="AC58" i="26"/>
  <c r="V58" i="26"/>
  <c r="U58" i="26"/>
  <c r="T58" i="26"/>
  <c r="S58" i="26"/>
  <c r="R58" i="26"/>
  <c r="Q58" i="26"/>
  <c r="P58" i="26"/>
  <c r="O58" i="26"/>
  <c r="N58" i="26"/>
  <c r="M58" i="26"/>
  <c r="K58" i="26"/>
  <c r="AZ57" i="26"/>
  <c r="AT57" i="26"/>
  <c r="AS57" i="26"/>
  <c r="AR57" i="26"/>
  <c r="AQ57" i="26"/>
  <c r="BA57" i="26" s="1"/>
  <c r="AM57" i="26"/>
  <c r="AL57" i="26"/>
  <c r="AN57" i="26" s="1"/>
  <c r="AK57" i="26"/>
  <c r="AJ57" i="26"/>
  <c r="AI57" i="26"/>
  <c r="AF57" i="26"/>
  <c r="AE57" i="26"/>
  <c r="AD57" i="26"/>
  <c r="AC57" i="26"/>
  <c r="V57" i="26"/>
  <c r="T57" i="26"/>
  <c r="U57" i="26" s="1"/>
  <c r="S57" i="26"/>
  <c r="R57" i="26"/>
  <c r="Q57" i="26"/>
  <c r="P57" i="26"/>
  <c r="O57" i="26"/>
  <c r="N57" i="26"/>
  <c r="M57" i="26"/>
  <c r="K57" i="26"/>
  <c r="BA56" i="26"/>
  <c r="AZ56" i="26"/>
  <c r="AX56" i="26"/>
  <c r="AY56" i="26" s="1"/>
  <c r="AT56" i="26"/>
  <c r="AS56" i="26"/>
  <c r="AR56" i="26"/>
  <c r="AQ56" i="26"/>
  <c r="AV56" i="26" s="1"/>
  <c r="AW56" i="26" s="1"/>
  <c r="AM56" i="26"/>
  <c r="AL56" i="26"/>
  <c r="AK56" i="26"/>
  <c r="AJ56" i="26"/>
  <c r="AI56" i="26"/>
  <c r="AN56" i="26" s="1"/>
  <c r="AF56" i="26"/>
  <c r="AE56" i="26"/>
  <c r="AD56" i="26"/>
  <c r="AC56" i="26"/>
  <c r="V56" i="26"/>
  <c r="T56" i="26"/>
  <c r="U56" i="26" s="1"/>
  <c r="S56" i="26"/>
  <c r="R56" i="26"/>
  <c r="Q56" i="26"/>
  <c r="P56" i="26"/>
  <c r="O56" i="26"/>
  <c r="N56" i="26"/>
  <c r="M56" i="26"/>
  <c r="K56" i="26"/>
  <c r="AZ55" i="26"/>
  <c r="AT55" i="26"/>
  <c r="AS55" i="26"/>
  <c r="AR55" i="26"/>
  <c r="AQ55" i="26"/>
  <c r="AV55" i="26" s="1"/>
  <c r="AW55" i="26" s="1"/>
  <c r="AM55" i="26"/>
  <c r="AL55" i="26"/>
  <c r="AK55" i="26"/>
  <c r="AJ55" i="26"/>
  <c r="AI55" i="26"/>
  <c r="AN55" i="26" s="1"/>
  <c r="AF55" i="26"/>
  <c r="AE55" i="26"/>
  <c r="AD55" i="26"/>
  <c r="AC55" i="26"/>
  <c r="V55" i="26"/>
  <c r="U55" i="26"/>
  <c r="T55" i="26"/>
  <c r="S55" i="26"/>
  <c r="R55" i="26"/>
  <c r="Q55" i="26"/>
  <c r="P55" i="26"/>
  <c r="O55" i="26"/>
  <c r="N55" i="26"/>
  <c r="M55" i="26"/>
  <c r="K55" i="26"/>
  <c r="AZ54" i="26"/>
  <c r="AT54" i="26"/>
  <c r="AS54" i="26"/>
  <c r="AR54" i="26"/>
  <c r="AQ54" i="26"/>
  <c r="BA54" i="26" s="1"/>
  <c r="AM54" i="26"/>
  <c r="AL54" i="26"/>
  <c r="AK54" i="26"/>
  <c r="AJ54" i="26"/>
  <c r="AI54" i="26"/>
  <c r="AN54" i="26" s="1"/>
  <c r="AF54" i="26"/>
  <c r="AE54" i="26"/>
  <c r="AD54" i="26"/>
  <c r="AC54" i="26"/>
  <c r="V54" i="26"/>
  <c r="T54" i="26"/>
  <c r="U54" i="26" s="1"/>
  <c r="S54" i="26"/>
  <c r="R54" i="26"/>
  <c r="Q54" i="26"/>
  <c r="P54" i="26"/>
  <c r="O54" i="26"/>
  <c r="N54" i="26"/>
  <c r="M54" i="26"/>
  <c r="K54" i="26"/>
  <c r="BA53" i="26"/>
  <c r="AZ53" i="26"/>
  <c r="AT53" i="26"/>
  <c r="AS53" i="26"/>
  <c r="AR53" i="26"/>
  <c r="AQ53" i="26"/>
  <c r="AV53" i="26" s="1"/>
  <c r="AW53" i="26" s="1"/>
  <c r="AM53" i="26"/>
  <c r="AL53" i="26"/>
  <c r="AK53" i="26"/>
  <c r="AJ53" i="26"/>
  <c r="AI53" i="26"/>
  <c r="AN53" i="26" s="1"/>
  <c r="AF53" i="26"/>
  <c r="AE53" i="26"/>
  <c r="AD53" i="26"/>
  <c r="AC53" i="26"/>
  <c r="V53" i="26"/>
  <c r="T53" i="26"/>
  <c r="U53" i="26" s="1"/>
  <c r="S53" i="26"/>
  <c r="R53" i="26"/>
  <c r="Q53" i="26"/>
  <c r="P53" i="26"/>
  <c r="O53" i="26"/>
  <c r="N53" i="26"/>
  <c r="M53" i="26"/>
  <c r="K53" i="26"/>
  <c r="AZ52" i="26"/>
  <c r="AT52" i="26"/>
  <c r="AS52" i="26"/>
  <c r="AR52" i="26"/>
  <c r="AQ52" i="26"/>
  <c r="AM52" i="26"/>
  <c r="AL52" i="26"/>
  <c r="AK52" i="26"/>
  <c r="AJ52" i="26"/>
  <c r="AI52" i="26"/>
  <c r="AN52" i="26" s="1"/>
  <c r="AF52" i="26"/>
  <c r="AE52" i="26"/>
  <c r="AD52" i="26"/>
  <c r="AC52" i="26"/>
  <c r="V52" i="26"/>
  <c r="U52" i="26"/>
  <c r="T52" i="26"/>
  <c r="S52" i="26"/>
  <c r="R52" i="26"/>
  <c r="Q52" i="26"/>
  <c r="P52" i="26"/>
  <c r="O52" i="26"/>
  <c r="N52" i="26"/>
  <c r="M52" i="26"/>
  <c r="K52" i="26"/>
  <c r="BA51" i="26"/>
  <c r="AZ51" i="26"/>
  <c r="AV51" i="26"/>
  <c r="AW51" i="26" s="1"/>
  <c r="AT51" i="26"/>
  <c r="AX51" i="26" s="1"/>
  <c r="AY51" i="26" s="1"/>
  <c r="AS51" i="26"/>
  <c r="AR51" i="26"/>
  <c r="AQ51" i="26"/>
  <c r="AM51" i="26"/>
  <c r="AL51" i="26"/>
  <c r="AK51" i="26"/>
  <c r="AJ51" i="26"/>
  <c r="AI51" i="26"/>
  <c r="AN51" i="26" s="1"/>
  <c r="AF51" i="26"/>
  <c r="AE51" i="26"/>
  <c r="AD51" i="26"/>
  <c r="AC51" i="26"/>
  <c r="V51" i="26"/>
  <c r="T51" i="26"/>
  <c r="U51" i="26" s="1"/>
  <c r="S51" i="26"/>
  <c r="R51" i="26"/>
  <c r="Q51" i="26"/>
  <c r="P51" i="26"/>
  <c r="O51" i="26"/>
  <c r="N51" i="26"/>
  <c r="M51" i="26"/>
  <c r="K51" i="26"/>
  <c r="AZ50" i="26"/>
  <c r="AT50" i="26"/>
  <c r="AS50" i="26"/>
  <c r="AR50" i="26"/>
  <c r="AQ50" i="26"/>
  <c r="BA50" i="26" s="1"/>
  <c r="AM50" i="26"/>
  <c r="AL50" i="26"/>
  <c r="AK50" i="26"/>
  <c r="AJ50" i="26"/>
  <c r="AI50" i="26"/>
  <c r="AF50" i="26"/>
  <c r="AE50" i="26"/>
  <c r="AD50" i="26"/>
  <c r="AC50" i="26"/>
  <c r="V50" i="26"/>
  <c r="U50" i="26"/>
  <c r="T50" i="26"/>
  <c r="S50" i="26"/>
  <c r="R50" i="26"/>
  <c r="Q50" i="26"/>
  <c r="P50" i="26"/>
  <c r="O50" i="26"/>
  <c r="N50" i="26"/>
  <c r="M50" i="26"/>
  <c r="K50" i="26"/>
  <c r="AZ49" i="26"/>
  <c r="AT49" i="26"/>
  <c r="AS49" i="26"/>
  <c r="AR49" i="26"/>
  <c r="AQ49" i="26"/>
  <c r="BA49" i="26" s="1"/>
  <c r="AM49" i="26"/>
  <c r="AN49" i="26" s="1"/>
  <c r="AL49" i="26"/>
  <c r="AK49" i="26"/>
  <c r="AJ49" i="26"/>
  <c r="AI49" i="26"/>
  <c r="AF49" i="26"/>
  <c r="AE49" i="26"/>
  <c r="AD49" i="26"/>
  <c r="AC49" i="26"/>
  <c r="V49" i="26"/>
  <c r="T49" i="26"/>
  <c r="U49" i="26" s="1"/>
  <c r="S49" i="26"/>
  <c r="R49" i="26"/>
  <c r="Q49" i="26"/>
  <c r="P49" i="26"/>
  <c r="O49" i="26"/>
  <c r="N49" i="26"/>
  <c r="M49" i="26"/>
  <c r="K49" i="26"/>
  <c r="BA48" i="26"/>
  <c r="AZ48" i="26"/>
  <c r="AX48" i="26"/>
  <c r="AY48" i="26" s="1"/>
  <c r="AT48" i="26"/>
  <c r="AS48" i="26"/>
  <c r="AR48" i="26"/>
  <c r="AQ48" i="26"/>
  <c r="AV48" i="26" s="1"/>
  <c r="AW48" i="26" s="1"/>
  <c r="AM48" i="26"/>
  <c r="AL48" i="26"/>
  <c r="AK48" i="26"/>
  <c r="AJ48" i="26"/>
  <c r="AI48" i="26"/>
  <c r="AN48" i="26" s="1"/>
  <c r="AF48" i="26"/>
  <c r="AE48" i="26"/>
  <c r="AD48" i="26"/>
  <c r="AC48" i="26"/>
  <c r="V48" i="26"/>
  <c r="T48" i="26"/>
  <c r="U48" i="26" s="1"/>
  <c r="S48" i="26"/>
  <c r="R48" i="26"/>
  <c r="Q48" i="26"/>
  <c r="P48" i="26"/>
  <c r="O48" i="26"/>
  <c r="N48" i="26"/>
  <c r="M48" i="26"/>
  <c r="K48" i="26"/>
  <c r="AZ47" i="26"/>
  <c r="AT47" i="26"/>
  <c r="AS47" i="26"/>
  <c r="AR47" i="26"/>
  <c r="AQ47" i="26"/>
  <c r="BA47" i="26" s="1"/>
  <c r="AM47" i="26"/>
  <c r="AL47" i="26"/>
  <c r="AK47" i="26"/>
  <c r="AJ47" i="26"/>
  <c r="AI47" i="26"/>
  <c r="AN47" i="26" s="1"/>
  <c r="AF47" i="26"/>
  <c r="AE47" i="26"/>
  <c r="AD47" i="26"/>
  <c r="AC47" i="26"/>
  <c r="V47" i="26"/>
  <c r="U47" i="26"/>
  <c r="T47" i="26"/>
  <c r="S47" i="26"/>
  <c r="R47" i="26"/>
  <c r="Q47" i="26"/>
  <c r="P47" i="26"/>
  <c r="O47" i="26"/>
  <c r="N47" i="26"/>
  <c r="M47" i="26"/>
  <c r="K47" i="26"/>
  <c r="AZ46" i="26"/>
  <c r="AT46" i="26"/>
  <c r="AS46" i="26"/>
  <c r="AR46" i="26"/>
  <c r="AQ46" i="26"/>
  <c r="BA46" i="26" s="1"/>
  <c r="AM46" i="26"/>
  <c r="AL46" i="26"/>
  <c r="AK46" i="26"/>
  <c r="AJ46" i="26"/>
  <c r="AI46" i="26"/>
  <c r="AN46" i="26" s="1"/>
  <c r="AF46" i="26"/>
  <c r="AE46" i="26"/>
  <c r="AD46" i="26"/>
  <c r="AC46" i="26"/>
  <c r="V46" i="26"/>
  <c r="T46" i="26"/>
  <c r="U46" i="26" s="1"/>
  <c r="S46" i="26"/>
  <c r="R46" i="26"/>
  <c r="Q46" i="26"/>
  <c r="P46" i="26"/>
  <c r="O46" i="26"/>
  <c r="N46" i="26"/>
  <c r="M46" i="26"/>
  <c r="K46" i="26"/>
  <c r="BA45" i="26"/>
  <c r="AZ45" i="26"/>
  <c r="AT45" i="26"/>
  <c r="AS45" i="26"/>
  <c r="AR45" i="26"/>
  <c r="AQ45" i="26"/>
  <c r="AV45" i="26" s="1"/>
  <c r="AW45" i="26" s="1"/>
  <c r="AM45" i="26"/>
  <c r="AL45" i="26"/>
  <c r="AK45" i="26"/>
  <c r="AJ45" i="26"/>
  <c r="AI45" i="26"/>
  <c r="AN45" i="26" s="1"/>
  <c r="AF45" i="26"/>
  <c r="AE45" i="26"/>
  <c r="AD45" i="26"/>
  <c r="AC45" i="26"/>
  <c r="V45" i="26"/>
  <c r="U45" i="26"/>
  <c r="T45" i="26"/>
  <c r="S45" i="26"/>
  <c r="R45" i="26"/>
  <c r="Q45" i="26"/>
  <c r="P45" i="26"/>
  <c r="O45" i="26"/>
  <c r="N45" i="26"/>
  <c r="M45" i="26"/>
  <c r="K45" i="26"/>
  <c r="AZ44" i="26"/>
  <c r="AT44" i="26"/>
  <c r="AS44" i="26"/>
  <c r="AR44" i="26"/>
  <c r="AQ44" i="26"/>
  <c r="AM44" i="26"/>
  <c r="AL44" i="26"/>
  <c r="AK44" i="26"/>
  <c r="AJ44" i="26"/>
  <c r="AI44" i="26"/>
  <c r="AN44" i="26" s="1"/>
  <c r="AF44" i="26"/>
  <c r="AE44" i="26"/>
  <c r="AD44" i="26"/>
  <c r="AC44" i="26"/>
  <c r="V44" i="26"/>
  <c r="U44" i="26"/>
  <c r="T44" i="26"/>
  <c r="S44" i="26"/>
  <c r="R44" i="26"/>
  <c r="Q44" i="26"/>
  <c r="P44" i="26"/>
  <c r="O44" i="26"/>
  <c r="N44" i="26"/>
  <c r="M44" i="26"/>
  <c r="K44" i="26"/>
  <c r="BA43" i="26"/>
  <c r="AZ43" i="26"/>
  <c r="AV43" i="26"/>
  <c r="AW43" i="26" s="1"/>
  <c r="AT43" i="26"/>
  <c r="AX43" i="26" s="1"/>
  <c r="AY43" i="26" s="1"/>
  <c r="AS43" i="26"/>
  <c r="AR43" i="26"/>
  <c r="AQ43" i="26"/>
  <c r="AM43" i="26"/>
  <c r="AL43" i="26"/>
  <c r="AK43" i="26"/>
  <c r="AJ43" i="26"/>
  <c r="AI43" i="26"/>
  <c r="AN43" i="26" s="1"/>
  <c r="AF43" i="26"/>
  <c r="AE43" i="26"/>
  <c r="AD43" i="26"/>
  <c r="AC43" i="26"/>
  <c r="V43" i="26"/>
  <c r="T43" i="26"/>
  <c r="U43" i="26" s="1"/>
  <c r="S43" i="26"/>
  <c r="R43" i="26"/>
  <c r="Q43" i="26"/>
  <c r="P43" i="26"/>
  <c r="O43" i="26"/>
  <c r="N43" i="26"/>
  <c r="M43" i="26"/>
  <c r="K43" i="26"/>
  <c r="AZ42" i="26"/>
  <c r="AT42" i="26"/>
  <c r="AS42" i="26"/>
  <c r="AR42" i="26"/>
  <c r="AQ42" i="26"/>
  <c r="BA42" i="26" s="1"/>
  <c r="AM42" i="26"/>
  <c r="AL42" i="26"/>
  <c r="AK42" i="26"/>
  <c r="AJ42" i="26"/>
  <c r="AI42" i="26"/>
  <c r="AN42" i="26" s="1"/>
  <c r="AF42" i="26"/>
  <c r="AE42" i="26"/>
  <c r="AD42" i="26"/>
  <c r="AC42" i="26"/>
  <c r="V42" i="26"/>
  <c r="U42" i="26"/>
  <c r="T42" i="26"/>
  <c r="S42" i="26"/>
  <c r="R42" i="26"/>
  <c r="Q42" i="26"/>
  <c r="P42" i="26"/>
  <c r="O42" i="26"/>
  <c r="N42" i="26"/>
  <c r="M42" i="26"/>
  <c r="K42" i="26"/>
  <c r="AZ41" i="26"/>
  <c r="AT41" i="26"/>
  <c r="AS41" i="26"/>
  <c r="AR41" i="26"/>
  <c r="AQ41" i="26"/>
  <c r="BA41" i="26" s="1"/>
  <c r="AM41" i="26"/>
  <c r="AL41" i="26"/>
  <c r="AN41" i="26" s="1"/>
  <c r="AK41" i="26"/>
  <c r="AJ41" i="26"/>
  <c r="AI41" i="26"/>
  <c r="AF41" i="26"/>
  <c r="AE41" i="26"/>
  <c r="AD41" i="26"/>
  <c r="AC41" i="26"/>
  <c r="V41" i="26"/>
  <c r="T41" i="26"/>
  <c r="U41" i="26" s="1"/>
  <c r="S41" i="26"/>
  <c r="R41" i="26"/>
  <c r="Q41" i="26"/>
  <c r="P41" i="26"/>
  <c r="O41" i="26"/>
  <c r="N41" i="26"/>
  <c r="M41" i="26"/>
  <c r="K41" i="26"/>
  <c r="BA40" i="26"/>
  <c r="AZ40" i="26"/>
  <c r="AT40" i="26"/>
  <c r="AS40" i="26"/>
  <c r="AR40" i="26"/>
  <c r="AQ40" i="26"/>
  <c r="AV40" i="26" s="1"/>
  <c r="AW40" i="26" s="1"/>
  <c r="AM40" i="26"/>
  <c r="AL40" i="26"/>
  <c r="AK40" i="26"/>
  <c r="AJ40" i="26"/>
  <c r="AI40" i="26"/>
  <c r="AN40" i="26" s="1"/>
  <c r="AF40" i="26"/>
  <c r="AE40" i="26"/>
  <c r="AD40" i="26"/>
  <c r="AC40" i="26"/>
  <c r="V40" i="26"/>
  <c r="T40" i="26"/>
  <c r="U40" i="26" s="1"/>
  <c r="S40" i="26"/>
  <c r="R40" i="26"/>
  <c r="Q40" i="26"/>
  <c r="P40" i="26"/>
  <c r="O40" i="26"/>
  <c r="N40" i="26"/>
  <c r="M40" i="26"/>
  <c r="K40" i="26"/>
  <c r="AZ39" i="26"/>
  <c r="AT39" i="26"/>
  <c r="AS39" i="26"/>
  <c r="AR39" i="26"/>
  <c r="AQ39" i="26"/>
  <c r="BA39" i="26" s="1"/>
  <c r="AM39" i="26"/>
  <c r="AL39" i="26"/>
  <c r="AK39" i="26"/>
  <c r="AJ39" i="26"/>
  <c r="AI39" i="26"/>
  <c r="AN39" i="26" s="1"/>
  <c r="AF39" i="26"/>
  <c r="AE39" i="26"/>
  <c r="AD39" i="26"/>
  <c r="AC39" i="26"/>
  <c r="V39" i="26"/>
  <c r="U39" i="26"/>
  <c r="T39" i="26"/>
  <c r="S39" i="26"/>
  <c r="R39" i="26"/>
  <c r="Q39" i="26"/>
  <c r="P39" i="26"/>
  <c r="O39" i="26"/>
  <c r="N39" i="26"/>
  <c r="M39" i="26"/>
  <c r="K39" i="26"/>
  <c r="AZ38" i="26"/>
  <c r="AT38" i="26"/>
  <c r="AS38" i="26"/>
  <c r="AR38" i="26"/>
  <c r="AQ38" i="26"/>
  <c r="BA38" i="26" s="1"/>
  <c r="AM38" i="26"/>
  <c r="AL38" i="26"/>
  <c r="AK38" i="26"/>
  <c r="AJ38" i="26"/>
  <c r="AI38" i="26"/>
  <c r="AN38" i="26" s="1"/>
  <c r="AF38" i="26"/>
  <c r="AE38" i="26"/>
  <c r="AD38" i="26"/>
  <c r="AC38" i="26"/>
  <c r="V38" i="26"/>
  <c r="T38" i="26"/>
  <c r="U38" i="26" s="1"/>
  <c r="S38" i="26"/>
  <c r="R38" i="26"/>
  <c r="Q38" i="26"/>
  <c r="P38" i="26"/>
  <c r="O38" i="26"/>
  <c r="N38" i="26"/>
  <c r="M38" i="26"/>
  <c r="K38" i="26"/>
  <c r="BA37" i="26"/>
  <c r="AZ37" i="26"/>
  <c r="AT37" i="26"/>
  <c r="AS37" i="26"/>
  <c r="AR37" i="26"/>
  <c r="AQ37" i="26"/>
  <c r="AV37" i="26" s="1"/>
  <c r="AW37" i="26" s="1"/>
  <c r="AM37" i="26"/>
  <c r="AL37" i="26"/>
  <c r="AK37" i="26"/>
  <c r="AJ37" i="26"/>
  <c r="AI37" i="26"/>
  <c r="AN37" i="26" s="1"/>
  <c r="AF37" i="26"/>
  <c r="AE37" i="26"/>
  <c r="AD37" i="26"/>
  <c r="AC37" i="26"/>
  <c r="V37" i="26"/>
  <c r="T37" i="26"/>
  <c r="U37" i="26" s="1"/>
  <c r="S37" i="26"/>
  <c r="R37" i="26"/>
  <c r="Q37" i="26"/>
  <c r="P37" i="26"/>
  <c r="O37" i="26"/>
  <c r="N37" i="26"/>
  <c r="M37" i="26"/>
  <c r="K37" i="26"/>
  <c r="AZ36" i="26"/>
  <c r="AT36" i="26"/>
  <c r="AS36" i="26"/>
  <c r="AR36" i="26"/>
  <c r="AQ36" i="26"/>
  <c r="AM36" i="26"/>
  <c r="AL36" i="26"/>
  <c r="AK36" i="26"/>
  <c r="AJ36" i="26"/>
  <c r="AI36" i="26"/>
  <c r="AN36" i="26" s="1"/>
  <c r="AF36" i="26"/>
  <c r="AE36" i="26"/>
  <c r="AD36" i="26"/>
  <c r="AC36" i="26"/>
  <c r="V36" i="26"/>
  <c r="U36" i="26"/>
  <c r="T36" i="26"/>
  <c r="S36" i="26"/>
  <c r="R36" i="26"/>
  <c r="Q36" i="26"/>
  <c r="P36" i="26"/>
  <c r="O36" i="26"/>
  <c r="N36" i="26"/>
  <c r="M36" i="26"/>
  <c r="K36" i="26"/>
  <c r="BA35" i="26"/>
  <c r="BB35" i="26" s="1"/>
  <c r="BC35" i="26" s="1"/>
  <c r="AZ35" i="26"/>
  <c r="AV35" i="26"/>
  <c r="AW35" i="26" s="1"/>
  <c r="AT35" i="26"/>
  <c r="AX35" i="26" s="1"/>
  <c r="AY35" i="26" s="1"/>
  <c r="AS35" i="26"/>
  <c r="AR35" i="26"/>
  <c r="AQ35" i="26"/>
  <c r="AM35" i="26"/>
  <c r="AL35" i="26"/>
  <c r="AK35" i="26"/>
  <c r="AJ35" i="26"/>
  <c r="AI35" i="26"/>
  <c r="AN35" i="26" s="1"/>
  <c r="AF35" i="26"/>
  <c r="AE35" i="26"/>
  <c r="AD35" i="26"/>
  <c r="AC35" i="26"/>
  <c r="V35" i="26"/>
  <c r="T35" i="26"/>
  <c r="U35" i="26" s="1"/>
  <c r="S35" i="26"/>
  <c r="R35" i="26"/>
  <c r="Q35" i="26"/>
  <c r="P35" i="26"/>
  <c r="O35" i="26"/>
  <c r="N35" i="26"/>
  <c r="M35" i="26"/>
  <c r="K35" i="26"/>
  <c r="AZ34" i="26"/>
  <c r="AT34" i="26"/>
  <c r="AS34" i="26"/>
  <c r="AR34" i="26"/>
  <c r="AQ34" i="26"/>
  <c r="BA34" i="26" s="1"/>
  <c r="AM34" i="26"/>
  <c r="AL34" i="26"/>
  <c r="AK34" i="26"/>
  <c r="AJ34" i="26"/>
  <c r="AI34" i="26"/>
  <c r="AN34" i="26" s="1"/>
  <c r="AF34" i="26"/>
  <c r="AE34" i="26"/>
  <c r="AD34" i="26"/>
  <c r="AC34" i="26"/>
  <c r="V34" i="26"/>
  <c r="U34" i="26"/>
  <c r="T34" i="26"/>
  <c r="S34" i="26"/>
  <c r="R34" i="26"/>
  <c r="Q34" i="26"/>
  <c r="P34" i="26"/>
  <c r="O34" i="26"/>
  <c r="N34" i="26"/>
  <c r="M34" i="26"/>
  <c r="K34" i="26"/>
  <c r="AZ33" i="26"/>
  <c r="AV33" i="26"/>
  <c r="AW33" i="26" s="1"/>
  <c r="AT33" i="26"/>
  <c r="AS33" i="26"/>
  <c r="AR33" i="26"/>
  <c r="AQ33" i="26"/>
  <c r="BA33" i="26" s="1"/>
  <c r="AM33" i="26"/>
  <c r="AL33" i="26"/>
  <c r="AN33" i="26" s="1"/>
  <c r="AK33" i="26"/>
  <c r="AJ33" i="26"/>
  <c r="AI33" i="26"/>
  <c r="AF33" i="26"/>
  <c r="AE33" i="26"/>
  <c r="AD33" i="26"/>
  <c r="AC33" i="26"/>
  <c r="V33" i="26"/>
  <c r="T33" i="26"/>
  <c r="U33" i="26" s="1"/>
  <c r="S33" i="26"/>
  <c r="R33" i="26"/>
  <c r="Q33" i="26"/>
  <c r="P33" i="26"/>
  <c r="O33" i="26"/>
  <c r="N33" i="26"/>
  <c r="M33" i="26"/>
  <c r="K33" i="26"/>
  <c r="BA32" i="26"/>
  <c r="AZ32" i="26"/>
  <c r="AT32" i="26"/>
  <c r="AS32" i="26"/>
  <c r="AR32" i="26"/>
  <c r="AQ32" i="26"/>
  <c r="AV32" i="26" s="1"/>
  <c r="AW32" i="26" s="1"/>
  <c r="AM32" i="26"/>
  <c r="AL32" i="26"/>
  <c r="AK32" i="26"/>
  <c r="AJ32" i="26"/>
  <c r="AI32" i="26"/>
  <c r="AN32" i="26" s="1"/>
  <c r="AF32" i="26"/>
  <c r="AE32" i="26"/>
  <c r="AD32" i="26"/>
  <c r="AC32" i="26"/>
  <c r="V32" i="26"/>
  <c r="T32" i="26"/>
  <c r="U32" i="26" s="1"/>
  <c r="S32" i="26"/>
  <c r="R32" i="26"/>
  <c r="Q32" i="26"/>
  <c r="P32" i="26"/>
  <c r="O32" i="26"/>
  <c r="N32" i="26"/>
  <c r="M32" i="26"/>
  <c r="K32" i="26"/>
  <c r="AZ31" i="26"/>
  <c r="AT31" i="26"/>
  <c r="AS31" i="26"/>
  <c r="AR31" i="26"/>
  <c r="AQ31" i="26"/>
  <c r="AV31" i="26" s="1"/>
  <c r="AW31" i="26" s="1"/>
  <c r="AM31" i="26"/>
  <c r="AL31" i="26"/>
  <c r="AK31" i="26"/>
  <c r="AJ31" i="26"/>
  <c r="AI31" i="26"/>
  <c r="AN31" i="26" s="1"/>
  <c r="AF31" i="26"/>
  <c r="AE31" i="26"/>
  <c r="AD31" i="26"/>
  <c r="AC31" i="26"/>
  <c r="V31" i="26"/>
  <c r="U31" i="26"/>
  <c r="T31" i="26"/>
  <c r="S31" i="26"/>
  <c r="R31" i="26"/>
  <c r="Q31" i="26"/>
  <c r="P31" i="26"/>
  <c r="O31" i="26"/>
  <c r="N31" i="26"/>
  <c r="M31" i="26"/>
  <c r="K31" i="26"/>
  <c r="AZ30" i="26"/>
  <c r="AT30" i="26"/>
  <c r="AS30" i="26"/>
  <c r="AR30" i="26"/>
  <c r="AQ30" i="26"/>
  <c r="BA30" i="26" s="1"/>
  <c r="AM30" i="26"/>
  <c r="AL30" i="26"/>
  <c r="AK30" i="26"/>
  <c r="AJ30" i="26"/>
  <c r="AI30" i="26"/>
  <c r="AN30" i="26" s="1"/>
  <c r="AF30" i="26"/>
  <c r="AE30" i="26"/>
  <c r="AD30" i="26"/>
  <c r="AC30" i="26"/>
  <c r="V30" i="26"/>
  <c r="T30" i="26"/>
  <c r="U30" i="26" s="1"/>
  <c r="S30" i="26"/>
  <c r="R30" i="26"/>
  <c r="Q30" i="26"/>
  <c r="P30" i="26"/>
  <c r="O30" i="26"/>
  <c r="N30" i="26"/>
  <c r="M30" i="26"/>
  <c r="K30" i="26"/>
  <c r="BA29" i="26"/>
  <c r="AZ29" i="26"/>
  <c r="AT29" i="26"/>
  <c r="AS29" i="26"/>
  <c r="AR29" i="26"/>
  <c r="AQ29" i="26"/>
  <c r="AV29" i="26" s="1"/>
  <c r="AW29" i="26" s="1"/>
  <c r="AM29" i="26"/>
  <c r="AL29" i="26"/>
  <c r="AK29" i="26"/>
  <c r="AJ29" i="26"/>
  <c r="AI29" i="26"/>
  <c r="AN29" i="26" s="1"/>
  <c r="AF29" i="26"/>
  <c r="AE29" i="26"/>
  <c r="AD29" i="26"/>
  <c r="AC29" i="26"/>
  <c r="V29" i="26"/>
  <c r="T29" i="26"/>
  <c r="U29" i="26" s="1"/>
  <c r="S29" i="26"/>
  <c r="R29" i="26"/>
  <c r="Q29" i="26"/>
  <c r="P29" i="26"/>
  <c r="O29" i="26"/>
  <c r="N29" i="26"/>
  <c r="M29" i="26"/>
  <c r="K29" i="26"/>
  <c r="AZ28" i="26"/>
  <c r="AT28" i="26"/>
  <c r="AS28" i="26"/>
  <c r="AR28" i="26"/>
  <c r="AQ28" i="26"/>
  <c r="AM28" i="26"/>
  <c r="AL28" i="26"/>
  <c r="AK28" i="26"/>
  <c r="AJ28" i="26"/>
  <c r="AI28" i="26"/>
  <c r="AN28" i="26" s="1"/>
  <c r="AF28" i="26"/>
  <c r="AE28" i="26"/>
  <c r="AD28" i="26"/>
  <c r="AC28" i="26"/>
  <c r="V28" i="26"/>
  <c r="U28" i="26"/>
  <c r="T28" i="26"/>
  <c r="S28" i="26"/>
  <c r="R28" i="26"/>
  <c r="Q28" i="26"/>
  <c r="P28" i="26"/>
  <c r="O28" i="26"/>
  <c r="N28" i="26"/>
  <c r="M28" i="26"/>
  <c r="K28" i="26"/>
  <c r="BA27" i="26"/>
  <c r="AZ27" i="26"/>
  <c r="AV27" i="26"/>
  <c r="AW27" i="26" s="1"/>
  <c r="AT27" i="26"/>
  <c r="AX27" i="26" s="1"/>
  <c r="AY27" i="26" s="1"/>
  <c r="AS27" i="26"/>
  <c r="AR27" i="26"/>
  <c r="AQ27" i="26"/>
  <c r="AM27" i="26"/>
  <c r="AL27" i="26"/>
  <c r="AK27" i="26"/>
  <c r="AJ27" i="26"/>
  <c r="AI27" i="26"/>
  <c r="AN27" i="26" s="1"/>
  <c r="AF27" i="26"/>
  <c r="AE27" i="26"/>
  <c r="AD27" i="26"/>
  <c r="AC27" i="26"/>
  <c r="V27" i="26"/>
  <c r="T27" i="26"/>
  <c r="U27" i="26" s="1"/>
  <c r="S27" i="26"/>
  <c r="R27" i="26"/>
  <c r="Q27" i="26"/>
  <c r="P27" i="26"/>
  <c r="O27" i="26"/>
  <c r="N27" i="26"/>
  <c r="M27" i="26"/>
  <c r="K27" i="26"/>
  <c r="AZ26" i="26"/>
  <c r="AT26" i="26"/>
  <c r="AS26" i="26"/>
  <c r="AR26" i="26"/>
  <c r="AQ26" i="26"/>
  <c r="BA26" i="26" s="1"/>
  <c r="AM26" i="26"/>
  <c r="AL26" i="26"/>
  <c r="AK26" i="26"/>
  <c r="AJ26" i="26"/>
  <c r="AI26" i="26"/>
  <c r="AN26" i="26" s="1"/>
  <c r="AF26" i="26"/>
  <c r="AE26" i="26"/>
  <c r="AD26" i="26"/>
  <c r="AC26" i="26"/>
  <c r="V26" i="26"/>
  <c r="U26" i="26"/>
  <c r="T26" i="26"/>
  <c r="S26" i="26"/>
  <c r="R26" i="26"/>
  <c r="Q26" i="26"/>
  <c r="P26" i="26"/>
  <c r="O26" i="26"/>
  <c r="N26" i="26"/>
  <c r="M26" i="26"/>
  <c r="K26" i="26"/>
  <c r="AZ25" i="26"/>
  <c r="AV25" i="26"/>
  <c r="AW25" i="26" s="1"/>
  <c r="AT25" i="26"/>
  <c r="AS25" i="26"/>
  <c r="AR25" i="26"/>
  <c r="AQ25" i="26"/>
  <c r="BA25" i="26" s="1"/>
  <c r="AM25" i="26"/>
  <c r="AL25" i="26"/>
  <c r="AN25" i="26" s="1"/>
  <c r="AK25" i="26"/>
  <c r="AJ25" i="26"/>
  <c r="AI25" i="26"/>
  <c r="AF25" i="26"/>
  <c r="AE25" i="26"/>
  <c r="AD25" i="26"/>
  <c r="AC25" i="26"/>
  <c r="V25" i="26"/>
  <c r="T25" i="26"/>
  <c r="U25" i="26" s="1"/>
  <c r="S25" i="26"/>
  <c r="R25" i="26"/>
  <c r="Q25" i="26"/>
  <c r="P25" i="26"/>
  <c r="O25" i="26"/>
  <c r="N25" i="26"/>
  <c r="M25" i="26"/>
  <c r="K25" i="26"/>
  <c r="BA24" i="26"/>
  <c r="AZ24" i="26"/>
  <c r="AT24" i="26"/>
  <c r="AS24" i="26"/>
  <c r="AR24" i="26"/>
  <c r="AQ24" i="26"/>
  <c r="AV24" i="26" s="1"/>
  <c r="AW24" i="26" s="1"/>
  <c r="AM24" i="26"/>
  <c r="AL24" i="26"/>
  <c r="AK24" i="26"/>
  <c r="AJ24" i="26"/>
  <c r="AI24" i="26"/>
  <c r="AN24" i="26" s="1"/>
  <c r="AF24" i="26"/>
  <c r="AE24" i="26"/>
  <c r="AD24" i="26"/>
  <c r="AC24" i="26"/>
  <c r="V24" i="26"/>
  <c r="T24" i="26"/>
  <c r="U24" i="26" s="1"/>
  <c r="S24" i="26"/>
  <c r="R24" i="26"/>
  <c r="Q24" i="26"/>
  <c r="P24" i="26"/>
  <c r="O24" i="26"/>
  <c r="N24" i="26"/>
  <c r="M24" i="26"/>
  <c r="K24" i="26"/>
  <c r="AZ23" i="26"/>
  <c r="AT23" i="26"/>
  <c r="AS23" i="26"/>
  <c r="AR23" i="26"/>
  <c r="AQ23" i="26"/>
  <c r="AV23" i="26" s="1"/>
  <c r="AW23" i="26" s="1"/>
  <c r="AM23" i="26"/>
  <c r="AL23" i="26"/>
  <c r="AK23" i="26"/>
  <c r="AJ23" i="26"/>
  <c r="AI23" i="26"/>
  <c r="AN23" i="26" s="1"/>
  <c r="AF23" i="26"/>
  <c r="AE23" i="26"/>
  <c r="AD23" i="26"/>
  <c r="AC23" i="26"/>
  <c r="V23" i="26"/>
  <c r="U23" i="26"/>
  <c r="T23" i="26"/>
  <c r="S23" i="26"/>
  <c r="R23" i="26"/>
  <c r="Q23" i="26"/>
  <c r="P23" i="26"/>
  <c r="O23" i="26"/>
  <c r="N23" i="26"/>
  <c r="M23" i="26"/>
  <c r="K23" i="26"/>
  <c r="AZ22" i="26"/>
  <c r="AT22" i="26"/>
  <c r="AS22" i="26"/>
  <c r="AR22" i="26"/>
  <c r="AQ22" i="26"/>
  <c r="BA22" i="26" s="1"/>
  <c r="AM22" i="26"/>
  <c r="AL22" i="26"/>
  <c r="AK22" i="26"/>
  <c r="AJ22" i="26"/>
  <c r="AI22" i="26"/>
  <c r="AN22" i="26" s="1"/>
  <c r="AF22" i="26"/>
  <c r="AE22" i="26"/>
  <c r="AD22" i="26"/>
  <c r="AC22" i="26"/>
  <c r="V22" i="26"/>
  <c r="T22" i="26"/>
  <c r="U22" i="26" s="1"/>
  <c r="S22" i="26"/>
  <c r="R22" i="26"/>
  <c r="Q22" i="26"/>
  <c r="P22" i="26"/>
  <c r="O22" i="26"/>
  <c r="N22" i="26"/>
  <c r="M22" i="26"/>
  <c r="K22" i="26"/>
  <c r="BA21" i="26"/>
  <c r="AZ21" i="26"/>
  <c r="AT21" i="26"/>
  <c r="AS21" i="26"/>
  <c r="AR21" i="26"/>
  <c r="AQ21" i="26"/>
  <c r="AV21" i="26" s="1"/>
  <c r="AW21" i="26" s="1"/>
  <c r="AM21" i="26"/>
  <c r="AL21" i="26"/>
  <c r="AK21" i="26"/>
  <c r="AJ21" i="26"/>
  <c r="AI21" i="26"/>
  <c r="AN21" i="26" s="1"/>
  <c r="AF21" i="26"/>
  <c r="AE21" i="26"/>
  <c r="AD21" i="26"/>
  <c r="AC21" i="26"/>
  <c r="V21" i="26"/>
  <c r="T21" i="26"/>
  <c r="U21" i="26" s="1"/>
  <c r="S21" i="26"/>
  <c r="R21" i="26"/>
  <c r="Q21" i="26"/>
  <c r="P21" i="26"/>
  <c r="O21" i="26"/>
  <c r="N21" i="26"/>
  <c r="M21" i="26"/>
  <c r="K21" i="26"/>
  <c r="AZ20" i="26"/>
  <c r="AT20" i="26"/>
  <c r="AS20" i="26"/>
  <c r="AR20" i="26"/>
  <c r="AQ20" i="26"/>
  <c r="AM20" i="26"/>
  <c r="AL20" i="26"/>
  <c r="AK20" i="26"/>
  <c r="AN20" i="26" s="1"/>
  <c r="AJ20" i="26"/>
  <c r="AI20" i="26"/>
  <c r="AF20" i="26"/>
  <c r="AE20" i="26"/>
  <c r="AD20" i="26"/>
  <c r="AC20" i="26"/>
  <c r="V20" i="26"/>
  <c r="U20" i="26"/>
  <c r="T20" i="26"/>
  <c r="S20" i="26"/>
  <c r="R20" i="26"/>
  <c r="Q20" i="26"/>
  <c r="P20" i="26"/>
  <c r="O20" i="26"/>
  <c r="N20" i="26"/>
  <c r="M20" i="26"/>
  <c r="K20" i="26"/>
  <c r="BA19" i="26"/>
  <c r="AZ19" i="26"/>
  <c r="AV19" i="26"/>
  <c r="AT19" i="26"/>
  <c r="AS19" i="26"/>
  <c r="AR19" i="26"/>
  <c r="AQ19" i="26"/>
  <c r="AM19" i="26"/>
  <c r="AL19" i="26"/>
  <c r="AK19" i="26"/>
  <c r="AJ19" i="26"/>
  <c r="AI19" i="26"/>
  <c r="AN19" i="26" s="1"/>
  <c r="AF19" i="26"/>
  <c r="AE19" i="26"/>
  <c r="AD19" i="26"/>
  <c r="AC19" i="26"/>
  <c r="V19" i="26"/>
  <c r="T19" i="26"/>
  <c r="U19" i="26" s="1"/>
  <c r="S19" i="26"/>
  <c r="R19" i="26"/>
  <c r="Q19" i="26"/>
  <c r="P19" i="26"/>
  <c r="O19" i="26"/>
  <c r="N19" i="26"/>
  <c r="M19" i="26"/>
  <c r="K19" i="26"/>
  <c r="AZ18" i="26"/>
  <c r="AT18" i="26"/>
  <c r="AS18" i="26"/>
  <c r="AR18" i="26"/>
  <c r="AQ18" i="26"/>
  <c r="BA18" i="26" s="1"/>
  <c r="AM18" i="26"/>
  <c r="AL18" i="26"/>
  <c r="AK18" i="26"/>
  <c r="AJ18" i="26"/>
  <c r="AI18" i="26"/>
  <c r="AN18" i="26" s="1"/>
  <c r="AF18" i="26"/>
  <c r="AE18" i="26"/>
  <c r="AD18" i="26"/>
  <c r="AC18" i="26"/>
  <c r="V18" i="26"/>
  <c r="U18" i="26"/>
  <c r="T18" i="26"/>
  <c r="S18" i="26"/>
  <c r="R18" i="26"/>
  <c r="Q18" i="26"/>
  <c r="P18" i="26"/>
  <c r="O18" i="26"/>
  <c r="N18" i="26"/>
  <c r="M18" i="26"/>
  <c r="K18" i="26"/>
  <c r="AZ17" i="26"/>
  <c r="AT17" i="26"/>
  <c r="AS17" i="26"/>
  <c r="AR17" i="26"/>
  <c r="AQ17" i="26"/>
  <c r="BA17" i="26" s="1"/>
  <c r="AM17" i="26"/>
  <c r="AL17" i="26"/>
  <c r="AN17" i="26" s="1"/>
  <c r="AK17" i="26"/>
  <c r="AJ17" i="26"/>
  <c r="AI17" i="26"/>
  <c r="AF17" i="26"/>
  <c r="AE17" i="26"/>
  <c r="AD17" i="26"/>
  <c r="AC17" i="26"/>
  <c r="V17" i="26"/>
  <c r="T17" i="26"/>
  <c r="U17" i="26" s="1"/>
  <c r="S17" i="26"/>
  <c r="R17" i="26"/>
  <c r="Q17" i="26"/>
  <c r="P17" i="26"/>
  <c r="O17" i="26"/>
  <c r="N17" i="26"/>
  <c r="M17" i="26"/>
  <c r="K17" i="26"/>
  <c r="BA16" i="26"/>
  <c r="AZ16" i="26"/>
  <c r="AT16" i="26"/>
  <c r="AS16" i="26"/>
  <c r="AR16" i="26"/>
  <c r="AQ16" i="26"/>
  <c r="AV16" i="26" s="1"/>
  <c r="AW16" i="26" s="1"/>
  <c r="AM16" i="26"/>
  <c r="AL16" i="26"/>
  <c r="AK16" i="26"/>
  <c r="AJ16" i="26"/>
  <c r="AI16" i="26"/>
  <c r="AN16" i="26" s="1"/>
  <c r="AF16" i="26"/>
  <c r="AE16" i="26"/>
  <c r="AD16" i="26"/>
  <c r="AC16" i="26"/>
  <c r="V16" i="26"/>
  <c r="T16" i="26"/>
  <c r="U16" i="26" s="1"/>
  <c r="S16" i="26"/>
  <c r="R16" i="26"/>
  <c r="Q16" i="26"/>
  <c r="P16" i="26"/>
  <c r="O16" i="26"/>
  <c r="N16" i="26"/>
  <c r="M16" i="26"/>
  <c r="K16" i="26"/>
  <c r="AZ15" i="26"/>
  <c r="AT15" i="26"/>
  <c r="AS15" i="26"/>
  <c r="AR15" i="26"/>
  <c r="AQ15" i="26"/>
  <c r="AV15" i="26" s="1"/>
  <c r="AW15" i="26" s="1"/>
  <c r="AM15" i="26"/>
  <c r="AL15" i="26"/>
  <c r="AK15" i="26"/>
  <c r="AJ15" i="26"/>
  <c r="AI15" i="26"/>
  <c r="AN15" i="26" s="1"/>
  <c r="AF15" i="26"/>
  <c r="AE15" i="26"/>
  <c r="AD15" i="26"/>
  <c r="AC15" i="26"/>
  <c r="V15" i="26"/>
  <c r="U15" i="26"/>
  <c r="T15" i="26"/>
  <c r="S15" i="26"/>
  <c r="R15" i="26"/>
  <c r="Q15" i="26"/>
  <c r="P15" i="26"/>
  <c r="O15" i="26"/>
  <c r="N15" i="26"/>
  <c r="M15" i="26"/>
  <c r="K15" i="26"/>
  <c r="AZ14" i="26"/>
  <c r="AT14" i="26"/>
  <c r="AS14" i="26"/>
  <c r="AR14" i="26"/>
  <c r="AQ14" i="26"/>
  <c r="BA14" i="26" s="1"/>
  <c r="AM14" i="26"/>
  <c r="AL14" i="26"/>
  <c r="AK14" i="26"/>
  <c r="AJ14" i="26"/>
  <c r="AI14" i="26"/>
  <c r="AN14" i="26" s="1"/>
  <c r="AF14" i="26"/>
  <c r="AE14" i="26"/>
  <c r="AD14" i="26"/>
  <c r="AC14" i="26"/>
  <c r="V14" i="26"/>
  <c r="T14" i="26"/>
  <c r="U14" i="26" s="1"/>
  <c r="S14" i="26"/>
  <c r="R14" i="26"/>
  <c r="Q14" i="26"/>
  <c r="P14" i="26"/>
  <c r="O14" i="26"/>
  <c r="N14" i="26"/>
  <c r="M14" i="26"/>
  <c r="K14" i="26"/>
  <c r="BA13" i="26"/>
  <c r="AZ13" i="26"/>
  <c r="AT13" i="26"/>
  <c r="AS13" i="26"/>
  <c r="AR13" i="26"/>
  <c r="AQ13" i="26"/>
  <c r="AV13" i="26" s="1"/>
  <c r="AW13" i="26" s="1"/>
  <c r="AM13" i="26"/>
  <c r="AL13" i="26"/>
  <c r="AK13" i="26"/>
  <c r="AJ13" i="26"/>
  <c r="AI13" i="26"/>
  <c r="AN13" i="26" s="1"/>
  <c r="AF13" i="26"/>
  <c r="AE13" i="26"/>
  <c r="AD13" i="26"/>
  <c r="AC13" i="26"/>
  <c r="V13" i="26"/>
  <c r="T13" i="26"/>
  <c r="U13" i="26" s="1"/>
  <c r="S13" i="26"/>
  <c r="R13" i="26"/>
  <c r="Q13" i="26"/>
  <c r="P13" i="26"/>
  <c r="O13" i="26"/>
  <c r="N13" i="26"/>
  <c r="M13" i="26"/>
  <c r="K13" i="26"/>
  <c r="AZ12" i="26"/>
  <c r="AT12" i="26"/>
  <c r="AS12" i="26"/>
  <c r="AR12" i="26"/>
  <c r="AQ12" i="26"/>
  <c r="AM12" i="26"/>
  <c r="AN12" i="26" s="1"/>
  <c r="AL12" i="26"/>
  <c r="AK12" i="26"/>
  <c r="AJ12" i="26"/>
  <c r="AI12" i="26"/>
  <c r="AF12" i="26"/>
  <c r="AE12" i="26"/>
  <c r="AD12" i="26"/>
  <c r="AC12" i="26"/>
  <c r="V12" i="26"/>
  <c r="U12" i="26"/>
  <c r="T12" i="26"/>
  <c r="S12" i="26"/>
  <c r="R12" i="26"/>
  <c r="Q12" i="26"/>
  <c r="P12" i="26"/>
  <c r="O12" i="26"/>
  <c r="N12" i="26"/>
  <c r="M12" i="26"/>
  <c r="K12" i="26"/>
  <c r="BA11" i="26"/>
  <c r="BB11" i="26" s="1"/>
  <c r="BC11" i="26" s="1"/>
  <c r="AZ11" i="26"/>
  <c r="AV11" i="26"/>
  <c r="AW11" i="26" s="1"/>
  <c r="AX11" i="26" s="1"/>
  <c r="AY11" i="26" s="1"/>
  <c r="AT11" i="26"/>
  <c r="AS11" i="26"/>
  <c r="AR11" i="26"/>
  <c r="AQ11" i="26"/>
  <c r="AM11" i="26"/>
  <c r="AL11" i="26"/>
  <c r="AK11" i="26"/>
  <c r="AJ11" i="26"/>
  <c r="AI11" i="26"/>
  <c r="AN11" i="26" s="1"/>
  <c r="AF11" i="26"/>
  <c r="AE11" i="26"/>
  <c r="AD11" i="26"/>
  <c r="AC11" i="26"/>
  <c r="V11" i="26"/>
  <c r="T11" i="26"/>
  <c r="U11" i="26" s="1"/>
  <c r="S11" i="26"/>
  <c r="R11" i="26"/>
  <c r="Q11" i="26"/>
  <c r="P11" i="26"/>
  <c r="O11" i="26"/>
  <c r="N11" i="26"/>
  <c r="M11" i="26"/>
  <c r="K11" i="26"/>
  <c r="AZ10" i="26"/>
  <c r="AT10" i="26"/>
  <c r="AS10" i="26"/>
  <c r="AR10" i="26"/>
  <c r="AQ10" i="26"/>
  <c r="BA10" i="26" s="1"/>
  <c r="AM10" i="26"/>
  <c r="AL10" i="26"/>
  <c r="AK10" i="26"/>
  <c r="AJ10" i="26"/>
  <c r="AI10" i="26"/>
  <c r="AN10" i="26" s="1"/>
  <c r="AF10" i="26"/>
  <c r="AE10" i="26"/>
  <c r="AD10" i="26"/>
  <c r="AC10" i="26"/>
  <c r="V10" i="26"/>
  <c r="U10" i="26"/>
  <c r="T10" i="26"/>
  <c r="S10" i="26"/>
  <c r="R10" i="26"/>
  <c r="Q10" i="26"/>
  <c r="P10" i="26"/>
  <c r="O10" i="26"/>
  <c r="N10" i="26"/>
  <c r="M10" i="26"/>
  <c r="K10" i="26"/>
  <c r="AZ9" i="26"/>
  <c r="AT9" i="26"/>
  <c r="AS9" i="26"/>
  <c r="AR9" i="26"/>
  <c r="AQ9" i="26"/>
  <c r="BA9" i="26" s="1"/>
  <c r="AM9" i="26"/>
  <c r="AL9" i="26"/>
  <c r="AN9" i="26" s="1"/>
  <c r="AK9" i="26"/>
  <c r="AJ9" i="26"/>
  <c r="AI9" i="26"/>
  <c r="AF9" i="26"/>
  <c r="AE9" i="26"/>
  <c r="AD9" i="26"/>
  <c r="AC9" i="26"/>
  <c r="V9" i="26"/>
  <c r="T9" i="26"/>
  <c r="U9" i="26" s="1"/>
  <c r="S9" i="26"/>
  <c r="R9" i="26"/>
  <c r="Q9" i="26"/>
  <c r="P9" i="26"/>
  <c r="O9" i="26"/>
  <c r="N9" i="26"/>
  <c r="M9" i="26"/>
  <c r="K9" i="26"/>
  <c r="BA8" i="26"/>
  <c r="AZ8" i="26"/>
  <c r="AT8" i="26"/>
  <c r="AS8" i="26"/>
  <c r="AR8" i="26"/>
  <c r="AQ8" i="26"/>
  <c r="AV8" i="26" s="1"/>
  <c r="AW8" i="26" s="1"/>
  <c r="AM8" i="26"/>
  <c r="AL8" i="26"/>
  <c r="AK8" i="26"/>
  <c r="AJ8" i="26"/>
  <c r="AI8" i="26"/>
  <c r="AN8" i="26" s="1"/>
  <c r="AF8" i="26"/>
  <c r="AE8" i="26"/>
  <c r="AD8" i="26"/>
  <c r="AC8" i="26"/>
  <c r="V8" i="26"/>
  <c r="T8" i="26"/>
  <c r="U8" i="26" s="1"/>
  <c r="S8" i="26"/>
  <c r="R8" i="26"/>
  <c r="Q8" i="26"/>
  <c r="P8" i="26"/>
  <c r="O8" i="26"/>
  <c r="N8" i="26"/>
  <c r="M8" i="26"/>
  <c r="K8" i="26"/>
  <c r="AZ7" i="26"/>
  <c r="AT7" i="26"/>
  <c r="AS7" i="26"/>
  <c r="AR7" i="26"/>
  <c r="AQ7" i="26"/>
  <c r="BA7" i="26" s="1"/>
  <c r="AM7" i="26"/>
  <c r="AL7" i="26"/>
  <c r="AK7" i="26"/>
  <c r="AJ7" i="26"/>
  <c r="AI7" i="26"/>
  <c r="AN7" i="26" s="1"/>
  <c r="AF7" i="26"/>
  <c r="AE7" i="26"/>
  <c r="AD7" i="26"/>
  <c r="AC7" i="26"/>
  <c r="V7" i="26"/>
  <c r="U7" i="26"/>
  <c r="T7" i="26"/>
  <c r="S7" i="26"/>
  <c r="R7" i="26"/>
  <c r="Q7" i="26"/>
  <c r="P7" i="26"/>
  <c r="O7" i="26"/>
  <c r="N7" i="26"/>
  <c r="M7" i="26"/>
  <c r="K7" i="26"/>
  <c r="AZ6" i="26"/>
  <c r="AZ66" i="26" s="1"/>
  <c r="AT6" i="26"/>
  <c r="AS6" i="26"/>
  <c r="AR6" i="26"/>
  <c r="AQ6" i="26"/>
  <c r="BA6" i="26" s="1"/>
  <c r="AM6" i="26"/>
  <c r="AL6" i="26"/>
  <c r="AK6" i="26"/>
  <c r="AJ6" i="26"/>
  <c r="AI6" i="26"/>
  <c r="AN6" i="26" s="1"/>
  <c r="AF6" i="26"/>
  <c r="AE6" i="26"/>
  <c r="AD6" i="26"/>
  <c r="AC6" i="26"/>
  <c r="V6" i="26"/>
  <c r="T6" i="26"/>
  <c r="U6" i="26" s="1"/>
  <c r="S6" i="26"/>
  <c r="R6" i="26"/>
  <c r="Q6" i="26"/>
  <c r="P6" i="26"/>
  <c r="O6" i="26"/>
  <c r="N6" i="26"/>
  <c r="M6" i="26"/>
  <c r="K6" i="26"/>
  <c r="BA5" i="26"/>
  <c r="AZ5" i="26"/>
  <c r="AT5" i="26"/>
  <c r="AS5" i="26"/>
  <c r="AR5" i="26"/>
  <c r="AQ5" i="26"/>
  <c r="AV5" i="26" s="1"/>
  <c r="AW5" i="26" s="1"/>
  <c r="AM5" i="26"/>
  <c r="AL5" i="26"/>
  <c r="AK5" i="26"/>
  <c r="AJ5" i="26"/>
  <c r="AI5" i="26"/>
  <c r="AN5" i="26" s="1"/>
  <c r="AF5" i="26"/>
  <c r="AE5" i="26"/>
  <c r="AD5" i="26"/>
  <c r="AC5" i="26"/>
  <c r="V5" i="26"/>
  <c r="T5" i="26"/>
  <c r="U5" i="26" s="1"/>
  <c r="S5" i="26"/>
  <c r="R5" i="26"/>
  <c r="Q5" i="26"/>
  <c r="P5" i="26"/>
  <c r="O5" i="26"/>
  <c r="N5" i="26"/>
  <c r="M5" i="26"/>
  <c r="K5" i="26"/>
  <c r="AZ4" i="26"/>
  <c r="AT4" i="26"/>
  <c r="AS4" i="26"/>
  <c r="AR4" i="26"/>
  <c r="AQ4" i="26"/>
  <c r="AM4" i="26"/>
  <c r="AL4" i="26"/>
  <c r="AK4" i="26"/>
  <c r="AJ4" i="26"/>
  <c r="AI4" i="26"/>
  <c r="AF4" i="26"/>
  <c r="AE4" i="26"/>
  <c r="AD4" i="26"/>
  <c r="AC4" i="26"/>
  <c r="V4" i="26"/>
  <c r="U4" i="26"/>
  <c r="T4" i="26"/>
  <c r="S4" i="26"/>
  <c r="R4" i="26"/>
  <c r="Q4" i="26"/>
  <c r="P4" i="26"/>
  <c r="O4" i="26"/>
  <c r="N4" i="26"/>
  <c r="M4" i="26"/>
  <c r="K4" i="26"/>
  <c r="AY78" i="13"/>
  <c r="AT78" i="13"/>
  <c r="AS78" i="13"/>
  <c r="AR78" i="13"/>
  <c r="AQ78" i="13"/>
  <c r="AJ78" i="13"/>
  <c r="AI78" i="13"/>
  <c r="AH78" i="13"/>
  <c r="AG78" i="13"/>
  <c r="AB78" i="13"/>
  <c r="AA78" i="13"/>
  <c r="Z78" i="13"/>
  <c r="Y78" i="13"/>
  <c r="X78" i="13"/>
  <c r="W78" i="13"/>
  <c r="L78" i="13"/>
  <c r="J78" i="13"/>
  <c r="I78" i="13"/>
  <c r="H78" i="13"/>
  <c r="G78" i="13"/>
  <c r="F78" i="13"/>
  <c r="E78" i="13"/>
  <c r="D78" i="13"/>
  <c r="C78" i="13"/>
  <c r="BE76" i="13"/>
  <c r="BD76" i="13"/>
  <c r="AZ76" i="13"/>
  <c r="BA76" i="13" s="1"/>
  <c r="AX76" i="13"/>
  <c r="AW76" i="13"/>
  <c r="AV76" i="13"/>
  <c r="BB76" i="13" s="1"/>
  <c r="BC76" i="13" s="1"/>
  <c r="AU76" i="13"/>
  <c r="AO76" i="13"/>
  <c r="AN76" i="13"/>
  <c r="AM76" i="13"/>
  <c r="AL76" i="13"/>
  <c r="AK76" i="13"/>
  <c r="AP76" i="13" s="1"/>
  <c r="AF76" i="13"/>
  <c r="AE76" i="13"/>
  <c r="AD76" i="13"/>
  <c r="AC76" i="13"/>
  <c r="V76" i="13"/>
  <c r="T76" i="13"/>
  <c r="U76" i="13" s="1"/>
  <c r="S76" i="13"/>
  <c r="R76" i="13"/>
  <c r="Q76" i="13"/>
  <c r="P76" i="13"/>
  <c r="O76" i="13"/>
  <c r="N76" i="13"/>
  <c r="M76" i="13"/>
  <c r="K76" i="13"/>
  <c r="BD75" i="13"/>
  <c r="AX75" i="13"/>
  <c r="AW75" i="13"/>
  <c r="AV75" i="13"/>
  <c r="AU75" i="13"/>
  <c r="BE75" i="13" s="1"/>
  <c r="AO75" i="13"/>
  <c r="AN75" i="13"/>
  <c r="AM75" i="13"/>
  <c r="AL75" i="13"/>
  <c r="AK75" i="13"/>
  <c r="AP75" i="13" s="1"/>
  <c r="AF75" i="13"/>
  <c r="AE75" i="13"/>
  <c r="AD75" i="13"/>
  <c r="AC75" i="13"/>
  <c r="V75" i="13"/>
  <c r="T75" i="13"/>
  <c r="U75" i="13" s="1"/>
  <c r="S75" i="13"/>
  <c r="R75" i="13"/>
  <c r="Q75" i="13"/>
  <c r="P75" i="13"/>
  <c r="O75" i="13"/>
  <c r="N75" i="13"/>
  <c r="M75" i="13"/>
  <c r="K75" i="13"/>
  <c r="BD74" i="13"/>
  <c r="AX74" i="13"/>
  <c r="AW74" i="13"/>
  <c r="AV74" i="13"/>
  <c r="AU74" i="13"/>
  <c r="AO74" i="13"/>
  <c r="AN74" i="13"/>
  <c r="AM74" i="13"/>
  <c r="AL74" i="13"/>
  <c r="AP74" i="13" s="1"/>
  <c r="AK74" i="13"/>
  <c r="AF74" i="13"/>
  <c r="AE74" i="13"/>
  <c r="AD74" i="13"/>
  <c r="AC74" i="13"/>
  <c r="V74" i="13"/>
  <c r="T74" i="13"/>
  <c r="U74" i="13" s="1"/>
  <c r="S74" i="13"/>
  <c r="R74" i="13"/>
  <c r="Q74" i="13"/>
  <c r="P74" i="13"/>
  <c r="O74" i="13"/>
  <c r="N74" i="13"/>
  <c r="M74" i="13"/>
  <c r="K74" i="13"/>
  <c r="BE73" i="13"/>
  <c r="BD73" i="13"/>
  <c r="AZ73" i="13"/>
  <c r="AX73" i="13"/>
  <c r="AW73" i="13"/>
  <c r="AV73" i="13"/>
  <c r="AU73" i="13"/>
  <c r="AO73" i="13"/>
  <c r="AN73" i="13"/>
  <c r="AM73" i="13"/>
  <c r="AL73" i="13"/>
  <c r="AK73" i="13"/>
  <c r="AP73" i="13" s="1"/>
  <c r="AF73" i="13"/>
  <c r="AE73" i="13"/>
  <c r="AD73" i="13"/>
  <c r="AC73" i="13"/>
  <c r="V73" i="13"/>
  <c r="T73" i="13"/>
  <c r="U73" i="13" s="1"/>
  <c r="S73" i="13"/>
  <c r="R73" i="13"/>
  <c r="Q73" i="13"/>
  <c r="P73" i="13"/>
  <c r="O73" i="13"/>
  <c r="N73" i="13"/>
  <c r="M73" i="13"/>
  <c r="K73" i="13"/>
  <c r="BD72" i="13"/>
  <c r="AX72" i="13"/>
  <c r="AW72" i="13"/>
  <c r="AV72" i="13"/>
  <c r="AU72" i="13"/>
  <c r="BE72" i="13" s="1"/>
  <c r="AO72" i="13"/>
  <c r="AN72" i="13"/>
  <c r="AM72" i="13"/>
  <c r="AL72" i="13"/>
  <c r="AK72" i="13"/>
  <c r="AP72" i="13" s="1"/>
  <c r="AF72" i="13"/>
  <c r="AE72" i="13"/>
  <c r="AD72" i="13"/>
  <c r="AC72" i="13"/>
  <c r="V72" i="13"/>
  <c r="U72" i="13"/>
  <c r="T72" i="13"/>
  <c r="S72" i="13"/>
  <c r="R72" i="13"/>
  <c r="Q72" i="13"/>
  <c r="P72" i="13"/>
  <c r="O72" i="13"/>
  <c r="N72" i="13"/>
  <c r="M72" i="13"/>
  <c r="K72" i="13"/>
  <c r="BD71" i="13"/>
  <c r="AX71" i="13"/>
  <c r="AW71" i="13"/>
  <c r="AV71" i="13"/>
  <c r="AU71" i="13"/>
  <c r="BE71" i="13" s="1"/>
  <c r="AO71" i="13"/>
  <c r="AP71" i="13" s="1"/>
  <c r="AN71" i="13"/>
  <c r="AM71" i="13"/>
  <c r="AL71" i="13"/>
  <c r="AK71" i="13"/>
  <c r="AF71" i="13"/>
  <c r="AE71" i="13"/>
  <c r="AD71" i="13"/>
  <c r="AC71" i="13"/>
  <c r="V71" i="13"/>
  <c r="T71" i="13"/>
  <c r="U71" i="13" s="1"/>
  <c r="S71" i="13"/>
  <c r="R71" i="13"/>
  <c r="Q71" i="13"/>
  <c r="P71" i="13"/>
  <c r="O71" i="13"/>
  <c r="N71" i="13"/>
  <c r="M71" i="13"/>
  <c r="K71" i="13"/>
  <c r="BE70" i="13"/>
  <c r="BD70" i="13"/>
  <c r="AX70" i="13"/>
  <c r="AW70" i="13"/>
  <c r="AV70" i="13"/>
  <c r="AU70" i="13"/>
  <c r="AZ70" i="13" s="1"/>
  <c r="BA70" i="13" s="1"/>
  <c r="AO70" i="13"/>
  <c r="AN70" i="13"/>
  <c r="AM70" i="13"/>
  <c r="AL70" i="13"/>
  <c r="AK70" i="13"/>
  <c r="AP70" i="13" s="1"/>
  <c r="AF70" i="13"/>
  <c r="AE70" i="13"/>
  <c r="AD70" i="13"/>
  <c r="AC70" i="13"/>
  <c r="V70" i="13"/>
  <c r="T70" i="13"/>
  <c r="U70" i="13" s="1"/>
  <c r="S70" i="13"/>
  <c r="R70" i="13"/>
  <c r="Q70" i="13"/>
  <c r="P70" i="13"/>
  <c r="O70" i="13"/>
  <c r="N70" i="13"/>
  <c r="M70" i="13"/>
  <c r="K70" i="13"/>
  <c r="BD69" i="13"/>
  <c r="AX69" i="13"/>
  <c r="AW69" i="13"/>
  <c r="AV69" i="13"/>
  <c r="AU69" i="13"/>
  <c r="AO69" i="13"/>
  <c r="AP69" i="13" s="1"/>
  <c r="AN69" i="13"/>
  <c r="AM69" i="13"/>
  <c r="AL69" i="13"/>
  <c r="AK69" i="13"/>
  <c r="AF69" i="13"/>
  <c r="AE69" i="13"/>
  <c r="AD69" i="13"/>
  <c r="AC69" i="13"/>
  <c r="V69" i="13"/>
  <c r="U69" i="13"/>
  <c r="T69" i="13"/>
  <c r="S69" i="13"/>
  <c r="R69" i="13"/>
  <c r="Q69" i="13"/>
  <c r="P69" i="13"/>
  <c r="O69" i="13"/>
  <c r="N69" i="13"/>
  <c r="M69" i="13"/>
  <c r="K69" i="13"/>
  <c r="BE68" i="13"/>
  <c r="BD68" i="13"/>
  <c r="BA68" i="13"/>
  <c r="BB68" i="13" s="1"/>
  <c r="BC68" i="13" s="1"/>
  <c r="AZ68" i="13"/>
  <c r="AX68" i="13"/>
  <c r="AW68" i="13"/>
  <c r="AV68" i="13"/>
  <c r="AU68" i="13"/>
  <c r="AO68" i="13"/>
  <c r="AN68" i="13"/>
  <c r="AM68" i="13"/>
  <c r="AL68" i="13"/>
  <c r="AK68" i="13"/>
  <c r="AP68" i="13" s="1"/>
  <c r="AF68" i="13"/>
  <c r="AE68" i="13"/>
  <c r="AD68" i="13"/>
  <c r="AC68" i="13"/>
  <c r="V68" i="13"/>
  <c r="T68" i="13"/>
  <c r="U68" i="13" s="1"/>
  <c r="S68" i="13"/>
  <c r="R68" i="13"/>
  <c r="Q68" i="13"/>
  <c r="P68" i="13"/>
  <c r="O68" i="13"/>
  <c r="N68" i="13"/>
  <c r="M68" i="13"/>
  <c r="K68" i="13"/>
  <c r="BD67" i="13"/>
  <c r="AX67" i="13"/>
  <c r="AW67" i="13"/>
  <c r="AV67" i="13"/>
  <c r="AU67" i="13"/>
  <c r="BE67" i="13" s="1"/>
  <c r="AO67" i="13"/>
  <c r="AN67" i="13"/>
  <c r="AM67" i="13"/>
  <c r="AL67" i="13"/>
  <c r="AK67" i="13"/>
  <c r="AP67" i="13" s="1"/>
  <c r="AF67" i="13"/>
  <c r="AE67" i="13"/>
  <c r="AD67" i="13"/>
  <c r="AC67" i="13"/>
  <c r="V67" i="13"/>
  <c r="T67" i="13"/>
  <c r="U67" i="13" s="1"/>
  <c r="S67" i="13"/>
  <c r="R67" i="13"/>
  <c r="Q67" i="13"/>
  <c r="P67" i="13"/>
  <c r="O67" i="13"/>
  <c r="N67" i="13"/>
  <c r="M67" i="13"/>
  <c r="K67" i="13"/>
  <c r="BD66" i="13"/>
  <c r="AX66" i="13"/>
  <c r="AW66" i="13"/>
  <c r="AV66" i="13"/>
  <c r="AU66" i="13"/>
  <c r="AO66" i="13"/>
  <c r="AN66" i="13"/>
  <c r="AM66" i="13"/>
  <c r="AL66" i="13"/>
  <c r="AP66" i="13" s="1"/>
  <c r="AK66" i="13"/>
  <c r="AF66" i="13"/>
  <c r="AE66" i="13"/>
  <c r="AD66" i="13"/>
  <c r="AC66" i="13"/>
  <c r="V66" i="13"/>
  <c r="T66" i="13"/>
  <c r="U66" i="13" s="1"/>
  <c r="S66" i="13"/>
  <c r="R66" i="13"/>
  <c r="Q66" i="13"/>
  <c r="P66" i="13"/>
  <c r="O66" i="13"/>
  <c r="N66" i="13"/>
  <c r="M66" i="13"/>
  <c r="K66" i="13"/>
  <c r="BE65" i="13"/>
  <c r="BD65" i="13"/>
  <c r="AZ65" i="13"/>
  <c r="BA65" i="13" s="1"/>
  <c r="AX65" i="13"/>
  <c r="AW65" i="13"/>
  <c r="AV65" i="13"/>
  <c r="AU65" i="13"/>
  <c r="AO65" i="13"/>
  <c r="AN65" i="13"/>
  <c r="AM65" i="13"/>
  <c r="AL65" i="13"/>
  <c r="AK65" i="13"/>
  <c r="AP65" i="13" s="1"/>
  <c r="AF65" i="13"/>
  <c r="AE65" i="13"/>
  <c r="AD65" i="13"/>
  <c r="AC65" i="13"/>
  <c r="V65" i="13"/>
  <c r="T65" i="13"/>
  <c r="U65" i="13" s="1"/>
  <c r="S65" i="13"/>
  <c r="R65" i="13"/>
  <c r="Q65" i="13"/>
  <c r="P65" i="13"/>
  <c r="O65" i="13"/>
  <c r="N65" i="13"/>
  <c r="M65" i="13"/>
  <c r="K65" i="13"/>
  <c r="BD64" i="13"/>
  <c r="AX64" i="13"/>
  <c r="AW64" i="13"/>
  <c r="AV64" i="13"/>
  <c r="AU64" i="13"/>
  <c r="AZ64" i="13" s="1"/>
  <c r="BA64" i="13" s="1"/>
  <c r="AO64" i="13"/>
  <c r="AN64" i="13"/>
  <c r="AM64" i="13"/>
  <c r="AL64" i="13"/>
  <c r="AK64" i="13"/>
  <c r="AP64" i="13" s="1"/>
  <c r="AF64" i="13"/>
  <c r="AE64" i="13"/>
  <c r="AD64" i="13"/>
  <c r="AC64" i="13"/>
  <c r="V64" i="13"/>
  <c r="T64" i="13"/>
  <c r="U64" i="13" s="1"/>
  <c r="S64" i="13"/>
  <c r="R64" i="13"/>
  <c r="Q64" i="13"/>
  <c r="P64" i="13"/>
  <c r="O64" i="13"/>
  <c r="N64" i="13"/>
  <c r="M64" i="13"/>
  <c r="K64" i="13"/>
  <c r="BD63" i="13"/>
  <c r="AX63" i="13"/>
  <c r="AW63" i="13"/>
  <c r="AV63" i="13"/>
  <c r="AU63" i="13"/>
  <c r="BE63" i="13" s="1"/>
  <c r="AO63" i="13"/>
  <c r="AP63" i="13" s="1"/>
  <c r="AN63" i="13"/>
  <c r="AM63" i="13"/>
  <c r="AL63" i="13"/>
  <c r="AK63" i="13"/>
  <c r="AF63" i="13"/>
  <c r="AE63" i="13"/>
  <c r="AD63" i="13"/>
  <c r="AC63" i="13"/>
  <c r="V63" i="13"/>
  <c r="T63" i="13"/>
  <c r="U63" i="13" s="1"/>
  <c r="S63" i="13"/>
  <c r="R63" i="13"/>
  <c r="Q63" i="13"/>
  <c r="P63" i="13"/>
  <c r="O63" i="13"/>
  <c r="N63" i="13"/>
  <c r="M63" i="13"/>
  <c r="K63" i="13"/>
  <c r="BE62" i="13"/>
  <c r="BD62" i="13"/>
  <c r="AX62" i="13"/>
  <c r="AW62" i="13"/>
  <c r="AV62" i="13"/>
  <c r="BB62" i="13" s="1"/>
  <c r="BC62" i="13" s="1"/>
  <c r="AU62" i="13"/>
  <c r="AZ62" i="13" s="1"/>
  <c r="BA62" i="13" s="1"/>
  <c r="AO62" i="13"/>
  <c r="AN62" i="13"/>
  <c r="AM62" i="13"/>
  <c r="AL62" i="13"/>
  <c r="AK62" i="13"/>
  <c r="AP62" i="13" s="1"/>
  <c r="AF62" i="13"/>
  <c r="AE62" i="13"/>
  <c r="AD62" i="13"/>
  <c r="AC62" i="13"/>
  <c r="V62" i="13"/>
  <c r="T62" i="13"/>
  <c r="U62" i="13" s="1"/>
  <c r="S62" i="13"/>
  <c r="R62" i="13"/>
  <c r="Q62" i="13"/>
  <c r="P62" i="13"/>
  <c r="O62" i="13"/>
  <c r="N62" i="13"/>
  <c r="M62" i="13"/>
  <c r="K62" i="13"/>
  <c r="BD61" i="13"/>
  <c r="AX61" i="13"/>
  <c r="AW61" i="13"/>
  <c r="AV61" i="13"/>
  <c r="AU61" i="13"/>
  <c r="AO61" i="13"/>
  <c r="AN61" i="13"/>
  <c r="AM61" i="13"/>
  <c r="AL61" i="13"/>
  <c r="AK61" i="13"/>
  <c r="AP61" i="13" s="1"/>
  <c r="AF61" i="13"/>
  <c r="AE61" i="13"/>
  <c r="AD61" i="13"/>
  <c r="AC61" i="13"/>
  <c r="V61" i="13"/>
  <c r="U61" i="13"/>
  <c r="T61" i="13"/>
  <c r="S61" i="13"/>
  <c r="R61" i="13"/>
  <c r="Q61" i="13"/>
  <c r="P61" i="13"/>
  <c r="O61" i="13"/>
  <c r="N61" i="13"/>
  <c r="M61" i="13"/>
  <c r="K61" i="13"/>
  <c r="BE60" i="13"/>
  <c r="BD60" i="13"/>
  <c r="AZ60" i="13"/>
  <c r="BA60" i="13" s="1"/>
  <c r="AX60" i="13"/>
  <c r="AW60" i="13"/>
  <c r="AV60" i="13"/>
  <c r="AU60" i="13"/>
  <c r="AO60" i="13"/>
  <c r="AN60" i="13"/>
  <c r="AM60" i="13"/>
  <c r="AL60" i="13"/>
  <c r="AK60" i="13"/>
  <c r="AP60" i="13" s="1"/>
  <c r="AF60" i="13"/>
  <c r="AE60" i="13"/>
  <c r="AD60" i="13"/>
  <c r="AC60" i="13"/>
  <c r="V60" i="13"/>
  <c r="T60" i="13"/>
  <c r="U60" i="13" s="1"/>
  <c r="S60" i="13"/>
  <c r="R60" i="13"/>
  <c r="Q60" i="13"/>
  <c r="P60" i="13"/>
  <c r="O60" i="13"/>
  <c r="N60" i="13"/>
  <c r="M60" i="13"/>
  <c r="K60" i="13"/>
  <c r="BD59" i="13"/>
  <c r="AX59" i="13"/>
  <c r="AW59" i="13"/>
  <c r="AV59" i="13"/>
  <c r="AU59" i="13"/>
  <c r="BE59" i="13" s="1"/>
  <c r="AO59" i="13"/>
  <c r="AN59" i="13"/>
  <c r="AM59" i="13"/>
  <c r="AL59" i="13"/>
  <c r="AK59" i="13"/>
  <c r="AP59" i="13" s="1"/>
  <c r="AF59" i="13"/>
  <c r="AE59" i="13"/>
  <c r="AD59" i="13"/>
  <c r="AC59" i="13"/>
  <c r="V59" i="13"/>
  <c r="T59" i="13"/>
  <c r="U59" i="13" s="1"/>
  <c r="S59" i="13"/>
  <c r="R59" i="13"/>
  <c r="Q59" i="13"/>
  <c r="P59" i="13"/>
  <c r="O59" i="13"/>
  <c r="N59" i="13"/>
  <c r="M59" i="13"/>
  <c r="K59" i="13"/>
  <c r="BD58" i="13"/>
  <c r="AX58" i="13"/>
  <c r="AW58" i="13"/>
  <c r="AV58" i="13"/>
  <c r="AU58" i="13"/>
  <c r="AO58" i="13"/>
  <c r="AN58" i="13"/>
  <c r="AM58" i="13"/>
  <c r="AL58" i="13"/>
  <c r="AP58" i="13" s="1"/>
  <c r="AK58" i="13"/>
  <c r="AF58" i="13"/>
  <c r="AE58" i="13"/>
  <c r="AD58" i="13"/>
  <c r="AC58" i="13"/>
  <c r="V58" i="13"/>
  <c r="T58" i="13"/>
  <c r="U58" i="13" s="1"/>
  <c r="S58" i="13"/>
  <c r="R58" i="13"/>
  <c r="Q58" i="13"/>
  <c r="P58" i="13"/>
  <c r="O58" i="13"/>
  <c r="N58" i="13"/>
  <c r="M58" i="13"/>
  <c r="K58" i="13"/>
  <c r="BE57" i="13"/>
  <c r="BD57" i="13"/>
  <c r="AZ57" i="13"/>
  <c r="AX57" i="13"/>
  <c r="AW57" i="13"/>
  <c r="AV57" i="13"/>
  <c r="AU57" i="13"/>
  <c r="AO57" i="13"/>
  <c r="AN57" i="13"/>
  <c r="AM57" i="13"/>
  <c r="AL57" i="13"/>
  <c r="AK57" i="13"/>
  <c r="AP57" i="13" s="1"/>
  <c r="AF57" i="13"/>
  <c r="AE57" i="13"/>
  <c r="AD57" i="13"/>
  <c r="AC57" i="13"/>
  <c r="V57" i="13"/>
  <c r="U57" i="13"/>
  <c r="T57" i="13"/>
  <c r="S57" i="13"/>
  <c r="R57" i="13"/>
  <c r="Q57" i="13"/>
  <c r="P57" i="13"/>
  <c r="O57" i="13"/>
  <c r="N57" i="13"/>
  <c r="M57" i="13"/>
  <c r="K57" i="13"/>
  <c r="BD56" i="13"/>
  <c r="AX56" i="13"/>
  <c r="AW56" i="13"/>
  <c r="AV56" i="13"/>
  <c r="AU56" i="13"/>
  <c r="BE56" i="13" s="1"/>
  <c r="AO56" i="13"/>
  <c r="AN56" i="13"/>
  <c r="AM56" i="13"/>
  <c r="AL56" i="13"/>
  <c r="AK56" i="13"/>
  <c r="AF56" i="13"/>
  <c r="AE56" i="13"/>
  <c r="AD56" i="13"/>
  <c r="AC56" i="13"/>
  <c r="V56" i="13"/>
  <c r="U56" i="13"/>
  <c r="T56" i="13"/>
  <c r="S56" i="13"/>
  <c r="R56" i="13"/>
  <c r="Q56" i="13"/>
  <c r="P56" i="13"/>
  <c r="O56" i="13"/>
  <c r="N56" i="13"/>
  <c r="M56" i="13"/>
  <c r="K56" i="13"/>
  <c r="BD55" i="13"/>
  <c r="AZ55" i="13"/>
  <c r="BA55" i="13" s="1"/>
  <c r="AX55" i="13"/>
  <c r="AW55" i="13"/>
  <c r="AV55" i="13"/>
  <c r="BB55" i="13" s="1"/>
  <c r="AU55" i="13"/>
  <c r="BE55" i="13" s="1"/>
  <c r="AP55" i="13"/>
  <c r="AO55" i="13"/>
  <c r="AN55" i="13"/>
  <c r="AM55" i="13"/>
  <c r="AL55" i="13"/>
  <c r="AK55" i="13"/>
  <c r="AF55" i="13"/>
  <c r="AE55" i="13"/>
  <c r="AD55" i="13"/>
  <c r="AC55" i="13"/>
  <c r="V55" i="13"/>
  <c r="T55" i="13"/>
  <c r="U55" i="13" s="1"/>
  <c r="S55" i="13"/>
  <c r="R55" i="13"/>
  <c r="Q55" i="13"/>
  <c r="P55" i="13"/>
  <c r="O55" i="13"/>
  <c r="N55" i="13"/>
  <c r="M55" i="13"/>
  <c r="K55" i="13"/>
  <c r="BE54" i="13"/>
  <c r="BD54" i="13"/>
  <c r="AX54" i="13"/>
  <c r="AW54" i="13"/>
  <c r="AV54" i="13"/>
  <c r="AU54" i="13"/>
  <c r="AZ54" i="13" s="1"/>
  <c r="BA54" i="13" s="1"/>
  <c r="AO54" i="13"/>
  <c r="AN54" i="13"/>
  <c r="AM54" i="13"/>
  <c r="AL54" i="13"/>
  <c r="AK54" i="13"/>
  <c r="AP54" i="13" s="1"/>
  <c r="AF54" i="13"/>
  <c r="AE54" i="13"/>
  <c r="AD54" i="13"/>
  <c r="AC54" i="13"/>
  <c r="V54" i="13"/>
  <c r="T54" i="13"/>
  <c r="U54" i="13" s="1"/>
  <c r="S54" i="13"/>
  <c r="R54" i="13"/>
  <c r="Q54" i="13"/>
  <c r="P54" i="13"/>
  <c r="O54" i="13"/>
  <c r="N54" i="13"/>
  <c r="M54" i="13"/>
  <c r="K54" i="13"/>
  <c r="BD53" i="13"/>
  <c r="AX53" i="13"/>
  <c r="AW53" i="13"/>
  <c r="AV53" i="13"/>
  <c r="AU53" i="13"/>
  <c r="AO53" i="13"/>
  <c r="AN53" i="13"/>
  <c r="AM53" i="13"/>
  <c r="AL53" i="13"/>
  <c r="AK53" i="13"/>
  <c r="AP53" i="13" s="1"/>
  <c r="AF53" i="13"/>
  <c r="AE53" i="13"/>
  <c r="AD53" i="13"/>
  <c r="AC53" i="13"/>
  <c r="V53" i="13"/>
  <c r="U53" i="13"/>
  <c r="T53" i="13"/>
  <c r="S53" i="13"/>
  <c r="R53" i="13"/>
  <c r="Q53" i="13"/>
  <c r="P53" i="13"/>
  <c r="O53" i="13"/>
  <c r="N53" i="13"/>
  <c r="M53" i="13"/>
  <c r="K53" i="13"/>
  <c r="BE52" i="13"/>
  <c r="BD52" i="13"/>
  <c r="AZ52" i="13"/>
  <c r="BA52" i="13" s="1"/>
  <c r="AX52" i="13"/>
  <c r="AW52" i="13"/>
  <c r="AV52" i="13"/>
  <c r="BB52" i="13" s="1"/>
  <c r="AU52" i="13"/>
  <c r="AO52" i="13"/>
  <c r="AN52" i="13"/>
  <c r="AM52" i="13"/>
  <c r="AL52" i="13"/>
  <c r="AK52" i="13"/>
  <c r="AP52" i="13" s="1"/>
  <c r="BC52" i="13" s="1"/>
  <c r="AF52" i="13"/>
  <c r="AE52" i="13"/>
  <c r="AD52" i="13"/>
  <c r="AC52" i="13"/>
  <c r="V52" i="13"/>
  <c r="T52" i="13"/>
  <c r="U52" i="13" s="1"/>
  <c r="S52" i="13"/>
  <c r="R52" i="13"/>
  <c r="Q52" i="13"/>
  <c r="P52" i="13"/>
  <c r="O52" i="13"/>
  <c r="N52" i="13"/>
  <c r="M52" i="13"/>
  <c r="K52" i="13"/>
  <c r="BD51" i="13"/>
  <c r="AX51" i="13"/>
  <c r="AW51" i="13"/>
  <c r="AV51" i="13"/>
  <c r="AU51" i="13"/>
  <c r="BE51" i="13" s="1"/>
  <c r="AO51" i="13"/>
  <c r="AN51" i="13"/>
  <c r="AM51" i="13"/>
  <c r="AL51" i="13"/>
  <c r="AK51" i="13"/>
  <c r="AP51" i="13" s="1"/>
  <c r="AF51" i="13"/>
  <c r="AE51" i="13"/>
  <c r="AD51" i="13"/>
  <c r="AC51" i="13"/>
  <c r="V51" i="13"/>
  <c r="T51" i="13"/>
  <c r="U51" i="13" s="1"/>
  <c r="S51" i="13"/>
  <c r="R51" i="13"/>
  <c r="Q51" i="13"/>
  <c r="P51" i="13"/>
  <c r="O51" i="13"/>
  <c r="N51" i="13"/>
  <c r="M51" i="13"/>
  <c r="K51" i="13"/>
  <c r="BD50" i="13"/>
  <c r="AX50" i="13"/>
  <c r="AW50" i="13"/>
  <c r="AV50" i="13"/>
  <c r="AU50" i="13"/>
  <c r="AO50" i="13"/>
  <c r="AN50" i="13"/>
  <c r="AM50" i="13"/>
  <c r="AL50" i="13"/>
  <c r="AP50" i="13" s="1"/>
  <c r="AK50" i="13"/>
  <c r="AF50" i="13"/>
  <c r="AE50" i="13"/>
  <c r="AD50" i="13"/>
  <c r="AC50" i="13"/>
  <c r="V50" i="13"/>
  <c r="T50" i="13"/>
  <c r="U50" i="13" s="1"/>
  <c r="S50" i="13"/>
  <c r="R50" i="13"/>
  <c r="Q50" i="13"/>
  <c r="P50" i="13"/>
  <c r="O50" i="13"/>
  <c r="N50" i="13"/>
  <c r="M50" i="13"/>
  <c r="K50" i="13"/>
  <c r="BE49" i="13"/>
  <c r="BD49" i="13"/>
  <c r="AZ49" i="13"/>
  <c r="AX49" i="13"/>
  <c r="AW49" i="13"/>
  <c r="AV49" i="13"/>
  <c r="AU49" i="13"/>
  <c r="AO49" i="13"/>
  <c r="AN49" i="13"/>
  <c r="AM49" i="13"/>
  <c r="AL49" i="13"/>
  <c r="AK49" i="13"/>
  <c r="AP49" i="13" s="1"/>
  <c r="AF49" i="13"/>
  <c r="AE49" i="13"/>
  <c r="AD49" i="13"/>
  <c r="AC49" i="13"/>
  <c r="V49" i="13"/>
  <c r="T49" i="13"/>
  <c r="U49" i="13" s="1"/>
  <c r="S49" i="13"/>
  <c r="R49" i="13"/>
  <c r="Q49" i="13"/>
  <c r="P49" i="13"/>
  <c r="O49" i="13"/>
  <c r="N49" i="13"/>
  <c r="M49" i="13"/>
  <c r="K49" i="13"/>
  <c r="BD48" i="13"/>
  <c r="AX48" i="13"/>
  <c r="AW48" i="13"/>
  <c r="AV48" i="13"/>
  <c r="AU48" i="13"/>
  <c r="BE48" i="13" s="1"/>
  <c r="AO48" i="13"/>
  <c r="AN48" i="13"/>
  <c r="AM48" i="13"/>
  <c r="AL48" i="13"/>
  <c r="AK48" i="13"/>
  <c r="AP48" i="13" s="1"/>
  <c r="AF48" i="13"/>
  <c r="AE48" i="13"/>
  <c r="AD48" i="13"/>
  <c r="AC48" i="13"/>
  <c r="V48" i="13"/>
  <c r="U48" i="13"/>
  <c r="T48" i="13"/>
  <c r="S48" i="13"/>
  <c r="R48" i="13"/>
  <c r="Q48" i="13"/>
  <c r="P48" i="13"/>
  <c r="O48" i="13"/>
  <c r="N48" i="13"/>
  <c r="M48" i="13"/>
  <c r="K48" i="13"/>
  <c r="BD47" i="13"/>
  <c r="AX47" i="13"/>
  <c r="AW47" i="13"/>
  <c r="AV47" i="13"/>
  <c r="AU47" i="13"/>
  <c r="BE47" i="13" s="1"/>
  <c r="AP47" i="13"/>
  <c r="AO47" i="13"/>
  <c r="AN47" i="13"/>
  <c r="AM47" i="13"/>
  <c r="AL47" i="13"/>
  <c r="AK47" i="13"/>
  <c r="AF47" i="13"/>
  <c r="AE47" i="13"/>
  <c r="AD47" i="13"/>
  <c r="AC47" i="13"/>
  <c r="V47" i="13"/>
  <c r="T47" i="13"/>
  <c r="U47" i="13" s="1"/>
  <c r="S47" i="13"/>
  <c r="R47" i="13"/>
  <c r="Q47" i="13"/>
  <c r="P47" i="13"/>
  <c r="O47" i="13"/>
  <c r="N47" i="13"/>
  <c r="M47" i="13"/>
  <c r="K47" i="13"/>
  <c r="BE46" i="13"/>
  <c r="BD46" i="13"/>
  <c r="AX46" i="13"/>
  <c r="AW46" i="13"/>
  <c r="AV46" i="13"/>
  <c r="AU46" i="13"/>
  <c r="AZ46" i="13" s="1"/>
  <c r="BA46" i="13" s="1"/>
  <c r="AO46" i="13"/>
  <c r="AN46" i="13"/>
  <c r="AM46" i="13"/>
  <c r="AL46" i="13"/>
  <c r="AK46" i="13"/>
  <c r="AP46" i="13" s="1"/>
  <c r="AF46" i="13"/>
  <c r="AE46" i="13"/>
  <c r="AD46" i="13"/>
  <c r="AC46" i="13"/>
  <c r="V46" i="13"/>
  <c r="T46" i="13"/>
  <c r="U46" i="13" s="1"/>
  <c r="S46" i="13"/>
  <c r="R46" i="13"/>
  <c r="Q46" i="13"/>
  <c r="P46" i="13"/>
  <c r="O46" i="13"/>
  <c r="N46" i="13"/>
  <c r="M46" i="13"/>
  <c r="K46" i="13"/>
  <c r="BD45" i="13"/>
  <c r="AX45" i="13"/>
  <c r="AW45" i="13"/>
  <c r="AV45" i="13"/>
  <c r="AU45" i="13"/>
  <c r="AO45" i="13"/>
  <c r="AN45" i="13"/>
  <c r="AM45" i="13"/>
  <c r="AL45" i="13"/>
  <c r="AK45" i="13"/>
  <c r="AP45" i="13" s="1"/>
  <c r="AF45" i="13"/>
  <c r="AE45" i="13"/>
  <c r="AD45" i="13"/>
  <c r="AC45" i="13"/>
  <c r="V45" i="13"/>
  <c r="U45" i="13"/>
  <c r="T45" i="13"/>
  <c r="S45" i="13"/>
  <c r="R45" i="13"/>
  <c r="Q45" i="13"/>
  <c r="P45" i="13"/>
  <c r="O45" i="13"/>
  <c r="N45" i="13"/>
  <c r="M45" i="13"/>
  <c r="K45" i="13"/>
  <c r="BE44" i="13"/>
  <c r="BD44" i="13"/>
  <c r="AZ44" i="13"/>
  <c r="BA44" i="13" s="1"/>
  <c r="AX44" i="13"/>
  <c r="AW44" i="13"/>
  <c r="AV44" i="13"/>
  <c r="BB44" i="13" s="1"/>
  <c r="AU44" i="13"/>
  <c r="AO44" i="13"/>
  <c r="AN44" i="13"/>
  <c r="AM44" i="13"/>
  <c r="AL44" i="13"/>
  <c r="AK44" i="13"/>
  <c r="AP44" i="13" s="1"/>
  <c r="AF44" i="13"/>
  <c r="AE44" i="13"/>
  <c r="AD44" i="13"/>
  <c r="AC44" i="13"/>
  <c r="V44" i="13"/>
  <c r="T44" i="13"/>
  <c r="U44" i="13" s="1"/>
  <c r="S44" i="13"/>
  <c r="R44" i="13"/>
  <c r="Q44" i="13"/>
  <c r="P44" i="13"/>
  <c r="O44" i="13"/>
  <c r="N44" i="13"/>
  <c r="M44" i="13"/>
  <c r="K44" i="13"/>
  <c r="BD43" i="13"/>
  <c r="AX43" i="13"/>
  <c r="AW43" i="13"/>
  <c r="AV43" i="13"/>
  <c r="AU43" i="13"/>
  <c r="BE43" i="13" s="1"/>
  <c r="AO43" i="13"/>
  <c r="AN43" i="13"/>
  <c r="AM43" i="13"/>
  <c r="AL43" i="13"/>
  <c r="AK43" i="13"/>
  <c r="AP43" i="13" s="1"/>
  <c r="AF43" i="13"/>
  <c r="AE43" i="13"/>
  <c r="AD43" i="13"/>
  <c r="AC43" i="13"/>
  <c r="V43" i="13"/>
  <c r="T43" i="13"/>
  <c r="U43" i="13" s="1"/>
  <c r="S43" i="13"/>
  <c r="R43" i="13"/>
  <c r="Q43" i="13"/>
  <c r="P43" i="13"/>
  <c r="O43" i="13"/>
  <c r="N43" i="13"/>
  <c r="M43" i="13"/>
  <c r="K43" i="13"/>
  <c r="BD42" i="13"/>
  <c r="AX42" i="13"/>
  <c r="AW42" i="13"/>
  <c r="AV42" i="13"/>
  <c r="AU42" i="13"/>
  <c r="AO42" i="13"/>
  <c r="AP42" i="13" s="1"/>
  <c r="AN42" i="13"/>
  <c r="AM42" i="13"/>
  <c r="AL42" i="13"/>
  <c r="AK42" i="13"/>
  <c r="AF42" i="13"/>
  <c r="AE42" i="13"/>
  <c r="AD42" i="13"/>
  <c r="AC42" i="13"/>
  <c r="V42" i="13"/>
  <c r="T42" i="13"/>
  <c r="U42" i="13" s="1"/>
  <c r="S42" i="13"/>
  <c r="R42" i="13"/>
  <c r="Q42" i="13"/>
  <c r="P42" i="13"/>
  <c r="O42" i="13"/>
  <c r="N42" i="13"/>
  <c r="M42" i="13"/>
  <c r="K42" i="13"/>
  <c r="BE41" i="13"/>
  <c r="BD41" i="13"/>
  <c r="AZ41" i="13"/>
  <c r="BA41" i="13" s="1"/>
  <c r="BB41" i="13" s="1"/>
  <c r="BC41" i="13" s="1"/>
  <c r="AX41" i="13"/>
  <c r="AW41" i="13"/>
  <c r="AV41" i="13"/>
  <c r="AU41" i="13"/>
  <c r="AO41" i="13"/>
  <c r="AN41" i="13"/>
  <c r="AM41" i="13"/>
  <c r="AL41" i="13"/>
  <c r="AK41" i="13"/>
  <c r="AP41" i="13" s="1"/>
  <c r="AF41" i="13"/>
  <c r="AE41" i="13"/>
  <c r="AD41" i="13"/>
  <c r="AC41" i="13"/>
  <c r="V41" i="13"/>
  <c r="T41" i="13"/>
  <c r="U41" i="13" s="1"/>
  <c r="S41" i="13"/>
  <c r="R41" i="13"/>
  <c r="Q41" i="13"/>
  <c r="P41" i="13"/>
  <c r="O41" i="13"/>
  <c r="N41" i="13"/>
  <c r="M41" i="13"/>
  <c r="K41" i="13"/>
  <c r="BD40" i="13"/>
  <c r="AX40" i="13"/>
  <c r="AW40" i="13"/>
  <c r="AV40" i="13"/>
  <c r="AU40" i="13"/>
  <c r="AZ40" i="13" s="1"/>
  <c r="BA40" i="13" s="1"/>
  <c r="AO40" i="13"/>
  <c r="AN40" i="13"/>
  <c r="AM40" i="13"/>
  <c r="AL40" i="13"/>
  <c r="AK40" i="13"/>
  <c r="AP40" i="13" s="1"/>
  <c r="AF40" i="13"/>
  <c r="AE40" i="13"/>
  <c r="AD40" i="13"/>
  <c r="AC40" i="13"/>
  <c r="V40" i="13"/>
  <c r="U40" i="13"/>
  <c r="T40" i="13"/>
  <c r="S40" i="13"/>
  <c r="R40" i="13"/>
  <c r="Q40" i="13"/>
  <c r="P40" i="13"/>
  <c r="O40" i="13"/>
  <c r="N40" i="13"/>
  <c r="M40" i="13"/>
  <c r="K40" i="13"/>
  <c r="BD39" i="13"/>
  <c r="AX39" i="13"/>
  <c r="AW39" i="13"/>
  <c r="AV39" i="13"/>
  <c r="AU39" i="13"/>
  <c r="BE39" i="13" s="1"/>
  <c r="AO39" i="13"/>
  <c r="AP39" i="13" s="1"/>
  <c r="AN39" i="13"/>
  <c r="AM39" i="13"/>
  <c r="AL39" i="13"/>
  <c r="AK39" i="13"/>
  <c r="AF39" i="13"/>
  <c r="AE39" i="13"/>
  <c r="AD39" i="13"/>
  <c r="AC39" i="13"/>
  <c r="V39" i="13"/>
  <c r="T39" i="13"/>
  <c r="U39" i="13" s="1"/>
  <c r="S39" i="13"/>
  <c r="R39" i="13"/>
  <c r="Q39" i="13"/>
  <c r="P39" i="13"/>
  <c r="O39" i="13"/>
  <c r="N39" i="13"/>
  <c r="M39" i="13"/>
  <c r="K39" i="13"/>
  <c r="BE38" i="13"/>
  <c r="BD38" i="13"/>
  <c r="AX38" i="13"/>
  <c r="AW38" i="13"/>
  <c r="AV38" i="13"/>
  <c r="AU38" i="13"/>
  <c r="AZ38" i="13" s="1"/>
  <c r="BA38" i="13" s="1"/>
  <c r="AO38" i="13"/>
  <c r="AN38" i="13"/>
  <c r="AM38" i="13"/>
  <c r="AL38" i="13"/>
  <c r="AK38" i="13"/>
  <c r="AP38" i="13" s="1"/>
  <c r="AF38" i="13"/>
  <c r="AE38" i="13"/>
  <c r="AD38" i="13"/>
  <c r="AC38" i="13"/>
  <c r="V38" i="13"/>
  <c r="T38" i="13"/>
  <c r="U38" i="13" s="1"/>
  <c r="S38" i="13"/>
  <c r="R38" i="13"/>
  <c r="Q38" i="13"/>
  <c r="P38" i="13"/>
  <c r="O38" i="13"/>
  <c r="N38" i="13"/>
  <c r="M38" i="13"/>
  <c r="K38" i="13"/>
  <c r="BD37" i="13"/>
  <c r="AX37" i="13"/>
  <c r="AW37" i="13"/>
  <c r="AV37" i="13"/>
  <c r="AU37" i="13"/>
  <c r="AO37" i="13"/>
  <c r="AN37" i="13"/>
  <c r="AM37" i="13"/>
  <c r="AL37" i="13"/>
  <c r="AK37" i="13"/>
  <c r="AP37" i="13" s="1"/>
  <c r="AF37" i="13"/>
  <c r="AE37" i="13"/>
  <c r="AD37" i="13"/>
  <c r="AC37" i="13"/>
  <c r="V37" i="13"/>
  <c r="U37" i="13"/>
  <c r="T37" i="13"/>
  <c r="S37" i="13"/>
  <c r="R37" i="13"/>
  <c r="Q37" i="13"/>
  <c r="P37" i="13"/>
  <c r="O37" i="13"/>
  <c r="N37" i="13"/>
  <c r="M37" i="13"/>
  <c r="K37" i="13"/>
  <c r="BE36" i="13"/>
  <c r="BD36" i="13"/>
  <c r="AZ36" i="13"/>
  <c r="BA36" i="13" s="1"/>
  <c r="AX36" i="13"/>
  <c r="AW36" i="13"/>
  <c r="AV36" i="13"/>
  <c r="BB36" i="13" s="1"/>
  <c r="BC36" i="13" s="1"/>
  <c r="AU36" i="13"/>
  <c r="AO36" i="13"/>
  <c r="AN36" i="13"/>
  <c r="AM36" i="13"/>
  <c r="AL36" i="13"/>
  <c r="AK36" i="13"/>
  <c r="AP36" i="13" s="1"/>
  <c r="AF36" i="13"/>
  <c r="AE36" i="13"/>
  <c r="AD36" i="13"/>
  <c r="AC36" i="13"/>
  <c r="V36" i="13"/>
  <c r="T36" i="13"/>
  <c r="U36" i="13" s="1"/>
  <c r="S36" i="13"/>
  <c r="R36" i="13"/>
  <c r="Q36" i="13"/>
  <c r="P36" i="13"/>
  <c r="O36" i="13"/>
  <c r="N36" i="13"/>
  <c r="M36" i="13"/>
  <c r="K36" i="13"/>
  <c r="BD35" i="13"/>
  <c r="AX35" i="13"/>
  <c r="AW35" i="13"/>
  <c r="AV35" i="13"/>
  <c r="AU35" i="13"/>
  <c r="BE35" i="13" s="1"/>
  <c r="AO35" i="13"/>
  <c r="AN35" i="13"/>
  <c r="AM35" i="13"/>
  <c r="AL35" i="13"/>
  <c r="AK35" i="13"/>
  <c r="AP35" i="13" s="1"/>
  <c r="AF35" i="13"/>
  <c r="AE35" i="13"/>
  <c r="AD35" i="13"/>
  <c r="AC35" i="13"/>
  <c r="V35" i="13"/>
  <c r="T35" i="13"/>
  <c r="U35" i="13" s="1"/>
  <c r="S35" i="13"/>
  <c r="R35" i="13"/>
  <c r="Q35" i="13"/>
  <c r="P35" i="13"/>
  <c r="O35" i="13"/>
  <c r="N35" i="13"/>
  <c r="M35" i="13"/>
  <c r="K35" i="13"/>
  <c r="BD34" i="13"/>
  <c r="AX34" i="13"/>
  <c r="AW34" i="13"/>
  <c r="AV34" i="13"/>
  <c r="AU34" i="13"/>
  <c r="AO34" i="13"/>
  <c r="AN34" i="13"/>
  <c r="AM34" i="13"/>
  <c r="AL34" i="13"/>
  <c r="AP34" i="13" s="1"/>
  <c r="AK34" i="13"/>
  <c r="AF34" i="13"/>
  <c r="AE34" i="13"/>
  <c r="AD34" i="13"/>
  <c r="AC34" i="13"/>
  <c r="V34" i="13"/>
  <c r="T34" i="13"/>
  <c r="U34" i="13" s="1"/>
  <c r="S34" i="13"/>
  <c r="R34" i="13"/>
  <c r="Q34" i="13"/>
  <c r="P34" i="13"/>
  <c r="O34" i="13"/>
  <c r="N34" i="13"/>
  <c r="M34" i="13"/>
  <c r="K34" i="13"/>
  <c r="BE33" i="13"/>
  <c r="BD33" i="13"/>
  <c r="AZ33" i="13"/>
  <c r="AX33" i="13"/>
  <c r="AW33" i="13"/>
  <c r="AV33" i="13"/>
  <c r="AU33" i="13"/>
  <c r="AO33" i="13"/>
  <c r="AN33" i="13"/>
  <c r="AM33" i="13"/>
  <c r="AL33" i="13"/>
  <c r="AK33" i="13"/>
  <c r="AP33" i="13" s="1"/>
  <c r="AF33" i="13"/>
  <c r="AE33" i="13"/>
  <c r="AD33" i="13"/>
  <c r="AC33" i="13"/>
  <c r="V33" i="13"/>
  <c r="T33" i="13"/>
  <c r="U33" i="13" s="1"/>
  <c r="S33" i="13"/>
  <c r="R33" i="13"/>
  <c r="Q33" i="13"/>
  <c r="P33" i="13"/>
  <c r="O33" i="13"/>
  <c r="N33" i="13"/>
  <c r="M33" i="13"/>
  <c r="K33" i="13"/>
  <c r="BD32" i="13"/>
  <c r="AX32" i="13"/>
  <c r="AW32" i="13"/>
  <c r="AV32" i="13"/>
  <c r="AU32" i="13"/>
  <c r="AZ32" i="13" s="1"/>
  <c r="BA32" i="13" s="1"/>
  <c r="AO32" i="13"/>
  <c r="AN32" i="13"/>
  <c r="AM32" i="13"/>
  <c r="AL32" i="13"/>
  <c r="AK32" i="13"/>
  <c r="AP32" i="13" s="1"/>
  <c r="AF32" i="13"/>
  <c r="AE32" i="13"/>
  <c r="AD32" i="13"/>
  <c r="AC32" i="13"/>
  <c r="V32" i="13"/>
  <c r="U32" i="13"/>
  <c r="T32" i="13"/>
  <c r="S32" i="13"/>
  <c r="R32" i="13"/>
  <c r="Q32" i="13"/>
  <c r="P32" i="13"/>
  <c r="O32" i="13"/>
  <c r="N32" i="13"/>
  <c r="M32" i="13"/>
  <c r="K32" i="13"/>
  <c r="BD31" i="13"/>
  <c r="AX31" i="13"/>
  <c r="AW31" i="13"/>
  <c r="AV31" i="13"/>
  <c r="AU31" i="13"/>
  <c r="BE31" i="13" s="1"/>
  <c r="AO31" i="13"/>
  <c r="AP31" i="13" s="1"/>
  <c r="AN31" i="13"/>
  <c r="AM31" i="13"/>
  <c r="AL31" i="13"/>
  <c r="AK31" i="13"/>
  <c r="AF31" i="13"/>
  <c r="AE31" i="13"/>
  <c r="AD31" i="13"/>
  <c r="AC31" i="13"/>
  <c r="V31" i="13"/>
  <c r="T31" i="13"/>
  <c r="U31" i="13" s="1"/>
  <c r="S31" i="13"/>
  <c r="R31" i="13"/>
  <c r="Q31" i="13"/>
  <c r="P31" i="13"/>
  <c r="O31" i="13"/>
  <c r="N31" i="13"/>
  <c r="M31" i="13"/>
  <c r="K31" i="13"/>
  <c r="BE30" i="13"/>
  <c r="BD30" i="13"/>
  <c r="AX30" i="13"/>
  <c r="AW30" i="13"/>
  <c r="AV30" i="13"/>
  <c r="AU30" i="13"/>
  <c r="AZ30" i="13" s="1"/>
  <c r="BA30" i="13" s="1"/>
  <c r="AO30" i="13"/>
  <c r="AN30" i="13"/>
  <c r="AM30" i="13"/>
  <c r="AL30" i="13"/>
  <c r="AK30" i="13"/>
  <c r="AP30" i="13" s="1"/>
  <c r="AF30" i="13"/>
  <c r="AE30" i="13"/>
  <c r="AD30" i="13"/>
  <c r="AC30" i="13"/>
  <c r="V30" i="13"/>
  <c r="T30" i="13"/>
  <c r="U30" i="13" s="1"/>
  <c r="S30" i="13"/>
  <c r="R30" i="13"/>
  <c r="Q30" i="13"/>
  <c r="P30" i="13"/>
  <c r="O30" i="13"/>
  <c r="N30" i="13"/>
  <c r="M30" i="13"/>
  <c r="K30" i="13"/>
  <c r="BD29" i="13"/>
  <c r="AX29" i="13"/>
  <c r="AW29" i="13"/>
  <c r="AV29" i="13"/>
  <c r="AU29" i="13"/>
  <c r="AO29" i="13"/>
  <c r="AP29" i="13" s="1"/>
  <c r="AN29" i="13"/>
  <c r="AM29" i="13"/>
  <c r="AL29" i="13"/>
  <c r="AK29" i="13"/>
  <c r="AF29" i="13"/>
  <c r="AE29" i="13"/>
  <c r="AD29" i="13"/>
  <c r="AC29" i="13"/>
  <c r="V29" i="13"/>
  <c r="U29" i="13"/>
  <c r="T29" i="13"/>
  <c r="S29" i="13"/>
  <c r="R29" i="13"/>
  <c r="Q29" i="13"/>
  <c r="P29" i="13"/>
  <c r="O29" i="13"/>
  <c r="N29" i="13"/>
  <c r="M29" i="13"/>
  <c r="K29" i="13"/>
  <c r="BE28" i="13"/>
  <c r="BD28" i="13"/>
  <c r="BA28" i="13"/>
  <c r="BB28" i="13" s="1"/>
  <c r="BC28" i="13" s="1"/>
  <c r="AZ28" i="13"/>
  <c r="AX28" i="13"/>
  <c r="AW28" i="13"/>
  <c r="AV28" i="13"/>
  <c r="AU28" i="13"/>
  <c r="AO28" i="13"/>
  <c r="AN28" i="13"/>
  <c r="AM28" i="13"/>
  <c r="AL28" i="13"/>
  <c r="AK28" i="13"/>
  <c r="AP28" i="13" s="1"/>
  <c r="AF28" i="13"/>
  <c r="AE28" i="13"/>
  <c r="AD28" i="13"/>
  <c r="AC28" i="13"/>
  <c r="V28" i="13"/>
  <c r="T28" i="13"/>
  <c r="U28" i="13" s="1"/>
  <c r="S28" i="13"/>
  <c r="R28" i="13"/>
  <c r="Q28" i="13"/>
  <c r="P28" i="13"/>
  <c r="O28" i="13"/>
  <c r="N28" i="13"/>
  <c r="M28" i="13"/>
  <c r="K28" i="13"/>
  <c r="BD27" i="13"/>
  <c r="AX27" i="13"/>
  <c r="AW27" i="13"/>
  <c r="AV27" i="13"/>
  <c r="AU27" i="13"/>
  <c r="BE27" i="13" s="1"/>
  <c r="AO27" i="13"/>
  <c r="AN27" i="13"/>
  <c r="AM27" i="13"/>
  <c r="AL27" i="13"/>
  <c r="AK27" i="13"/>
  <c r="AP27" i="13" s="1"/>
  <c r="AF27" i="13"/>
  <c r="AE27" i="13"/>
  <c r="AD27" i="13"/>
  <c r="AC27" i="13"/>
  <c r="V27" i="13"/>
  <c r="T27" i="13"/>
  <c r="U27" i="13" s="1"/>
  <c r="S27" i="13"/>
  <c r="R27" i="13"/>
  <c r="Q27" i="13"/>
  <c r="P27" i="13"/>
  <c r="O27" i="13"/>
  <c r="N27" i="13"/>
  <c r="M27" i="13"/>
  <c r="K27" i="13"/>
  <c r="BD26" i="13"/>
  <c r="AX26" i="13"/>
  <c r="AW26" i="13"/>
  <c r="AV26" i="13"/>
  <c r="AU26" i="13"/>
  <c r="BE26" i="13" s="1"/>
  <c r="AO26" i="13"/>
  <c r="AN26" i="13"/>
  <c r="AM26" i="13"/>
  <c r="AL26" i="13"/>
  <c r="AP26" i="13" s="1"/>
  <c r="AK26" i="13"/>
  <c r="AF26" i="13"/>
  <c r="AE26" i="13"/>
  <c r="AD26" i="13"/>
  <c r="AC26" i="13"/>
  <c r="V26" i="13"/>
  <c r="T26" i="13"/>
  <c r="U26" i="13" s="1"/>
  <c r="S26" i="13"/>
  <c r="R26" i="13"/>
  <c r="Q26" i="13"/>
  <c r="P26" i="13"/>
  <c r="O26" i="13"/>
  <c r="N26" i="13"/>
  <c r="M26" i="13"/>
  <c r="K26" i="13"/>
  <c r="BE25" i="13"/>
  <c r="BD25" i="13"/>
  <c r="AZ25" i="13"/>
  <c r="BA25" i="13" s="1"/>
  <c r="AX25" i="13"/>
  <c r="AW25" i="13"/>
  <c r="AV25" i="13"/>
  <c r="AU25" i="13"/>
  <c r="AO25" i="13"/>
  <c r="AN25" i="13"/>
  <c r="AM25" i="13"/>
  <c r="AL25" i="13"/>
  <c r="AK25" i="13"/>
  <c r="AP25" i="13" s="1"/>
  <c r="AF25" i="13"/>
  <c r="AE25" i="13"/>
  <c r="AD25" i="13"/>
  <c r="AC25" i="13"/>
  <c r="V25" i="13"/>
  <c r="T25" i="13"/>
  <c r="U25" i="13" s="1"/>
  <c r="S25" i="13"/>
  <c r="R25" i="13"/>
  <c r="Q25" i="13"/>
  <c r="P25" i="13"/>
  <c r="O25" i="13"/>
  <c r="N25" i="13"/>
  <c r="M25" i="13"/>
  <c r="K25" i="13"/>
  <c r="BD24" i="13"/>
  <c r="AX24" i="13"/>
  <c r="AW24" i="13"/>
  <c r="AV24" i="13"/>
  <c r="AU24" i="13"/>
  <c r="BE24" i="13" s="1"/>
  <c r="AO24" i="13"/>
  <c r="AN24" i="13"/>
  <c r="AM24" i="13"/>
  <c r="AL24" i="13"/>
  <c r="AK24" i="13"/>
  <c r="AP24" i="13" s="1"/>
  <c r="AF24" i="13"/>
  <c r="AE24" i="13"/>
  <c r="AD24" i="13"/>
  <c r="AC24" i="13"/>
  <c r="V24" i="13"/>
  <c r="T24" i="13"/>
  <c r="U24" i="13" s="1"/>
  <c r="S24" i="13"/>
  <c r="R24" i="13"/>
  <c r="Q24" i="13"/>
  <c r="P24" i="13"/>
  <c r="O24" i="13"/>
  <c r="N24" i="13"/>
  <c r="M24" i="13"/>
  <c r="K24" i="13"/>
  <c r="BD23" i="13"/>
  <c r="AX23" i="13"/>
  <c r="AW23" i="13"/>
  <c r="AV23" i="13"/>
  <c r="AU23" i="13"/>
  <c r="BE23" i="13" s="1"/>
  <c r="AO23" i="13"/>
  <c r="AP23" i="13" s="1"/>
  <c r="AN23" i="13"/>
  <c r="AM23" i="13"/>
  <c r="AL23" i="13"/>
  <c r="AK23" i="13"/>
  <c r="AF23" i="13"/>
  <c r="AE23" i="13"/>
  <c r="AD23" i="13"/>
  <c r="AC23" i="13"/>
  <c r="V23" i="13"/>
  <c r="T23" i="13"/>
  <c r="U23" i="13" s="1"/>
  <c r="S23" i="13"/>
  <c r="R23" i="13"/>
  <c r="Q23" i="13"/>
  <c r="P23" i="13"/>
  <c r="O23" i="13"/>
  <c r="N23" i="13"/>
  <c r="M23" i="13"/>
  <c r="K23" i="13"/>
  <c r="BE22" i="13"/>
  <c r="BF22" i="13" s="1"/>
  <c r="BG22" i="13" s="1"/>
  <c r="BD22" i="13"/>
  <c r="BC22" i="13"/>
  <c r="AX22" i="13"/>
  <c r="AW22" i="13"/>
  <c r="AV22" i="13"/>
  <c r="BB22" i="13" s="1"/>
  <c r="AU22" i="13"/>
  <c r="AZ22" i="13" s="1"/>
  <c r="BA22" i="13" s="1"/>
  <c r="AO22" i="13"/>
  <c r="AN22" i="13"/>
  <c r="AM22" i="13"/>
  <c r="AL22" i="13"/>
  <c r="AK22" i="13"/>
  <c r="AP22" i="13" s="1"/>
  <c r="AF22" i="13"/>
  <c r="AE22" i="13"/>
  <c r="AD22" i="13"/>
  <c r="AC22" i="13"/>
  <c r="V22" i="13"/>
  <c r="T22" i="13"/>
  <c r="U22" i="13" s="1"/>
  <c r="S22" i="13"/>
  <c r="R22" i="13"/>
  <c r="Q22" i="13"/>
  <c r="P22" i="13"/>
  <c r="O22" i="13"/>
  <c r="N22" i="13"/>
  <c r="M22" i="13"/>
  <c r="K22" i="13"/>
  <c r="BD21" i="13"/>
  <c r="AX21" i="13"/>
  <c r="AW21" i="13"/>
  <c r="AV21" i="13"/>
  <c r="AU21" i="13"/>
  <c r="AO21" i="13"/>
  <c r="AN21" i="13"/>
  <c r="AM21" i="13"/>
  <c r="AL21" i="13"/>
  <c r="AK21" i="13"/>
  <c r="AP21" i="13" s="1"/>
  <c r="AF21" i="13"/>
  <c r="AE21" i="13"/>
  <c r="AD21" i="13"/>
  <c r="AC21" i="13"/>
  <c r="V21" i="13"/>
  <c r="U21" i="13"/>
  <c r="T21" i="13"/>
  <c r="S21" i="13"/>
  <c r="R21" i="13"/>
  <c r="Q21" i="13"/>
  <c r="P21" i="13"/>
  <c r="O21" i="13"/>
  <c r="N21" i="13"/>
  <c r="M21" i="13"/>
  <c r="K21" i="13"/>
  <c r="BE20" i="13"/>
  <c r="BD20" i="13"/>
  <c r="BA20" i="13"/>
  <c r="AZ20" i="13"/>
  <c r="AX20" i="13"/>
  <c r="AW20" i="13"/>
  <c r="AV20" i="13"/>
  <c r="BB20" i="13" s="1"/>
  <c r="AU20" i="13"/>
  <c r="AO20" i="13"/>
  <c r="AN20" i="13"/>
  <c r="AM20" i="13"/>
  <c r="AL20" i="13"/>
  <c r="AK20" i="13"/>
  <c r="AP20" i="13" s="1"/>
  <c r="AF20" i="13"/>
  <c r="AE20" i="13"/>
  <c r="AD20" i="13"/>
  <c r="AC20" i="13"/>
  <c r="V20" i="13"/>
  <c r="T20" i="13"/>
  <c r="U20" i="13" s="1"/>
  <c r="S20" i="13"/>
  <c r="R20" i="13"/>
  <c r="Q20" i="13"/>
  <c r="P20" i="13"/>
  <c r="O20" i="13"/>
  <c r="N20" i="13"/>
  <c r="M20" i="13"/>
  <c r="K20" i="13"/>
  <c r="BD19" i="13"/>
  <c r="AX19" i="13"/>
  <c r="AW19" i="13"/>
  <c r="AV19" i="13"/>
  <c r="AU19" i="13"/>
  <c r="BE19" i="13" s="1"/>
  <c r="AO19" i="13"/>
  <c r="AN19" i="13"/>
  <c r="AM19" i="13"/>
  <c r="AL19" i="13"/>
  <c r="AK19" i="13"/>
  <c r="AP19" i="13" s="1"/>
  <c r="AF19" i="13"/>
  <c r="AE19" i="13"/>
  <c r="AD19" i="13"/>
  <c r="AC19" i="13"/>
  <c r="V19" i="13"/>
  <c r="T19" i="13"/>
  <c r="U19" i="13" s="1"/>
  <c r="S19" i="13"/>
  <c r="R19" i="13"/>
  <c r="Q19" i="13"/>
  <c r="P19" i="13"/>
  <c r="O19" i="13"/>
  <c r="N19" i="13"/>
  <c r="M19" i="13"/>
  <c r="K19" i="13"/>
  <c r="BD18" i="13"/>
  <c r="AX18" i="13"/>
  <c r="AW18" i="13"/>
  <c r="AV18" i="13"/>
  <c r="AU18" i="13"/>
  <c r="BE18" i="13" s="1"/>
  <c r="AO18" i="13"/>
  <c r="AN18" i="13"/>
  <c r="AM18" i="13"/>
  <c r="AL18" i="13"/>
  <c r="AP18" i="13" s="1"/>
  <c r="AK18" i="13"/>
  <c r="AF18" i="13"/>
  <c r="AE18" i="13"/>
  <c r="AD18" i="13"/>
  <c r="AC18" i="13"/>
  <c r="V18" i="13"/>
  <c r="T18" i="13"/>
  <c r="U18" i="13" s="1"/>
  <c r="S18" i="13"/>
  <c r="R18" i="13"/>
  <c r="Q18" i="13"/>
  <c r="P18" i="13"/>
  <c r="O18" i="13"/>
  <c r="N18" i="13"/>
  <c r="M18" i="13"/>
  <c r="K18" i="13"/>
  <c r="BE17" i="13"/>
  <c r="BD17" i="13"/>
  <c r="AZ17" i="13"/>
  <c r="BA17" i="13" s="1"/>
  <c r="AX17" i="13"/>
  <c r="AW17" i="13"/>
  <c r="AV17" i="13"/>
  <c r="AU17" i="13"/>
  <c r="AO17" i="13"/>
  <c r="AN17" i="13"/>
  <c r="AM17" i="13"/>
  <c r="AL17" i="13"/>
  <c r="AK17" i="13"/>
  <c r="AP17" i="13" s="1"/>
  <c r="AF17" i="13"/>
  <c r="AE17" i="13"/>
  <c r="AD17" i="13"/>
  <c r="AC17" i="13"/>
  <c r="V17" i="13"/>
  <c r="T17" i="13"/>
  <c r="U17" i="13" s="1"/>
  <c r="S17" i="13"/>
  <c r="R17" i="13"/>
  <c r="Q17" i="13"/>
  <c r="P17" i="13"/>
  <c r="O17" i="13"/>
  <c r="N17" i="13"/>
  <c r="M17" i="13"/>
  <c r="K17" i="13"/>
  <c r="BD16" i="13"/>
  <c r="AX16" i="13"/>
  <c r="AW16" i="13"/>
  <c r="AV16" i="13"/>
  <c r="BB16" i="13" s="1"/>
  <c r="AU16" i="13"/>
  <c r="AZ16" i="13" s="1"/>
  <c r="BA16" i="13" s="1"/>
  <c r="AO16" i="13"/>
  <c r="AN16" i="13"/>
  <c r="AM16" i="13"/>
  <c r="AL16" i="13"/>
  <c r="AK16" i="13"/>
  <c r="AP16" i="13" s="1"/>
  <c r="AF16" i="13"/>
  <c r="AE16" i="13"/>
  <c r="AD16" i="13"/>
  <c r="AC16" i="13"/>
  <c r="V16" i="13"/>
  <c r="T16" i="13"/>
  <c r="U16" i="13" s="1"/>
  <c r="S16" i="13"/>
  <c r="R16" i="13"/>
  <c r="Q16" i="13"/>
  <c r="P16" i="13"/>
  <c r="O16" i="13"/>
  <c r="N16" i="13"/>
  <c r="M16" i="13"/>
  <c r="K16" i="13"/>
  <c r="BD15" i="13"/>
  <c r="AX15" i="13"/>
  <c r="AW15" i="13"/>
  <c r="AV15" i="13"/>
  <c r="AU15" i="13"/>
  <c r="BE15" i="13" s="1"/>
  <c r="AO15" i="13"/>
  <c r="AP15" i="13" s="1"/>
  <c r="AN15" i="13"/>
  <c r="AM15" i="13"/>
  <c r="AL15" i="13"/>
  <c r="AK15" i="13"/>
  <c r="AF15" i="13"/>
  <c r="AE15" i="13"/>
  <c r="AD15" i="13"/>
  <c r="AC15" i="13"/>
  <c r="V15" i="13"/>
  <c r="T15" i="13"/>
  <c r="U15" i="13" s="1"/>
  <c r="S15" i="13"/>
  <c r="R15" i="13"/>
  <c r="Q15" i="13"/>
  <c r="P15" i="13"/>
  <c r="O15" i="13"/>
  <c r="N15" i="13"/>
  <c r="M15" i="13"/>
  <c r="K15" i="13"/>
  <c r="BE14" i="13"/>
  <c r="BD14" i="13"/>
  <c r="AX14" i="13"/>
  <c r="AW14" i="13"/>
  <c r="AV14" i="13"/>
  <c r="AU14" i="13"/>
  <c r="AZ14" i="13" s="1"/>
  <c r="BA14" i="13" s="1"/>
  <c r="AO14" i="13"/>
  <c r="AN14" i="13"/>
  <c r="AM14" i="13"/>
  <c r="AL14" i="13"/>
  <c r="AK14" i="13"/>
  <c r="AP14" i="13" s="1"/>
  <c r="AF14" i="13"/>
  <c r="AE14" i="13"/>
  <c r="AD14" i="13"/>
  <c r="AC14" i="13"/>
  <c r="V14" i="13"/>
  <c r="T14" i="13"/>
  <c r="U14" i="13" s="1"/>
  <c r="S14" i="13"/>
  <c r="R14" i="13"/>
  <c r="Q14" i="13"/>
  <c r="P14" i="13"/>
  <c r="O14" i="13"/>
  <c r="N14" i="13"/>
  <c r="M14" i="13"/>
  <c r="K14" i="13"/>
  <c r="BD13" i="13"/>
  <c r="AX13" i="13"/>
  <c r="AW13" i="13"/>
  <c r="AV13" i="13"/>
  <c r="AU13" i="13"/>
  <c r="AO13" i="13"/>
  <c r="AN13" i="13"/>
  <c r="AM13" i="13"/>
  <c r="AL13" i="13"/>
  <c r="AK13" i="13"/>
  <c r="AP13" i="13" s="1"/>
  <c r="AF13" i="13"/>
  <c r="AE13" i="13"/>
  <c r="AD13" i="13"/>
  <c r="AC13" i="13"/>
  <c r="V13" i="13"/>
  <c r="U13" i="13"/>
  <c r="T13" i="13"/>
  <c r="S13" i="13"/>
  <c r="R13" i="13"/>
  <c r="Q13" i="13"/>
  <c r="P13" i="13"/>
  <c r="O13" i="13"/>
  <c r="N13" i="13"/>
  <c r="M13" i="13"/>
  <c r="K13" i="13"/>
  <c r="BE12" i="13"/>
  <c r="BD12" i="13"/>
  <c r="AZ12" i="13"/>
  <c r="BA12" i="13" s="1"/>
  <c r="AX12" i="13"/>
  <c r="AW12" i="13"/>
  <c r="AV12" i="13"/>
  <c r="AU12" i="13"/>
  <c r="AO12" i="13"/>
  <c r="AN12" i="13"/>
  <c r="AM12" i="13"/>
  <c r="AL12" i="13"/>
  <c r="AK12" i="13"/>
  <c r="AP12" i="13" s="1"/>
  <c r="AF12" i="13"/>
  <c r="AE12" i="13"/>
  <c r="AD12" i="13"/>
  <c r="AC12" i="13"/>
  <c r="V12" i="13"/>
  <c r="T12" i="13"/>
  <c r="U12" i="13" s="1"/>
  <c r="S12" i="13"/>
  <c r="R12" i="13"/>
  <c r="Q12" i="13"/>
  <c r="P12" i="13"/>
  <c r="O12" i="13"/>
  <c r="N12" i="13"/>
  <c r="M12" i="13"/>
  <c r="K12" i="13"/>
  <c r="BD11" i="13"/>
  <c r="AX11" i="13"/>
  <c r="AW11" i="13"/>
  <c r="AV11" i="13"/>
  <c r="AU11" i="13"/>
  <c r="BE11" i="13" s="1"/>
  <c r="AO11" i="13"/>
  <c r="AN11" i="13"/>
  <c r="AM11" i="13"/>
  <c r="AL11" i="13"/>
  <c r="AK11" i="13"/>
  <c r="AP11" i="13" s="1"/>
  <c r="AF11" i="13"/>
  <c r="AE11" i="13"/>
  <c r="AD11" i="13"/>
  <c r="AC11" i="13"/>
  <c r="V11" i="13"/>
  <c r="T11" i="13"/>
  <c r="U11" i="13" s="1"/>
  <c r="S11" i="13"/>
  <c r="R11" i="13"/>
  <c r="Q11" i="13"/>
  <c r="P11" i="13"/>
  <c r="O11" i="13"/>
  <c r="N11" i="13"/>
  <c r="M11" i="13"/>
  <c r="K11" i="13"/>
  <c r="BD10" i="13"/>
  <c r="AX10" i="13"/>
  <c r="AW10" i="13"/>
  <c r="AV10" i="13"/>
  <c r="AU10" i="13"/>
  <c r="BE10" i="13" s="1"/>
  <c r="AP10" i="13"/>
  <c r="AO10" i="13"/>
  <c r="AN10" i="13"/>
  <c r="AM10" i="13"/>
  <c r="AL10" i="13"/>
  <c r="AK10" i="13"/>
  <c r="AF10" i="13"/>
  <c r="AE10" i="13"/>
  <c r="AD10" i="13"/>
  <c r="AC10" i="13"/>
  <c r="V10" i="13"/>
  <c r="T10" i="13"/>
  <c r="U10" i="13" s="1"/>
  <c r="S10" i="13"/>
  <c r="R10" i="13"/>
  <c r="Q10" i="13"/>
  <c r="P10" i="13"/>
  <c r="O10" i="13"/>
  <c r="N10" i="13"/>
  <c r="M10" i="13"/>
  <c r="K10" i="13"/>
  <c r="BE9" i="13"/>
  <c r="BF9" i="13" s="1"/>
  <c r="BG9" i="13" s="1"/>
  <c r="BD9" i="13"/>
  <c r="BA9" i="13"/>
  <c r="AZ9" i="13"/>
  <c r="BB9" i="13" s="1"/>
  <c r="BC9" i="13" s="1"/>
  <c r="AX9" i="13"/>
  <c r="AW9" i="13"/>
  <c r="AV9" i="13"/>
  <c r="AU9" i="13"/>
  <c r="AO9" i="13"/>
  <c r="AN9" i="13"/>
  <c r="AM9" i="13"/>
  <c r="AL9" i="13"/>
  <c r="AK9" i="13"/>
  <c r="AP9" i="13" s="1"/>
  <c r="AF9" i="13"/>
  <c r="AE9" i="13"/>
  <c r="AD9" i="13"/>
  <c r="AC9" i="13"/>
  <c r="V9" i="13"/>
  <c r="T9" i="13"/>
  <c r="U9" i="13" s="1"/>
  <c r="S9" i="13"/>
  <c r="R9" i="13"/>
  <c r="Q9" i="13"/>
  <c r="P9" i="13"/>
  <c r="O9" i="13"/>
  <c r="N9" i="13"/>
  <c r="M9" i="13"/>
  <c r="K9" i="13"/>
  <c r="BD8" i="13"/>
  <c r="AX8" i="13"/>
  <c r="AW8" i="13"/>
  <c r="AV8" i="13"/>
  <c r="BB8" i="13" s="1"/>
  <c r="AU8" i="13"/>
  <c r="AZ8" i="13" s="1"/>
  <c r="BA8" i="13" s="1"/>
  <c r="AO8" i="13"/>
  <c r="AN8" i="13"/>
  <c r="AM8" i="13"/>
  <c r="AL8" i="13"/>
  <c r="AK8" i="13"/>
  <c r="AP8" i="13" s="1"/>
  <c r="BC8" i="13" s="1"/>
  <c r="AF8" i="13"/>
  <c r="AE8" i="13"/>
  <c r="AD8" i="13"/>
  <c r="AC8" i="13"/>
  <c r="V8" i="13"/>
  <c r="U8" i="13"/>
  <c r="T8" i="13"/>
  <c r="S8" i="13"/>
  <c r="R8" i="13"/>
  <c r="Q8" i="13"/>
  <c r="P8" i="13"/>
  <c r="O8" i="13"/>
  <c r="N8" i="13"/>
  <c r="M8" i="13"/>
  <c r="K8" i="13"/>
  <c r="BD7" i="13"/>
  <c r="AX7" i="13"/>
  <c r="AW7" i="13"/>
  <c r="AV7" i="13"/>
  <c r="AU7" i="13"/>
  <c r="BE7" i="13" s="1"/>
  <c r="AO7" i="13"/>
  <c r="AP7" i="13" s="1"/>
  <c r="AN7" i="13"/>
  <c r="AM7" i="13"/>
  <c r="AL7" i="13"/>
  <c r="AK7" i="13"/>
  <c r="AF7" i="13"/>
  <c r="AE7" i="13"/>
  <c r="AD7" i="13"/>
  <c r="AC7" i="13"/>
  <c r="V7" i="13"/>
  <c r="T7" i="13"/>
  <c r="U7" i="13" s="1"/>
  <c r="S7" i="13"/>
  <c r="R7" i="13"/>
  <c r="Q7" i="13"/>
  <c r="P7" i="13"/>
  <c r="O7" i="13"/>
  <c r="N7" i="13"/>
  <c r="M7" i="13"/>
  <c r="K7" i="13"/>
  <c r="BE6" i="13"/>
  <c r="BD6" i="13"/>
  <c r="AX6" i="13"/>
  <c r="AW6" i="13"/>
  <c r="AV6" i="13"/>
  <c r="AU6" i="13"/>
  <c r="AZ6" i="13" s="1"/>
  <c r="BA6" i="13" s="1"/>
  <c r="AO6" i="13"/>
  <c r="AN6" i="13"/>
  <c r="AM6" i="13"/>
  <c r="AL6" i="13"/>
  <c r="AK6" i="13"/>
  <c r="AP6" i="13" s="1"/>
  <c r="AF6" i="13"/>
  <c r="AE6" i="13"/>
  <c r="AD6" i="13"/>
  <c r="AC6" i="13"/>
  <c r="V6" i="13"/>
  <c r="T6" i="13"/>
  <c r="S6" i="13"/>
  <c r="R6" i="13"/>
  <c r="Q6" i="13"/>
  <c r="P6" i="13"/>
  <c r="O6" i="13"/>
  <c r="N6" i="13"/>
  <c r="M6" i="13"/>
  <c r="K6" i="13"/>
  <c r="BD5" i="13"/>
  <c r="AX5" i="13"/>
  <c r="AW5" i="13"/>
  <c r="AV5" i="13"/>
  <c r="AU5" i="13"/>
  <c r="AO5" i="13"/>
  <c r="AN5" i="13"/>
  <c r="AM5" i="13"/>
  <c r="AL5" i="13"/>
  <c r="AP5" i="13" s="1"/>
  <c r="AK5" i="13"/>
  <c r="AF5" i="13"/>
  <c r="AE5" i="13"/>
  <c r="AD5" i="13"/>
  <c r="AC5" i="13"/>
  <c r="V5" i="13"/>
  <c r="U5" i="13"/>
  <c r="T5" i="13"/>
  <c r="S5" i="13"/>
  <c r="R5" i="13"/>
  <c r="Q5" i="13"/>
  <c r="P5" i="13"/>
  <c r="O5" i="13"/>
  <c r="N5" i="13"/>
  <c r="M5" i="13"/>
  <c r="K5" i="13"/>
  <c r="BE4" i="13"/>
  <c r="BD4" i="13"/>
  <c r="AZ4" i="13"/>
  <c r="AX4" i="13"/>
  <c r="AW4" i="13"/>
  <c r="AV4" i="13"/>
  <c r="AU4" i="13"/>
  <c r="AO4" i="13"/>
  <c r="AN4" i="13"/>
  <c r="AM4" i="13"/>
  <c r="AL4" i="13"/>
  <c r="AK4" i="13"/>
  <c r="AP4" i="13" s="1"/>
  <c r="AF4" i="13"/>
  <c r="AE4" i="13"/>
  <c r="AD4" i="13"/>
  <c r="AC4" i="13"/>
  <c r="V4" i="13"/>
  <c r="T4" i="13"/>
  <c r="U4" i="13" s="1"/>
  <c r="S4" i="13"/>
  <c r="R4" i="13"/>
  <c r="Q4" i="13"/>
  <c r="P4" i="13"/>
  <c r="O4" i="13"/>
  <c r="N4" i="13"/>
  <c r="M4" i="13"/>
  <c r="K4" i="13"/>
  <c r="AU23" i="36"/>
  <c r="AP23" i="36"/>
  <c r="AO23" i="36"/>
  <c r="AH23" i="36"/>
  <c r="AG23" i="36"/>
  <c r="AB23" i="36"/>
  <c r="AA23" i="36"/>
  <c r="Z23" i="36"/>
  <c r="Y23" i="36"/>
  <c r="X23" i="36"/>
  <c r="AD23" i="36" s="1"/>
  <c r="W23" i="36"/>
  <c r="L23" i="36"/>
  <c r="J23" i="36"/>
  <c r="I23" i="36"/>
  <c r="H23" i="36"/>
  <c r="G23" i="36"/>
  <c r="F23" i="36"/>
  <c r="E23" i="36"/>
  <c r="D23" i="36"/>
  <c r="C23" i="36"/>
  <c r="BA21" i="36"/>
  <c r="AZ21" i="36"/>
  <c r="AT21" i="36"/>
  <c r="AS21" i="36"/>
  <c r="AR21" i="36"/>
  <c r="AX21" i="36" s="1"/>
  <c r="AQ21" i="36"/>
  <c r="AV21" i="36" s="1"/>
  <c r="AW21" i="36" s="1"/>
  <c r="AM21" i="36"/>
  <c r="AL21" i="36"/>
  <c r="AK21" i="36"/>
  <c r="AJ21" i="36"/>
  <c r="AI21" i="36"/>
  <c r="AN21" i="36" s="1"/>
  <c r="AF21" i="36"/>
  <c r="AE21" i="36"/>
  <c r="AD21" i="36"/>
  <c r="AC21" i="36"/>
  <c r="V21" i="36"/>
  <c r="T21" i="36"/>
  <c r="U21" i="36" s="1"/>
  <c r="S21" i="36"/>
  <c r="R21" i="36"/>
  <c r="Q21" i="36"/>
  <c r="P21" i="36"/>
  <c r="O21" i="36"/>
  <c r="N21" i="36"/>
  <c r="M21" i="36"/>
  <c r="K21" i="36"/>
  <c r="AZ20" i="36"/>
  <c r="AT20" i="36"/>
  <c r="AS20" i="36"/>
  <c r="AR20" i="36"/>
  <c r="AX20" i="36" s="1"/>
  <c r="AQ20" i="36"/>
  <c r="AV20" i="36" s="1"/>
  <c r="AW20" i="36" s="1"/>
  <c r="AM20" i="36"/>
  <c r="AL20" i="36"/>
  <c r="AK20" i="36"/>
  <c r="AJ20" i="36"/>
  <c r="AI20" i="36"/>
  <c r="AN20" i="36" s="1"/>
  <c r="AF20" i="36"/>
  <c r="AE20" i="36"/>
  <c r="AD20" i="36"/>
  <c r="AC20" i="36"/>
  <c r="V20" i="36"/>
  <c r="T20" i="36"/>
  <c r="U20" i="36" s="1"/>
  <c r="S20" i="36"/>
  <c r="R20" i="36"/>
  <c r="Q20" i="36"/>
  <c r="P20" i="36"/>
  <c r="O20" i="36"/>
  <c r="N20" i="36"/>
  <c r="M20" i="36"/>
  <c r="K20" i="36"/>
  <c r="BA19" i="36"/>
  <c r="AZ19" i="36"/>
  <c r="AV19" i="36"/>
  <c r="AW19" i="36" s="1"/>
  <c r="AT19" i="36"/>
  <c r="AS19" i="36"/>
  <c r="AR19" i="36"/>
  <c r="AQ19" i="36"/>
  <c r="AM19" i="36"/>
  <c r="AL19" i="36"/>
  <c r="AK19" i="36"/>
  <c r="AJ19" i="36"/>
  <c r="AI19" i="36"/>
  <c r="AN19" i="36" s="1"/>
  <c r="AF19" i="36"/>
  <c r="AE19" i="36"/>
  <c r="AD19" i="36"/>
  <c r="AC19" i="36"/>
  <c r="V19" i="36"/>
  <c r="T19" i="36"/>
  <c r="U19" i="36" s="1"/>
  <c r="S19" i="36"/>
  <c r="R19" i="36"/>
  <c r="Q19" i="36"/>
  <c r="P19" i="36"/>
  <c r="O19" i="36"/>
  <c r="N19" i="36"/>
  <c r="M19" i="36"/>
  <c r="K19" i="36"/>
  <c r="AZ18" i="36"/>
  <c r="AT18" i="36"/>
  <c r="AS18" i="36"/>
  <c r="AR18" i="36"/>
  <c r="AQ18" i="36"/>
  <c r="BA18" i="36" s="1"/>
  <c r="AM18" i="36"/>
  <c r="AL18" i="36"/>
  <c r="AK18" i="36"/>
  <c r="AJ18" i="36"/>
  <c r="AI18" i="36"/>
  <c r="AN18" i="36" s="1"/>
  <c r="AF18" i="36"/>
  <c r="AE18" i="36"/>
  <c r="AD18" i="36"/>
  <c r="AC18" i="36"/>
  <c r="V18" i="36"/>
  <c r="T18" i="36"/>
  <c r="U18" i="36" s="1"/>
  <c r="S18" i="36"/>
  <c r="R18" i="36"/>
  <c r="Q18" i="36"/>
  <c r="P18" i="36"/>
  <c r="O18" i="36"/>
  <c r="N18" i="36"/>
  <c r="M18" i="36"/>
  <c r="K18" i="36"/>
  <c r="AZ17" i="36"/>
  <c r="AT17" i="36"/>
  <c r="AS17" i="36"/>
  <c r="AR17" i="36"/>
  <c r="AQ17" i="36"/>
  <c r="AV17" i="36" s="1"/>
  <c r="AW17" i="36" s="1"/>
  <c r="AM17" i="36"/>
  <c r="AL17" i="36"/>
  <c r="AK17" i="36"/>
  <c r="AN17" i="36" s="1"/>
  <c r="AJ17" i="36"/>
  <c r="AI17" i="36"/>
  <c r="AF17" i="36"/>
  <c r="AE17" i="36"/>
  <c r="AD17" i="36"/>
  <c r="AC17" i="36"/>
  <c r="V17" i="36"/>
  <c r="T17" i="36"/>
  <c r="U17" i="36" s="1"/>
  <c r="S17" i="36"/>
  <c r="R17" i="36"/>
  <c r="Q17" i="36"/>
  <c r="P17" i="36"/>
  <c r="O17" i="36"/>
  <c r="N17" i="36"/>
  <c r="M17" i="36"/>
  <c r="K17" i="36"/>
  <c r="BA16" i="36"/>
  <c r="BB16" i="36" s="1"/>
  <c r="BC16" i="36" s="1"/>
  <c r="AZ16" i="36"/>
  <c r="AW16" i="36"/>
  <c r="AX16" i="36" s="1"/>
  <c r="AV16" i="36"/>
  <c r="AT16" i="36"/>
  <c r="AS16" i="36"/>
  <c r="AR16" i="36"/>
  <c r="AQ16" i="36"/>
  <c r="AM16" i="36"/>
  <c r="AL16" i="36"/>
  <c r="AK16" i="36"/>
  <c r="AJ16" i="36"/>
  <c r="AI16" i="36"/>
  <c r="AN16" i="36" s="1"/>
  <c r="AY16" i="36" s="1"/>
  <c r="AF16" i="36"/>
  <c r="AE16" i="36"/>
  <c r="AD16" i="36"/>
  <c r="AC16" i="36"/>
  <c r="V16" i="36"/>
  <c r="T16" i="36"/>
  <c r="U16" i="36" s="1"/>
  <c r="S16" i="36"/>
  <c r="R16" i="36"/>
  <c r="Q16" i="36"/>
  <c r="P16" i="36"/>
  <c r="O16" i="36"/>
  <c r="N16" i="36"/>
  <c r="M16" i="36"/>
  <c r="K16" i="36"/>
  <c r="AZ15" i="36"/>
  <c r="AT15" i="36"/>
  <c r="AS15" i="36"/>
  <c r="AR15" i="36"/>
  <c r="AQ15" i="36"/>
  <c r="BA15" i="36" s="1"/>
  <c r="AM15" i="36"/>
  <c r="AL15" i="36"/>
  <c r="AK15" i="36"/>
  <c r="AJ15" i="36"/>
  <c r="AI15" i="36"/>
  <c r="AN15" i="36" s="1"/>
  <c r="AF15" i="36"/>
  <c r="AE15" i="36"/>
  <c r="AD15" i="36"/>
  <c r="AC15" i="36"/>
  <c r="V15" i="36"/>
  <c r="T15" i="36"/>
  <c r="U15" i="36" s="1"/>
  <c r="S15" i="36"/>
  <c r="R15" i="36"/>
  <c r="Q15" i="36"/>
  <c r="P15" i="36"/>
  <c r="O15" i="36"/>
  <c r="N15" i="36"/>
  <c r="M15" i="36"/>
  <c r="K15" i="36"/>
  <c r="AZ14" i="36"/>
  <c r="AT14" i="36"/>
  <c r="AS14" i="36"/>
  <c r="AR14" i="36"/>
  <c r="AQ14" i="36"/>
  <c r="AV14" i="36" s="1"/>
  <c r="AW14" i="36" s="1"/>
  <c r="AN14" i="36"/>
  <c r="AM14" i="36"/>
  <c r="AL14" i="36"/>
  <c r="AK14" i="36"/>
  <c r="AJ14" i="36"/>
  <c r="AI14" i="36"/>
  <c r="AF14" i="36"/>
  <c r="AE14" i="36"/>
  <c r="AD14" i="36"/>
  <c r="AC14" i="36"/>
  <c r="V14" i="36"/>
  <c r="T14" i="36"/>
  <c r="U14" i="36" s="1"/>
  <c r="S14" i="36"/>
  <c r="R14" i="36"/>
  <c r="Q14" i="36"/>
  <c r="P14" i="36"/>
  <c r="O14" i="36"/>
  <c r="N14" i="36"/>
  <c r="M14" i="36"/>
  <c r="K14" i="36"/>
  <c r="BA13" i="36"/>
  <c r="AZ13" i="36"/>
  <c r="AT13" i="36"/>
  <c r="AS13" i="36"/>
  <c r="AR13" i="36"/>
  <c r="AQ13" i="36"/>
  <c r="AV13" i="36" s="1"/>
  <c r="AW13" i="36" s="1"/>
  <c r="AM13" i="36"/>
  <c r="AL13" i="36"/>
  <c r="AK13" i="36"/>
  <c r="AJ13" i="36"/>
  <c r="AI13" i="36"/>
  <c r="AN13" i="36" s="1"/>
  <c r="AF13" i="36"/>
  <c r="AE13" i="36"/>
  <c r="AD13" i="36"/>
  <c r="AC13" i="36"/>
  <c r="V13" i="36"/>
  <c r="T13" i="36"/>
  <c r="U13" i="36" s="1"/>
  <c r="S13" i="36"/>
  <c r="R13" i="36"/>
  <c r="Q13" i="36"/>
  <c r="P13" i="36"/>
  <c r="O13" i="36"/>
  <c r="N13" i="36"/>
  <c r="M13" i="36"/>
  <c r="K13" i="36"/>
  <c r="AZ12" i="36"/>
  <c r="AT12" i="36"/>
  <c r="AS12" i="36"/>
  <c r="AR12" i="36"/>
  <c r="AQ12" i="36"/>
  <c r="AV12" i="36" s="1"/>
  <c r="AW12" i="36" s="1"/>
  <c r="AM12" i="36"/>
  <c r="AL12" i="36"/>
  <c r="AK12" i="36"/>
  <c r="AJ12" i="36"/>
  <c r="AI12" i="36"/>
  <c r="AN12" i="36" s="1"/>
  <c r="AF12" i="36"/>
  <c r="AE12" i="36"/>
  <c r="AD12" i="36"/>
  <c r="AC12" i="36"/>
  <c r="V12" i="36"/>
  <c r="T12" i="36"/>
  <c r="U12" i="36" s="1"/>
  <c r="S12" i="36"/>
  <c r="R12" i="36"/>
  <c r="Q12" i="36"/>
  <c r="P12" i="36"/>
  <c r="O12" i="36"/>
  <c r="N12" i="36"/>
  <c r="M12" i="36"/>
  <c r="K12" i="36"/>
  <c r="BA11" i="36"/>
  <c r="AZ11" i="36"/>
  <c r="AV11" i="36"/>
  <c r="AW11" i="36" s="1"/>
  <c r="AT11" i="36"/>
  <c r="AS11" i="36"/>
  <c r="AR11" i="36"/>
  <c r="AQ11" i="36"/>
  <c r="AM11" i="36"/>
  <c r="AL11" i="36"/>
  <c r="AK11" i="36"/>
  <c r="AJ11" i="36"/>
  <c r="AI11" i="36"/>
  <c r="AN11" i="36" s="1"/>
  <c r="AF11" i="36"/>
  <c r="AE11" i="36"/>
  <c r="AD11" i="36"/>
  <c r="AC11" i="36"/>
  <c r="V11" i="36"/>
  <c r="T11" i="36"/>
  <c r="U11" i="36" s="1"/>
  <c r="S11" i="36"/>
  <c r="R11" i="36"/>
  <c r="Q11" i="36"/>
  <c r="P11" i="36"/>
  <c r="O11" i="36"/>
  <c r="N11" i="36"/>
  <c r="M11" i="36"/>
  <c r="K11" i="36"/>
  <c r="AZ10" i="36"/>
  <c r="AT10" i="36"/>
  <c r="AS10" i="36"/>
  <c r="AR10" i="36"/>
  <c r="AQ10" i="36"/>
  <c r="BA10" i="36" s="1"/>
  <c r="AM10" i="36"/>
  <c r="AL10" i="36"/>
  <c r="AK10" i="36"/>
  <c r="AJ10" i="36"/>
  <c r="AI10" i="36"/>
  <c r="AN10" i="36" s="1"/>
  <c r="AF10" i="36"/>
  <c r="AE10" i="36"/>
  <c r="AD10" i="36"/>
  <c r="AC10" i="36"/>
  <c r="V10" i="36"/>
  <c r="T10" i="36"/>
  <c r="U10" i="36" s="1"/>
  <c r="S10" i="36"/>
  <c r="R10" i="36"/>
  <c r="Q10" i="36"/>
  <c r="P10" i="36"/>
  <c r="O10" i="36"/>
  <c r="N10" i="36"/>
  <c r="M10" i="36"/>
  <c r="K10" i="36"/>
  <c r="AZ9" i="36"/>
  <c r="AT9" i="36"/>
  <c r="AS9" i="36"/>
  <c r="AR9" i="36"/>
  <c r="AQ9" i="36"/>
  <c r="AV9" i="36" s="1"/>
  <c r="AW9" i="36" s="1"/>
  <c r="AM9" i="36"/>
  <c r="AL9" i="36"/>
  <c r="AK9" i="36"/>
  <c r="AN9" i="36" s="1"/>
  <c r="AJ9" i="36"/>
  <c r="AI9" i="36"/>
  <c r="AF9" i="36"/>
  <c r="AE9" i="36"/>
  <c r="AD9" i="36"/>
  <c r="AC9" i="36"/>
  <c r="V9" i="36"/>
  <c r="T9" i="36"/>
  <c r="U9" i="36" s="1"/>
  <c r="S9" i="36"/>
  <c r="R9" i="36"/>
  <c r="Q9" i="36"/>
  <c r="P9" i="36"/>
  <c r="O9" i="36"/>
  <c r="N9" i="36"/>
  <c r="M9" i="36"/>
  <c r="K9" i="36"/>
  <c r="BA8" i="36"/>
  <c r="AZ8" i="36"/>
  <c r="AW8" i="36"/>
  <c r="AX8" i="36" s="1"/>
  <c r="AV8" i="36"/>
  <c r="AT8" i="36"/>
  <c r="AS8" i="36"/>
  <c r="AR8" i="36"/>
  <c r="AQ8" i="36"/>
  <c r="AM8" i="36"/>
  <c r="AL8" i="36"/>
  <c r="AK8" i="36"/>
  <c r="AJ8" i="36"/>
  <c r="AI8" i="36"/>
  <c r="AN8" i="36" s="1"/>
  <c r="AY8" i="36" s="1"/>
  <c r="AF8" i="36"/>
  <c r="AE8" i="36"/>
  <c r="AD8" i="36"/>
  <c r="AC8" i="36"/>
  <c r="V8" i="36"/>
  <c r="T8" i="36"/>
  <c r="U8" i="36" s="1"/>
  <c r="S8" i="36"/>
  <c r="R8" i="36"/>
  <c r="Q8" i="36"/>
  <c r="P8" i="36"/>
  <c r="O8" i="36"/>
  <c r="N8" i="36"/>
  <c r="M8" i="36"/>
  <c r="K8" i="36"/>
  <c r="AZ7" i="36"/>
  <c r="AT7" i="36"/>
  <c r="AS7" i="36"/>
  <c r="AR7" i="36"/>
  <c r="AQ7" i="36"/>
  <c r="BA7" i="36" s="1"/>
  <c r="AM7" i="36"/>
  <c r="AL7" i="36"/>
  <c r="AK7" i="36"/>
  <c r="AJ7" i="36"/>
  <c r="AI7" i="36"/>
  <c r="AN7" i="36" s="1"/>
  <c r="AF7" i="36"/>
  <c r="AE7" i="36"/>
  <c r="AD7" i="36"/>
  <c r="AC7" i="36"/>
  <c r="V7" i="36"/>
  <c r="T7" i="36"/>
  <c r="U7" i="36" s="1"/>
  <c r="S7" i="36"/>
  <c r="R7" i="36"/>
  <c r="Q7" i="36"/>
  <c r="P7" i="36"/>
  <c r="O7" i="36"/>
  <c r="N7" i="36"/>
  <c r="M7" i="36"/>
  <c r="K7" i="36"/>
  <c r="AZ6" i="36"/>
  <c r="AT6" i="36"/>
  <c r="AS6" i="36"/>
  <c r="AR6" i="36"/>
  <c r="AQ6" i="36"/>
  <c r="BA6" i="36" s="1"/>
  <c r="AN6" i="36"/>
  <c r="AM6" i="36"/>
  <c r="AL6" i="36"/>
  <c r="AK6" i="36"/>
  <c r="AJ6" i="36"/>
  <c r="AI6" i="36"/>
  <c r="AF6" i="36"/>
  <c r="AE6" i="36"/>
  <c r="AD6" i="36"/>
  <c r="AC6" i="36"/>
  <c r="V6" i="36"/>
  <c r="T6" i="36"/>
  <c r="U6" i="36" s="1"/>
  <c r="S6" i="36"/>
  <c r="R6" i="36"/>
  <c r="Q6" i="36"/>
  <c r="P6" i="36"/>
  <c r="O6" i="36"/>
  <c r="N6" i="36"/>
  <c r="M6" i="36"/>
  <c r="K6" i="36"/>
  <c r="BA5" i="36"/>
  <c r="AZ5" i="36"/>
  <c r="AZ23" i="36" s="1"/>
  <c r="AT5" i="36"/>
  <c r="AS5" i="36"/>
  <c r="AR5" i="36"/>
  <c r="AQ5" i="36"/>
  <c r="AV5" i="36" s="1"/>
  <c r="AW5" i="36" s="1"/>
  <c r="AM5" i="36"/>
  <c r="AL5" i="36"/>
  <c r="AK5" i="36"/>
  <c r="AJ5" i="36"/>
  <c r="AI5" i="36"/>
  <c r="AN5" i="36" s="1"/>
  <c r="AF5" i="36"/>
  <c r="AE5" i="36"/>
  <c r="AD5" i="36"/>
  <c r="AC5" i="36"/>
  <c r="V5" i="36"/>
  <c r="T5" i="36"/>
  <c r="U5" i="36" s="1"/>
  <c r="S5" i="36"/>
  <c r="R5" i="36"/>
  <c r="Q5" i="36"/>
  <c r="P5" i="36"/>
  <c r="O5" i="36"/>
  <c r="N5" i="36"/>
  <c r="M5" i="36"/>
  <c r="K5" i="36"/>
  <c r="AZ4" i="36"/>
  <c r="AT4" i="36"/>
  <c r="AT23" i="36" s="1"/>
  <c r="AS4" i="36"/>
  <c r="AR4" i="36"/>
  <c r="AQ4" i="36"/>
  <c r="AQ23" i="36" s="1"/>
  <c r="AM4" i="36"/>
  <c r="AL4" i="36"/>
  <c r="AK4" i="36"/>
  <c r="AK23" i="36" s="1"/>
  <c r="AJ4" i="36"/>
  <c r="AJ23" i="36" s="1"/>
  <c r="AI4" i="36"/>
  <c r="AI23" i="36" s="1"/>
  <c r="AF4" i="36"/>
  <c r="AE4" i="36"/>
  <c r="AD4" i="36"/>
  <c r="AC4" i="36"/>
  <c r="V4" i="36"/>
  <c r="T4" i="36"/>
  <c r="U4" i="36" s="1"/>
  <c r="S4" i="36"/>
  <c r="R4" i="36"/>
  <c r="Q4" i="36"/>
  <c r="Q23" i="36" s="1"/>
  <c r="P4" i="36"/>
  <c r="P23" i="36" s="1"/>
  <c r="O4" i="36"/>
  <c r="N4" i="36"/>
  <c r="M4" i="36"/>
  <c r="K4" i="36"/>
  <c r="AY78" i="12"/>
  <c r="AT78" i="12"/>
  <c r="AS78" i="12"/>
  <c r="AR78" i="12"/>
  <c r="AQ78" i="12"/>
  <c r="AJ78" i="12"/>
  <c r="AI78" i="12"/>
  <c r="AH78" i="12"/>
  <c r="AG78" i="12"/>
  <c r="AB78" i="12"/>
  <c r="AA78" i="12"/>
  <c r="Z78" i="12"/>
  <c r="Y78" i="12"/>
  <c r="X78" i="12"/>
  <c r="W78" i="12"/>
  <c r="L78" i="12"/>
  <c r="J78" i="12"/>
  <c r="I78" i="12"/>
  <c r="H78" i="12"/>
  <c r="G78" i="12"/>
  <c r="F78" i="12"/>
  <c r="E78" i="12"/>
  <c r="D78" i="12"/>
  <c r="C78" i="12"/>
  <c r="BE76" i="12"/>
  <c r="BD76" i="12"/>
  <c r="AX76" i="12"/>
  <c r="AW76" i="12"/>
  <c r="AV76" i="12"/>
  <c r="AU76" i="12"/>
  <c r="AZ76" i="12" s="1"/>
  <c r="BA76" i="12" s="1"/>
  <c r="AO76" i="12"/>
  <c r="AN76" i="12"/>
  <c r="AM76" i="12"/>
  <c r="AL76" i="12"/>
  <c r="AK76" i="12"/>
  <c r="AP76" i="12" s="1"/>
  <c r="AF76" i="12"/>
  <c r="AE76" i="12"/>
  <c r="AD76" i="12"/>
  <c r="AC76" i="12"/>
  <c r="V76" i="12"/>
  <c r="U76" i="12"/>
  <c r="T76" i="12"/>
  <c r="S76" i="12"/>
  <c r="R76" i="12"/>
  <c r="Q76" i="12"/>
  <c r="P76" i="12"/>
  <c r="O76" i="12"/>
  <c r="N76" i="12"/>
  <c r="M76" i="12"/>
  <c r="K76" i="12"/>
  <c r="BD75" i="12"/>
  <c r="AX75" i="12"/>
  <c r="AW75" i="12"/>
  <c r="AV75" i="12"/>
  <c r="AU75" i="12"/>
  <c r="AZ75" i="12" s="1"/>
  <c r="BA75" i="12" s="1"/>
  <c r="AO75" i="12"/>
  <c r="AN75" i="12"/>
  <c r="AM75" i="12"/>
  <c r="AL75" i="12"/>
  <c r="AK75" i="12"/>
  <c r="AP75" i="12" s="1"/>
  <c r="AF75" i="12"/>
  <c r="AE75" i="12"/>
  <c r="AD75" i="12"/>
  <c r="AC75" i="12"/>
  <c r="V75" i="12"/>
  <c r="U75" i="12"/>
  <c r="T75" i="12"/>
  <c r="S75" i="12"/>
  <c r="R75" i="12"/>
  <c r="Q75" i="12"/>
  <c r="P75" i="12"/>
  <c r="O75" i="12"/>
  <c r="N75" i="12"/>
  <c r="M75" i="12"/>
  <c r="K75" i="12"/>
  <c r="BE74" i="12"/>
  <c r="BD74" i="12"/>
  <c r="AX74" i="12"/>
  <c r="AW74" i="12"/>
  <c r="BB74" i="12" s="1"/>
  <c r="AV74" i="12"/>
  <c r="AU74" i="12"/>
  <c r="AZ74" i="12" s="1"/>
  <c r="BA74" i="12" s="1"/>
  <c r="AO74" i="12"/>
  <c r="AN74" i="12"/>
  <c r="AM74" i="12"/>
  <c r="AL74" i="12"/>
  <c r="AK74" i="12"/>
  <c r="AP74" i="12" s="1"/>
  <c r="BC74" i="12" s="1"/>
  <c r="AF74" i="12"/>
  <c r="AE74" i="12"/>
  <c r="AD74" i="12"/>
  <c r="AC74" i="12"/>
  <c r="V74" i="12"/>
  <c r="T74" i="12"/>
  <c r="U74" i="12" s="1"/>
  <c r="S74" i="12"/>
  <c r="R74" i="12"/>
  <c r="Q74" i="12"/>
  <c r="P74" i="12"/>
  <c r="O74" i="12"/>
  <c r="N74" i="12"/>
  <c r="M74" i="12"/>
  <c r="K74" i="12"/>
  <c r="BE73" i="12"/>
  <c r="BD73" i="12"/>
  <c r="AZ73" i="12"/>
  <c r="BA73" i="12" s="1"/>
  <c r="AX73" i="12"/>
  <c r="BB73" i="12" s="1"/>
  <c r="BC73" i="12" s="1"/>
  <c r="AW73" i="12"/>
  <c r="AV73" i="12"/>
  <c r="AU73" i="12"/>
  <c r="AO73" i="12"/>
  <c r="AN73" i="12"/>
  <c r="AM73" i="12"/>
  <c r="AL73" i="12"/>
  <c r="AK73" i="12"/>
  <c r="AP73" i="12" s="1"/>
  <c r="AF73" i="12"/>
  <c r="AE73" i="12"/>
  <c r="AD73" i="12"/>
  <c r="AC73" i="12"/>
  <c r="V73" i="12"/>
  <c r="T73" i="12"/>
  <c r="U73" i="12" s="1"/>
  <c r="S73" i="12"/>
  <c r="R73" i="12"/>
  <c r="Q73" i="12"/>
  <c r="P73" i="12"/>
  <c r="O73" i="12"/>
  <c r="N73" i="12"/>
  <c r="M73" i="12"/>
  <c r="K73" i="12"/>
  <c r="BD72" i="12"/>
  <c r="AX72" i="12"/>
  <c r="AW72" i="12"/>
  <c r="AV72" i="12"/>
  <c r="AU72" i="12"/>
  <c r="AO72" i="12"/>
  <c r="AN72" i="12"/>
  <c r="AM72" i="12"/>
  <c r="AL72" i="12"/>
  <c r="AK72" i="12"/>
  <c r="AP72" i="12" s="1"/>
  <c r="AF72" i="12"/>
  <c r="AE72" i="12"/>
  <c r="AD72" i="12"/>
  <c r="AC72" i="12"/>
  <c r="V72" i="12"/>
  <c r="U72" i="12"/>
  <c r="T72" i="12"/>
  <c r="S72" i="12"/>
  <c r="R72" i="12"/>
  <c r="Q72" i="12"/>
  <c r="P72" i="12"/>
  <c r="O72" i="12"/>
  <c r="N72" i="12"/>
  <c r="M72" i="12"/>
  <c r="K72" i="12"/>
  <c r="BE71" i="12"/>
  <c r="BD71" i="12"/>
  <c r="AX71" i="12"/>
  <c r="AW71" i="12"/>
  <c r="AV71" i="12"/>
  <c r="AU71" i="12"/>
  <c r="AZ71" i="12" s="1"/>
  <c r="BA71" i="12" s="1"/>
  <c r="AO71" i="12"/>
  <c r="AN71" i="12"/>
  <c r="AP71" i="12" s="1"/>
  <c r="AM71" i="12"/>
  <c r="AL71" i="12"/>
  <c r="AK71" i="12"/>
  <c r="AF71" i="12"/>
  <c r="AE71" i="12"/>
  <c r="AD71" i="12"/>
  <c r="AC71" i="12"/>
  <c r="V71" i="12"/>
  <c r="T71" i="12"/>
  <c r="U71" i="12" s="1"/>
  <c r="S71" i="12"/>
  <c r="R71" i="12"/>
  <c r="Q71" i="12"/>
  <c r="P71" i="12"/>
  <c r="O71" i="12"/>
  <c r="N71" i="12"/>
  <c r="M71" i="12"/>
  <c r="K71" i="12"/>
  <c r="BE70" i="12"/>
  <c r="BF70" i="12" s="1"/>
  <c r="BG70" i="12" s="1"/>
  <c r="BD70" i="12"/>
  <c r="BB70" i="12"/>
  <c r="AX70" i="12"/>
  <c r="AW70" i="12"/>
  <c r="AV70" i="12"/>
  <c r="AU70" i="12"/>
  <c r="AZ70" i="12" s="1"/>
  <c r="BA70" i="12" s="1"/>
  <c r="AO70" i="12"/>
  <c r="AN70" i="12"/>
  <c r="AM70" i="12"/>
  <c r="AL70" i="12"/>
  <c r="AK70" i="12"/>
  <c r="AP70" i="12" s="1"/>
  <c r="BC70" i="12" s="1"/>
  <c r="AF70" i="12"/>
  <c r="AE70" i="12"/>
  <c r="AD70" i="12"/>
  <c r="AC70" i="12"/>
  <c r="V70" i="12"/>
  <c r="T70" i="12"/>
  <c r="U70" i="12" s="1"/>
  <c r="S70" i="12"/>
  <c r="R70" i="12"/>
  <c r="Q70" i="12"/>
  <c r="P70" i="12"/>
  <c r="O70" i="12"/>
  <c r="N70" i="12"/>
  <c r="M70" i="12"/>
  <c r="K70" i="12"/>
  <c r="BD69" i="12"/>
  <c r="AX69" i="12"/>
  <c r="AW69" i="12"/>
  <c r="AV69" i="12"/>
  <c r="AU69" i="12"/>
  <c r="BE69" i="12" s="1"/>
  <c r="AO69" i="12"/>
  <c r="AN69" i="12"/>
  <c r="AM69" i="12"/>
  <c r="AL69" i="12"/>
  <c r="AK69" i="12"/>
  <c r="AP69" i="12" s="1"/>
  <c r="AF69" i="12"/>
  <c r="AE69" i="12"/>
  <c r="AD69" i="12"/>
  <c r="AC69" i="12"/>
  <c r="V69" i="12"/>
  <c r="U69" i="12"/>
  <c r="T69" i="12"/>
  <c r="S69" i="12"/>
  <c r="R69" i="12"/>
  <c r="Q69" i="12"/>
  <c r="P69" i="12"/>
  <c r="O69" i="12"/>
  <c r="N69" i="12"/>
  <c r="M69" i="12"/>
  <c r="K69" i="12"/>
  <c r="BD68" i="12"/>
  <c r="AZ68" i="12"/>
  <c r="BA68" i="12" s="1"/>
  <c r="AX68" i="12"/>
  <c r="AW68" i="12"/>
  <c r="AV68" i="12"/>
  <c r="AU68" i="12"/>
  <c r="BE68" i="12" s="1"/>
  <c r="AO68" i="12"/>
  <c r="AN68" i="12"/>
  <c r="AM68" i="12"/>
  <c r="AL68" i="12"/>
  <c r="AK68" i="12"/>
  <c r="AP68" i="12" s="1"/>
  <c r="AF68" i="12"/>
  <c r="AE68" i="12"/>
  <c r="AD68" i="12"/>
  <c r="AC68" i="12"/>
  <c r="V68" i="12"/>
  <c r="U68" i="12"/>
  <c r="T68" i="12"/>
  <c r="S68" i="12"/>
  <c r="R68" i="12"/>
  <c r="Q68" i="12"/>
  <c r="P68" i="12"/>
  <c r="O68" i="12"/>
  <c r="N68" i="12"/>
  <c r="M68" i="12"/>
  <c r="K68" i="12"/>
  <c r="BE67" i="12"/>
  <c r="BD67" i="12"/>
  <c r="AX67" i="12"/>
  <c r="AW67" i="12"/>
  <c r="AV67" i="12"/>
  <c r="AU67" i="12"/>
  <c r="AZ67" i="12" s="1"/>
  <c r="BA67" i="12" s="1"/>
  <c r="AO67" i="12"/>
  <c r="AN67" i="12"/>
  <c r="AM67" i="12"/>
  <c r="AL67" i="12"/>
  <c r="AK67" i="12"/>
  <c r="AP67" i="12" s="1"/>
  <c r="AF67" i="12"/>
  <c r="AE67" i="12"/>
  <c r="AD67" i="12"/>
  <c r="AC67" i="12"/>
  <c r="V67" i="12"/>
  <c r="U67" i="12"/>
  <c r="T67" i="12"/>
  <c r="S67" i="12"/>
  <c r="R67" i="12"/>
  <c r="Q67" i="12"/>
  <c r="P67" i="12"/>
  <c r="O67" i="12"/>
  <c r="N67" i="12"/>
  <c r="M67" i="12"/>
  <c r="K67" i="12"/>
  <c r="BD66" i="12"/>
  <c r="AX66" i="12"/>
  <c r="AW66" i="12"/>
  <c r="BB66" i="12" s="1"/>
  <c r="AV66" i="12"/>
  <c r="AU66" i="12"/>
  <c r="AZ66" i="12" s="1"/>
  <c r="BA66" i="12" s="1"/>
  <c r="AO66" i="12"/>
  <c r="AN66" i="12"/>
  <c r="AP66" i="12" s="1"/>
  <c r="AM66" i="12"/>
  <c r="AL66" i="12"/>
  <c r="AK66" i="12"/>
  <c r="AF66" i="12"/>
  <c r="AE66" i="12"/>
  <c r="AD66" i="12"/>
  <c r="AC66" i="12"/>
  <c r="V66" i="12"/>
  <c r="T66" i="12"/>
  <c r="U66" i="12" s="1"/>
  <c r="S66" i="12"/>
  <c r="R66" i="12"/>
  <c r="Q66" i="12"/>
  <c r="P66" i="12"/>
  <c r="O66" i="12"/>
  <c r="N66" i="12"/>
  <c r="M66" i="12"/>
  <c r="K66" i="12"/>
  <c r="BE65" i="12"/>
  <c r="BD65" i="12"/>
  <c r="AZ65" i="12"/>
  <c r="BA65" i="12" s="1"/>
  <c r="AX65" i="12"/>
  <c r="AW65" i="12"/>
  <c r="AV65" i="12"/>
  <c r="AU65" i="12"/>
  <c r="AO65" i="12"/>
  <c r="AN65" i="12"/>
  <c r="AM65" i="12"/>
  <c r="AL65" i="12"/>
  <c r="AK65" i="12"/>
  <c r="AP65" i="12" s="1"/>
  <c r="AF65" i="12"/>
  <c r="AE65" i="12"/>
  <c r="AD65" i="12"/>
  <c r="AC65" i="12"/>
  <c r="V65" i="12"/>
  <c r="T65" i="12"/>
  <c r="U65" i="12" s="1"/>
  <c r="S65" i="12"/>
  <c r="R65" i="12"/>
  <c r="Q65" i="12"/>
  <c r="P65" i="12"/>
  <c r="O65" i="12"/>
  <c r="N65" i="12"/>
  <c r="M65" i="12"/>
  <c r="K65" i="12"/>
  <c r="BD64" i="12"/>
  <c r="AX64" i="12"/>
  <c r="AW64" i="12"/>
  <c r="AV64" i="12"/>
  <c r="AU64" i="12"/>
  <c r="AO64" i="12"/>
  <c r="AN64" i="12"/>
  <c r="AM64" i="12"/>
  <c r="AL64" i="12"/>
  <c r="AK64" i="12"/>
  <c r="AF64" i="12"/>
  <c r="AE64" i="12"/>
  <c r="AD64" i="12"/>
  <c r="AC64" i="12"/>
  <c r="V64" i="12"/>
  <c r="U64" i="12"/>
  <c r="T64" i="12"/>
  <c r="S64" i="12"/>
  <c r="R64" i="12"/>
  <c r="Q64" i="12"/>
  <c r="P64" i="12"/>
  <c r="O64" i="12"/>
  <c r="N64" i="12"/>
  <c r="M64" i="12"/>
  <c r="K64" i="12"/>
  <c r="BD63" i="12"/>
  <c r="AX63" i="12"/>
  <c r="AW63" i="12"/>
  <c r="AV63" i="12"/>
  <c r="BB63" i="12" s="1"/>
  <c r="AU63" i="12"/>
  <c r="AZ63" i="12" s="1"/>
  <c r="BA63" i="12" s="1"/>
  <c r="AP63" i="12"/>
  <c r="AO63" i="12"/>
  <c r="AN63" i="12"/>
  <c r="AM63" i="12"/>
  <c r="AL63" i="12"/>
  <c r="AK63" i="12"/>
  <c r="AF63" i="12"/>
  <c r="AE63" i="12"/>
  <c r="AD63" i="12"/>
  <c r="AC63" i="12"/>
  <c r="V63" i="12"/>
  <c r="T63" i="12"/>
  <c r="U63" i="12" s="1"/>
  <c r="S63" i="12"/>
  <c r="R63" i="12"/>
  <c r="Q63" i="12"/>
  <c r="P63" i="12"/>
  <c r="O63" i="12"/>
  <c r="N63" i="12"/>
  <c r="M63" i="12"/>
  <c r="K63" i="12"/>
  <c r="BE62" i="12"/>
  <c r="BD62" i="12"/>
  <c r="AX62" i="12"/>
  <c r="AW62" i="12"/>
  <c r="AV62" i="12"/>
  <c r="AU62" i="12"/>
  <c r="AZ62" i="12" s="1"/>
  <c r="BA62" i="12" s="1"/>
  <c r="AO62" i="12"/>
  <c r="AN62" i="12"/>
  <c r="AM62" i="12"/>
  <c r="AL62" i="12"/>
  <c r="AK62" i="12"/>
  <c r="AP62" i="12" s="1"/>
  <c r="AF62" i="12"/>
  <c r="AE62" i="12"/>
  <c r="AD62" i="12"/>
  <c r="AC62" i="12"/>
  <c r="V62" i="12"/>
  <c r="T62" i="12"/>
  <c r="U62" i="12" s="1"/>
  <c r="S62" i="12"/>
  <c r="R62" i="12"/>
  <c r="Q62" i="12"/>
  <c r="P62" i="12"/>
  <c r="O62" i="12"/>
  <c r="N62" i="12"/>
  <c r="M62" i="12"/>
  <c r="K62" i="12"/>
  <c r="BD61" i="12"/>
  <c r="AX61" i="12"/>
  <c r="AW61" i="12"/>
  <c r="AV61" i="12"/>
  <c r="AU61" i="12"/>
  <c r="BE61" i="12" s="1"/>
  <c r="AP61" i="12"/>
  <c r="AO61" i="12"/>
  <c r="AN61" i="12"/>
  <c r="AM61" i="12"/>
  <c r="AL61" i="12"/>
  <c r="AK61" i="12"/>
  <c r="AF61" i="12"/>
  <c r="AE61" i="12"/>
  <c r="AD61" i="12"/>
  <c r="AC61" i="12"/>
  <c r="V61" i="12"/>
  <c r="U61" i="12"/>
  <c r="T61" i="12"/>
  <c r="S61" i="12"/>
  <c r="R61" i="12"/>
  <c r="Q61" i="12"/>
  <c r="P61" i="12"/>
  <c r="O61" i="12"/>
  <c r="N61" i="12"/>
  <c r="M61" i="12"/>
  <c r="K61" i="12"/>
  <c r="BD60" i="12"/>
  <c r="AZ60" i="12"/>
  <c r="BA60" i="12" s="1"/>
  <c r="AX60" i="12"/>
  <c r="AW60" i="12"/>
  <c r="AV60" i="12"/>
  <c r="AU60" i="12"/>
  <c r="BE60" i="12" s="1"/>
  <c r="AO60" i="12"/>
  <c r="AN60" i="12"/>
  <c r="AM60" i="12"/>
  <c r="AL60" i="12"/>
  <c r="AK60" i="12"/>
  <c r="AP60" i="12" s="1"/>
  <c r="AF60" i="12"/>
  <c r="AE60" i="12"/>
  <c r="AD60" i="12"/>
  <c r="AC60" i="12"/>
  <c r="V60" i="12"/>
  <c r="U60" i="12"/>
  <c r="T60" i="12"/>
  <c r="S60" i="12"/>
  <c r="R60" i="12"/>
  <c r="Q60" i="12"/>
  <c r="P60" i="12"/>
  <c r="O60" i="12"/>
  <c r="N60" i="12"/>
  <c r="M60" i="12"/>
  <c r="K60" i="12"/>
  <c r="BD59" i="12"/>
  <c r="AX59" i="12"/>
  <c r="AW59" i="12"/>
  <c r="AV59" i="12"/>
  <c r="AU59" i="12"/>
  <c r="AZ59" i="12" s="1"/>
  <c r="BA59" i="12" s="1"/>
  <c r="AP59" i="12"/>
  <c r="AO59" i="12"/>
  <c r="AN59" i="12"/>
  <c r="AM59" i="12"/>
  <c r="AL59" i="12"/>
  <c r="AK59" i="12"/>
  <c r="AF59" i="12"/>
  <c r="AE59" i="12"/>
  <c r="AD59" i="12"/>
  <c r="AC59" i="12"/>
  <c r="V59" i="12"/>
  <c r="T59" i="12"/>
  <c r="U59" i="12" s="1"/>
  <c r="S59" i="12"/>
  <c r="R59" i="12"/>
  <c r="Q59" i="12"/>
  <c r="P59" i="12"/>
  <c r="O59" i="12"/>
  <c r="N59" i="12"/>
  <c r="M59" i="12"/>
  <c r="K59" i="12"/>
  <c r="BE58" i="12"/>
  <c r="BD58" i="12"/>
  <c r="BB58" i="12"/>
  <c r="AX58" i="12"/>
  <c r="AW58" i="12"/>
  <c r="AV58" i="12"/>
  <c r="AU58" i="12"/>
  <c r="AZ58" i="12" s="1"/>
  <c r="BA58" i="12" s="1"/>
  <c r="AO58" i="12"/>
  <c r="AN58" i="12"/>
  <c r="AM58" i="12"/>
  <c r="AL58" i="12"/>
  <c r="AK58" i="12"/>
  <c r="AP58" i="12" s="1"/>
  <c r="BC58" i="12" s="1"/>
  <c r="AF58" i="12"/>
  <c r="AE58" i="12"/>
  <c r="AD58" i="12"/>
  <c r="AC58" i="12"/>
  <c r="V58" i="12"/>
  <c r="T58" i="12"/>
  <c r="U58" i="12" s="1"/>
  <c r="S58" i="12"/>
  <c r="R58" i="12"/>
  <c r="Q58" i="12"/>
  <c r="P58" i="12"/>
  <c r="O58" i="12"/>
  <c r="N58" i="12"/>
  <c r="M58" i="12"/>
  <c r="K58" i="12"/>
  <c r="BE57" i="12"/>
  <c r="BD57" i="12"/>
  <c r="AZ57" i="12"/>
  <c r="BA57" i="12" s="1"/>
  <c r="AX57" i="12"/>
  <c r="AW57" i="12"/>
  <c r="AV57" i="12"/>
  <c r="AU57" i="12"/>
  <c r="AO57" i="12"/>
  <c r="AN57" i="12"/>
  <c r="AM57" i="12"/>
  <c r="AL57" i="12"/>
  <c r="AK57" i="12"/>
  <c r="AP57" i="12" s="1"/>
  <c r="AF57" i="12"/>
  <c r="AE57" i="12"/>
  <c r="AD57" i="12"/>
  <c r="AC57" i="12"/>
  <c r="V57" i="12"/>
  <c r="T57" i="12"/>
  <c r="U57" i="12" s="1"/>
  <c r="S57" i="12"/>
  <c r="R57" i="12"/>
  <c r="Q57" i="12"/>
  <c r="P57" i="12"/>
  <c r="O57" i="12"/>
  <c r="N57" i="12"/>
  <c r="M57" i="12"/>
  <c r="K57" i="12"/>
  <c r="BD56" i="12"/>
  <c r="AX56" i="12"/>
  <c r="AW56" i="12"/>
  <c r="AV56" i="12"/>
  <c r="AU56" i="12"/>
  <c r="AO56" i="12"/>
  <c r="AN56" i="12"/>
  <c r="AM56" i="12"/>
  <c r="AL56" i="12"/>
  <c r="AK56" i="12"/>
  <c r="AF56" i="12"/>
  <c r="AE56" i="12"/>
  <c r="AD56" i="12"/>
  <c r="AC56" i="12"/>
  <c r="V56" i="12"/>
  <c r="U56" i="12"/>
  <c r="T56" i="12"/>
  <c r="S56" i="12"/>
  <c r="R56" i="12"/>
  <c r="Q56" i="12"/>
  <c r="P56" i="12"/>
  <c r="O56" i="12"/>
  <c r="N56" i="12"/>
  <c r="M56" i="12"/>
  <c r="K56" i="12"/>
  <c r="BD55" i="12"/>
  <c r="BA55" i="12"/>
  <c r="AX55" i="12"/>
  <c r="BB55" i="12" s="1"/>
  <c r="AW55" i="12"/>
  <c r="AV55" i="12"/>
  <c r="AU55" i="12"/>
  <c r="AZ55" i="12" s="1"/>
  <c r="AO55" i="12"/>
  <c r="AN55" i="12"/>
  <c r="AP55" i="12" s="1"/>
  <c r="BC55" i="12" s="1"/>
  <c r="AM55" i="12"/>
  <c r="AL55" i="12"/>
  <c r="AK55" i="12"/>
  <c r="AF55" i="12"/>
  <c r="AE55" i="12"/>
  <c r="AD55" i="12"/>
  <c r="AC55" i="12"/>
  <c r="V55" i="12"/>
  <c r="U55" i="12"/>
  <c r="T55" i="12"/>
  <c r="S55" i="12"/>
  <c r="R55" i="12"/>
  <c r="Q55" i="12"/>
  <c r="P55" i="12"/>
  <c r="O55" i="12"/>
  <c r="N55" i="12"/>
  <c r="M55" i="12"/>
  <c r="K55" i="12"/>
  <c r="BE54" i="12"/>
  <c r="BD54" i="12"/>
  <c r="AX54" i="12"/>
  <c r="AW54" i="12"/>
  <c r="AV54" i="12"/>
  <c r="AU54" i="12"/>
  <c r="AZ54" i="12" s="1"/>
  <c r="BA54" i="12" s="1"/>
  <c r="AO54" i="12"/>
  <c r="AN54" i="12"/>
  <c r="AM54" i="12"/>
  <c r="AL54" i="12"/>
  <c r="AK54" i="12"/>
  <c r="AF54" i="12"/>
  <c r="AE54" i="12"/>
  <c r="AD54" i="12"/>
  <c r="AC54" i="12"/>
  <c r="V54" i="12"/>
  <c r="T54" i="12"/>
  <c r="U54" i="12" s="1"/>
  <c r="S54" i="12"/>
  <c r="R54" i="12"/>
  <c r="Q54" i="12"/>
  <c r="P54" i="12"/>
  <c r="O54" i="12"/>
  <c r="N54" i="12"/>
  <c r="M54" i="12"/>
  <c r="K54" i="12"/>
  <c r="BD53" i="12"/>
  <c r="BA53" i="12"/>
  <c r="BB53" i="12" s="1"/>
  <c r="AZ53" i="12"/>
  <c r="AX53" i="12"/>
  <c r="AW53" i="12"/>
  <c r="AV53" i="12"/>
  <c r="AU53" i="12"/>
  <c r="BE53" i="12" s="1"/>
  <c r="AO53" i="12"/>
  <c r="AN53" i="12"/>
  <c r="AM53" i="12"/>
  <c r="AL53" i="12"/>
  <c r="AK53" i="12"/>
  <c r="AP53" i="12" s="1"/>
  <c r="AF53" i="12"/>
  <c r="AE53" i="12"/>
  <c r="AD53" i="12"/>
  <c r="AC53" i="12"/>
  <c r="V53" i="12"/>
  <c r="U53" i="12"/>
  <c r="T53" i="12"/>
  <c r="S53" i="12"/>
  <c r="R53" i="12"/>
  <c r="Q53" i="12"/>
  <c r="P53" i="12"/>
  <c r="O53" i="12"/>
  <c r="N53" i="12"/>
  <c r="M53" i="12"/>
  <c r="K53" i="12"/>
  <c r="BE52" i="12"/>
  <c r="BD52" i="12"/>
  <c r="AX52" i="12"/>
  <c r="AW52" i="12"/>
  <c r="AV52" i="12"/>
  <c r="AU52" i="12"/>
  <c r="AZ52" i="12" s="1"/>
  <c r="BA52" i="12" s="1"/>
  <c r="AO52" i="12"/>
  <c r="AN52" i="12"/>
  <c r="AM52" i="12"/>
  <c r="AL52" i="12"/>
  <c r="AK52" i="12"/>
  <c r="AP52" i="12" s="1"/>
  <c r="AF52" i="12"/>
  <c r="AE52" i="12"/>
  <c r="AD52" i="12"/>
  <c r="AC52" i="12"/>
  <c r="V52" i="12"/>
  <c r="U52" i="12"/>
  <c r="T52" i="12"/>
  <c r="S52" i="12"/>
  <c r="R52" i="12"/>
  <c r="Q52" i="12"/>
  <c r="P52" i="12"/>
  <c r="O52" i="12"/>
  <c r="N52" i="12"/>
  <c r="M52" i="12"/>
  <c r="K52" i="12"/>
  <c r="BD51" i="12"/>
  <c r="AX51" i="12"/>
  <c r="AW51" i="12"/>
  <c r="AV51" i="12"/>
  <c r="AU51" i="12"/>
  <c r="AZ51" i="12" s="1"/>
  <c r="BA51" i="12" s="1"/>
  <c r="AO51" i="12"/>
  <c r="AN51" i="12"/>
  <c r="AM51" i="12"/>
  <c r="AL51" i="12"/>
  <c r="AK51" i="12"/>
  <c r="AP51" i="12" s="1"/>
  <c r="AF51" i="12"/>
  <c r="AE51" i="12"/>
  <c r="AD51" i="12"/>
  <c r="AC51" i="12"/>
  <c r="V51" i="12"/>
  <c r="U51" i="12"/>
  <c r="T51" i="12"/>
  <c r="S51" i="12"/>
  <c r="R51" i="12"/>
  <c r="Q51" i="12"/>
  <c r="P51" i="12"/>
  <c r="O51" i="12"/>
  <c r="N51" i="12"/>
  <c r="M51" i="12"/>
  <c r="K51" i="12"/>
  <c r="BE50" i="12"/>
  <c r="BD50" i="12"/>
  <c r="AX50" i="12"/>
  <c r="AW50" i="12"/>
  <c r="BB50" i="12" s="1"/>
  <c r="AV50" i="12"/>
  <c r="AU50" i="12"/>
  <c r="AZ50" i="12" s="1"/>
  <c r="BA50" i="12" s="1"/>
  <c r="AO50" i="12"/>
  <c r="AN50" i="12"/>
  <c r="AM50" i="12"/>
  <c r="AL50" i="12"/>
  <c r="AK50" i="12"/>
  <c r="AP50" i="12" s="1"/>
  <c r="BC50" i="12" s="1"/>
  <c r="AF50" i="12"/>
  <c r="AE50" i="12"/>
  <c r="AD50" i="12"/>
  <c r="AC50" i="12"/>
  <c r="V50" i="12"/>
  <c r="T50" i="12"/>
  <c r="U50" i="12" s="1"/>
  <c r="S50" i="12"/>
  <c r="R50" i="12"/>
  <c r="Q50" i="12"/>
  <c r="P50" i="12"/>
  <c r="O50" i="12"/>
  <c r="N50" i="12"/>
  <c r="M50" i="12"/>
  <c r="K50" i="12"/>
  <c r="BE49" i="12"/>
  <c r="BD49" i="12"/>
  <c r="AZ49" i="12"/>
  <c r="BA49" i="12" s="1"/>
  <c r="AX49" i="12"/>
  <c r="BB49" i="12" s="1"/>
  <c r="BC49" i="12" s="1"/>
  <c r="AW49" i="12"/>
  <c r="AV49" i="12"/>
  <c r="AU49" i="12"/>
  <c r="AO49" i="12"/>
  <c r="AN49" i="12"/>
  <c r="AM49" i="12"/>
  <c r="AL49" i="12"/>
  <c r="AK49" i="12"/>
  <c r="AP49" i="12" s="1"/>
  <c r="AF49" i="12"/>
  <c r="AE49" i="12"/>
  <c r="AD49" i="12"/>
  <c r="AC49" i="12"/>
  <c r="V49" i="12"/>
  <c r="T49" i="12"/>
  <c r="U49" i="12" s="1"/>
  <c r="S49" i="12"/>
  <c r="R49" i="12"/>
  <c r="Q49" i="12"/>
  <c r="P49" i="12"/>
  <c r="O49" i="12"/>
  <c r="N49" i="12"/>
  <c r="M49" i="12"/>
  <c r="K49" i="12"/>
  <c r="BD48" i="12"/>
  <c r="AX48" i="12"/>
  <c r="AW48" i="12"/>
  <c r="AV48" i="12"/>
  <c r="AU48" i="12"/>
  <c r="AO48" i="12"/>
  <c r="AN48" i="12"/>
  <c r="AM48" i="12"/>
  <c r="AL48" i="12"/>
  <c r="AK48" i="12"/>
  <c r="AP48" i="12" s="1"/>
  <c r="AF48" i="12"/>
  <c r="AE48" i="12"/>
  <c r="AD48" i="12"/>
  <c r="AC48" i="12"/>
  <c r="V48" i="12"/>
  <c r="U48" i="12"/>
  <c r="T48" i="12"/>
  <c r="S48" i="12"/>
  <c r="R48" i="12"/>
  <c r="Q48" i="12"/>
  <c r="P48" i="12"/>
  <c r="O48" i="12"/>
  <c r="N48" i="12"/>
  <c r="M48" i="12"/>
  <c r="K48" i="12"/>
  <c r="BE47" i="12"/>
  <c r="BD47" i="12"/>
  <c r="AX47" i="12"/>
  <c r="AW47" i="12"/>
  <c r="AV47" i="12"/>
  <c r="AU47" i="12"/>
  <c r="AZ47" i="12" s="1"/>
  <c r="BA47" i="12" s="1"/>
  <c r="AO47" i="12"/>
  <c r="AN47" i="12"/>
  <c r="AP47" i="12" s="1"/>
  <c r="AM47" i="12"/>
  <c r="AL47" i="12"/>
  <c r="AK47" i="12"/>
  <c r="AF47" i="12"/>
  <c r="AE47" i="12"/>
  <c r="AD47" i="12"/>
  <c r="AC47" i="12"/>
  <c r="V47" i="12"/>
  <c r="T47" i="12"/>
  <c r="U47" i="12" s="1"/>
  <c r="S47" i="12"/>
  <c r="R47" i="12"/>
  <c r="Q47" i="12"/>
  <c r="P47" i="12"/>
  <c r="O47" i="12"/>
  <c r="N47" i="12"/>
  <c r="M47" i="12"/>
  <c r="K47" i="12"/>
  <c r="BE46" i="12"/>
  <c r="BD46" i="12"/>
  <c r="BB46" i="12"/>
  <c r="AX46" i="12"/>
  <c r="AW46" i="12"/>
  <c r="AV46" i="12"/>
  <c r="AU46" i="12"/>
  <c r="AZ46" i="12" s="1"/>
  <c r="BA46" i="12" s="1"/>
  <c r="AO46" i="12"/>
  <c r="AN46" i="12"/>
  <c r="AM46" i="12"/>
  <c r="AL46" i="12"/>
  <c r="AK46" i="12"/>
  <c r="AP46" i="12" s="1"/>
  <c r="BC46" i="12" s="1"/>
  <c r="AF46" i="12"/>
  <c r="AE46" i="12"/>
  <c r="AD46" i="12"/>
  <c r="AC46" i="12"/>
  <c r="V46" i="12"/>
  <c r="T46" i="12"/>
  <c r="U46" i="12" s="1"/>
  <c r="S46" i="12"/>
  <c r="R46" i="12"/>
  <c r="Q46" i="12"/>
  <c r="P46" i="12"/>
  <c r="O46" i="12"/>
  <c r="N46" i="12"/>
  <c r="M46" i="12"/>
  <c r="K46" i="12"/>
  <c r="BD45" i="12"/>
  <c r="AX45" i="12"/>
  <c r="AW45" i="12"/>
  <c r="AV45" i="12"/>
  <c r="AU45" i="12"/>
  <c r="BE45" i="12" s="1"/>
  <c r="AO45" i="12"/>
  <c r="AN45" i="12"/>
  <c r="AM45" i="12"/>
  <c r="AL45" i="12"/>
  <c r="AK45" i="12"/>
  <c r="AP45" i="12" s="1"/>
  <c r="AF45" i="12"/>
  <c r="AE45" i="12"/>
  <c r="AD45" i="12"/>
  <c r="AC45" i="12"/>
  <c r="V45" i="12"/>
  <c r="U45" i="12"/>
  <c r="T45" i="12"/>
  <c r="S45" i="12"/>
  <c r="R45" i="12"/>
  <c r="Q45" i="12"/>
  <c r="P45" i="12"/>
  <c r="O45" i="12"/>
  <c r="N45" i="12"/>
  <c r="M45" i="12"/>
  <c r="K45" i="12"/>
  <c r="BD44" i="12"/>
  <c r="AZ44" i="12"/>
  <c r="BA44" i="12" s="1"/>
  <c r="AX44" i="12"/>
  <c r="AW44" i="12"/>
  <c r="AV44" i="12"/>
  <c r="BB44" i="12" s="1"/>
  <c r="AU44" i="12"/>
  <c r="BE44" i="12" s="1"/>
  <c r="AO44" i="12"/>
  <c r="AN44" i="12"/>
  <c r="AM44" i="12"/>
  <c r="AL44" i="12"/>
  <c r="AK44" i="12"/>
  <c r="AP44" i="12" s="1"/>
  <c r="AF44" i="12"/>
  <c r="AE44" i="12"/>
  <c r="AD44" i="12"/>
  <c r="AC44" i="12"/>
  <c r="V44" i="12"/>
  <c r="U44" i="12"/>
  <c r="T44" i="12"/>
  <c r="S44" i="12"/>
  <c r="R44" i="12"/>
  <c r="Q44" i="12"/>
  <c r="P44" i="12"/>
  <c r="O44" i="12"/>
  <c r="N44" i="12"/>
  <c r="M44" i="12"/>
  <c r="K44" i="12"/>
  <c r="BE43" i="12"/>
  <c r="BD43" i="12"/>
  <c r="AX43" i="12"/>
  <c r="AW43" i="12"/>
  <c r="AV43" i="12"/>
  <c r="BB43" i="12" s="1"/>
  <c r="AU43" i="12"/>
  <c r="AZ43" i="12" s="1"/>
  <c r="BA43" i="12" s="1"/>
  <c r="AO43" i="12"/>
  <c r="AN43" i="12"/>
  <c r="AM43" i="12"/>
  <c r="AL43" i="12"/>
  <c r="AK43" i="12"/>
  <c r="AP43" i="12" s="1"/>
  <c r="BC43" i="12" s="1"/>
  <c r="BF43" i="12" s="1"/>
  <c r="BG43" i="12" s="1"/>
  <c r="AF43" i="12"/>
  <c r="AE43" i="12"/>
  <c r="AD43" i="12"/>
  <c r="AC43" i="12"/>
  <c r="V43" i="12"/>
  <c r="U43" i="12"/>
  <c r="T43" i="12"/>
  <c r="S43" i="12"/>
  <c r="R43" i="12"/>
  <c r="Q43" i="12"/>
  <c r="P43" i="12"/>
  <c r="O43" i="12"/>
  <c r="N43" i="12"/>
  <c r="M43" i="12"/>
  <c r="K43" i="12"/>
  <c r="BD42" i="12"/>
  <c r="AX42" i="12"/>
  <c r="AW42" i="12"/>
  <c r="BB42" i="12" s="1"/>
  <c r="AV42" i="12"/>
  <c r="AU42" i="12"/>
  <c r="AZ42" i="12" s="1"/>
  <c r="BA42" i="12" s="1"/>
  <c r="AO42" i="12"/>
  <c r="AN42" i="12"/>
  <c r="AP42" i="12" s="1"/>
  <c r="BC42" i="12" s="1"/>
  <c r="AM42" i="12"/>
  <c r="AL42" i="12"/>
  <c r="AK42" i="12"/>
  <c r="AF42" i="12"/>
  <c r="AE42" i="12"/>
  <c r="AD42" i="12"/>
  <c r="AC42" i="12"/>
  <c r="V42" i="12"/>
  <c r="T42" i="12"/>
  <c r="U42" i="12" s="1"/>
  <c r="S42" i="12"/>
  <c r="R42" i="12"/>
  <c r="Q42" i="12"/>
  <c r="P42" i="12"/>
  <c r="O42" i="12"/>
  <c r="N42" i="12"/>
  <c r="M42" i="12"/>
  <c r="K42" i="12"/>
  <c r="BE41" i="12"/>
  <c r="BD41" i="12"/>
  <c r="AZ41" i="12"/>
  <c r="AX41" i="12"/>
  <c r="AW41" i="12"/>
  <c r="AV41" i="12"/>
  <c r="AU41" i="12"/>
  <c r="AO41" i="12"/>
  <c r="AN41" i="12"/>
  <c r="AM41" i="12"/>
  <c r="AL41" i="12"/>
  <c r="AK41" i="12"/>
  <c r="AP41" i="12" s="1"/>
  <c r="AF41" i="12"/>
  <c r="AE41" i="12"/>
  <c r="AD41" i="12"/>
  <c r="AC41" i="12"/>
  <c r="V41" i="12"/>
  <c r="U41" i="12"/>
  <c r="T41" i="12"/>
  <c r="S41" i="12"/>
  <c r="R41" i="12"/>
  <c r="Q41" i="12"/>
  <c r="P41" i="12"/>
  <c r="O41" i="12"/>
  <c r="N41" i="12"/>
  <c r="M41" i="12"/>
  <c r="K41" i="12"/>
  <c r="BD40" i="12"/>
  <c r="AX40" i="12"/>
  <c r="AW40" i="12"/>
  <c r="AV40" i="12"/>
  <c r="AU40" i="12"/>
  <c r="AO40" i="12"/>
  <c r="AN40" i="12"/>
  <c r="AM40" i="12"/>
  <c r="AL40" i="12"/>
  <c r="AK40" i="12"/>
  <c r="AF40" i="12"/>
  <c r="AE40" i="12"/>
  <c r="AD40" i="12"/>
  <c r="AC40" i="12"/>
  <c r="V40" i="12"/>
  <c r="U40" i="12"/>
  <c r="T40" i="12"/>
  <c r="S40" i="12"/>
  <c r="R40" i="12"/>
  <c r="Q40" i="12"/>
  <c r="P40" i="12"/>
  <c r="O40" i="12"/>
  <c r="N40" i="12"/>
  <c r="M40" i="12"/>
  <c r="K40" i="12"/>
  <c r="BD39" i="12"/>
  <c r="AX39" i="12"/>
  <c r="AW39" i="12"/>
  <c r="AV39" i="12"/>
  <c r="AU39" i="12"/>
  <c r="AZ39" i="12" s="1"/>
  <c r="BA39" i="12" s="1"/>
  <c r="AP39" i="12"/>
  <c r="AO39" i="12"/>
  <c r="AN39" i="12"/>
  <c r="AM39" i="12"/>
  <c r="AL39" i="12"/>
  <c r="AK39" i="12"/>
  <c r="AF39" i="12"/>
  <c r="AE39" i="12"/>
  <c r="AD39" i="12"/>
  <c r="AC39" i="12"/>
  <c r="V39" i="12"/>
  <c r="T39" i="12"/>
  <c r="U39" i="12" s="1"/>
  <c r="S39" i="12"/>
  <c r="R39" i="12"/>
  <c r="Q39" i="12"/>
  <c r="P39" i="12"/>
  <c r="O39" i="12"/>
  <c r="N39" i="12"/>
  <c r="M39" i="12"/>
  <c r="K39" i="12"/>
  <c r="BE38" i="12"/>
  <c r="BD38" i="12"/>
  <c r="AX38" i="12"/>
  <c r="AW38" i="12"/>
  <c r="AV38" i="12"/>
  <c r="AU38" i="12"/>
  <c r="AZ38" i="12" s="1"/>
  <c r="BA38" i="12" s="1"/>
  <c r="AO38" i="12"/>
  <c r="AN38" i="12"/>
  <c r="AM38" i="12"/>
  <c r="AL38" i="12"/>
  <c r="AK38" i="12"/>
  <c r="AP38" i="12" s="1"/>
  <c r="AF38" i="12"/>
  <c r="AE38" i="12"/>
  <c r="AD38" i="12"/>
  <c r="AC38" i="12"/>
  <c r="V38" i="12"/>
  <c r="T38" i="12"/>
  <c r="U38" i="12" s="1"/>
  <c r="S38" i="12"/>
  <c r="R38" i="12"/>
  <c r="Q38" i="12"/>
  <c r="P38" i="12"/>
  <c r="O38" i="12"/>
  <c r="N38" i="12"/>
  <c r="M38" i="12"/>
  <c r="K38" i="12"/>
  <c r="BD37" i="12"/>
  <c r="AX37" i="12"/>
  <c r="AW37" i="12"/>
  <c r="AV37" i="12"/>
  <c r="AU37" i="12"/>
  <c r="BE37" i="12" s="1"/>
  <c r="AP37" i="12"/>
  <c r="AO37" i="12"/>
  <c r="AN37" i="12"/>
  <c r="AM37" i="12"/>
  <c r="AL37" i="12"/>
  <c r="AK37" i="12"/>
  <c r="AF37" i="12"/>
  <c r="AE37" i="12"/>
  <c r="AD37" i="12"/>
  <c r="AC37" i="12"/>
  <c r="V37" i="12"/>
  <c r="U37" i="12"/>
  <c r="T37" i="12"/>
  <c r="S37" i="12"/>
  <c r="R37" i="12"/>
  <c r="Q37" i="12"/>
  <c r="P37" i="12"/>
  <c r="O37" i="12"/>
  <c r="N37" i="12"/>
  <c r="M37" i="12"/>
  <c r="K37" i="12"/>
  <c r="BD36" i="12"/>
  <c r="AZ36" i="12"/>
  <c r="AX36" i="12"/>
  <c r="AW36" i="12"/>
  <c r="AV36" i="12"/>
  <c r="AU36" i="12"/>
  <c r="BE36" i="12" s="1"/>
  <c r="AO36" i="12"/>
  <c r="AN36" i="12"/>
  <c r="AM36" i="12"/>
  <c r="AL36" i="12"/>
  <c r="AK36" i="12"/>
  <c r="AP36" i="12" s="1"/>
  <c r="AF36" i="12"/>
  <c r="AE36" i="12"/>
  <c r="AD36" i="12"/>
  <c r="AC36" i="12"/>
  <c r="V36" i="12"/>
  <c r="U36" i="12"/>
  <c r="T36" i="12"/>
  <c r="S36" i="12"/>
  <c r="R36" i="12"/>
  <c r="Q36" i="12"/>
  <c r="P36" i="12"/>
  <c r="O36" i="12"/>
  <c r="N36" i="12"/>
  <c r="M36" i="12"/>
  <c r="K36" i="12"/>
  <c r="BD35" i="12"/>
  <c r="AX35" i="12"/>
  <c r="AW35" i="12"/>
  <c r="AV35" i="12"/>
  <c r="AU35" i="12"/>
  <c r="AZ35" i="12" s="1"/>
  <c r="BA35" i="12" s="1"/>
  <c r="AP35" i="12"/>
  <c r="AO35" i="12"/>
  <c r="AN35" i="12"/>
  <c r="AM35" i="12"/>
  <c r="AL35" i="12"/>
  <c r="AK35" i="12"/>
  <c r="AF35" i="12"/>
  <c r="AE35" i="12"/>
  <c r="AD35" i="12"/>
  <c r="AC35" i="12"/>
  <c r="V35" i="12"/>
  <c r="T35" i="12"/>
  <c r="U35" i="12" s="1"/>
  <c r="S35" i="12"/>
  <c r="R35" i="12"/>
  <c r="Q35" i="12"/>
  <c r="P35" i="12"/>
  <c r="O35" i="12"/>
  <c r="N35" i="12"/>
  <c r="M35" i="12"/>
  <c r="K35" i="12"/>
  <c r="BE34" i="12"/>
  <c r="BD34" i="12"/>
  <c r="BB34" i="12"/>
  <c r="AX34" i="12"/>
  <c r="AW34" i="12"/>
  <c r="AV34" i="12"/>
  <c r="AU34" i="12"/>
  <c r="AZ34" i="12" s="1"/>
  <c r="BA34" i="12" s="1"/>
  <c r="AO34" i="12"/>
  <c r="AN34" i="12"/>
  <c r="AM34" i="12"/>
  <c r="AL34" i="12"/>
  <c r="AK34" i="12"/>
  <c r="AP34" i="12" s="1"/>
  <c r="BC34" i="12" s="1"/>
  <c r="AF34" i="12"/>
  <c r="AE34" i="12"/>
  <c r="AD34" i="12"/>
  <c r="AC34" i="12"/>
  <c r="V34" i="12"/>
  <c r="T34" i="12"/>
  <c r="U34" i="12" s="1"/>
  <c r="S34" i="12"/>
  <c r="R34" i="12"/>
  <c r="Q34" i="12"/>
  <c r="P34" i="12"/>
  <c r="O34" i="12"/>
  <c r="N34" i="12"/>
  <c r="M34" i="12"/>
  <c r="K34" i="12"/>
  <c r="BE33" i="12"/>
  <c r="BD33" i="12"/>
  <c r="BA33" i="12"/>
  <c r="AZ33" i="12"/>
  <c r="AX33" i="12"/>
  <c r="BB33" i="12" s="1"/>
  <c r="AW33" i="12"/>
  <c r="AV33" i="12"/>
  <c r="AU33" i="12"/>
  <c r="AO33" i="12"/>
  <c r="AN33" i="12"/>
  <c r="AM33" i="12"/>
  <c r="AL33" i="12"/>
  <c r="AK33" i="12"/>
  <c r="AP33" i="12" s="1"/>
  <c r="BC33" i="12" s="1"/>
  <c r="AF33" i="12"/>
  <c r="AE33" i="12"/>
  <c r="AD33" i="12"/>
  <c r="AC33" i="12"/>
  <c r="V33" i="12"/>
  <c r="T33" i="12"/>
  <c r="U33" i="12" s="1"/>
  <c r="S33" i="12"/>
  <c r="R33" i="12"/>
  <c r="Q33" i="12"/>
  <c r="P33" i="12"/>
  <c r="O33" i="12"/>
  <c r="N33" i="12"/>
  <c r="M33" i="12"/>
  <c r="K33" i="12"/>
  <c r="BD32" i="12"/>
  <c r="AX32" i="12"/>
  <c r="AW32" i="12"/>
  <c r="AV32" i="12"/>
  <c r="AU32" i="12"/>
  <c r="AO32" i="12"/>
  <c r="AN32" i="12"/>
  <c r="AM32" i="12"/>
  <c r="AL32" i="12"/>
  <c r="AK32" i="12"/>
  <c r="AF32" i="12"/>
  <c r="AE32" i="12"/>
  <c r="AD32" i="12"/>
  <c r="AC32" i="12"/>
  <c r="V32" i="12"/>
  <c r="U32" i="12"/>
  <c r="T32" i="12"/>
  <c r="S32" i="12"/>
  <c r="R32" i="12"/>
  <c r="Q32" i="12"/>
  <c r="P32" i="12"/>
  <c r="O32" i="12"/>
  <c r="N32" i="12"/>
  <c r="M32" i="12"/>
  <c r="K32" i="12"/>
  <c r="BD31" i="12"/>
  <c r="BA31" i="12"/>
  <c r="AX31" i="12"/>
  <c r="BB31" i="12" s="1"/>
  <c r="AW31" i="12"/>
  <c r="AV31" i="12"/>
  <c r="AU31" i="12"/>
  <c r="AZ31" i="12" s="1"/>
  <c r="AO31" i="12"/>
  <c r="AN31" i="12"/>
  <c r="AP31" i="12" s="1"/>
  <c r="BC31" i="12" s="1"/>
  <c r="AM31" i="12"/>
  <c r="AL31" i="12"/>
  <c r="AK31" i="12"/>
  <c r="AF31" i="12"/>
  <c r="AE31" i="12"/>
  <c r="AD31" i="12"/>
  <c r="AC31" i="12"/>
  <c r="V31" i="12"/>
  <c r="U31" i="12"/>
  <c r="T31" i="12"/>
  <c r="S31" i="12"/>
  <c r="R31" i="12"/>
  <c r="Q31" i="12"/>
  <c r="P31" i="12"/>
  <c r="O31" i="12"/>
  <c r="N31" i="12"/>
  <c r="M31" i="12"/>
  <c r="K31" i="12"/>
  <c r="BE30" i="12"/>
  <c r="BD30" i="12"/>
  <c r="AX30" i="12"/>
  <c r="AW30" i="12"/>
  <c r="AV30" i="12"/>
  <c r="AU30" i="12"/>
  <c r="AZ30" i="12" s="1"/>
  <c r="BA30" i="12" s="1"/>
  <c r="AO30" i="12"/>
  <c r="AN30" i="12"/>
  <c r="AM30" i="12"/>
  <c r="AL30" i="12"/>
  <c r="AK30" i="12"/>
  <c r="AF30" i="12"/>
  <c r="AE30" i="12"/>
  <c r="AD30" i="12"/>
  <c r="AC30" i="12"/>
  <c r="V30" i="12"/>
  <c r="T30" i="12"/>
  <c r="U30" i="12" s="1"/>
  <c r="S30" i="12"/>
  <c r="R30" i="12"/>
  <c r="Q30" i="12"/>
  <c r="P30" i="12"/>
  <c r="O30" i="12"/>
  <c r="N30" i="12"/>
  <c r="M30" i="12"/>
  <c r="K30" i="12"/>
  <c r="BD29" i="12"/>
  <c r="BA29" i="12"/>
  <c r="BB29" i="12" s="1"/>
  <c r="AZ29" i="12"/>
  <c r="AX29" i="12"/>
  <c r="AW29" i="12"/>
  <c r="AV29" i="12"/>
  <c r="AU29" i="12"/>
  <c r="BE29" i="12" s="1"/>
  <c r="AO29" i="12"/>
  <c r="AN29" i="12"/>
  <c r="AM29" i="12"/>
  <c r="AL29" i="12"/>
  <c r="AK29" i="12"/>
  <c r="AP29" i="12" s="1"/>
  <c r="BC29" i="12" s="1"/>
  <c r="AF29" i="12"/>
  <c r="AE29" i="12"/>
  <c r="AD29" i="12"/>
  <c r="AC29" i="12"/>
  <c r="V29" i="12"/>
  <c r="U29" i="12"/>
  <c r="T29" i="12"/>
  <c r="S29" i="12"/>
  <c r="R29" i="12"/>
  <c r="Q29" i="12"/>
  <c r="P29" i="12"/>
  <c r="O29" i="12"/>
  <c r="N29" i="12"/>
  <c r="M29" i="12"/>
  <c r="K29" i="12"/>
  <c r="BE28" i="12"/>
  <c r="BD28" i="12"/>
  <c r="AX28" i="12"/>
  <c r="AW28" i="12"/>
  <c r="AV28" i="12"/>
  <c r="AU28" i="12"/>
  <c r="AZ28" i="12" s="1"/>
  <c r="BA28" i="12" s="1"/>
  <c r="AO28" i="12"/>
  <c r="AN28" i="12"/>
  <c r="AM28" i="12"/>
  <c r="AL28" i="12"/>
  <c r="AK28" i="12"/>
  <c r="AP28" i="12" s="1"/>
  <c r="AF28" i="12"/>
  <c r="AE28" i="12"/>
  <c r="AD28" i="12"/>
  <c r="AC28" i="12"/>
  <c r="V28" i="12"/>
  <c r="U28" i="12"/>
  <c r="T28" i="12"/>
  <c r="S28" i="12"/>
  <c r="R28" i="12"/>
  <c r="Q28" i="12"/>
  <c r="P28" i="12"/>
  <c r="O28" i="12"/>
  <c r="N28" i="12"/>
  <c r="M28" i="12"/>
  <c r="K28" i="12"/>
  <c r="BD27" i="12"/>
  <c r="AX27" i="12"/>
  <c r="AW27" i="12"/>
  <c r="AV27" i="12"/>
  <c r="AU27" i="12"/>
  <c r="AZ27" i="12" s="1"/>
  <c r="BA27" i="12" s="1"/>
  <c r="AO27" i="12"/>
  <c r="AN27" i="12"/>
  <c r="AM27" i="12"/>
  <c r="AL27" i="12"/>
  <c r="AK27" i="12"/>
  <c r="AP27" i="12" s="1"/>
  <c r="AF27" i="12"/>
  <c r="AE27" i="12"/>
  <c r="AD27" i="12"/>
  <c r="AC27" i="12"/>
  <c r="V27" i="12"/>
  <c r="U27" i="12"/>
  <c r="T27" i="12"/>
  <c r="S27" i="12"/>
  <c r="R27" i="12"/>
  <c r="Q27" i="12"/>
  <c r="P27" i="12"/>
  <c r="O27" i="12"/>
  <c r="N27" i="12"/>
  <c r="M27" i="12"/>
  <c r="K27" i="12"/>
  <c r="BE26" i="12"/>
  <c r="BD26" i="12"/>
  <c r="AX26" i="12"/>
  <c r="AW26" i="12"/>
  <c r="BB26" i="12" s="1"/>
  <c r="AV26" i="12"/>
  <c r="AU26" i="12"/>
  <c r="AZ26" i="12" s="1"/>
  <c r="BA26" i="12" s="1"/>
  <c r="AO26" i="12"/>
  <c r="AN26" i="12"/>
  <c r="AM26" i="12"/>
  <c r="AL26" i="12"/>
  <c r="AK26" i="12"/>
  <c r="AP26" i="12" s="1"/>
  <c r="AF26" i="12"/>
  <c r="AE26" i="12"/>
  <c r="AD26" i="12"/>
  <c r="AC26" i="12"/>
  <c r="V26" i="12"/>
  <c r="T26" i="12"/>
  <c r="U26" i="12" s="1"/>
  <c r="S26" i="12"/>
  <c r="R26" i="12"/>
  <c r="Q26" i="12"/>
  <c r="P26" i="12"/>
  <c r="O26" i="12"/>
  <c r="N26" i="12"/>
  <c r="M26" i="12"/>
  <c r="K26" i="12"/>
  <c r="BE25" i="12"/>
  <c r="BD25" i="12"/>
  <c r="AZ25" i="12"/>
  <c r="BA25" i="12" s="1"/>
  <c r="AX25" i="12"/>
  <c r="BB25" i="12" s="1"/>
  <c r="BC25" i="12" s="1"/>
  <c r="AW25" i="12"/>
  <c r="AV25" i="12"/>
  <c r="AU25" i="12"/>
  <c r="AO25" i="12"/>
  <c r="AN25" i="12"/>
  <c r="AM25" i="12"/>
  <c r="AL25" i="12"/>
  <c r="AK25" i="12"/>
  <c r="AP25" i="12" s="1"/>
  <c r="AF25" i="12"/>
  <c r="AE25" i="12"/>
  <c r="AD25" i="12"/>
  <c r="AC25" i="12"/>
  <c r="V25" i="12"/>
  <c r="T25" i="12"/>
  <c r="U25" i="12" s="1"/>
  <c r="S25" i="12"/>
  <c r="R25" i="12"/>
  <c r="Q25" i="12"/>
  <c r="P25" i="12"/>
  <c r="O25" i="12"/>
  <c r="N25" i="12"/>
  <c r="M25" i="12"/>
  <c r="K25" i="12"/>
  <c r="BD24" i="12"/>
  <c r="AX24" i="12"/>
  <c r="AW24" i="12"/>
  <c r="AV24" i="12"/>
  <c r="AU24" i="12"/>
  <c r="AO24" i="12"/>
  <c r="AN24" i="12"/>
  <c r="AM24" i="12"/>
  <c r="AL24" i="12"/>
  <c r="AK24" i="12"/>
  <c r="AP24" i="12" s="1"/>
  <c r="AF24" i="12"/>
  <c r="AE24" i="12"/>
  <c r="AD24" i="12"/>
  <c r="AC24" i="12"/>
  <c r="V24" i="12"/>
  <c r="U24" i="12"/>
  <c r="T24" i="12"/>
  <c r="S24" i="12"/>
  <c r="R24" i="12"/>
  <c r="Q24" i="12"/>
  <c r="P24" i="12"/>
  <c r="O24" i="12"/>
  <c r="N24" i="12"/>
  <c r="M24" i="12"/>
  <c r="K24" i="12"/>
  <c r="BE23" i="12"/>
  <c r="BD23" i="12"/>
  <c r="AX23" i="12"/>
  <c r="AW23" i="12"/>
  <c r="AV23" i="12"/>
  <c r="BB23" i="12" s="1"/>
  <c r="AU23" i="12"/>
  <c r="AZ23" i="12" s="1"/>
  <c r="BA23" i="12" s="1"/>
  <c r="AO23" i="12"/>
  <c r="AN23" i="12"/>
  <c r="AP23" i="12" s="1"/>
  <c r="AM23" i="12"/>
  <c r="AL23" i="12"/>
  <c r="AK23" i="12"/>
  <c r="AF23" i="12"/>
  <c r="AE23" i="12"/>
  <c r="AD23" i="12"/>
  <c r="AC23" i="12"/>
  <c r="V23" i="12"/>
  <c r="T23" i="12"/>
  <c r="U23" i="12" s="1"/>
  <c r="S23" i="12"/>
  <c r="R23" i="12"/>
  <c r="Q23" i="12"/>
  <c r="P23" i="12"/>
  <c r="O23" i="12"/>
  <c r="N23" i="12"/>
  <c r="M23" i="12"/>
  <c r="K23" i="12"/>
  <c r="BE22" i="12"/>
  <c r="BF22" i="12" s="1"/>
  <c r="BG22" i="12" s="1"/>
  <c r="BD22" i="12"/>
  <c r="BB22" i="12"/>
  <c r="AX22" i="12"/>
  <c r="AW22" i="12"/>
  <c r="AV22" i="12"/>
  <c r="AU22" i="12"/>
  <c r="AZ22" i="12" s="1"/>
  <c r="BA22" i="12" s="1"/>
  <c r="AO22" i="12"/>
  <c r="AN22" i="12"/>
  <c r="AM22" i="12"/>
  <c r="AL22" i="12"/>
  <c r="AK22" i="12"/>
  <c r="AP22" i="12" s="1"/>
  <c r="BC22" i="12" s="1"/>
  <c r="AF22" i="12"/>
  <c r="AE22" i="12"/>
  <c r="AD22" i="12"/>
  <c r="AC22" i="12"/>
  <c r="V22" i="12"/>
  <c r="T22" i="12"/>
  <c r="U22" i="12" s="1"/>
  <c r="S22" i="12"/>
  <c r="R22" i="12"/>
  <c r="Q22" i="12"/>
  <c r="P22" i="12"/>
  <c r="O22" i="12"/>
  <c r="N22" i="12"/>
  <c r="M22" i="12"/>
  <c r="K22" i="12"/>
  <c r="BD21" i="12"/>
  <c r="AX21" i="12"/>
  <c r="AW21" i="12"/>
  <c r="AV21" i="12"/>
  <c r="AU21" i="12"/>
  <c r="BE21" i="12" s="1"/>
  <c r="AO21" i="12"/>
  <c r="AN21" i="12"/>
  <c r="AM21" i="12"/>
  <c r="AL21" i="12"/>
  <c r="AK21" i="12"/>
  <c r="AP21" i="12" s="1"/>
  <c r="AF21" i="12"/>
  <c r="AE21" i="12"/>
  <c r="AD21" i="12"/>
  <c r="AC21" i="12"/>
  <c r="V21" i="12"/>
  <c r="U21" i="12"/>
  <c r="T21" i="12"/>
  <c r="S21" i="12"/>
  <c r="R21" i="12"/>
  <c r="Q21" i="12"/>
  <c r="P21" i="12"/>
  <c r="O21" i="12"/>
  <c r="N21" i="12"/>
  <c r="M21" i="12"/>
  <c r="K21" i="12"/>
  <c r="BD20" i="12"/>
  <c r="AZ20" i="12"/>
  <c r="BA20" i="12" s="1"/>
  <c r="AX20" i="12"/>
  <c r="AW20" i="12"/>
  <c r="AV20" i="12"/>
  <c r="BB20" i="12" s="1"/>
  <c r="AU20" i="12"/>
  <c r="BE20" i="12" s="1"/>
  <c r="AO20" i="12"/>
  <c r="AN20" i="12"/>
  <c r="AM20" i="12"/>
  <c r="AL20" i="12"/>
  <c r="AK20" i="12"/>
  <c r="AP20" i="12" s="1"/>
  <c r="AF20" i="12"/>
  <c r="AE20" i="12"/>
  <c r="AD20" i="12"/>
  <c r="AC20" i="12"/>
  <c r="V20" i="12"/>
  <c r="U20" i="12"/>
  <c r="T20" i="12"/>
  <c r="S20" i="12"/>
  <c r="R20" i="12"/>
  <c r="Q20" i="12"/>
  <c r="P20" i="12"/>
  <c r="O20" i="12"/>
  <c r="N20" i="12"/>
  <c r="M20" i="12"/>
  <c r="K20" i="12"/>
  <c r="BE19" i="12"/>
  <c r="BD19" i="12"/>
  <c r="AX19" i="12"/>
  <c r="AW19" i="12"/>
  <c r="AV19" i="12"/>
  <c r="BB19" i="12" s="1"/>
  <c r="AU19" i="12"/>
  <c r="AZ19" i="12" s="1"/>
  <c r="BA19" i="12" s="1"/>
  <c r="AO19" i="12"/>
  <c r="AN19" i="12"/>
  <c r="AM19" i="12"/>
  <c r="AL19" i="12"/>
  <c r="AK19" i="12"/>
  <c r="AP19" i="12" s="1"/>
  <c r="BC19" i="12" s="1"/>
  <c r="AF19" i="12"/>
  <c r="AE19" i="12"/>
  <c r="AD19" i="12"/>
  <c r="AC19" i="12"/>
  <c r="V19" i="12"/>
  <c r="U19" i="12"/>
  <c r="T19" i="12"/>
  <c r="S19" i="12"/>
  <c r="R19" i="12"/>
  <c r="Q19" i="12"/>
  <c r="P19" i="12"/>
  <c r="O19" i="12"/>
  <c r="N19" i="12"/>
  <c r="M19" i="12"/>
  <c r="K19" i="12"/>
  <c r="BD18" i="12"/>
  <c r="AX18" i="12"/>
  <c r="AW18" i="12"/>
  <c r="BB18" i="12" s="1"/>
  <c r="AV18" i="12"/>
  <c r="AU18" i="12"/>
  <c r="AZ18" i="12" s="1"/>
  <c r="BA18" i="12" s="1"/>
  <c r="AO18" i="12"/>
  <c r="AN18" i="12"/>
  <c r="AP18" i="12" s="1"/>
  <c r="BC18" i="12" s="1"/>
  <c r="AM18" i="12"/>
  <c r="AL18" i="12"/>
  <c r="AK18" i="12"/>
  <c r="AF18" i="12"/>
  <c r="AE18" i="12"/>
  <c r="AD18" i="12"/>
  <c r="AC18" i="12"/>
  <c r="V18" i="12"/>
  <c r="T18" i="12"/>
  <c r="U18" i="12" s="1"/>
  <c r="S18" i="12"/>
  <c r="R18" i="12"/>
  <c r="Q18" i="12"/>
  <c r="P18" i="12"/>
  <c r="O18" i="12"/>
  <c r="N18" i="12"/>
  <c r="M18" i="12"/>
  <c r="K18" i="12"/>
  <c r="BE17" i="12"/>
  <c r="BD17" i="12"/>
  <c r="AZ17" i="12"/>
  <c r="AX17" i="12"/>
  <c r="AW17" i="12"/>
  <c r="AV17" i="12"/>
  <c r="AU17" i="12"/>
  <c r="AO17" i="12"/>
  <c r="AN17" i="12"/>
  <c r="AM17" i="12"/>
  <c r="AL17" i="12"/>
  <c r="AK17" i="12"/>
  <c r="AP17" i="12" s="1"/>
  <c r="AF17" i="12"/>
  <c r="AE17" i="12"/>
  <c r="AD17" i="12"/>
  <c r="AC17" i="12"/>
  <c r="V17" i="12"/>
  <c r="U17" i="12"/>
  <c r="T17" i="12"/>
  <c r="S17" i="12"/>
  <c r="R17" i="12"/>
  <c r="Q17" i="12"/>
  <c r="P17" i="12"/>
  <c r="O17" i="12"/>
  <c r="N17" i="12"/>
  <c r="M17" i="12"/>
  <c r="K17" i="12"/>
  <c r="BD16" i="12"/>
  <c r="AX16" i="12"/>
  <c r="AW16" i="12"/>
  <c r="AV16" i="12"/>
  <c r="AU16" i="12"/>
  <c r="AO16" i="12"/>
  <c r="AN16" i="12"/>
  <c r="AM16" i="12"/>
  <c r="AL16" i="12"/>
  <c r="AK16" i="12"/>
  <c r="AF16" i="12"/>
  <c r="AE16" i="12"/>
  <c r="AD16" i="12"/>
  <c r="AC16" i="12"/>
  <c r="V16" i="12"/>
  <c r="U16" i="12"/>
  <c r="T16" i="12"/>
  <c r="S16" i="12"/>
  <c r="R16" i="12"/>
  <c r="Q16" i="12"/>
  <c r="P16" i="12"/>
  <c r="O16" i="12"/>
  <c r="N16" i="12"/>
  <c r="M16" i="12"/>
  <c r="K16" i="12"/>
  <c r="BD15" i="12"/>
  <c r="AX15" i="12"/>
  <c r="AW15" i="12"/>
  <c r="AV15" i="12"/>
  <c r="AU15" i="12"/>
  <c r="AZ15" i="12" s="1"/>
  <c r="BA15" i="12" s="1"/>
  <c r="AP15" i="12"/>
  <c r="AO15" i="12"/>
  <c r="AN15" i="12"/>
  <c r="AM15" i="12"/>
  <c r="AL15" i="12"/>
  <c r="AK15" i="12"/>
  <c r="AF15" i="12"/>
  <c r="AE15" i="12"/>
  <c r="AD15" i="12"/>
  <c r="AC15" i="12"/>
  <c r="V15" i="12"/>
  <c r="T15" i="12"/>
  <c r="U15" i="12" s="1"/>
  <c r="S15" i="12"/>
  <c r="R15" i="12"/>
  <c r="Q15" i="12"/>
  <c r="P15" i="12"/>
  <c r="O15" i="12"/>
  <c r="N15" i="12"/>
  <c r="M15" i="12"/>
  <c r="K15" i="12"/>
  <c r="BE14" i="12"/>
  <c r="BD14" i="12"/>
  <c r="AX14" i="12"/>
  <c r="AW14" i="12"/>
  <c r="AV14" i="12"/>
  <c r="AU14" i="12"/>
  <c r="AZ14" i="12" s="1"/>
  <c r="BA14" i="12" s="1"/>
  <c r="AO14" i="12"/>
  <c r="AN14" i="12"/>
  <c r="AM14" i="12"/>
  <c r="AL14" i="12"/>
  <c r="AK14" i="12"/>
  <c r="AP14" i="12" s="1"/>
  <c r="AF14" i="12"/>
  <c r="AE14" i="12"/>
  <c r="AD14" i="12"/>
  <c r="AC14" i="12"/>
  <c r="V14" i="12"/>
  <c r="T14" i="12"/>
  <c r="U14" i="12" s="1"/>
  <c r="S14" i="12"/>
  <c r="R14" i="12"/>
  <c r="Q14" i="12"/>
  <c r="P14" i="12"/>
  <c r="O14" i="12"/>
  <c r="N14" i="12"/>
  <c r="M14" i="12"/>
  <c r="K14" i="12"/>
  <c r="BD13" i="12"/>
  <c r="AX13" i="12"/>
  <c r="AW13" i="12"/>
  <c r="AV13" i="12"/>
  <c r="AU13" i="12"/>
  <c r="BE13" i="12" s="1"/>
  <c r="AP13" i="12"/>
  <c r="AO13" i="12"/>
  <c r="AN13" i="12"/>
  <c r="AM13" i="12"/>
  <c r="AL13" i="12"/>
  <c r="AK13" i="12"/>
  <c r="AF13" i="12"/>
  <c r="AE13" i="12"/>
  <c r="AD13" i="12"/>
  <c r="AC13" i="12"/>
  <c r="V13" i="12"/>
  <c r="U13" i="12"/>
  <c r="T13" i="12"/>
  <c r="S13" i="12"/>
  <c r="R13" i="12"/>
  <c r="Q13" i="12"/>
  <c r="P13" i="12"/>
  <c r="O13" i="12"/>
  <c r="N13" i="12"/>
  <c r="M13" i="12"/>
  <c r="K13" i="12"/>
  <c r="BD12" i="12"/>
  <c r="AZ12" i="12"/>
  <c r="AX12" i="12"/>
  <c r="AW12" i="12"/>
  <c r="AV12" i="12"/>
  <c r="AU12" i="12"/>
  <c r="BE12" i="12" s="1"/>
  <c r="AO12" i="12"/>
  <c r="AN12" i="12"/>
  <c r="AM12" i="12"/>
  <c r="AL12" i="12"/>
  <c r="AK12" i="12"/>
  <c r="AP12" i="12" s="1"/>
  <c r="AF12" i="12"/>
  <c r="AE12" i="12"/>
  <c r="AD12" i="12"/>
  <c r="AC12" i="12"/>
  <c r="V12" i="12"/>
  <c r="U12" i="12"/>
  <c r="T12" i="12"/>
  <c r="S12" i="12"/>
  <c r="R12" i="12"/>
  <c r="Q12" i="12"/>
  <c r="P12" i="12"/>
  <c r="O12" i="12"/>
  <c r="N12" i="12"/>
  <c r="M12" i="12"/>
  <c r="K12" i="12"/>
  <c r="BD11" i="12"/>
  <c r="AX11" i="12"/>
  <c r="AW11" i="12"/>
  <c r="AV11" i="12"/>
  <c r="AU11" i="12"/>
  <c r="AZ11" i="12" s="1"/>
  <c r="BA11" i="12" s="1"/>
  <c r="AP11" i="12"/>
  <c r="AO11" i="12"/>
  <c r="AN11" i="12"/>
  <c r="AM11" i="12"/>
  <c r="AL11" i="12"/>
  <c r="AK11" i="12"/>
  <c r="AF11" i="12"/>
  <c r="AE11" i="12"/>
  <c r="AD11" i="12"/>
  <c r="AC11" i="12"/>
  <c r="V11" i="12"/>
  <c r="T11" i="12"/>
  <c r="U11" i="12" s="1"/>
  <c r="S11" i="12"/>
  <c r="R11" i="12"/>
  <c r="Q11" i="12"/>
  <c r="P11" i="12"/>
  <c r="O11" i="12"/>
  <c r="N11" i="12"/>
  <c r="M11" i="12"/>
  <c r="K11" i="12"/>
  <c r="BE10" i="12"/>
  <c r="BD10" i="12"/>
  <c r="BB10" i="12"/>
  <c r="AX10" i="12"/>
  <c r="AW10" i="12"/>
  <c r="AV10" i="12"/>
  <c r="AU10" i="12"/>
  <c r="AZ10" i="12" s="1"/>
  <c r="BA10" i="12" s="1"/>
  <c r="AO10" i="12"/>
  <c r="AN10" i="12"/>
  <c r="AM10" i="12"/>
  <c r="AL10" i="12"/>
  <c r="AK10" i="12"/>
  <c r="AP10" i="12" s="1"/>
  <c r="BC10" i="12" s="1"/>
  <c r="AF10" i="12"/>
  <c r="AE10" i="12"/>
  <c r="AD10" i="12"/>
  <c r="AC10" i="12"/>
  <c r="V10" i="12"/>
  <c r="T10" i="12"/>
  <c r="U10" i="12" s="1"/>
  <c r="S10" i="12"/>
  <c r="R10" i="12"/>
  <c r="Q10" i="12"/>
  <c r="P10" i="12"/>
  <c r="O10" i="12"/>
  <c r="N10" i="12"/>
  <c r="M10" i="12"/>
  <c r="K10" i="12"/>
  <c r="BE9" i="12"/>
  <c r="BD9" i="12"/>
  <c r="BD78" i="12" s="1"/>
  <c r="BA9" i="12"/>
  <c r="AZ9" i="12"/>
  <c r="AX9" i="12"/>
  <c r="BB9" i="12" s="1"/>
  <c r="AW9" i="12"/>
  <c r="AV9" i="12"/>
  <c r="AU9" i="12"/>
  <c r="AO9" i="12"/>
  <c r="AN9" i="12"/>
  <c r="AM9" i="12"/>
  <c r="AL9" i="12"/>
  <c r="AK9" i="12"/>
  <c r="AP9" i="12" s="1"/>
  <c r="AF9" i="12"/>
  <c r="AE9" i="12"/>
  <c r="AD9" i="12"/>
  <c r="AC9" i="12"/>
  <c r="V9" i="12"/>
  <c r="T9" i="12"/>
  <c r="S9" i="12"/>
  <c r="R9" i="12"/>
  <c r="Q9" i="12"/>
  <c r="P9" i="12"/>
  <c r="O9" i="12"/>
  <c r="N9" i="12"/>
  <c r="M9" i="12"/>
  <c r="K9" i="12"/>
  <c r="BD8" i="12"/>
  <c r="AX8" i="12"/>
  <c r="AW8" i="12"/>
  <c r="AV8" i="12"/>
  <c r="AU8" i="12"/>
  <c r="AO8" i="12"/>
  <c r="AN8" i="12"/>
  <c r="AM8" i="12"/>
  <c r="AL8" i="12"/>
  <c r="AK8" i="12"/>
  <c r="AF8" i="12"/>
  <c r="AE8" i="12"/>
  <c r="AD8" i="12"/>
  <c r="AC8" i="12"/>
  <c r="V8" i="12"/>
  <c r="U8" i="12"/>
  <c r="T8" i="12"/>
  <c r="S8" i="12"/>
  <c r="R8" i="12"/>
  <c r="Q8" i="12"/>
  <c r="P8" i="12"/>
  <c r="O8" i="12"/>
  <c r="N8" i="12"/>
  <c r="M8" i="12"/>
  <c r="K8" i="12"/>
  <c r="BD7" i="12"/>
  <c r="BA7" i="12"/>
  <c r="BB7" i="12" s="1"/>
  <c r="AX7" i="12"/>
  <c r="AW7" i="12"/>
  <c r="AV7" i="12"/>
  <c r="AU7" i="12"/>
  <c r="AZ7" i="12" s="1"/>
  <c r="AO7" i="12"/>
  <c r="AN7" i="12"/>
  <c r="AP7" i="12" s="1"/>
  <c r="AM7" i="12"/>
  <c r="AL7" i="12"/>
  <c r="AK7" i="12"/>
  <c r="AF7" i="12"/>
  <c r="AE7" i="12"/>
  <c r="AD7" i="12"/>
  <c r="AC7" i="12"/>
  <c r="V7" i="12"/>
  <c r="T7" i="12"/>
  <c r="U7" i="12" s="1"/>
  <c r="S7" i="12"/>
  <c r="R7" i="12"/>
  <c r="Q7" i="12"/>
  <c r="P7" i="12"/>
  <c r="O7" i="12"/>
  <c r="N7" i="12"/>
  <c r="M7" i="12"/>
  <c r="K7" i="12"/>
  <c r="BE6" i="12"/>
  <c r="BD6" i="12"/>
  <c r="AX6" i="12"/>
  <c r="AW6" i="12"/>
  <c r="AV6" i="12"/>
  <c r="AU6" i="12"/>
  <c r="AZ6" i="12" s="1"/>
  <c r="BA6" i="12" s="1"/>
  <c r="AO6" i="12"/>
  <c r="AN6" i="12"/>
  <c r="AM6" i="12"/>
  <c r="AL6" i="12"/>
  <c r="AK6" i="12"/>
  <c r="AP6" i="12" s="1"/>
  <c r="AF6" i="12"/>
  <c r="AE6" i="12"/>
  <c r="AD6" i="12"/>
  <c r="AC6" i="12"/>
  <c r="V6" i="12"/>
  <c r="T6" i="12"/>
  <c r="U6" i="12" s="1"/>
  <c r="S6" i="12"/>
  <c r="R6" i="12"/>
  <c r="Q6" i="12"/>
  <c r="P6" i="12"/>
  <c r="O6" i="12"/>
  <c r="N6" i="12"/>
  <c r="M6" i="12"/>
  <c r="K6" i="12"/>
  <c r="BD5" i="12"/>
  <c r="AZ5" i="12"/>
  <c r="BA5" i="12" s="1"/>
  <c r="BB5" i="12" s="1"/>
  <c r="AX5" i="12"/>
  <c r="AW5" i="12"/>
  <c r="AV5" i="12"/>
  <c r="AU5" i="12"/>
  <c r="BE5" i="12" s="1"/>
  <c r="AO5" i="12"/>
  <c r="AN5" i="12"/>
  <c r="AM5" i="12"/>
  <c r="AL5" i="12"/>
  <c r="AK5" i="12"/>
  <c r="AP5" i="12" s="1"/>
  <c r="AF5" i="12"/>
  <c r="AE5" i="12"/>
  <c r="AD5" i="12"/>
  <c r="AC5" i="12"/>
  <c r="V5" i="12"/>
  <c r="U5" i="12"/>
  <c r="T5" i="12"/>
  <c r="S5" i="12"/>
  <c r="R5" i="12"/>
  <c r="Q5" i="12"/>
  <c r="P5" i="12"/>
  <c r="O5" i="12"/>
  <c r="N5" i="12"/>
  <c r="M5" i="12"/>
  <c r="K5" i="12"/>
  <c r="BD4" i="12"/>
  <c r="AX4" i="12"/>
  <c r="AW4" i="12"/>
  <c r="AV4" i="12"/>
  <c r="AU4" i="12"/>
  <c r="BE4" i="12" s="1"/>
  <c r="AO4" i="12"/>
  <c r="AN4" i="12"/>
  <c r="AM4" i="12"/>
  <c r="AL4" i="12"/>
  <c r="AK4" i="12"/>
  <c r="AP4" i="12" s="1"/>
  <c r="AF4" i="12"/>
  <c r="AE4" i="12"/>
  <c r="AD4" i="12"/>
  <c r="AC4" i="12"/>
  <c r="V4" i="12"/>
  <c r="U4" i="12"/>
  <c r="T4" i="12"/>
  <c r="S4" i="12"/>
  <c r="R4" i="12"/>
  <c r="Q4" i="12"/>
  <c r="P4" i="12"/>
  <c r="O4" i="12"/>
  <c r="N4" i="12"/>
  <c r="M4" i="12"/>
  <c r="K4" i="12"/>
  <c r="BI78" i="41"/>
  <c r="AR78" i="41"/>
  <c r="AQ78" i="41"/>
  <c r="AP78" i="41"/>
  <c r="AI78" i="41"/>
  <c r="AH78" i="41"/>
  <c r="AG78" i="41"/>
  <c r="AB78" i="41"/>
  <c r="AA78" i="41"/>
  <c r="Z78" i="41"/>
  <c r="Y78" i="41"/>
  <c r="X78" i="41"/>
  <c r="W78" i="41"/>
  <c r="L78" i="41"/>
  <c r="J78" i="41"/>
  <c r="I78" i="41"/>
  <c r="H78" i="41"/>
  <c r="G78" i="41"/>
  <c r="F78" i="41"/>
  <c r="E78" i="41"/>
  <c r="E75" i="23" s="1"/>
  <c r="D78" i="41"/>
  <c r="C78" i="41"/>
  <c r="BC76" i="41"/>
  <c r="BB76" i="41"/>
  <c r="AV76" i="41"/>
  <c r="AU76" i="41"/>
  <c r="AT76" i="41"/>
  <c r="AZ76" i="41" s="1"/>
  <c r="AS76" i="41"/>
  <c r="AX76" i="41" s="1"/>
  <c r="AY76" i="41" s="1"/>
  <c r="AO76" i="41"/>
  <c r="AN76" i="41"/>
  <c r="AM76" i="41"/>
  <c r="AL76" i="41"/>
  <c r="AK76" i="41"/>
  <c r="AJ76" i="41"/>
  <c r="AF76" i="41"/>
  <c r="AE76" i="41"/>
  <c r="AD76" i="41"/>
  <c r="AC76" i="41"/>
  <c r="V76" i="41"/>
  <c r="U76" i="41"/>
  <c r="T76" i="41"/>
  <c r="S76" i="41"/>
  <c r="R76" i="41"/>
  <c r="Q76" i="41"/>
  <c r="P76" i="41"/>
  <c r="O76" i="41"/>
  <c r="N76" i="41"/>
  <c r="M76" i="41"/>
  <c r="K76" i="41"/>
  <c r="BC75" i="41"/>
  <c r="BB75" i="41"/>
  <c r="AX75" i="41"/>
  <c r="AY75" i="41" s="1"/>
  <c r="AV75" i="41"/>
  <c r="AU75" i="41"/>
  <c r="AT75" i="41"/>
  <c r="AS75" i="41"/>
  <c r="AN75" i="41"/>
  <c r="AM75" i="41"/>
  <c r="AL75" i="41"/>
  <c r="AK75" i="41"/>
  <c r="AJ75" i="41"/>
  <c r="AO75" i="41" s="1"/>
  <c r="AF75" i="41"/>
  <c r="AE75" i="41"/>
  <c r="AD75" i="41"/>
  <c r="AC75" i="41"/>
  <c r="V75" i="41"/>
  <c r="U75" i="41"/>
  <c r="T75" i="41"/>
  <c r="S75" i="41"/>
  <c r="R75" i="41"/>
  <c r="Q75" i="41"/>
  <c r="P75" i="41"/>
  <c r="O75" i="41"/>
  <c r="N75" i="41"/>
  <c r="M75" i="41"/>
  <c r="K75" i="41"/>
  <c r="BB74" i="41"/>
  <c r="AV74" i="41"/>
  <c r="AU74" i="41"/>
  <c r="AT74" i="41"/>
  <c r="AS74" i="41"/>
  <c r="AN74" i="41"/>
  <c r="AM74" i="41"/>
  <c r="AO74" i="41" s="1"/>
  <c r="AL74" i="41"/>
  <c r="AK74" i="41"/>
  <c r="AJ74" i="41"/>
  <c r="AF74" i="41"/>
  <c r="AE74" i="41"/>
  <c r="AD74" i="41"/>
  <c r="AC74" i="41"/>
  <c r="V74" i="41"/>
  <c r="T74" i="41"/>
  <c r="U74" i="41" s="1"/>
  <c r="S74" i="41"/>
  <c r="R74" i="41"/>
  <c r="Q74" i="41"/>
  <c r="P74" i="41"/>
  <c r="O74" i="41"/>
  <c r="N74" i="41"/>
  <c r="M74" i="41"/>
  <c r="K74" i="41"/>
  <c r="BC73" i="41"/>
  <c r="BB73" i="41"/>
  <c r="AX73" i="41"/>
  <c r="AY73" i="41" s="1"/>
  <c r="AV73" i="41"/>
  <c r="AU73" i="41"/>
  <c r="AT73" i="41"/>
  <c r="AS73" i="41"/>
  <c r="AN73" i="41"/>
  <c r="AM73" i="41"/>
  <c r="AL73" i="41"/>
  <c r="AK73" i="41"/>
  <c r="AJ73" i="41"/>
  <c r="AO73" i="41" s="1"/>
  <c r="AF73" i="41"/>
  <c r="AE73" i="41"/>
  <c r="AD73" i="41"/>
  <c r="AC73" i="41"/>
  <c r="V73" i="41"/>
  <c r="U73" i="41"/>
  <c r="T73" i="41"/>
  <c r="S73" i="41"/>
  <c r="R73" i="41"/>
  <c r="Q73" i="41"/>
  <c r="P73" i="41"/>
  <c r="O73" i="41"/>
  <c r="N73" i="41"/>
  <c r="M73" i="41"/>
  <c r="K73" i="41"/>
  <c r="BB72" i="41"/>
  <c r="AV72" i="41"/>
  <c r="AU72" i="41"/>
  <c r="AT72" i="41"/>
  <c r="AS72" i="41"/>
  <c r="BC72" i="41" s="1"/>
  <c r="AN72" i="41"/>
  <c r="AM72" i="41"/>
  <c r="AL72" i="41"/>
  <c r="AK72" i="41"/>
  <c r="AJ72" i="41"/>
  <c r="AF72" i="41"/>
  <c r="AE72" i="41"/>
  <c r="AD72" i="41"/>
  <c r="AC72" i="41"/>
  <c r="V72" i="41"/>
  <c r="T72" i="41"/>
  <c r="U72" i="41" s="1"/>
  <c r="S72" i="41"/>
  <c r="R72" i="41"/>
  <c r="Q72" i="41"/>
  <c r="P72" i="41"/>
  <c r="O72" i="41"/>
  <c r="N72" i="41"/>
  <c r="M72" i="41"/>
  <c r="K72" i="41"/>
  <c r="BC71" i="41"/>
  <c r="BB71" i="41"/>
  <c r="AX71" i="41"/>
  <c r="AY71" i="41" s="1"/>
  <c r="AV71" i="41"/>
  <c r="AZ71" i="41" s="1"/>
  <c r="AU71" i="41"/>
  <c r="AT71" i="41"/>
  <c r="AS71" i="41"/>
  <c r="AN71" i="41"/>
  <c r="AM71" i="41"/>
  <c r="AL71" i="41"/>
  <c r="AO71" i="41" s="1"/>
  <c r="AK71" i="41"/>
  <c r="AJ71" i="41"/>
  <c r="AF71" i="41"/>
  <c r="AE71" i="41"/>
  <c r="AD71" i="41"/>
  <c r="AC71" i="41"/>
  <c r="V71" i="41"/>
  <c r="T71" i="41"/>
  <c r="U71" i="41" s="1"/>
  <c r="S71" i="41"/>
  <c r="R71" i="41"/>
  <c r="Q71" i="41"/>
  <c r="P71" i="41"/>
  <c r="O71" i="41"/>
  <c r="N71" i="41"/>
  <c r="M71" i="41"/>
  <c r="K71" i="41"/>
  <c r="BC70" i="41"/>
  <c r="BB70" i="41"/>
  <c r="AV70" i="41"/>
  <c r="AU70" i="41"/>
  <c r="AT70" i="41"/>
  <c r="AS70" i="41"/>
  <c r="AX70" i="41" s="1"/>
  <c r="AO70" i="41"/>
  <c r="AN70" i="41"/>
  <c r="AM70" i="41"/>
  <c r="AL70" i="41"/>
  <c r="AK70" i="41"/>
  <c r="AJ70" i="41"/>
  <c r="AF70" i="41"/>
  <c r="AE70" i="41"/>
  <c r="AD70" i="41"/>
  <c r="AC70" i="41"/>
  <c r="V70" i="41"/>
  <c r="T70" i="41"/>
  <c r="U70" i="41" s="1"/>
  <c r="S70" i="41"/>
  <c r="R70" i="41"/>
  <c r="Q70" i="41"/>
  <c r="P70" i="41"/>
  <c r="O70" i="41"/>
  <c r="N70" i="41"/>
  <c r="M70" i="41"/>
  <c r="K70" i="41"/>
  <c r="BB69" i="41"/>
  <c r="AX69" i="41"/>
  <c r="AY69" i="41" s="1"/>
  <c r="AV69" i="41"/>
  <c r="AU69" i="41"/>
  <c r="AT69" i="41"/>
  <c r="AS69" i="41"/>
  <c r="BC69" i="41" s="1"/>
  <c r="AN69" i="41"/>
  <c r="AM69" i="41"/>
  <c r="AL69" i="41"/>
  <c r="AK69" i="41"/>
  <c r="AJ69" i="41"/>
  <c r="AO69" i="41" s="1"/>
  <c r="AF69" i="41"/>
  <c r="AE69" i="41"/>
  <c r="AD69" i="41"/>
  <c r="AC69" i="41"/>
  <c r="V69" i="41"/>
  <c r="U69" i="41"/>
  <c r="T69" i="41"/>
  <c r="S69" i="41"/>
  <c r="R69" i="41"/>
  <c r="Q69" i="41"/>
  <c r="P69" i="41"/>
  <c r="O69" i="41"/>
  <c r="N69" i="41"/>
  <c r="M69" i="41"/>
  <c r="K69" i="41"/>
  <c r="BC68" i="41"/>
  <c r="BB68" i="41"/>
  <c r="AV68" i="41"/>
  <c r="AU68" i="41"/>
  <c r="AT68" i="41"/>
  <c r="AS68" i="41"/>
  <c r="AX68" i="41" s="1"/>
  <c r="AY68" i="41" s="1"/>
  <c r="AO68" i="41"/>
  <c r="AN68" i="41"/>
  <c r="AM68" i="41"/>
  <c r="AL68" i="41"/>
  <c r="AK68" i="41"/>
  <c r="AJ68" i="41"/>
  <c r="AF68" i="41"/>
  <c r="AE68" i="41"/>
  <c r="AD68" i="41"/>
  <c r="AC68" i="41"/>
  <c r="V68" i="41"/>
  <c r="U68" i="41"/>
  <c r="T68" i="41"/>
  <c r="S68" i="41"/>
  <c r="R68" i="41"/>
  <c r="Q68" i="41"/>
  <c r="P68" i="41"/>
  <c r="O68" i="41"/>
  <c r="N68" i="41"/>
  <c r="M68" i="41"/>
  <c r="K68" i="41"/>
  <c r="BC67" i="41"/>
  <c r="BB67" i="41"/>
  <c r="AX67" i="41"/>
  <c r="AY67" i="41" s="1"/>
  <c r="AV67" i="41"/>
  <c r="AU67" i="41"/>
  <c r="AT67" i="41"/>
  <c r="AS67" i="41"/>
  <c r="AN67" i="41"/>
  <c r="AM67" i="41"/>
  <c r="AL67" i="41"/>
  <c r="AK67" i="41"/>
  <c r="AJ67" i="41"/>
  <c r="AO67" i="41" s="1"/>
  <c r="AF67" i="41"/>
  <c r="AE67" i="41"/>
  <c r="AD67" i="41"/>
  <c r="AC67" i="41"/>
  <c r="V67" i="41"/>
  <c r="T67" i="41"/>
  <c r="U67" i="41" s="1"/>
  <c r="S67" i="41"/>
  <c r="R67" i="41"/>
  <c r="Q67" i="41"/>
  <c r="P67" i="41"/>
  <c r="O67" i="41"/>
  <c r="N67" i="41"/>
  <c r="M67" i="41"/>
  <c r="K67" i="41"/>
  <c r="BB66" i="41"/>
  <c r="AV66" i="41"/>
  <c r="AU66" i="41"/>
  <c r="AT66" i="41"/>
  <c r="AS66" i="41"/>
  <c r="AN66" i="41"/>
  <c r="AM66" i="41"/>
  <c r="AL66" i="41"/>
  <c r="AK66" i="41"/>
  <c r="AJ66" i="41"/>
  <c r="AF66" i="41"/>
  <c r="AE66" i="41"/>
  <c r="AD66" i="41"/>
  <c r="AC66" i="41"/>
  <c r="V66" i="41"/>
  <c r="T66" i="41"/>
  <c r="U66" i="41" s="1"/>
  <c r="S66" i="41"/>
  <c r="R66" i="41"/>
  <c r="Q66" i="41"/>
  <c r="P66" i="41"/>
  <c r="O66" i="41"/>
  <c r="N66" i="41"/>
  <c r="M66" i="41"/>
  <c r="K66" i="41"/>
  <c r="BC65" i="41"/>
  <c r="BB65" i="41"/>
  <c r="AY65" i="41"/>
  <c r="AX65" i="41"/>
  <c r="AV65" i="41"/>
  <c r="AU65" i="41"/>
  <c r="AT65" i="41"/>
  <c r="AS65" i="41"/>
  <c r="AN65" i="41"/>
  <c r="AM65" i="41"/>
  <c r="AL65" i="41"/>
  <c r="AK65" i="41"/>
  <c r="AJ65" i="41"/>
  <c r="AO65" i="41" s="1"/>
  <c r="AF65" i="41"/>
  <c r="AE65" i="41"/>
  <c r="AD65" i="41"/>
  <c r="AC65" i="41"/>
  <c r="V65" i="41"/>
  <c r="U65" i="41"/>
  <c r="T65" i="41"/>
  <c r="S65" i="41"/>
  <c r="R65" i="41"/>
  <c r="Q65" i="41"/>
  <c r="P65" i="41"/>
  <c r="O65" i="41"/>
  <c r="N65" i="41"/>
  <c r="M65" i="41"/>
  <c r="K65" i="41"/>
  <c r="BB64" i="41"/>
  <c r="AV64" i="41"/>
  <c r="AU64" i="41"/>
  <c r="AT64" i="41"/>
  <c r="AS64" i="41"/>
  <c r="BC64" i="41" s="1"/>
  <c r="AN64" i="41"/>
  <c r="AM64" i="41"/>
  <c r="AL64" i="41"/>
  <c r="AK64" i="41"/>
  <c r="AJ64" i="41"/>
  <c r="AF64" i="41"/>
  <c r="AE64" i="41"/>
  <c r="AD64" i="41"/>
  <c r="AC64" i="41"/>
  <c r="V64" i="41"/>
  <c r="T64" i="41"/>
  <c r="U64" i="41" s="1"/>
  <c r="S64" i="41"/>
  <c r="R64" i="41"/>
  <c r="Q64" i="41"/>
  <c r="P64" i="41"/>
  <c r="O64" i="41"/>
  <c r="N64" i="41"/>
  <c r="M64" i="41"/>
  <c r="K64" i="41"/>
  <c r="BB63" i="41"/>
  <c r="AX63" i="41"/>
  <c r="AY63" i="41" s="1"/>
  <c r="AV63" i="41"/>
  <c r="AU63" i="41"/>
  <c r="AT63" i="41"/>
  <c r="AZ63" i="41" s="1"/>
  <c r="AS63" i="41"/>
  <c r="BC63" i="41" s="1"/>
  <c r="AN63" i="41"/>
  <c r="AM63" i="41"/>
  <c r="AL63" i="41"/>
  <c r="AO63" i="41" s="1"/>
  <c r="BA63" i="41" s="1"/>
  <c r="AK63" i="41"/>
  <c r="AJ63" i="41"/>
  <c r="AF63" i="41"/>
  <c r="AE63" i="41"/>
  <c r="AD63" i="41"/>
  <c r="AC63" i="41"/>
  <c r="V63" i="41"/>
  <c r="T63" i="41"/>
  <c r="U63" i="41" s="1"/>
  <c r="S63" i="41"/>
  <c r="R63" i="41"/>
  <c r="Q63" i="41"/>
  <c r="P63" i="41"/>
  <c r="O63" i="41"/>
  <c r="N63" i="41"/>
  <c r="M63" i="41"/>
  <c r="K63" i="41"/>
  <c r="BC62" i="41"/>
  <c r="BB62" i="41"/>
  <c r="AV62" i="41"/>
  <c r="AU62" i="41"/>
  <c r="AT62" i="41"/>
  <c r="AS62" i="41"/>
  <c r="AX62" i="41" s="1"/>
  <c r="AN62" i="41"/>
  <c r="AM62" i="41"/>
  <c r="AL62" i="41"/>
  <c r="AK62" i="41"/>
  <c r="AJ62" i="41"/>
  <c r="AF62" i="41"/>
  <c r="AE62" i="41"/>
  <c r="AD62" i="41"/>
  <c r="AC62" i="41"/>
  <c r="V62" i="41"/>
  <c r="T62" i="41"/>
  <c r="U62" i="41" s="1"/>
  <c r="S62" i="41"/>
  <c r="R62" i="41"/>
  <c r="Q62" i="41"/>
  <c r="P62" i="41"/>
  <c r="O62" i="41"/>
  <c r="N62" i="41"/>
  <c r="M62" i="41"/>
  <c r="K62" i="41"/>
  <c r="BB61" i="41"/>
  <c r="AY61" i="41"/>
  <c r="AX61" i="41"/>
  <c r="AV61" i="41"/>
  <c r="AZ61" i="41" s="1"/>
  <c r="BA61" i="41" s="1"/>
  <c r="AU61" i="41"/>
  <c r="AT61" i="41"/>
  <c r="AS61" i="41"/>
  <c r="BC61" i="41" s="1"/>
  <c r="AN61" i="41"/>
  <c r="AM61" i="41"/>
  <c r="AL61" i="41"/>
  <c r="AK61" i="41"/>
  <c r="AJ61" i="41"/>
  <c r="AO61" i="41" s="1"/>
  <c r="AF61" i="41"/>
  <c r="AE61" i="41"/>
  <c r="AD61" i="41"/>
  <c r="AC61" i="41"/>
  <c r="V61" i="41"/>
  <c r="U61" i="41"/>
  <c r="T61" i="41"/>
  <c r="S61" i="41"/>
  <c r="R61" i="41"/>
  <c r="Q61" i="41"/>
  <c r="P61" i="41"/>
  <c r="O61" i="41"/>
  <c r="N61" i="41"/>
  <c r="M61" i="41"/>
  <c r="K61" i="41"/>
  <c r="BC60" i="41"/>
  <c r="BB60" i="41"/>
  <c r="AV60" i="41"/>
  <c r="AU60" i="41"/>
  <c r="AT60" i="41"/>
  <c r="AS60" i="41"/>
  <c r="AX60" i="41" s="1"/>
  <c r="AO60" i="41"/>
  <c r="AN60" i="41"/>
  <c r="AM60" i="41"/>
  <c r="AL60" i="41"/>
  <c r="AK60" i="41"/>
  <c r="AJ60" i="41"/>
  <c r="AF60" i="41"/>
  <c r="AE60" i="41"/>
  <c r="AD60" i="41"/>
  <c r="AC60" i="41"/>
  <c r="V60" i="41"/>
  <c r="U60" i="41"/>
  <c r="T60" i="41"/>
  <c r="S60" i="41"/>
  <c r="R60" i="41"/>
  <c r="Q60" i="41"/>
  <c r="P60" i="41"/>
  <c r="O60" i="41"/>
  <c r="N60" i="41"/>
  <c r="M60" i="41"/>
  <c r="K60" i="41"/>
  <c r="BC59" i="41"/>
  <c r="BB59" i="41"/>
  <c r="AX59" i="41"/>
  <c r="AY59" i="41" s="1"/>
  <c r="AV59" i="41"/>
  <c r="AU59" i="41"/>
  <c r="AT59" i="41"/>
  <c r="AS59" i="41"/>
  <c r="AN59" i="41"/>
  <c r="AM59" i="41"/>
  <c r="AL59" i="41"/>
  <c r="AK59" i="41"/>
  <c r="AJ59" i="41"/>
  <c r="AO59" i="41" s="1"/>
  <c r="AF59" i="41"/>
  <c r="AE59" i="41"/>
  <c r="AD59" i="41"/>
  <c r="AC59" i="41"/>
  <c r="V59" i="41"/>
  <c r="U59" i="41"/>
  <c r="T59" i="41"/>
  <c r="S59" i="41"/>
  <c r="R59" i="41"/>
  <c r="Q59" i="41"/>
  <c r="P59" i="41"/>
  <c r="O59" i="41"/>
  <c r="N59" i="41"/>
  <c r="M59" i="41"/>
  <c r="K59" i="41"/>
  <c r="BB58" i="41"/>
  <c r="AV58" i="41"/>
  <c r="AU58" i="41"/>
  <c r="AT58" i="41"/>
  <c r="AS58" i="41"/>
  <c r="AN58" i="41"/>
  <c r="AM58" i="41"/>
  <c r="AO58" i="41" s="1"/>
  <c r="AL58" i="41"/>
  <c r="AK58" i="41"/>
  <c r="AJ58" i="41"/>
  <c r="AF58" i="41"/>
  <c r="AE58" i="41"/>
  <c r="AD58" i="41"/>
  <c r="AC58" i="41"/>
  <c r="V58" i="41"/>
  <c r="T58" i="41"/>
  <c r="U58" i="41" s="1"/>
  <c r="S58" i="41"/>
  <c r="R58" i="41"/>
  <c r="Q58" i="41"/>
  <c r="P58" i="41"/>
  <c r="O58" i="41"/>
  <c r="N58" i="41"/>
  <c r="M58" i="41"/>
  <c r="K58" i="41"/>
  <c r="BC57" i="41"/>
  <c r="BB57" i="41"/>
  <c r="AX57" i="41"/>
  <c r="AY57" i="41" s="1"/>
  <c r="AV57" i="41"/>
  <c r="AU57" i="41"/>
  <c r="AZ57" i="41" s="1"/>
  <c r="BA57" i="41" s="1"/>
  <c r="BD57" i="41" s="1"/>
  <c r="BE57" i="41" s="1"/>
  <c r="AT57" i="41"/>
  <c r="AS57" i="41"/>
  <c r="AN57" i="41"/>
  <c r="AM57" i="41"/>
  <c r="AL57" i="41"/>
  <c r="AK57" i="41"/>
  <c r="AJ57" i="41"/>
  <c r="AO57" i="41" s="1"/>
  <c r="AF57" i="41"/>
  <c r="AE57" i="41"/>
  <c r="AD57" i="41"/>
  <c r="AC57" i="41"/>
  <c r="V57" i="41"/>
  <c r="U57" i="41"/>
  <c r="T57" i="41"/>
  <c r="S57" i="41"/>
  <c r="R57" i="41"/>
  <c r="Q57" i="41"/>
  <c r="P57" i="41"/>
  <c r="O57" i="41"/>
  <c r="N57" i="41"/>
  <c r="M57" i="41"/>
  <c r="K57" i="41"/>
  <c r="BB56" i="41"/>
  <c r="AV56" i="41"/>
  <c r="AU56" i="41"/>
  <c r="AT56" i="41"/>
  <c r="AS56" i="41"/>
  <c r="BC56" i="41" s="1"/>
  <c r="AN56" i="41"/>
  <c r="AM56" i="41"/>
  <c r="AL56" i="41"/>
  <c r="AK56" i="41"/>
  <c r="AJ56" i="41"/>
  <c r="AO56" i="41" s="1"/>
  <c r="AF56" i="41"/>
  <c r="AE56" i="41"/>
  <c r="AD56" i="41"/>
  <c r="AC56" i="41"/>
  <c r="V56" i="41"/>
  <c r="T56" i="41"/>
  <c r="U56" i="41" s="1"/>
  <c r="S56" i="41"/>
  <c r="R56" i="41"/>
  <c r="Q56" i="41"/>
  <c r="P56" i="41"/>
  <c r="O56" i="41"/>
  <c r="N56" i="41"/>
  <c r="M56" i="41"/>
  <c r="K56" i="41"/>
  <c r="BB55" i="41"/>
  <c r="AV55" i="41"/>
  <c r="AU55" i="41"/>
  <c r="AT55" i="41"/>
  <c r="AZ55" i="41" s="1"/>
  <c r="AS55" i="41"/>
  <c r="AX55" i="41" s="1"/>
  <c r="AY55" i="41" s="1"/>
  <c r="AN55" i="41"/>
  <c r="AM55" i="41"/>
  <c r="AL55" i="41"/>
  <c r="AO55" i="41" s="1"/>
  <c r="AK55" i="41"/>
  <c r="AJ55" i="41"/>
  <c r="AF55" i="41"/>
  <c r="AE55" i="41"/>
  <c r="AD55" i="41"/>
  <c r="AC55" i="41"/>
  <c r="V55" i="41"/>
  <c r="T55" i="41"/>
  <c r="U55" i="41" s="1"/>
  <c r="S55" i="41"/>
  <c r="R55" i="41"/>
  <c r="Q55" i="41"/>
  <c r="P55" i="41"/>
  <c r="O55" i="41"/>
  <c r="N55" i="41"/>
  <c r="M55" i="41"/>
  <c r="K55" i="41"/>
  <c r="BC54" i="41"/>
  <c r="BB54" i="41"/>
  <c r="AV54" i="41"/>
  <c r="AU54" i="41"/>
  <c r="AT54" i="41"/>
  <c r="AS54" i="41"/>
  <c r="AX54" i="41" s="1"/>
  <c r="AN54" i="41"/>
  <c r="AM54" i="41"/>
  <c r="AL54" i="41"/>
  <c r="AK54" i="41"/>
  <c r="AO54" i="41" s="1"/>
  <c r="AJ54" i="41"/>
  <c r="AF54" i="41"/>
  <c r="AE54" i="41"/>
  <c r="AD54" i="41"/>
  <c r="AC54" i="41"/>
  <c r="V54" i="41"/>
  <c r="T54" i="41"/>
  <c r="U54" i="41" s="1"/>
  <c r="S54" i="41"/>
  <c r="R54" i="41"/>
  <c r="Q54" i="41"/>
  <c r="P54" i="41"/>
  <c r="O54" i="41"/>
  <c r="N54" i="41"/>
  <c r="M54" i="41"/>
  <c r="K54" i="41"/>
  <c r="BB53" i="41"/>
  <c r="AY53" i="41"/>
  <c r="AX53" i="41"/>
  <c r="AV53" i="41"/>
  <c r="AU53" i="41"/>
  <c r="AT53" i="41"/>
  <c r="AS53" i="41"/>
  <c r="BC53" i="41" s="1"/>
  <c r="AN53" i="41"/>
  <c r="AM53" i="41"/>
  <c r="AL53" i="41"/>
  <c r="AK53" i="41"/>
  <c r="AJ53" i="41"/>
  <c r="AF53" i="41"/>
  <c r="AE53" i="41"/>
  <c r="AD53" i="41"/>
  <c r="AC53" i="41"/>
  <c r="V53" i="41"/>
  <c r="U53" i="41"/>
  <c r="T53" i="41"/>
  <c r="S53" i="41"/>
  <c r="R53" i="41"/>
  <c r="Q53" i="41"/>
  <c r="P53" i="41"/>
  <c r="O53" i="41"/>
  <c r="N53" i="41"/>
  <c r="M53" i="41"/>
  <c r="K53" i="41"/>
  <c r="BC52" i="41"/>
  <c r="BB52" i="41"/>
  <c r="AV52" i="41"/>
  <c r="AU52" i="41"/>
  <c r="AT52" i="41"/>
  <c r="AS52" i="41"/>
  <c r="AX52" i="41" s="1"/>
  <c r="AY52" i="41" s="1"/>
  <c r="AO52" i="41"/>
  <c r="AN52" i="41"/>
  <c r="AM52" i="41"/>
  <c r="AL52" i="41"/>
  <c r="AK52" i="41"/>
  <c r="AJ52" i="41"/>
  <c r="AF52" i="41"/>
  <c r="AE52" i="41"/>
  <c r="AD52" i="41"/>
  <c r="AC52" i="41"/>
  <c r="V52" i="41"/>
  <c r="U52" i="41"/>
  <c r="T52" i="41"/>
  <c r="S52" i="41"/>
  <c r="R52" i="41"/>
  <c r="Q52" i="41"/>
  <c r="P52" i="41"/>
  <c r="O52" i="41"/>
  <c r="N52" i="41"/>
  <c r="M52" i="41"/>
  <c r="K52" i="41"/>
  <c r="BC51" i="41"/>
  <c r="BB51" i="41"/>
  <c r="AX51" i="41"/>
  <c r="AY51" i="41" s="1"/>
  <c r="AV51" i="41"/>
  <c r="AU51" i="41"/>
  <c r="AT51" i="41"/>
  <c r="AZ51" i="41" s="1"/>
  <c r="AS51" i="41"/>
  <c r="AN51" i="41"/>
  <c r="AM51" i="41"/>
  <c r="AL51" i="41"/>
  <c r="AK51" i="41"/>
  <c r="AJ51" i="41"/>
  <c r="AO51" i="41" s="1"/>
  <c r="AF51" i="41"/>
  <c r="AE51" i="41"/>
  <c r="AD51" i="41"/>
  <c r="AC51" i="41"/>
  <c r="V51" i="41"/>
  <c r="U51" i="41"/>
  <c r="T51" i="41"/>
  <c r="S51" i="41"/>
  <c r="R51" i="41"/>
  <c r="Q51" i="41"/>
  <c r="P51" i="41"/>
  <c r="O51" i="41"/>
  <c r="N51" i="41"/>
  <c r="M51" i="41"/>
  <c r="K51" i="41"/>
  <c r="BB50" i="41"/>
  <c r="AV50" i="41"/>
  <c r="AU50" i="41"/>
  <c r="AT50" i="41"/>
  <c r="AS50" i="41"/>
  <c r="AN50" i="41"/>
  <c r="AM50" i="41"/>
  <c r="AL50" i="41"/>
  <c r="AK50" i="41"/>
  <c r="AJ50" i="41"/>
  <c r="AO50" i="41" s="1"/>
  <c r="AF50" i="41"/>
  <c r="AE50" i="41"/>
  <c r="AD50" i="41"/>
  <c r="AC50" i="41"/>
  <c r="V50" i="41"/>
  <c r="T50" i="41"/>
  <c r="U50" i="41" s="1"/>
  <c r="S50" i="41"/>
  <c r="R50" i="41"/>
  <c r="Q50" i="41"/>
  <c r="P50" i="41"/>
  <c r="O50" i="41"/>
  <c r="N50" i="41"/>
  <c r="M50" i="41"/>
  <c r="K50" i="41"/>
  <c r="BC49" i="41"/>
  <c r="BD49" i="41" s="1"/>
  <c r="BE49" i="41" s="1"/>
  <c r="BB49" i="41"/>
  <c r="AZ49" i="41"/>
  <c r="BA49" i="41" s="1"/>
  <c r="AY49" i="41"/>
  <c r="AX49" i="41"/>
  <c r="AV49" i="41"/>
  <c r="AU49" i="41"/>
  <c r="AT49" i="41"/>
  <c r="AS49" i="41"/>
  <c r="AN49" i="41"/>
  <c r="AM49" i="41"/>
  <c r="AL49" i="41"/>
  <c r="AK49" i="41"/>
  <c r="AJ49" i="41"/>
  <c r="AO49" i="41" s="1"/>
  <c r="AF49" i="41"/>
  <c r="AE49" i="41"/>
  <c r="AD49" i="41"/>
  <c r="AC49" i="41"/>
  <c r="V49" i="41"/>
  <c r="U49" i="41"/>
  <c r="T49" i="41"/>
  <c r="S49" i="41"/>
  <c r="R49" i="41"/>
  <c r="Q49" i="41"/>
  <c r="P49" i="41"/>
  <c r="O49" i="41"/>
  <c r="N49" i="41"/>
  <c r="M49" i="41"/>
  <c r="K49" i="41"/>
  <c r="BB48" i="41"/>
  <c r="AY48" i="41"/>
  <c r="AX48" i="41"/>
  <c r="AV48" i="41"/>
  <c r="AU48" i="41"/>
  <c r="AT48" i="41"/>
  <c r="AS48" i="41"/>
  <c r="BC48" i="41" s="1"/>
  <c r="AN48" i="41"/>
  <c r="AM48" i="41"/>
  <c r="AL48" i="41"/>
  <c r="AK48" i="41"/>
  <c r="AJ48" i="41"/>
  <c r="AO48" i="41" s="1"/>
  <c r="AF48" i="41"/>
  <c r="AE48" i="41"/>
  <c r="AD48" i="41"/>
  <c r="AC48" i="41"/>
  <c r="V48" i="41"/>
  <c r="U48" i="41"/>
  <c r="T48" i="41"/>
  <c r="S48" i="41"/>
  <c r="R48" i="41"/>
  <c r="Q48" i="41"/>
  <c r="P48" i="41"/>
  <c r="O48" i="41"/>
  <c r="N48" i="41"/>
  <c r="M48" i="41"/>
  <c r="K48" i="41"/>
  <c r="BB47" i="41"/>
  <c r="AV47" i="41"/>
  <c r="AU47" i="41"/>
  <c r="AT47" i="41"/>
  <c r="AS47" i="41"/>
  <c r="AO47" i="41"/>
  <c r="AN47" i="41"/>
  <c r="AM47" i="41"/>
  <c r="AL47" i="41"/>
  <c r="AK47" i="41"/>
  <c r="AJ47" i="41"/>
  <c r="AF47" i="41"/>
  <c r="AE47" i="41"/>
  <c r="AD47" i="41"/>
  <c r="AC47" i="41"/>
  <c r="V47" i="41"/>
  <c r="T47" i="41"/>
  <c r="U47" i="41" s="1"/>
  <c r="S47" i="41"/>
  <c r="R47" i="41"/>
  <c r="Q47" i="41"/>
  <c r="P47" i="41"/>
  <c r="O47" i="41"/>
  <c r="N47" i="41"/>
  <c r="M47" i="41"/>
  <c r="K47" i="41"/>
  <c r="BC46" i="41"/>
  <c r="BB46" i="41"/>
  <c r="AV46" i="41"/>
  <c r="AU46" i="41"/>
  <c r="AT46" i="41"/>
  <c r="AS46" i="41"/>
  <c r="AX46" i="41" s="1"/>
  <c r="AN46" i="41"/>
  <c r="AM46" i="41"/>
  <c r="AL46" i="41"/>
  <c r="AK46" i="41"/>
  <c r="AJ46" i="41"/>
  <c r="AO46" i="41" s="1"/>
  <c r="AF46" i="41"/>
  <c r="AE46" i="41"/>
  <c r="AD46" i="41"/>
  <c r="AC46" i="41"/>
  <c r="V46" i="41"/>
  <c r="T46" i="41"/>
  <c r="U46" i="41" s="1"/>
  <c r="S46" i="41"/>
  <c r="R46" i="41"/>
  <c r="Q46" i="41"/>
  <c r="P46" i="41"/>
  <c r="O46" i="41"/>
  <c r="N46" i="41"/>
  <c r="M46" i="41"/>
  <c r="K46" i="41"/>
  <c r="BB45" i="41"/>
  <c r="AX45" i="41"/>
  <c r="AY45" i="41" s="1"/>
  <c r="AV45" i="41"/>
  <c r="AZ45" i="41" s="1"/>
  <c r="AU45" i="41"/>
  <c r="AT45" i="41"/>
  <c r="AS45" i="41"/>
  <c r="BC45" i="41" s="1"/>
  <c r="AN45" i="41"/>
  <c r="AM45" i="41"/>
  <c r="AL45" i="41"/>
  <c r="AK45" i="41"/>
  <c r="AJ45" i="41"/>
  <c r="AF45" i="41"/>
  <c r="AE45" i="41"/>
  <c r="AD45" i="41"/>
  <c r="AC45" i="41"/>
  <c r="V45" i="41"/>
  <c r="U45" i="41"/>
  <c r="T45" i="41"/>
  <c r="S45" i="41"/>
  <c r="R45" i="41"/>
  <c r="Q45" i="41"/>
  <c r="P45" i="41"/>
  <c r="O45" i="41"/>
  <c r="N45" i="41"/>
  <c r="M45" i="41"/>
  <c r="K45" i="41"/>
  <c r="BC44" i="41"/>
  <c r="BB44" i="41"/>
  <c r="AY44" i="41"/>
  <c r="AZ44" i="41" s="1"/>
  <c r="BA44" i="41" s="1"/>
  <c r="AX44" i="41"/>
  <c r="AV44" i="41"/>
  <c r="AU44" i="41"/>
  <c r="AT44" i="41"/>
  <c r="AS44" i="41"/>
  <c r="AO44" i="41"/>
  <c r="AN44" i="41"/>
  <c r="AM44" i="41"/>
  <c r="AL44" i="41"/>
  <c r="AK44" i="41"/>
  <c r="AJ44" i="41"/>
  <c r="AF44" i="41"/>
  <c r="AE44" i="41"/>
  <c r="AD44" i="41"/>
  <c r="AC44" i="41"/>
  <c r="V44" i="41"/>
  <c r="U44" i="41"/>
  <c r="T44" i="41"/>
  <c r="S44" i="41"/>
  <c r="R44" i="41"/>
  <c r="Q44" i="41"/>
  <c r="P44" i="41"/>
  <c r="O44" i="41"/>
  <c r="N44" i="41"/>
  <c r="M44" i="41"/>
  <c r="K44" i="41"/>
  <c r="BC43" i="41"/>
  <c r="BB43" i="41"/>
  <c r="AV43" i="41"/>
  <c r="AU43" i="41"/>
  <c r="AT43" i="41"/>
  <c r="AS43" i="41"/>
  <c r="AX43" i="41" s="1"/>
  <c r="AY43" i="41" s="1"/>
  <c r="AO43" i="41"/>
  <c r="AN43" i="41"/>
  <c r="AM43" i="41"/>
  <c r="AL43" i="41"/>
  <c r="AK43" i="41"/>
  <c r="AJ43" i="41"/>
  <c r="AF43" i="41"/>
  <c r="AE43" i="41"/>
  <c r="AD43" i="41"/>
  <c r="AC43" i="41"/>
  <c r="V43" i="41"/>
  <c r="U43" i="41"/>
  <c r="T43" i="41"/>
  <c r="S43" i="41"/>
  <c r="R43" i="41"/>
  <c r="Q43" i="41"/>
  <c r="P43" i="41"/>
  <c r="O43" i="41"/>
  <c r="N43" i="41"/>
  <c r="M43" i="41"/>
  <c r="K43" i="41"/>
  <c r="BB42" i="41"/>
  <c r="AV42" i="41"/>
  <c r="AU42" i="41"/>
  <c r="AT42" i="41"/>
  <c r="AS42" i="41"/>
  <c r="AN42" i="41"/>
  <c r="AM42" i="41"/>
  <c r="AL42" i="41"/>
  <c r="AK42" i="41"/>
  <c r="AJ42" i="41"/>
  <c r="AO42" i="41" s="1"/>
  <c r="AF42" i="41"/>
  <c r="AE42" i="41"/>
  <c r="AD42" i="41"/>
  <c r="AC42" i="41"/>
  <c r="V42" i="41"/>
  <c r="T42" i="41"/>
  <c r="U42" i="41" s="1"/>
  <c r="S42" i="41"/>
  <c r="R42" i="41"/>
  <c r="Q42" i="41"/>
  <c r="P42" i="41"/>
  <c r="O42" i="41"/>
  <c r="N42" i="41"/>
  <c r="M42" i="41"/>
  <c r="K42" i="41"/>
  <c r="BC41" i="41"/>
  <c r="BB41" i="41"/>
  <c r="AX41" i="41"/>
  <c r="AY41" i="41" s="1"/>
  <c r="AV41" i="41"/>
  <c r="AU41" i="41"/>
  <c r="AT41" i="41"/>
  <c r="AS41" i="41"/>
  <c r="AN41" i="41"/>
  <c r="AM41" i="41"/>
  <c r="AL41" i="41"/>
  <c r="AK41" i="41"/>
  <c r="AJ41" i="41"/>
  <c r="AO41" i="41" s="1"/>
  <c r="AF41" i="41"/>
  <c r="AE41" i="41"/>
  <c r="AD41" i="41"/>
  <c r="AC41" i="41"/>
  <c r="V41" i="41"/>
  <c r="U41" i="41"/>
  <c r="T41" i="41"/>
  <c r="S41" i="41"/>
  <c r="R41" i="41"/>
  <c r="Q41" i="41"/>
  <c r="P41" i="41"/>
  <c r="O41" i="41"/>
  <c r="N41" i="41"/>
  <c r="M41" i="41"/>
  <c r="K41" i="41"/>
  <c r="BB40" i="41"/>
  <c r="AY40" i="41"/>
  <c r="AX40" i="41"/>
  <c r="AV40" i="41"/>
  <c r="AU40" i="41"/>
  <c r="AT40" i="41"/>
  <c r="AS40" i="41"/>
  <c r="BC40" i="41" s="1"/>
  <c r="AN40" i="41"/>
  <c r="AM40" i="41"/>
  <c r="AL40" i="41"/>
  <c r="AK40" i="41"/>
  <c r="AJ40" i="41"/>
  <c r="AO40" i="41" s="1"/>
  <c r="AF40" i="41"/>
  <c r="AE40" i="41"/>
  <c r="AD40" i="41"/>
  <c r="AC40" i="41"/>
  <c r="V40" i="41"/>
  <c r="T40" i="41"/>
  <c r="U40" i="41" s="1"/>
  <c r="S40" i="41"/>
  <c r="R40" i="41"/>
  <c r="Q40" i="41"/>
  <c r="P40" i="41"/>
  <c r="O40" i="41"/>
  <c r="N40" i="41"/>
  <c r="M40" i="41"/>
  <c r="K40" i="41"/>
  <c r="BB39" i="41"/>
  <c r="AV39" i="41"/>
  <c r="AU39" i="41"/>
  <c r="AT39" i="41"/>
  <c r="AS39" i="41"/>
  <c r="BC39" i="41" s="1"/>
  <c r="AN39" i="41"/>
  <c r="AO39" i="41" s="1"/>
  <c r="AM39" i="41"/>
  <c r="AL39" i="41"/>
  <c r="AK39" i="41"/>
  <c r="AJ39" i="41"/>
  <c r="AF39" i="41"/>
  <c r="AE39" i="41"/>
  <c r="AD39" i="41"/>
  <c r="AC39" i="41"/>
  <c r="V39" i="41"/>
  <c r="T39" i="41"/>
  <c r="U39" i="41" s="1"/>
  <c r="S39" i="41"/>
  <c r="R39" i="41"/>
  <c r="Q39" i="41"/>
  <c r="P39" i="41"/>
  <c r="O39" i="41"/>
  <c r="N39" i="41"/>
  <c r="M39" i="41"/>
  <c r="K39" i="41"/>
  <c r="BC38" i="41"/>
  <c r="BB38" i="41"/>
  <c r="AZ38" i="41"/>
  <c r="AY38" i="41"/>
  <c r="AV38" i="41"/>
  <c r="AU38" i="41"/>
  <c r="AT38" i="41"/>
  <c r="AS38" i="41"/>
  <c r="AX38" i="41" s="1"/>
  <c r="AN38" i="41"/>
  <c r="AM38" i="41"/>
  <c r="AL38" i="41"/>
  <c r="AK38" i="41"/>
  <c r="AJ38" i="41"/>
  <c r="AO38" i="41" s="1"/>
  <c r="AF38" i="41"/>
  <c r="AE38" i="41"/>
  <c r="AD38" i="41"/>
  <c r="AC38" i="41"/>
  <c r="V38" i="41"/>
  <c r="T38" i="41"/>
  <c r="U38" i="41" s="1"/>
  <c r="S38" i="41"/>
  <c r="R38" i="41"/>
  <c r="Q38" i="41"/>
  <c r="P38" i="41"/>
  <c r="O38" i="41"/>
  <c r="N38" i="41"/>
  <c r="M38" i="41"/>
  <c r="K38" i="41"/>
  <c r="BB37" i="41"/>
  <c r="AV37" i="41"/>
  <c r="AU37" i="41"/>
  <c r="AT37" i="41"/>
  <c r="AS37" i="41"/>
  <c r="AN37" i="41"/>
  <c r="AM37" i="41"/>
  <c r="AL37" i="41"/>
  <c r="AK37" i="41"/>
  <c r="AJ37" i="41"/>
  <c r="AF37" i="41"/>
  <c r="AE37" i="41"/>
  <c r="AD37" i="41"/>
  <c r="AC37" i="41"/>
  <c r="V37" i="41"/>
  <c r="U37" i="41"/>
  <c r="T37" i="41"/>
  <c r="S37" i="41"/>
  <c r="R37" i="41"/>
  <c r="Q37" i="41"/>
  <c r="P37" i="41"/>
  <c r="O37" i="41"/>
  <c r="N37" i="41"/>
  <c r="M37" i="41"/>
  <c r="K37" i="41"/>
  <c r="BC36" i="41"/>
  <c r="BB36" i="41"/>
  <c r="AX36" i="41"/>
  <c r="AY36" i="41" s="1"/>
  <c r="AV36" i="41"/>
  <c r="AU36" i="41"/>
  <c r="AT36" i="41"/>
  <c r="AS36" i="41"/>
  <c r="AO36" i="41"/>
  <c r="AN36" i="41"/>
  <c r="AM36" i="41"/>
  <c r="AL36" i="41"/>
  <c r="AK36" i="41"/>
  <c r="AJ36" i="41"/>
  <c r="AF36" i="41"/>
  <c r="AE36" i="41"/>
  <c r="AD36" i="41"/>
  <c r="AC36" i="41"/>
  <c r="V36" i="41"/>
  <c r="U36" i="41"/>
  <c r="T36" i="41"/>
  <c r="S36" i="41"/>
  <c r="R36" i="41"/>
  <c r="Q36" i="41"/>
  <c r="P36" i="41"/>
  <c r="O36" i="41"/>
  <c r="N36" i="41"/>
  <c r="M36" i="41"/>
  <c r="K36" i="41"/>
  <c r="BB35" i="41"/>
  <c r="AV35" i="41"/>
  <c r="AU35" i="41"/>
  <c r="AT35" i="41"/>
  <c r="AS35" i="41"/>
  <c r="AX35" i="41" s="1"/>
  <c r="AY35" i="41" s="1"/>
  <c r="AN35" i="41"/>
  <c r="AO35" i="41" s="1"/>
  <c r="AM35" i="41"/>
  <c r="AL35" i="41"/>
  <c r="AK35" i="41"/>
  <c r="AJ35" i="41"/>
  <c r="AF35" i="41"/>
  <c r="AE35" i="41"/>
  <c r="AD35" i="41"/>
  <c r="AC35" i="41"/>
  <c r="V35" i="41"/>
  <c r="T35" i="41"/>
  <c r="U35" i="41" s="1"/>
  <c r="S35" i="41"/>
  <c r="R35" i="41"/>
  <c r="Q35" i="41"/>
  <c r="P35" i="41"/>
  <c r="O35" i="41"/>
  <c r="N35" i="41"/>
  <c r="M35" i="41"/>
  <c r="K35" i="41"/>
  <c r="BC34" i="41"/>
  <c r="BB34" i="41"/>
  <c r="AZ34" i="41"/>
  <c r="AV34" i="41"/>
  <c r="AU34" i="41"/>
  <c r="AT34" i="41"/>
  <c r="AS34" i="41"/>
  <c r="AX34" i="41" s="1"/>
  <c r="AY34" i="41" s="1"/>
  <c r="AN34" i="41"/>
  <c r="AM34" i="41"/>
  <c r="AL34" i="41"/>
  <c r="AK34" i="41"/>
  <c r="AJ34" i="41"/>
  <c r="AF34" i="41"/>
  <c r="AE34" i="41"/>
  <c r="AD34" i="41"/>
  <c r="AC34" i="41"/>
  <c r="V34" i="41"/>
  <c r="T34" i="41"/>
  <c r="U34" i="41" s="1"/>
  <c r="S34" i="41"/>
  <c r="R34" i="41"/>
  <c r="Q34" i="41"/>
  <c r="P34" i="41"/>
  <c r="O34" i="41"/>
  <c r="N34" i="41"/>
  <c r="M34" i="41"/>
  <c r="K34" i="41"/>
  <c r="BC33" i="41"/>
  <c r="BB33" i="41"/>
  <c r="AX33" i="41"/>
  <c r="AY33" i="41" s="1"/>
  <c r="AV33" i="41"/>
  <c r="AU33" i="41"/>
  <c r="AZ33" i="41" s="1"/>
  <c r="AT33" i="41"/>
  <c r="AS33" i="41"/>
  <c r="AN33" i="41"/>
  <c r="AM33" i="41"/>
  <c r="AL33" i="41"/>
  <c r="AK33" i="41"/>
  <c r="AJ33" i="41"/>
  <c r="AF33" i="41"/>
  <c r="AE33" i="41"/>
  <c r="AD33" i="41"/>
  <c r="AC33" i="41"/>
  <c r="V33" i="41"/>
  <c r="U33" i="41"/>
  <c r="T33" i="41"/>
  <c r="S33" i="41"/>
  <c r="R33" i="41"/>
  <c r="Q33" i="41"/>
  <c r="P33" i="41"/>
  <c r="O33" i="41"/>
  <c r="N33" i="41"/>
  <c r="M33" i="41"/>
  <c r="K33" i="41"/>
  <c r="BB32" i="41"/>
  <c r="AX32" i="41"/>
  <c r="AY32" i="41" s="1"/>
  <c r="AV32" i="41"/>
  <c r="AU32" i="41"/>
  <c r="AT32" i="41"/>
  <c r="AS32" i="41"/>
  <c r="BC32" i="41" s="1"/>
  <c r="AN32" i="41"/>
  <c r="AM32" i="41"/>
  <c r="AL32" i="41"/>
  <c r="AK32" i="41"/>
  <c r="AJ32" i="41"/>
  <c r="AO32" i="41" s="1"/>
  <c r="AF32" i="41"/>
  <c r="AE32" i="41"/>
  <c r="AD32" i="41"/>
  <c r="AC32" i="41"/>
  <c r="V32" i="41"/>
  <c r="T32" i="41"/>
  <c r="U32" i="41" s="1"/>
  <c r="S32" i="41"/>
  <c r="R32" i="41"/>
  <c r="Q32" i="41"/>
  <c r="P32" i="41"/>
  <c r="O32" i="41"/>
  <c r="N32" i="41"/>
  <c r="M32" i="41"/>
  <c r="K32" i="41"/>
  <c r="BB31" i="41"/>
  <c r="AV31" i="41"/>
  <c r="AU31" i="41"/>
  <c r="AT31" i="41"/>
  <c r="AS31" i="41"/>
  <c r="BC31" i="41" s="1"/>
  <c r="AO31" i="41"/>
  <c r="AN31" i="41"/>
  <c r="AM31" i="41"/>
  <c r="AL31" i="41"/>
  <c r="AK31" i="41"/>
  <c r="AJ31" i="41"/>
  <c r="AF31" i="41"/>
  <c r="AE31" i="41"/>
  <c r="AD31" i="41"/>
  <c r="AC31" i="41"/>
  <c r="V31" i="41"/>
  <c r="U31" i="41"/>
  <c r="T31" i="41"/>
  <c r="S31" i="41"/>
  <c r="R31" i="41"/>
  <c r="Q31" i="41"/>
  <c r="P31" i="41"/>
  <c r="O31" i="41"/>
  <c r="N31" i="41"/>
  <c r="M31" i="41"/>
  <c r="K31" i="41"/>
  <c r="BC30" i="41"/>
  <c r="BB30" i="41"/>
  <c r="AV30" i="41"/>
  <c r="AU30" i="41"/>
  <c r="AT30" i="41"/>
  <c r="AS30" i="41"/>
  <c r="AX30" i="41" s="1"/>
  <c r="AY30" i="41" s="1"/>
  <c r="AN30" i="41"/>
  <c r="AM30" i="41"/>
  <c r="AL30" i="41"/>
  <c r="AK30" i="41"/>
  <c r="AJ30" i="41"/>
  <c r="AO30" i="41" s="1"/>
  <c r="AF30" i="41"/>
  <c r="AE30" i="41"/>
  <c r="AD30" i="41"/>
  <c r="AC30" i="41"/>
  <c r="V30" i="41"/>
  <c r="T30" i="41"/>
  <c r="U30" i="41" s="1"/>
  <c r="S30" i="41"/>
  <c r="R30" i="41"/>
  <c r="Q30" i="41"/>
  <c r="P30" i="41"/>
  <c r="O30" i="41"/>
  <c r="N30" i="41"/>
  <c r="M30" i="41"/>
  <c r="K30" i="41"/>
  <c r="BB29" i="41"/>
  <c r="AY29" i="41"/>
  <c r="AX29" i="41"/>
  <c r="AV29" i="41"/>
  <c r="AZ29" i="41" s="1"/>
  <c r="BA29" i="41" s="1"/>
  <c r="AU29" i="41"/>
  <c r="AT29" i="41"/>
  <c r="AS29" i="41"/>
  <c r="BC29" i="41" s="1"/>
  <c r="AN29" i="41"/>
  <c r="AM29" i="41"/>
  <c r="AL29" i="41"/>
  <c r="AK29" i="41"/>
  <c r="AJ29" i="41"/>
  <c r="AO29" i="41" s="1"/>
  <c r="AF29" i="41"/>
  <c r="AE29" i="41"/>
  <c r="AD29" i="41"/>
  <c r="AC29" i="41"/>
  <c r="V29" i="41"/>
  <c r="U29" i="41"/>
  <c r="T29" i="41"/>
  <c r="S29" i="41"/>
  <c r="R29" i="41"/>
  <c r="Q29" i="41"/>
  <c r="P29" i="41"/>
  <c r="O29" i="41"/>
  <c r="N29" i="41"/>
  <c r="M29" i="41"/>
  <c r="K29" i="41"/>
  <c r="BC28" i="41"/>
  <c r="BB28" i="41"/>
  <c r="AV28" i="41"/>
  <c r="AU28" i="41"/>
  <c r="AT28" i="41"/>
  <c r="AS28" i="41"/>
  <c r="AX28" i="41" s="1"/>
  <c r="AN28" i="41"/>
  <c r="AM28" i="41"/>
  <c r="AL28" i="41"/>
  <c r="AK28" i="41"/>
  <c r="AO28" i="41" s="1"/>
  <c r="AJ28" i="41"/>
  <c r="AF28" i="41"/>
  <c r="AE28" i="41"/>
  <c r="AD28" i="41"/>
  <c r="AC28" i="41"/>
  <c r="V28" i="41"/>
  <c r="U28" i="41"/>
  <c r="T28" i="41"/>
  <c r="S28" i="41"/>
  <c r="R28" i="41"/>
  <c r="Q28" i="41"/>
  <c r="P28" i="41"/>
  <c r="O28" i="41"/>
  <c r="N28" i="41"/>
  <c r="M28" i="41"/>
  <c r="K28" i="41"/>
  <c r="BB27" i="41"/>
  <c r="AX27" i="41"/>
  <c r="AY27" i="41" s="1"/>
  <c r="AV27" i="41"/>
  <c r="AU27" i="41"/>
  <c r="AT27" i="41"/>
  <c r="AS27" i="41"/>
  <c r="BC27" i="41" s="1"/>
  <c r="AN27" i="41"/>
  <c r="AM27" i="41"/>
  <c r="AL27" i="41"/>
  <c r="AK27" i="41"/>
  <c r="AJ27" i="41"/>
  <c r="AO27" i="41" s="1"/>
  <c r="AF27" i="41"/>
  <c r="AE27" i="41"/>
  <c r="AD27" i="41"/>
  <c r="AC27" i="41"/>
  <c r="V27" i="41"/>
  <c r="U27" i="41"/>
  <c r="T27" i="41"/>
  <c r="S27" i="41"/>
  <c r="R27" i="41"/>
  <c r="Q27" i="41"/>
  <c r="P27" i="41"/>
  <c r="O27" i="41"/>
  <c r="N27" i="41"/>
  <c r="M27" i="41"/>
  <c r="K27" i="41"/>
  <c r="BB26" i="41"/>
  <c r="AV26" i="41"/>
  <c r="AU26" i="41"/>
  <c r="AT26" i="41"/>
  <c r="AS26" i="41"/>
  <c r="AN26" i="41"/>
  <c r="AM26" i="41"/>
  <c r="AL26" i="41"/>
  <c r="AO26" i="41" s="1"/>
  <c r="AK26" i="41"/>
  <c r="AJ26" i="41"/>
  <c r="AF26" i="41"/>
  <c r="AE26" i="41"/>
  <c r="AD26" i="41"/>
  <c r="AC26" i="41"/>
  <c r="V26" i="41"/>
  <c r="T26" i="41"/>
  <c r="U26" i="41" s="1"/>
  <c r="S26" i="41"/>
  <c r="R26" i="41"/>
  <c r="Q26" i="41"/>
  <c r="P26" i="41"/>
  <c r="O26" i="41"/>
  <c r="N26" i="41"/>
  <c r="M26" i="41"/>
  <c r="K26" i="41"/>
  <c r="BC25" i="41"/>
  <c r="BB25" i="41"/>
  <c r="AY25" i="41"/>
  <c r="AX25" i="41"/>
  <c r="AV25" i="41"/>
  <c r="AZ25" i="41" s="1"/>
  <c r="BA25" i="41" s="1"/>
  <c r="AU25" i="41"/>
  <c r="AT25" i="41"/>
  <c r="AS25" i="41"/>
  <c r="AN25" i="41"/>
  <c r="AM25" i="41"/>
  <c r="AL25" i="41"/>
  <c r="AK25" i="41"/>
  <c r="AJ25" i="41"/>
  <c r="AO25" i="41" s="1"/>
  <c r="AF25" i="41"/>
  <c r="AE25" i="41"/>
  <c r="AD25" i="41"/>
  <c r="AC25" i="41"/>
  <c r="V25" i="41"/>
  <c r="U25" i="41"/>
  <c r="T25" i="41"/>
  <c r="S25" i="41"/>
  <c r="R25" i="41"/>
  <c r="Q25" i="41"/>
  <c r="P25" i="41"/>
  <c r="O25" i="41"/>
  <c r="N25" i="41"/>
  <c r="M25" i="41"/>
  <c r="K25" i="41"/>
  <c r="BB24" i="41"/>
  <c r="AV24" i="41"/>
  <c r="AU24" i="41"/>
  <c r="AT24" i="41"/>
  <c r="AS24" i="41"/>
  <c r="BC24" i="41" s="1"/>
  <c r="AN24" i="41"/>
  <c r="AM24" i="41"/>
  <c r="AL24" i="41"/>
  <c r="AK24" i="41"/>
  <c r="AJ24" i="41"/>
  <c r="AF24" i="41"/>
  <c r="AE24" i="41"/>
  <c r="AD24" i="41"/>
  <c r="AC24" i="41"/>
  <c r="V24" i="41"/>
  <c r="T24" i="41"/>
  <c r="U24" i="41" s="1"/>
  <c r="S24" i="41"/>
  <c r="R24" i="41"/>
  <c r="Q24" i="41"/>
  <c r="P24" i="41"/>
  <c r="O24" i="41"/>
  <c r="N24" i="41"/>
  <c r="M24" i="41"/>
  <c r="K24" i="41"/>
  <c r="BC23" i="41"/>
  <c r="BB23" i="41"/>
  <c r="AX23" i="41"/>
  <c r="AY23" i="41" s="1"/>
  <c r="AV23" i="41"/>
  <c r="AZ23" i="41" s="1"/>
  <c r="AU23" i="41"/>
  <c r="AT23" i="41"/>
  <c r="AS23" i="41"/>
  <c r="AN23" i="41"/>
  <c r="AM23" i="41"/>
  <c r="AL23" i="41"/>
  <c r="AO23" i="41" s="1"/>
  <c r="AK23" i="41"/>
  <c r="AJ23" i="41"/>
  <c r="AF23" i="41"/>
  <c r="AE23" i="41"/>
  <c r="AD23" i="41"/>
  <c r="AC23" i="41"/>
  <c r="V23" i="41"/>
  <c r="T23" i="41"/>
  <c r="U23" i="41" s="1"/>
  <c r="S23" i="41"/>
  <c r="R23" i="41"/>
  <c r="Q23" i="41"/>
  <c r="P23" i="41"/>
  <c r="O23" i="41"/>
  <c r="N23" i="41"/>
  <c r="M23" i="41"/>
  <c r="K23" i="41"/>
  <c r="BC22" i="41"/>
  <c r="BB22" i="41"/>
  <c r="AV22" i="41"/>
  <c r="AU22" i="41"/>
  <c r="AT22" i="41"/>
  <c r="AS22" i="41"/>
  <c r="AX22" i="41" s="1"/>
  <c r="AY22" i="41" s="1"/>
  <c r="AN22" i="41"/>
  <c r="AO22" i="41" s="1"/>
  <c r="AM22" i="41"/>
  <c r="AL22" i="41"/>
  <c r="AK22" i="41"/>
  <c r="AJ22" i="41"/>
  <c r="AF22" i="41"/>
  <c r="AE22" i="41"/>
  <c r="AD22" i="41"/>
  <c r="AC22" i="41"/>
  <c r="V22" i="41"/>
  <c r="T22" i="41"/>
  <c r="U22" i="41" s="1"/>
  <c r="S22" i="41"/>
  <c r="R22" i="41"/>
  <c r="Q22" i="41"/>
  <c r="P22" i="41"/>
  <c r="O22" i="41"/>
  <c r="N22" i="41"/>
  <c r="M22" i="41"/>
  <c r="K22" i="41"/>
  <c r="BD21" i="41"/>
  <c r="BE21" i="41" s="1"/>
  <c r="BB21" i="41"/>
  <c r="BA21" i="41"/>
  <c r="AY21" i="41"/>
  <c r="AZ21" i="41" s="1"/>
  <c r="AX21" i="41"/>
  <c r="AV21" i="41"/>
  <c r="AU21" i="41"/>
  <c r="AT21" i="41"/>
  <c r="AS21" i="41"/>
  <c r="BC21" i="41" s="1"/>
  <c r="AN21" i="41"/>
  <c r="AM21" i="41"/>
  <c r="AL21" i="41"/>
  <c r="AK21" i="41"/>
  <c r="AJ21" i="41"/>
  <c r="AO21" i="41" s="1"/>
  <c r="AF21" i="41"/>
  <c r="AE21" i="41"/>
  <c r="AD21" i="41"/>
  <c r="AC21" i="41"/>
  <c r="V21" i="41"/>
  <c r="U21" i="41"/>
  <c r="T21" i="41"/>
  <c r="S21" i="41"/>
  <c r="R21" i="41"/>
  <c r="Q21" i="41"/>
  <c r="P21" i="41"/>
  <c r="O21" i="41"/>
  <c r="N21" i="41"/>
  <c r="M21" i="41"/>
  <c r="K21" i="41"/>
  <c r="BB20" i="41"/>
  <c r="AV20" i="41"/>
  <c r="AU20" i="41"/>
  <c r="AT20" i="41"/>
  <c r="AS20" i="41"/>
  <c r="AO20" i="41"/>
  <c r="AN20" i="41"/>
  <c r="AM20" i="41"/>
  <c r="AL20" i="41"/>
  <c r="AK20" i="41"/>
  <c r="AJ20" i="41"/>
  <c r="AF20" i="41"/>
  <c r="AE20" i="41"/>
  <c r="AD20" i="41"/>
  <c r="AC20" i="41"/>
  <c r="V20" i="41"/>
  <c r="U20" i="41"/>
  <c r="T20" i="41"/>
  <c r="S20" i="41"/>
  <c r="R20" i="41"/>
  <c r="Q20" i="41"/>
  <c r="P20" i="41"/>
  <c r="O20" i="41"/>
  <c r="N20" i="41"/>
  <c r="M20" i="41"/>
  <c r="K20" i="41"/>
  <c r="BC19" i="41"/>
  <c r="BB19" i="41"/>
  <c r="AV19" i="41"/>
  <c r="AU19" i="41"/>
  <c r="AT19" i="41"/>
  <c r="AS19" i="41"/>
  <c r="AX19" i="41" s="1"/>
  <c r="AY19" i="41" s="1"/>
  <c r="AN19" i="41"/>
  <c r="AM19" i="41"/>
  <c r="AL19" i="41"/>
  <c r="AK19" i="41"/>
  <c r="AJ19" i="41"/>
  <c r="AF19" i="41"/>
  <c r="AE19" i="41"/>
  <c r="AD19" i="41"/>
  <c r="AC19" i="41"/>
  <c r="V19" i="41"/>
  <c r="T19" i="41"/>
  <c r="U19" i="41" s="1"/>
  <c r="S19" i="41"/>
  <c r="R19" i="41"/>
  <c r="Q19" i="41"/>
  <c r="P19" i="41"/>
  <c r="O19" i="41"/>
  <c r="N19" i="41"/>
  <c r="M19" i="41"/>
  <c r="K19" i="41"/>
  <c r="BB18" i="41"/>
  <c r="AV18" i="41"/>
  <c r="AU18" i="41"/>
  <c r="AT18" i="41"/>
  <c r="AS18" i="41"/>
  <c r="AO18" i="41"/>
  <c r="AN18" i="41"/>
  <c r="AM18" i="41"/>
  <c r="AL18" i="41"/>
  <c r="AK18" i="41"/>
  <c r="AJ18" i="41"/>
  <c r="AF18" i="41"/>
  <c r="AE18" i="41"/>
  <c r="AD18" i="41"/>
  <c r="AC18" i="41"/>
  <c r="V18" i="41"/>
  <c r="T18" i="41"/>
  <c r="U18" i="41" s="1"/>
  <c r="S18" i="41"/>
  <c r="R18" i="41"/>
  <c r="Q18" i="41"/>
  <c r="P18" i="41"/>
  <c r="O18" i="41"/>
  <c r="N18" i="41"/>
  <c r="M18" i="41"/>
  <c r="K18" i="41"/>
  <c r="BC17" i="41"/>
  <c r="BB17" i="41"/>
  <c r="AX17" i="41"/>
  <c r="AY17" i="41" s="1"/>
  <c r="AZ17" i="41" s="1"/>
  <c r="AV17" i="41"/>
  <c r="AU17" i="41"/>
  <c r="AT17" i="41"/>
  <c r="AS17" i="41"/>
  <c r="AN17" i="41"/>
  <c r="AM17" i="41"/>
  <c r="AL17" i="41"/>
  <c r="AK17" i="41"/>
  <c r="AJ17" i="41"/>
  <c r="AF17" i="41"/>
  <c r="AE17" i="41"/>
  <c r="AD17" i="41"/>
  <c r="AC17" i="41"/>
  <c r="V17" i="41"/>
  <c r="U17" i="41"/>
  <c r="T17" i="41"/>
  <c r="S17" i="41"/>
  <c r="R17" i="41"/>
  <c r="Q17" i="41"/>
  <c r="P17" i="41"/>
  <c r="O17" i="41"/>
  <c r="N17" i="41"/>
  <c r="M17" i="41"/>
  <c r="K17" i="41"/>
  <c r="BB16" i="41"/>
  <c r="AV16" i="41"/>
  <c r="AU16" i="41"/>
  <c r="AT16" i="41"/>
  <c r="AS16" i="41"/>
  <c r="BC16" i="41" s="1"/>
  <c r="AN16" i="41"/>
  <c r="AM16" i="41"/>
  <c r="AL16" i="41"/>
  <c r="AK16" i="41"/>
  <c r="AJ16" i="41"/>
  <c r="AO16" i="41" s="1"/>
  <c r="AF16" i="41"/>
  <c r="AE16" i="41"/>
  <c r="AD16" i="41"/>
  <c r="AC16" i="41"/>
  <c r="V16" i="41"/>
  <c r="T16" i="41"/>
  <c r="U16" i="41" s="1"/>
  <c r="S16" i="41"/>
  <c r="R16" i="41"/>
  <c r="Q16" i="41"/>
  <c r="P16" i="41"/>
  <c r="O16" i="41"/>
  <c r="N16" i="41"/>
  <c r="M16" i="41"/>
  <c r="K16" i="41"/>
  <c r="BC15" i="41"/>
  <c r="BB15" i="41"/>
  <c r="AV15" i="41"/>
  <c r="AU15" i="41"/>
  <c r="AT15" i="41"/>
  <c r="AS15" i="41"/>
  <c r="AX15" i="41" s="1"/>
  <c r="AY15" i="41" s="1"/>
  <c r="AN15" i="41"/>
  <c r="AM15" i="41"/>
  <c r="AL15" i="41"/>
  <c r="AO15" i="41" s="1"/>
  <c r="AK15" i="41"/>
  <c r="AJ15" i="41"/>
  <c r="AF15" i="41"/>
  <c r="AE15" i="41"/>
  <c r="AD15" i="41"/>
  <c r="AC15" i="41"/>
  <c r="V15" i="41"/>
  <c r="T15" i="41"/>
  <c r="U15" i="41" s="1"/>
  <c r="S15" i="41"/>
  <c r="R15" i="41"/>
  <c r="Q15" i="41"/>
  <c r="P15" i="41"/>
  <c r="O15" i="41"/>
  <c r="N15" i="41"/>
  <c r="M15" i="41"/>
  <c r="K15" i="41"/>
  <c r="BC14" i="41"/>
  <c r="BB14" i="41"/>
  <c r="AY14" i="41"/>
  <c r="AZ14" i="41" s="1"/>
  <c r="AV14" i="41"/>
  <c r="AU14" i="41"/>
  <c r="AT14" i="41"/>
  <c r="AS14" i="41"/>
  <c r="AX14" i="41" s="1"/>
  <c r="AN14" i="41"/>
  <c r="AM14" i="41"/>
  <c r="AL14" i="41"/>
  <c r="AK14" i="41"/>
  <c r="AJ14" i="41"/>
  <c r="AO14" i="41" s="1"/>
  <c r="BA14" i="41" s="1"/>
  <c r="AF14" i="41"/>
  <c r="AE14" i="41"/>
  <c r="AD14" i="41"/>
  <c r="AC14" i="41"/>
  <c r="V14" i="41"/>
  <c r="T14" i="41"/>
  <c r="U14" i="41" s="1"/>
  <c r="S14" i="41"/>
  <c r="R14" i="41"/>
  <c r="Q14" i="41"/>
  <c r="P14" i="41"/>
  <c r="O14" i="41"/>
  <c r="N14" i="41"/>
  <c r="M14" i="41"/>
  <c r="K14" i="41"/>
  <c r="BB13" i="41"/>
  <c r="AV13" i="41"/>
  <c r="AU13" i="41"/>
  <c r="AT13" i="41"/>
  <c r="AS13" i="41"/>
  <c r="BC13" i="41" s="1"/>
  <c r="AN13" i="41"/>
  <c r="AM13" i="41"/>
  <c r="AL13" i="41"/>
  <c r="AK13" i="41"/>
  <c r="AJ13" i="41"/>
  <c r="AF13" i="41"/>
  <c r="AE13" i="41"/>
  <c r="AD13" i="41"/>
  <c r="AC13" i="41"/>
  <c r="V13" i="41"/>
  <c r="U13" i="41"/>
  <c r="T13" i="41"/>
  <c r="S13" i="41"/>
  <c r="R13" i="41"/>
  <c r="Q13" i="41"/>
  <c r="P13" i="41"/>
  <c r="O13" i="41"/>
  <c r="N13" i="41"/>
  <c r="M13" i="41"/>
  <c r="K13" i="41"/>
  <c r="BB12" i="41"/>
  <c r="AX12" i="41"/>
  <c r="AV12" i="41"/>
  <c r="AU12" i="41"/>
  <c r="AT12" i="41"/>
  <c r="AS12" i="41"/>
  <c r="BC12" i="41" s="1"/>
  <c r="AN12" i="41"/>
  <c r="AM12" i="41"/>
  <c r="AL12" i="41"/>
  <c r="AK12" i="41"/>
  <c r="AO12" i="41" s="1"/>
  <c r="AJ12" i="41"/>
  <c r="AF12" i="41"/>
  <c r="AE12" i="41"/>
  <c r="AD12" i="41"/>
  <c r="AC12" i="41"/>
  <c r="V12" i="41"/>
  <c r="U12" i="41"/>
  <c r="T12" i="41"/>
  <c r="S12" i="41"/>
  <c r="R12" i="41"/>
  <c r="Q12" i="41"/>
  <c r="P12" i="41"/>
  <c r="O12" i="41"/>
  <c r="N12" i="41"/>
  <c r="M12" i="41"/>
  <c r="K12" i="41"/>
  <c r="BB11" i="41"/>
  <c r="AV11" i="41"/>
  <c r="AU11" i="41"/>
  <c r="AT11" i="41"/>
  <c r="AS11" i="41"/>
  <c r="BC11" i="41" s="1"/>
  <c r="AN11" i="41"/>
  <c r="AM11" i="41"/>
  <c r="AO11" i="41" s="1"/>
  <c r="AL11" i="41"/>
  <c r="AK11" i="41"/>
  <c r="AJ11" i="41"/>
  <c r="AF11" i="41"/>
  <c r="AE11" i="41"/>
  <c r="AD11" i="41"/>
  <c r="AC11" i="41"/>
  <c r="V11" i="41"/>
  <c r="T11" i="41"/>
  <c r="U11" i="41" s="1"/>
  <c r="S11" i="41"/>
  <c r="R11" i="41"/>
  <c r="Q11" i="41"/>
  <c r="P11" i="41"/>
  <c r="O11" i="41"/>
  <c r="N11" i="41"/>
  <c r="M11" i="41"/>
  <c r="K11" i="41"/>
  <c r="BC10" i="41"/>
  <c r="BB10" i="41"/>
  <c r="AZ10" i="41"/>
  <c r="AV10" i="41"/>
  <c r="AU10" i="41"/>
  <c r="AT10" i="41"/>
  <c r="AS10" i="41"/>
  <c r="AX10" i="41" s="1"/>
  <c r="AY10" i="41" s="1"/>
  <c r="AN10" i="41"/>
  <c r="AM10" i="41"/>
  <c r="AL10" i="41"/>
  <c r="AK10" i="41"/>
  <c r="AJ10" i="41"/>
  <c r="AO10" i="41" s="1"/>
  <c r="BA10" i="41" s="1"/>
  <c r="BD10" i="41" s="1"/>
  <c r="BE10" i="41" s="1"/>
  <c r="AF10" i="41"/>
  <c r="AE10" i="41"/>
  <c r="AD10" i="41"/>
  <c r="AC10" i="41"/>
  <c r="V10" i="41"/>
  <c r="T10" i="41"/>
  <c r="U10" i="41" s="1"/>
  <c r="S10" i="41"/>
  <c r="R10" i="41"/>
  <c r="Q10" i="41"/>
  <c r="P10" i="41"/>
  <c r="O10" i="41"/>
  <c r="N10" i="41"/>
  <c r="M10" i="41"/>
  <c r="K10" i="41"/>
  <c r="BC9" i="41"/>
  <c r="BB9" i="41"/>
  <c r="AX9" i="41"/>
  <c r="AY9" i="41" s="1"/>
  <c r="AV9" i="41"/>
  <c r="AU9" i="41"/>
  <c r="AZ9" i="41" s="1"/>
  <c r="AT9" i="41"/>
  <c r="AS9" i="41"/>
  <c r="AN9" i="41"/>
  <c r="AM9" i="41"/>
  <c r="AL9" i="41"/>
  <c r="AK9" i="41"/>
  <c r="AJ9" i="41"/>
  <c r="AF9" i="41"/>
  <c r="AE9" i="41"/>
  <c r="AD9" i="41"/>
  <c r="AC9" i="41"/>
  <c r="V9" i="41"/>
  <c r="U9" i="41"/>
  <c r="T9" i="41"/>
  <c r="S9" i="41"/>
  <c r="R9" i="41"/>
  <c r="Q9" i="41"/>
  <c r="P9" i="41"/>
  <c r="O9" i="41"/>
  <c r="N9" i="41"/>
  <c r="M9" i="41"/>
  <c r="K9" i="41"/>
  <c r="BB8" i="41"/>
  <c r="AY8" i="41"/>
  <c r="AX8" i="41"/>
  <c r="AV8" i="41"/>
  <c r="AU8" i="41"/>
  <c r="AT8" i="41"/>
  <c r="AS8" i="41"/>
  <c r="BC8" i="41" s="1"/>
  <c r="AN8" i="41"/>
  <c r="AM8" i="41"/>
  <c r="AL8" i="41"/>
  <c r="AK8" i="41"/>
  <c r="AJ8" i="41"/>
  <c r="AF8" i="41"/>
  <c r="AE8" i="41"/>
  <c r="AD8" i="41"/>
  <c r="AC8" i="41"/>
  <c r="V8" i="41"/>
  <c r="T8" i="41"/>
  <c r="U8" i="41" s="1"/>
  <c r="S8" i="41"/>
  <c r="R8" i="41"/>
  <c r="Q8" i="41"/>
  <c r="P8" i="41"/>
  <c r="O8" i="41"/>
  <c r="N8" i="41"/>
  <c r="M8" i="41"/>
  <c r="K8" i="41"/>
  <c r="BB7" i="41"/>
  <c r="AV7" i="41"/>
  <c r="AU7" i="41"/>
  <c r="AT7" i="41"/>
  <c r="AS7" i="41"/>
  <c r="AN7" i="41"/>
  <c r="AO7" i="41" s="1"/>
  <c r="AM7" i="41"/>
  <c r="AL7" i="41"/>
  <c r="AK7" i="41"/>
  <c r="AJ7" i="41"/>
  <c r="AF7" i="41"/>
  <c r="AE7" i="41"/>
  <c r="AD7" i="41"/>
  <c r="AC7" i="41"/>
  <c r="V7" i="41"/>
  <c r="T7" i="41"/>
  <c r="U7" i="41" s="1"/>
  <c r="S7" i="41"/>
  <c r="R7" i="41"/>
  <c r="Q7" i="41"/>
  <c r="P7" i="41"/>
  <c r="O7" i="41"/>
  <c r="N7" i="41"/>
  <c r="M7" i="41"/>
  <c r="K7" i="41"/>
  <c r="BC6" i="41"/>
  <c r="BB6" i="41"/>
  <c r="BA6" i="41"/>
  <c r="AV6" i="41"/>
  <c r="AU6" i="41"/>
  <c r="AT6" i="41"/>
  <c r="AS6" i="41"/>
  <c r="AX6" i="41" s="1"/>
  <c r="AY6" i="41" s="1"/>
  <c r="AZ6" i="41" s="1"/>
  <c r="AN6" i="41"/>
  <c r="AM6" i="41"/>
  <c r="AL6" i="41"/>
  <c r="AK6" i="41"/>
  <c r="AJ6" i="41"/>
  <c r="AO6" i="41" s="1"/>
  <c r="AF6" i="41"/>
  <c r="AE6" i="41"/>
  <c r="AD6" i="41"/>
  <c r="AC6" i="41"/>
  <c r="V6" i="41"/>
  <c r="T6" i="41"/>
  <c r="U6" i="41" s="1"/>
  <c r="S6" i="41"/>
  <c r="R6" i="41"/>
  <c r="Q6" i="41"/>
  <c r="P6" i="41"/>
  <c r="O6" i="41"/>
  <c r="N6" i="41"/>
  <c r="M6" i="41"/>
  <c r="K6" i="41"/>
  <c r="BB5" i="41"/>
  <c r="AX5" i="41"/>
  <c r="AY5" i="41" s="1"/>
  <c r="AV5" i="41"/>
  <c r="AU5" i="41"/>
  <c r="AT5" i="41"/>
  <c r="AS5" i="41"/>
  <c r="BC5" i="41" s="1"/>
  <c r="AN5" i="41"/>
  <c r="AM5" i="41"/>
  <c r="AL5" i="41"/>
  <c r="AK5" i="41"/>
  <c r="AJ5" i="41"/>
  <c r="AO5" i="41" s="1"/>
  <c r="AF5" i="41"/>
  <c r="AE5" i="41"/>
  <c r="AD5" i="41"/>
  <c r="AC5" i="41"/>
  <c r="V5" i="41"/>
  <c r="U5" i="41"/>
  <c r="T5" i="41"/>
  <c r="S5" i="41"/>
  <c r="R5" i="41"/>
  <c r="Q5" i="41"/>
  <c r="P5" i="41"/>
  <c r="O5" i="41"/>
  <c r="N5" i="41"/>
  <c r="M5" i="41"/>
  <c r="K5" i="41"/>
  <c r="BB4" i="41"/>
  <c r="AV4" i="41"/>
  <c r="AU4" i="41"/>
  <c r="AT4" i="41"/>
  <c r="AS4" i="41"/>
  <c r="AN4" i="41"/>
  <c r="AM4" i="41"/>
  <c r="AL4" i="41"/>
  <c r="AK4" i="41"/>
  <c r="AJ4" i="41"/>
  <c r="AF4" i="41"/>
  <c r="AE4" i="41"/>
  <c r="AD4" i="41"/>
  <c r="AC4" i="41"/>
  <c r="V4" i="41"/>
  <c r="U4" i="41"/>
  <c r="T4" i="41"/>
  <c r="S4" i="41"/>
  <c r="R4" i="41"/>
  <c r="Q4" i="41"/>
  <c r="P4" i="41"/>
  <c r="O4" i="41"/>
  <c r="N4" i="41"/>
  <c r="M4" i="41"/>
  <c r="K4" i="41"/>
  <c r="AC57" i="28" l="1"/>
  <c r="S57" i="28"/>
  <c r="AC66" i="26"/>
  <c r="AP77" i="13"/>
  <c r="S78" i="13"/>
  <c r="T78" i="13"/>
  <c r="V23" i="36"/>
  <c r="R23" i="36"/>
  <c r="S23" i="36"/>
  <c r="AE78" i="12"/>
  <c r="R78" i="12"/>
  <c r="AO77" i="41"/>
  <c r="T78" i="41"/>
  <c r="U78" i="41" s="1"/>
  <c r="AX43" i="34"/>
  <c r="AY43" i="34" s="1"/>
  <c r="AN44" i="34"/>
  <c r="AT44" i="34"/>
  <c r="AF44" i="34"/>
  <c r="AJ44" i="34"/>
  <c r="AK44" i="34"/>
  <c r="AL44" i="34"/>
  <c r="K44" i="34"/>
  <c r="U44" i="34"/>
  <c r="AD44" i="34"/>
  <c r="AE44" i="34"/>
  <c r="AM44" i="34"/>
  <c r="AZ23" i="34"/>
  <c r="BA39" i="34"/>
  <c r="AZ36" i="34"/>
  <c r="BA26" i="34"/>
  <c r="BA27" i="34"/>
  <c r="AZ24" i="34"/>
  <c r="BA24" i="34" s="1"/>
  <c r="BA14" i="34"/>
  <c r="BD35" i="34"/>
  <c r="BE35" i="34" s="1"/>
  <c r="AZ12" i="34"/>
  <c r="BA12" i="34" s="1"/>
  <c r="AZ38" i="34"/>
  <c r="BA38" i="34" s="1"/>
  <c r="AZ39" i="34"/>
  <c r="BA23" i="34"/>
  <c r="BD23" i="34" s="1"/>
  <c r="BE23" i="34" s="1"/>
  <c r="AZ21" i="34"/>
  <c r="BA21" i="34" s="1"/>
  <c r="BD21" i="34" s="1"/>
  <c r="BE21" i="34" s="1"/>
  <c r="BD11" i="34"/>
  <c r="BE11" i="34" s="1"/>
  <c r="AZ25" i="34"/>
  <c r="BA25" i="34" s="1"/>
  <c r="BD25" i="34" s="1"/>
  <c r="BE25" i="34" s="1"/>
  <c r="AZ27" i="34"/>
  <c r="AZ14" i="34"/>
  <c r="BA18" i="34"/>
  <c r="BD18" i="34" s="1"/>
  <c r="BE18" i="34" s="1"/>
  <c r="BA28" i="34"/>
  <c r="AZ40" i="34"/>
  <c r="BA40" i="34" s="1"/>
  <c r="BA36" i="34"/>
  <c r="BD36" i="34" s="1"/>
  <c r="BE36" i="34" s="1"/>
  <c r="AZ31" i="34"/>
  <c r="AZ34" i="34"/>
  <c r="AZ13" i="34"/>
  <c r="BA13" i="34" s="1"/>
  <c r="BD13" i="34" s="1"/>
  <c r="BE13" i="34" s="1"/>
  <c r="BA16" i="34"/>
  <c r="AZ28" i="34"/>
  <c r="BA31" i="34"/>
  <c r="BD39" i="34"/>
  <c r="BE39" i="34" s="1"/>
  <c r="AY32" i="34"/>
  <c r="AZ32" i="34"/>
  <c r="BA32" i="34" s="1"/>
  <c r="BD32" i="34" s="1"/>
  <c r="BE32" i="34" s="1"/>
  <c r="BD30" i="34"/>
  <c r="BE30" i="34" s="1"/>
  <c r="AZ7" i="34"/>
  <c r="BA7" i="34" s="1"/>
  <c r="BD16" i="34"/>
  <c r="BE16" i="34" s="1"/>
  <c r="AZ29" i="34"/>
  <c r="BA29" i="34" s="1"/>
  <c r="BD29" i="34" s="1"/>
  <c r="BE29" i="34" s="1"/>
  <c r="AZ19" i="34"/>
  <c r="AY8" i="34"/>
  <c r="AZ8" i="34"/>
  <c r="BA8" i="34" s="1"/>
  <c r="BD8" i="34" s="1"/>
  <c r="BE8" i="34" s="1"/>
  <c r="AZ16" i="34"/>
  <c r="AY4" i="34"/>
  <c r="BA34" i="34"/>
  <c r="BD34" i="34" s="1"/>
  <c r="BE34" i="34" s="1"/>
  <c r="AY20" i="34"/>
  <c r="AZ20" i="34"/>
  <c r="BA20" i="34" s="1"/>
  <c r="BD20" i="34" s="1"/>
  <c r="BE20" i="34" s="1"/>
  <c r="BA30" i="34"/>
  <c r="BA6" i="34"/>
  <c r="BD6" i="34" s="1"/>
  <c r="BE6" i="34" s="1"/>
  <c r="BA19" i="34"/>
  <c r="BD27" i="34"/>
  <c r="BE27" i="34" s="1"/>
  <c r="AZ42" i="34"/>
  <c r="BA42" i="34" s="1"/>
  <c r="BD42" i="34" s="1"/>
  <c r="BE42" i="34" s="1"/>
  <c r="AO44" i="34"/>
  <c r="AY37" i="34"/>
  <c r="AZ37" i="34" s="1"/>
  <c r="BA37" i="34" s="1"/>
  <c r="BD37" i="34" s="1"/>
  <c r="BE37" i="34" s="1"/>
  <c r="AS44" i="34"/>
  <c r="W13" i="35"/>
  <c r="T7" i="35"/>
  <c r="T31" i="35"/>
  <c r="T39" i="35"/>
  <c r="T36" i="35"/>
  <c r="AX36" i="34"/>
  <c r="AY36" i="34" s="1"/>
  <c r="AX5" i="34"/>
  <c r="AY5" i="34" s="1"/>
  <c r="AX17" i="34"/>
  <c r="AY17" i="34" s="1"/>
  <c r="AX29" i="34"/>
  <c r="AY29" i="34" s="1"/>
  <c r="AX41" i="34"/>
  <c r="AY41" i="34" s="1"/>
  <c r="W4" i="35"/>
  <c r="T9" i="35"/>
  <c r="W12" i="35"/>
  <c r="T17" i="35"/>
  <c r="W20" i="35"/>
  <c r="T25" i="35"/>
  <c r="W28" i="35"/>
  <c r="T33" i="35"/>
  <c r="AY13" i="34"/>
  <c r="T13" i="35"/>
  <c r="T21" i="35"/>
  <c r="L4" i="35"/>
  <c r="L41" i="35" s="1"/>
  <c r="AX16" i="34"/>
  <c r="AY16" i="34" s="1"/>
  <c r="W5" i="35"/>
  <c r="T18" i="35"/>
  <c r="W29" i="35"/>
  <c r="AX9" i="34"/>
  <c r="AY9" i="34" s="1"/>
  <c r="AX21" i="34"/>
  <c r="AY21" i="34" s="1"/>
  <c r="W26" i="35"/>
  <c r="BC28" i="34"/>
  <c r="BC7" i="34"/>
  <c r="BC19" i="34"/>
  <c r="BC31" i="34"/>
  <c r="O41" i="35"/>
  <c r="U41" i="35" s="1"/>
  <c r="T29" i="35"/>
  <c r="T10" i="35"/>
  <c r="T15" i="35"/>
  <c r="BC14" i="34"/>
  <c r="BD14" i="34" s="1"/>
  <c r="BE14" i="34" s="1"/>
  <c r="BC38" i="34"/>
  <c r="AX10" i="34"/>
  <c r="AY10" i="34" s="1"/>
  <c r="AX22" i="34"/>
  <c r="AY22" i="34" s="1"/>
  <c r="AX34" i="34"/>
  <c r="AY34" i="34" s="1"/>
  <c r="P41" i="35"/>
  <c r="U10" i="34"/>
  <c r="AY25" i="34"/>
  <c r="T5" i="35"/>
  <c r="T34" i="35"/>
  <c r="W37" i="35"/>
  <c r="BC4" i="34"/>
  <c r="BC40" i="34"/>
  <c r="BC12" i="34"/>
  <c r="BC24" i="34"/>
  <c r="T6" i="35"/>
  <c r="T14" i="35"/>
  <c r="T22" i="35"/>
  <c r="T30" i="35"/>
  <c r="T38" i="35"/>
  <c r="Q41" i="35"/>
  <c r="AX33" i="34"/>
  <c r="AY33" i="34" s="1"/>
  <c r="AC44" i="34"/>
  <c r="W23" i="35"/>
  <c r="M4" i="35"/>
  <c r="BC26" i="34"/>
  <c r="BD26" i="34" s="1"/>
  <c r="BE26" i="34" s="1"/>
  <c r="M21" i="35"/>
  <c r="M37" i="35"/>
  <c r="AV56" i="28"/>
  <c r="AW56" i="28" s="1"/>
  <c r="K57" i="28"/>
  <c r="BB49" i="28"/>
  <c r="BC49" i="28" s="1"/>
  <c r="AX15" i="28"/>
  <c r="AY15" i="28" s="1"/>
  <c r="BB15" i="28" s="1"/>
  <c r="BC15" i="28" s="1"/>
  <c r="BB33" i="28"/>
  <c r="BC33" i="28" s="1"/>
  <c r="AX28" i="28"/>
  <c r="AY45" i="28"/>
  <c r="AY28" i="28"/>
  <c r="BB28" i="28" s="1"/>
  <c r="BC28" i="28" s="1"/>
  <c r="AX44" i="28"/>
  <c r="AY44" i="28" s="1"/>
  <c r="BB44" i="28" s="1"/>
  <c r="BC44" i="28" s="1"/>
  <c r="BB25" i="28"/>
  <c r="BC25" i="28" s="1"/>
  <c r="E10" i="29"/>
  <c r="M10" i="29" s="1"/>
  <c r="E57" i="28"/>
  <c r="R10" i="28"/>
  <c r="AZ10" i="28"/>
  <c r="O11" i="28"/>
  <c r="V10" i="28"/>
  <c r="V57" i="28" s="1"/>
  <c r="Q10" i="28"/>
  <c r="Q57" i="28" s="1"/>
  <c r="O10" i="28"/>
  <c r="BA10" i="28"/>
  <c r="U39" i="29"/>
  <c r="AX16" i="28"/>
  <c r="AY16" i="28" s="1"/>
  <c r="BB16" i="28" s="1"/>
  <c r="BC16" i="28" s="1"/>
  <c r="AX34" i="28"/>
  <c r="AY34" i="28" s="1"/>
  <c r="AX35" i="28"/>
  <c r="AY35" i="28" s="1"/>
  <c r="BB35" i="28" s="1"/>
  <c r="BC35" i="28" s="1"/>
  <c r="AX53" i="28"/>
  <c r="AY53" i="28" s="1"/>
  <c r="U10" i="29"/>
  <c r="AW4" i="28"/>
  <c r="V10" i="29"/>
  <c r="M37" i="29"/>
  <c r="W37" i="29"/>
  <c r="BA26" i="28"/>
  <c r="AV26" i="28"/>
  <c r="AW26" i="28" s="1"/>
  <c r="BA45" i="28"/>
  <c r="AV45" i="28"/>
  <c r="AW45" i="28" s="1"/>
  <c r="W10" i="29"/>
  <c r="T10" i="29"/>
  <c r="BA5" i="28"/>
  <c r="AV5" i="28"/>
  <c r="AX26" i="28"/>
  <c r="AY26" i="28" s="1"/>
  <c r="AX27" i="28"/>
  <c r="AY27" i="28" s="1"/>
  <c r="BB27" i="28" s="1"/>
  <c r="BC27" i="28" s="1"/>
  <c r="AX45" i="28"/>
  <c r="M53" i="29"/>
  <c r="W53" i="29"/>
  <c r="M54" i="29"/>
  <c r="AY51" i="28"/>
  <c r="AX40" i="28"/>
  <c r="BB47" i="28"/>
  <c r="BC47" i="28" s="1"/>
  <c r="BB7" i="28"/>
  <c r="BC7" i="28" s="1"/>
  <c r="AL57" i="28"/>
  <c r="U50" i="29"/>
  <c r="T57" i="28"/>
  <c r="U57" i="28" s="1"/>
  <c r="M5" i="29"/>
  <c r="W5" i="29"/>
  <c r="V50" i="29"/>
  <c r="AY55" i="28"/>
  <c r="AX52" i="28"/>
  <c r="AY52" i="28" s="1"/>
  <c r="BB52" i="28" s="1"/>
  <c r="BC52" i="28" s="1"/>
  <c r="AV53" i="28"/>
  <c r="AW53" i="28" s="1"/>
  <c r="BA53" i="28"/>
  <c r="T5" i="29"/>
  <c r="M21" i="29"/>
  <c r="W21" i="29"/>
  <c r="AD57" i="28"/>
  <c r="AW44" i="28"/>
  <c r="AY47" i="28"/>
  <c r="AE57" i="28"/>
  <c r="AZ57" i="28"/>
  <c r="AY39" i="28"/>
  <c r="AN48" i="28"/>
  <c r="C54" i="29"/>
  <c r="U26" i="29"/>
  <c r="T37" i="29"/>
  <c r="AT57" i="28"/>
  <c r="M45" i="29"/>
  <c r="W45" i="29"/>
  <c r="AX6" i="28"/>
  <c r="AY6" i="28" s="1"/>
  <c r="BB6" i="28" s="1"/>
  <c r="BC6" i="28" s="1"/>
  <c r="AY8" i="28"/>
  <c r="AY11" i="28"/>
  <c r="BB11" i="28" s="1"/>
  <c r="BC11" i="28" s="1"/>
  <c r="BA37" i="28"/>
  <c r="AV37" i="28"/>
  <c r="AW37" i="28" s="1"/>
  <c r="D54" i="29"/>
  <c r="BB20" i="28"/>
  <c r="BC20" i="28" s="1"/>
  <c r="AX50" i="28"/>
  <c r="AY50" i="28" s="1"/>
  <c r="AX42" i="28"/>
  <c r="AY42" i="28" s="1"/>
  <c r="P57" i="28"/>
  <c r="BA18" i="28"/>
  <c r="AV18" i="28"/>
  <c r="AW18" i="28" s="1"/>
  <c r="E54" i="29"/>
  <c r="M4" i="29"/>
  <c r="V15" i="29"/>
  <c r="W26" i="29"/>
  <c r="T26" i="29"/>
  <c r="U42" i="29"/>
  <c r="T53" i="29"/>
  <c r="AX11" i="28"/>
  <c r="BA21" i="28"/>
  <c r="AV21" i="28"/>
  <c r="AW21" i="28" s="1"/>
  <c r="W29" i="29"/>
  <c r="M29" i="29"/>
  <c r="AX21" i="28"/>
  <c r="AY21" i="28" s="1"/>
  <c r="AW12" i="28"/>
  <c r="AX12" i="28" s="1"/>
  <c r="AY12" i="28" s="1"/>
  <c r="BB12" i="28" s="1"/>
  <c r="BC12" i="28" s="1"/>
  <c r="AY43" i="28"/>
  <c r="V23" i="29"/>
  <c r="V39" i="29"/>
  <c r="AW28" i="28"/>
  <c r="AY31" i="28"/>
  <c r="AN40" i="28"/>
  <c r="L4" i="29"/>
  <c r="L54" i="29" s="1"/>
  <c r="V42" i="29"/>
  <c r="AX10" i="28"/>
  <c r="T34" i="29"/>
  <c r="W34" i="29"/>
  <c r="AX43" i="28"/>
  <c r="BA34" i="28"/>
  <c r="AV34" i="28"/>
  <c r="AW34" i="28" s="1"/>
  <c r="R57" i="28"/>
  <c r="AV29" i="28"/>
  <c r="AW29" i="28" s="1"/>
  <c r="BA29" i="28"/>
  <c r="BB36" i="28"/>
  <c r="BC36" i="28" s="1"/>
  <c r="N54" i="29"/>
  <c r="U31" i="29"/>
  <c r="W42" i="29"/>
  <c r="T42" i="29"/>
  <c r="AX9" i="28"/>
  <c r="AY9" i="28" s="1"/>
  <c r="BB9" i="28" s="1"/>
  <c r="BC9" i="28" s="1"/>
  <c r="U18" i="29"/>
  <c r="V18" i="29"/>
  <c r="AN57" i="28"/>
  <c r="AV13" i="28"/>
  <c r="AW13" i="28" s="1"/>
  <c r="BA13" i="28"/>
  <c r="AX32" i="28"/>
  <c r="BB39" i="28"/>
  <c r="BC39" i="28" s="1"/>
  <c r="U7" i="29"/>
  <c r="W18" i="29"/>
  <c r="T18" i="29"/>
  <c r="AJ57" i="28"/>
  <c r="AX13" i="28"/>
  <c r="AY13" i="28" s="1"/>
  <c r="AV50" i="28"/>
  <c r="AW50" i="28" s="1"/>
  <c r="BA50" i="28"/>
  <c r="V7" i="29"/>
  <c r="U34" i="29"/>
  <c r="T45" i="29"/>
  <c r="AK57" i="28"/>
  <c r="AX51" i="28"/>
  <c r="V34" i="29"/>
  <c r="BB31" i="28"/>
  <c r="BC31" i="28" s="1"/>
  <c r="U23" i="29"/>
  <c r="AM57" i="28"/>
  <c r="T50" i="29"/>
  <c r="W50" i="29"/>
  <c r="AQ57" i="28"/>
  <c r="O54" i="29"/>
  <c r="U54" i="29" s="1"/>
  <c r="M13" i="29"/>
  <c r="W13" i="29"/>
  <c r="AY23" i="28"/>
  <c r="BB23" i="28" s="1"/>
  <c r="BC23" i="28" s="1"/>
  <c r="AX24" i="28"/>
  <c r="AY24" i="28" s="1"/>
  <c r="BB24" i="28" s="1"/>
  <c r="BC24" i="28" s="1"/>
  <c r="AV42" i="28"/>
  <c r="AW42" i="28" s="1"/>
  <c r="BA42" i="28"/>
  <c r="AM10" i="28"/>
  <c r="AN10" i="28" s="1"/>
  <c r="AN32" i="28"/>
  <c r="BB55" i="28"/>
  <c r="BC55" i="28" s="1"/>
  <c r="AR57" i="28"/>
  <c r="P54" i="29"/>
  <c r="W54" i="29" s="1"/>
  <c r="U47" i="29"/>
  <c r="AV24" i="28"/>
  <c r="AW24" i="28" s="1"/>
  <c r="AF57" i="28"/>
  <c r="BA8" i="28"/>
  <c r="BA57" i="28" s="1"/>
  <c r="AI57" i="28"/>
  <c r="W4" i="29"/>
  <c r="T9" i="29"/>
  <c r="W12" i="29"/>
  <c r="T17" i="29"/>
  <c r="W20" i="29"/>
  <c r="T25" i="29"/>
  <c r="W28" i="29"/>
  <c r="T33" i="29"/>
  <c r="W36" i="29"/>
  <c r="T41" i="29"/>
  <c r="W44" i="29"/>
  <c r="T49" i="29"/>
  <c r="W52" i="29"/>
  <c r="T15" i="29"/>
  <c r="AV16" i="28"/>
  <c r="AW16" i="28" s="1"/>
  <c r="AV48" i="28"/>
  <c r="AW48" i="28" s="1"/>
  <c r="AV6" i="28"/>
  <c r="AW6" i="28" s="1"/>
  <c r="BA32" i="28"/>
  <c r="BA40" i="28"/>
  <c r="W31" i="29"/>
  <c r="AV11" i="28"/>
  <c r="AW11" i="28" s="1"/>
  <c r="AV27" i="28"/>
  <c r="AW27" i="28" s="1"/>
  <c r="AV35" i="28"/>
  <c r="AW35" i="28" s="1"/>
  <c r="V4" i="29"/>
  <c r="AV14" i="28"/>
  <c r="AW14" i="28" s="1"/>
  <c r="AV22" i="28"/>
  <c r="AW22" i="28" s="1"/>
  <c r="AV30" i="28"/>
  <c r="AW30" i="28" s="1"/>
  <c r="AV38" i="28"/>
  <c r="AW38" i="28" s="1"/>
  <c r="AV46" i="28"/>
  <c r="AW46" i="28" s="1"/>
  <c r="AV54" i="28"/>
  <c r="AW54" i="28" s="1"/>
  <c r="T23" i="29"/>
  <c r="U4" i="29"/>
  <c r="T6" i="29"/>
  <c r="T14" i="29"/>
  <c r="T22" i="29"/>
  <c r="T30" i="29"/>
  <c r="T38" i="29"/>
  <c r="T46" i="29"/>
  <c r="T7" i="29"/>
  <c r="T4" i="29"/>
  <c r="AV19" i="28"/>
  <c r="AW19" i="28" s="1"/>
  <c r="BA43" i="28"/>
  <c r="BA51" i="28"/>
  <c r="T47" i="29"/>
  <c r="T39" i="29"/>
  <c r="AV65" i="26"/>
  <c r="AW65" i="26" s="1"/>
  <c r="AD66" i="26"/>
  <c r="AE66" i="26"/>
  <c r="BB48" i="26"/>
  <c r="BC48" i="26" s="1"/>
  <c r="AX30" i="26"/>
  <c r="AY30" i="26" s="1"/>
  <c r="BB30" i="26" s="1"/>
  <c r="BC30" i="26" s="1"/>
  <c r="BB27" i="26"/>
  <c r="BC27" i="26" s="1"/>
  <c r="BB51" i="26"/>
  <c r="BC51" i="26" s="1"/>
  <c r="BB16" i="26"/>
  <c r="BC16" i="26" s="1"/>
  <c r="AX6" i="26"/>
  <c r="AY6" i="26" s="1"/>
  <c r="BB6" i="26" s="1"/>
  <c r="BC6" i="26" s="1"/>
  <c r="BB43" i="26"/>
  <c r="BC43" i="26" s="1"/>
  <c r="AY16" i="26"/>
  <c r="BB5" i="26"/>
  <c r="BC5" i="26" s="1"/>
  <c r="AX14" i="26"/>
  <c r="AY14" i="26" s="1"/>
  <c r="BB14" i="26" s="1"/>
  <c r="BC14" i="26" s="1"/>
  <c r="BB56" i="26"/>
  <c r="BC56" i="26" s="1"/>
  <c r="BB37" i="26"/>
  <c r="BC37" i="26" s="1"/>
  <c r="AY25" i="26"/>
  <c r="BB25" i="26" s="1"/>
  <c r="BC25" i="26" s="1"/>
  <c r="AQ66" i="26"/>
  <c r="BA4" i="26"/>
  <c r="AV4" i="26"/>
  <c r="AW19" i="26"/>
  <c r="AX19" i="26" s="1"/>
  <c r="AY19" i="26" s="1"/>
  <c r="BB19" i="26" s="1"/>
  <c r="BC19" i="26" s="1"/>
  <c r="AX5" i="26"/>
  <c r="U61" i="27"/>
  <c r="AT66" i="26"/>
  <c r="BA20" i="26"/>
  <c r="AV20" i="26"/>
  <c r="AW20" i="26" s="1"/>
  <c r="AV41" i="26"/>
  <c r="AW41" i="26" s="1"/>
  <c r="AX20" i="26"/>
  <c r="AY20" i="26" s="1"/>
  <c r="V8" i="27"/>
  <c r="V53" i="27"/>
  <c r="AX52" i="26"/>
  <c r="AY52" i="26" s="1"/>
  <c r="AY47" i="26"/>
  <c r="BB47" i="26" s="1"/>
  <c r="BC47" i="26" s="1"/>
  <c r="AX53" i="26"/>
  <c r="AY53" i="26" s="1"/>
  <c r="BB53" i="26" s="1"/>
  <c r="BC53" i="26" s="1"/>
  <c r="BA60" i="26"/>
  <c r="AV60" i="26"/>
  <c r="AW60" i="26" s="1"/>
  <c r="U45" i="27"/>
  <c r="AX16" i="26"/>
  <c r="AX31" i="26"/>
  <c r="AV38" i="26"/>
  <c r="AW38" i="26" s="1"/>
  <c r="AX61" i="26"/>
  <c r="L63" i="27"/>
  <c r="W13" i="27"/>
  <c r="W45" i="27"/>
  <c r="V48" i="27"/>
  <c r="AV12" i="26"/>
  <c r="AW12" i="26" s="1"/>
  <c r="BA12" i="26"/>
  <c r="T48" i="27"/>
  <c r="W48" i="27"/>
  <c r="AX13" i="26"/>
  <c r="AY13" i="26" s="1"/>
  <c r="BB13" i="26" s="1"/>
  <c r="BC13" i="26" s="1"/>
  <c r="AX57" i="26"/>
  <c r="AY57" i="26" s="1"/>
  <c r="BB57" i="26" s="1"/>
  <c r="BC57" i="26" s="1"/>
  <c r="AY45" i="26"/>
  <c r="BB45" i="26" s="1"/>
  <c r="BC45" i="26" s="1"/>
  <c r="AX58" i="26"/>
  <c r="AY58" i="26" s="1"/>
  <c r="BB58" i="26" s="1"/>
  <c r="BC58" i="26" s="1"/>
  <c r="AX37" i="26"/>
  <c r="W53" i="27"/>
  <c r="T66" i="26"/>
  <c r="U66" i="26" s="1"/>
  <c r="M19" i="27"/>
  <c r="W19" i="27"/>
  <c r="AX45" i="26"/>
  <c r="V32" i="27"/>
  <c r="AX8" i="26"/>
  <c r="AY8" i="26" s="1"/>
  <c r="BB8" i="26" s="1"/>
  <c r="BC8" i="26" s="1"/>
  <c r="K66" i="26"/>
  <c r="E63" i="27"/>
  <c r="M11" i="27"/>
  <c r="W11" i="27"/>
  <c r="M43" i="27"/>
  <c r="W43" i="27"/>
  <c r="U29" i="27"/>
  <c r="AX12" i="26"/>
  <c r="AY12" i="26" s="1"/>
  <c r="AX42" i="26"/>
  <c r="AY42" i="26" s="1"/>
  <c r="BB42" i="26" s="1"/>
  <c r="BC42" i="26" s="1"/>
  <c r="AX49" i="26"/>
  <c r="AY49" i="26" s="1"/>
  <c r="BB49" i="26" s="1"/>
  <c r="BC49" i="26" s="1"/>
  <c r="V29" i="27"/>
  <c r="BA28" i="26"/>
  <c r="AV28" i="26"/>
  <c r="AW28" i="26" s="1"/>
  <c r="U40" i="27"/>
  <c r="Q66" i="26"/>
  <c r="U21" i="27"/>
  <c r="AV52" i="26"/>
  <c r="AW52" i="26" s="1"/>
  <c r="BA52" i="26"/>
  <c r="U32" i="27"/>
  <c r="V66" i="26"/>
  <c r="AX23" i="26"/>
  <c r="T19" i="27"/>
  <c r="T32" i="27"/>
  <c r="W32" i="27"/>
  <c r="V13" i="27"/>
  <c r="V45" i="27"/>
  <c r="AI66" i="26"/>
  <c r="AX24" i="26"/>
  <c r="AY24" i="26" s="1"/>
  <c r="BB24" i="26" s="1"/>
  <c r="BC24" i="26" s="1"/>
  <c r="AX39" i="26"/>
  <c r="AY39" i="26" s="1"/>
  <c r="BB39" i="26" s="1"/>
  <c r="BC39" i="26" s="1"/>
  <c r="AV46" i="26"/>
  <c r="AW46" i="26" s="1"/>
  <c r="AY63" i="26"/>
  <c r="N63" i="27"/>
  <c r="U24" i="27"/>
  <c r="U56" i="27"/>
  <c r="M59" i="27"/>
  <c r="W59" i="27"/>
  <c r="T59" i="27"/>
  <c r="AV30" i="26"/>
  <c r="AW30" i="26" s="1"/>
  <c r="AJ66" i="26"/>
  <c r="AX10" i="26"/>
  <c r="AY10" i="26" s="1"/>
  <c r="BB10" i="26" s="1"/>
  <c r="BC10" i="26" s="1"/>
  <c r="O63" i="27"/>
  <c r="U63" i="27" s="1"/>
  <c r="V24" i="27"/>
  <c r="AX34" i="26"/>
  <c r="AY34" i="26" s="1"/>
  <c r="BB34" i="26" s="1"/>
  <c r="BC34" i="26" s="1"/>
  <c r="V16" i="27"/>
  <c r="AV57" i="26"/>
  <c r="AW57" i="26" s="1"/>
  <c r="W8" i="27"/>
  <c r="T8" i="27"/>
  <c r="W40" i="27"/>
  <c r="T40" i="27"/>
  <c r="S66" i="26"/>
  <c r="AV14" i="26"/>
  <c r="AW14" i="26" s="1"/>
  <c r="AY61" i="26"/>
  <c r="BB61" i="26" s="1"/>
  <c r="BC61" i="26" s="1"/>
  <c r="AK66" i="26"/>
  <c r="AY5" i="26"/>
  <c r="AV9" i="26"/>
  <c r="AW9" i="26" s="1"/>
  <c r="AX32" i="26"/>
  <c r="AY32" i="26" s="1"/>
  <c r="BB32" i="26" s="1"/>
  <c r="BC32" i="26" s="1"/>
  <c r="AX47" i="26"/>
  <c r="AV54" i="26"/>
  <c r="AW54" i="26" s="1"/>
  <c r="P63" i="27"/>
  <c r="V63" i="27" s="1"/>
  <c r="T11" i="27"/>
  <c r="W24" i="27"/>
  <c r="T24" i="27"/>
  <c r="U37" i="27"/>
  <c r="T43" i="27"/>
  <c r="W56" i="27"/>
  <c r="T56" i="27"/>
  <c r="AR66" i="26"/>
  <c r="AY29" i="26"/>
  <c r="BB29" i="26" s="1"/>
  <c r="BC29" i="26" s="1"/>
  <c r="AX64" i="26"/>
  <c r="AY64" i="26" s="1"/>
  <c r="BB64" i="26" s="1"/>
  <c r="BC64" i="26" s="1"/>
  <c r="AX21" i="26"/>
  <c r="AY21" i="26" s="1"/>
  <c r="BB21" i="26" s="1"/>
  <c r="BC21" i="26" s="1"/>
  <c r="V40" i="27"/>
  <c r="AY23" i="26"/>
  <c r="AY31" i="26"/>
  <c r="AX44" i="26"/>
  <c r="AY44" i="26" s="1"/>
  <c r="AX15" i="26"/>
  <c r="AY15" i="26" s="1"/>
  <c r="AL66" i="26"/>
  <c r="AX18" i="26"/>
  <c r="AY18" i="26" s="1"/>
  <c r="BB18" i="26" s="1"/>
  <c r="BC18" i="26" s="1"/>
  <c r="AX25" i="26"/>
  <c r="Q63" i="27"/>
  <c r="AS66" i="26"/>
  <c r="V61" i="27"/>
  <c r="M27" i="27"/>
  <c r="W27" i="27"/>
  <c r="P66" i="26"/>
  <c r="AX28" i="26"/>
  <c r="AY28" i="26" s="1"/>
  <c r="AV6" i="26"/>
  <c r="AW6" i="26" s="1"/>
  <c r="AX29" i="26"/>
  <c r="U53" i="27"/>
  <c r="V21" i="27"/>
  <c r="BA44" i="26"/>
  <c r="AV44" i="26"/>
  <c r="AW44" i="26" s="1"/>
  <c r="M51" i="27"/>
  <c r="W51" i="27"/>
  <c r="U13" i="27"/>
  <c r="AM66" i="26"/>
  <c r="AV17" i="26"/>
  <c r="AW17" i="26" s="1"/>
  <c r="AX40" i="26"/>
  <c r="AY40" i="26" s="1"/>
  <c r="BB40" i="26" s="1"/>
  <c r="BC40" i="26" s="1"/>
  <c r="AX55" i="26"/>
  <c r="AY55" i="26" s="1"/>
  <c r="AV62" i="26"/>
  <c r="AF66" i="26"/>
  <c r="R63" i="27"/>
  <c r="M48" i="27"/>
  <c r="D63" i="27"/>
  <c r="W16" i="27"/>
  <c r="T16" i="27"/>
  <c r="AY37" i="26"/>
  <c r="AV49" i="26"/>
  <c r="AW49" i="26" s="1"/>
  <c r="U8" i="27"/>
  <c r="AV36" i="26"/>
  <c r="AW36" i="26" s="1"/>
  <c r="BA36" i="26"/>
  <c r="R66" i="26"/>
  <c r="AV22" i="26"/>
  <c r="AW22" i="26" s="1"/>
  <c r="AN4" i="26"/>
  <c r="AX26" i="26"/>
  <c r="AY26" i="26" s="1"/>
  <c r="BB26" i="26" s="1"/>
  <c r="BC26" i="26" s="1"/>
  <c r="AX33" i="26"/>
  <c r="AY33" i="26" s="1"/>
  <c r="BB33" i="26" s="1"/>
  <c r="BC33" i="26" s="1"/>
  <c r="AN50" i="26"/>
  <c r="S63" i="27"/>
  <c r="M35" i="27"/>
  <c r="W35" i="27"/>
  <c r="T53" i="27"/>
  <c r="W21" i="27"/>
  <c r="W37" i="27"/>
  <c r="AV10" i="26"/>
  <c r="AW10" i="26" s="1"/>
  <c r="AV18" i="26"/>
  <c r="AW18" i="26" s="1"/>
  <c r="AV26" i="26"/>
  <c r="AW26" i="26" s="1"/>
  <c r="AV34" i="26"/>
  <c r="AW34" i="26" s="1"/>
  <c r="AV42" i="26"/>
  <c r="AW42" i="26" s="1"/>
  <c r="AV50" i="26"/>
  <c r="AW50" i="26" s="1"/>
  <c r="AV58" i="26"/>
  <c r="AW58" i="26" s="1"/>
  <c r="M7" i="27"/>
  <c r="T13" i="27"/>
  <c r="AV7" i="26"/>
  <c r="AW7" i="26" s="1"/>
  <c r="AV39" i="26"/>
  <c r="AW39" i="26" s="1"/>
  <c r="T18" i="27"/>
  <c r="W29" i="27"/>
  <c r="T7" i="27"/>
  <c r="W10" i="27"/>
  <c r="T15" i="27"/>
  <c r="T23" i="27"/>
  <c r="W26" i="27"/>
  <c r="T31" i="27"/>
  <c r="W34" i="27"/>
  <c r="T39" i="27"/>
  <c r="W42" i="27"/>
  <c r="T47" i="27"/>
  <c r="W50" i="27"/>
  <c r="T55" i="27"/>
  <c r="W58" i="27"/>
  <c r="T45" i="27"/>
  <c r="AV47" i="26"/>
  <c r="AW47" i="26" s="1"/>
  <c r="BA15" i="26"/>
  <c r="BA23" i="26"/>
  <c r="BA31" i="26"/>
  <c r="BA55" i="26"/>
  <c r="BA63" i="26"/>
  <c r="BB63" i="26" s="1"/>
  <c r="BC63" i="26" s="1"/>
  <c r="U7" i="27"/>
  <c r="V7" i="27"/>
  <c r="W61" i="27"/>
  <c r="W7" i="27"/>
  <c r="T12" i="27"/>
  <c r="T20" i="27"/>
  <c r="T28" i="27"/>
  <c r="T36" i="27"/>
  <c r="T44" i="27"/>
  <c r="T52" i="27"/>
  <c r="T60" i="27"/>
  <c r="AZ77" i="13"/>
  <c r="BA77" i="13" s="1"/>
  <c r="K78" i="13"/>
  <c r="U78" i="13"/>
  <c r="V78" i="13"/>
  <c r="AW78" i="13"/>
  <c r="AD78" i="13"/>
  <c r="AU78" i="13"/>
  <c r="L75" i="18"/>
  <c r="BF41" i="13"/>
  <c r="BG41" i="13" s="1"/>
  <c r="BB49" i="13"/>
  <c r="BC49" i="13" s="1"/>
  <c r="BC29" i="13"/>
  <c r="BF49" i="13"/>
  <c r="BG49" i="13" s="1"/>
  <c r="BB4" i="13"/>
  <c r="T75" i="18"/>
  <c r="BF70" i="13"/>
  <c r="BG70" i="13" s="1"/>
  <c r="BB73" i="13"/>
  <c r="BC73" i="13" s="1"/>
  <c r="BF73" i="13" s="1"/>
  <c r="BG73" i="13" s="1"/>
  <c r="BC14" i="13"/>
  <c r="BF14" i="13" s="1"/>
  <c r="BG14" i="13" s="1"/>
  <c r="BF62" i="13"/>
  <c r="BG62" i="13" s="1"/>
  <c r="BC44" i="13"/>
  <c r="BF44" i="13" s="1"/>
  <c r="BG44" i="13" s="1"/>
  <c r="BB60" i="13"/>
  <c r="BC60" i="13" s="1"/>
  <c r="BF60" i="13" s="1"/>
  <c r="BG60" i="13" s="1"/>
  <c r="BC21" i="13"/>
  <c r="BB12" i="13"/>
  <c r="BC12" i="13" s="1"/>
  <c r="BF12" i="13" s="1"/>
  <c r="BG12" i="13" s="1"/>
  <c r="BC20" i="13"/>
  <c r="BF20" i="13" s="1"/>
  <c r="BG20" i="13" s="1"/>
  <c r="BB57" i="13"/>
  <c r="BC57" i="13" s="1"/>
  <c r="BF57" i="13" s="1"/>
  <c r="BG57" i="13" s="1"/>
  <c r="U74" i="18"/>
  <c r="AZ29" i="13"/>
  <c r="BA29" i="13" s="1"/>
  <c r="BE29" i="13"/>
  <c r="BB29" i="13"/>
  <c r="BB70" i="13"/>
  <c r="BC70" i="13" s="1"/>
  <c r="AZ10" i="13"/>
  <c r="BA10" i="13" s="1"/>
  <c r="U45" i="18"/>
  <c r="U66" i="18"/>
  <c r="BB6" i="13"/>
  <c r="BC6" i="13" s="1"/>
  <c r="BF6" i="13" s="1"/>
  <c r="BG6" i="13" s="1"/>
  <c r="BF76" i="13"/>
  <c r="BG76" i="13" s="1"/>
  <c r="BB25" i="13"/>
  <c r="BC25" i="13" s="1"/>
  <c r="BF25" i="13" s="1"/>
  <c r="BG25" i="13" s="1"/>
  <c r="BB32" i="13"/>
  <c r="BC32" i="13" s="1"/>
  <c r="BB45" i="13"/>
  <c r="BC45" i="13" s="1"/>
  <c r="BB58" i="13"/>
  <c r="BC58" i="13" s="1"/>
  <c r="M56" i="18"/>
  <c r="W56" i="18"/>
  <c r="AZ7" i="13"/>
  <c r="BA7" i="13" s="1"/>
  <c r="BB14" i="13"/>
  <c r="U69" i="18"/>
  <c r="O75" i="18"/>
  <c r="U75" i="18" s="1"/>
  <c r="BE66" i="13"/>
  <c r="AZ66" i="13"/>
  <c r="BA66" i="13" s="1"/>
  <c r="AX78" i="13"/>
  <c r="U29" i="18"/>
  <c r="T35" i="18"/>
  <c r="U50" i="18"/>
  <c r="T56" i="18"/>
  <c r="V69" i="18"/>
  <c r="P75" i="18"/>
  <c r="V75" i="18" s="1"/>
  <c r="U34" i="18"/>
  <c r="V53" i="18"/>
  <c r="V74" i="18"/>
  <c r="BB42" i="13"/>
  <c r="BC42" i="13" s="1"/>
  <c r="W74" i="18"/>
  <c r="BD78" i="13"/>
  <c r="T51" i="18"/>
  <c r="Q78" i="13"/>
  <c r="U26" i="18"/>
  <c r="R78" i="13"/>
  <c r="BF36" i="13"/>
  <c r="BG36" i="13" s="1"/>
  <c r="W37" i="18"/>
  <c r="T37" i="18"/>
  <c r="AL78" i="13"/>
  <c r="AZ39" i="13"/>
  <c r="BA39" i="13" s="1"/>
  <c r="BC48" i="13"/>
  <c r="BF48" i="13" s="1"/>
  <c r="BG48" i="13" s="1"/>
  <c r="AZ53" i="13"/>
  <c r="BA53" i="13" s="1"/>
  <c r="BE53" i="13"/>
  <c r="BB66" i="13"/>
  <c r="BC66" i="13" s="1"/>
  <c r="C75" i="18"/>
  <c r="V29" i="18"/>
  <c r="V50" i="18"/>
  <c r="W69" i="18"/>
  <c r="T69" i="18"/>
  <c r="W53" i="18"/>
  <c r="T53" i="18"/>
  <c r="M32" i="18"/>
  <c r="W32" i="18"/>
  <c r="M24" i="18"/>
  <c r="W24" i="18"/>
  <c r="AZ18" i="13"/>
  <c r="BA18" i="13" s="1"/>
  <c r="BE45" i="13"/>
  <c r="AZ45" i="13"/>
  <c r="BA45" i="13" s="1"/>
  <c r="BB46" i="13"/>
  <c r="BC46" i="13" s="1"/>
  <c r="BF46" i="13" s="1"/>
  <c r="BG46" i="13" s="1"/>
  <c r="W43" i="18"/>
  <c r="BC16" i="13"/>
  <c r="BB27" i="13"/>
  <c r="BC27" i="13" s="1"/>
  <c r="BF27" i="13" s="1"/>
  <c r="BG27" i="13" s="1"/>
  <c r="BA33" i="13"/>
  <c r="BB33" i="13" s="1"/>
  <c r="BC33" i="13" s="1"/>
  <c r="BF33" i="13" s="1"/>
  <c r="BG33" i="13" s="1"/>
  <c r="BB40" i="13"/>
  <c r="BC40" i="13" s="1"/>
  <c r="BB53" i="13"/>
  <c r="BC53" i="13" s="1"/>
  <c r="BB67" i="13"/>
  <c r="BC67" i="13" s="1"/>
  <c r="BF67" i="13" s="1"/>
  <c r="BG67" i="13" s="1"/>
  <c r="BA73" i="13"/>
  <c r="W29" i="18"/>
  <c r="T29" i="18"/>
  <c r="M48" i="18"/>
  <c r="W48" i="18"/>
  <c r="R75" i="18"/>
  <c r="M72" i="18"/>
  <c r="W72" i="18"/>
  <c r="BF28" i="13"/>
  <c r="BG28" i="13" s="1"/>
  <c r="P78" i="13"/>
  <c r="BB17" i="13"/>
  <c r="BC17" i="13" s="1"/>
  <c r="BF17" i="13" s="1"/>
  <c r="BG17" i="13" s="1"/>
  <c r="AN78" i="13"/>
  <c r="U6" i="13"/>
  <c r="AZ26" i="13"/>
  <c r="BA26" i="13" s="1"/>
  <c r="BF52" i="13"/>
  <c r="BG52" i="13" s="1"/>
  <c r="BB54" i="13"/>
  <c r="BC54" i="13" s="1"/>
  <c r="BF54" i="13" s="1"/>
  <c r="BG54" i="13" s="1"/>
  <c r="E75" i="18"/>
  <c r="M75" i="18" s="1"/>
  <c r="W35" i="18"/>
  <c r="AZ69" i="13"/>
  <c r="BA69" i="13" s="1"/>
  <c r="BE69" i="13"/>
  <c r="BB30" i="13"/>
  <c r="BC30" i="13" s="1"/>
  <c r="BF30" i="13" s="1"/>
  <c r="BG30" i="13" s="1"/>
  <c r="BA49" i="13"/>
  <c r="T32" i="18"/>
  <c r="V45" i="18"/>
  <c r="BB37" i="13"/>
  <c r="BC37" i="13" s="1"/>
  <c r="AZ63" i="13"/>
  <c r="BA63" i="13" s="1"/>
  <c r="V26" i="18"/>
  <c r="W45" i="18"/>
  <c r="T45" i="18"/>
  <c r="M64" i="18"/>
  <c r="W64" i="18"/>
  <c r="AZ31" i="13"/>
  <c r="BA31" i="13" s="1"/>
  <c r="AZ58" i="13"/>
  <c r="BA58" i="13" s="1"/>
  <c r="BE58" i="13"/>
  <c r="AZ71" i="13"/>
  <c r="BA71" i="13" s="1"/>
  <c r="AZ13" i="13"/>
  <c r="BA13" i="13" s="1"/>
  <c r="BE13" i="13"/>
  <c r="BE21" i="13"/>
  <c r="BF21" i="13" s="1"/>
  <c r="BG21" i="13" s="1"/>
  <c r="AZ21" i="13"/>
  <c r="BA21" i="13" s="1"/>
  <c r="U61" i="18"/>
  <c r="T67" i="18"/>
  <c r="AE78" i="13"/>
  <c r="U53" i="18"/>
  <c r="BA4" i="13"/>
  <c r="BC64" i="13"/>
  <c r="AF78" i="13"/>
  <c r="AC78" i="13"/>
  <c r="BB69" i="13"/>
  <c r="BC69" i="13" s="1"/>
  <c r="V34" i="18"/>
  <c r="BB11" i="13"/>
  <c r="BC11" i="13" s="1"/>
  <c r="BF11" i="13" s="1"/>
  <c r="BG11" i="13" s="1"/>
  <c r="BF68" i="13"/>
  <c r="BG68" i="13" s="1"/>
  <c r="W34" i="18"/>
  <c r="AZ23" i="13"/>
  <c r="BA23" i="13" s="1"/>
  <c r="AZ50" i="13"/>
  <c r="BA50" i="13" s="1"/>
  <c r="BE50" i="13"/>
  <c r="V66" i="18"/>
  <c r="BB64" i="13"/>
  <c r="BB38" i="13"/>
  <c r="BC38" i="13" s="1"/>
  <c r="BF38" i="13" s="1"/>
  <c r="BG38" i="13" s="1"/>
  <c r="BA57" i="13"/>
  <c r="U37" i="18"/>
  <c r="T24" i="18"/>
  <c r="V58" i="18"/>
  <c r="BB65" i="13"/>
  <c r="BC65" i="13" s="1"/>
  <c r="BF65" i="13" s="1"/>
  <c r="BG65" i="13" s="1"/>
  <c r="BB21" i="13"/>
  <c r="AZ34" i="13"/>
  <c r="BA34" i="13" s="1"/>
  <c r="BE34" i="13"/>
  <c r="AZ74" i="13"/>
  <c r="BA74" i="13" s="1"/>
  <c r="BE74" i="13"/>
  <c r="U21" i="18"/>
  <c r="T27" i="18"/>
  <c r="U42" i="18"/>
  <c r="T48" i="18"/>
  <c r="V61" i="18"/>
  <c r="BB24" i="13"/>
  <c r="BC24" i="13" s="1"/>
  <c r="BF24" i="13" s="1"/>
  <c r="BG24" i="13" s="1"/>
  <c r="T43" i="18"/>
  <c r="U58" i="18"/>
  <c r="V37" i="18"/>
  <c r="AM78" i="13"/>
  <c r="AO78" i="13"/>
  <c r="AZ47" i="13"/>
  <c r="BC55" i="13"/>
  <c r="AP56" i="13"/>
  <c r="BE61" i="13"/>
  <c r="AZ61" i="13"/>
  <c r="BA61" i="13" s="1"/>
  <c r="BB74" i="13"/>
  <c r="BC74" i="13" s="1"/>
  <c r="V21" i="18"/>
  <c r="W61" i="18"/>
  <c r="T61" i="18"/>
  <c r="BB10" i="13"/>
  <c r="BC10" i="13" s="1"/>
  <c r="BF10" i="13" s="1"/>
  <c r="BG10" i="13" s="1"/>
  <c r="AZ42" i="13"/>
  <c r="BA42" i="13" s="1"/>
  <c r="BE42" i="13"/>
  <c r="AZ5" i="13"/>
  <c r="BA5" i="13" s="1"/>
  <c r="BE5" i="13"/>
  <c r="BE37" i="13"/>
  <c r="AZ37" i="13"/>
  <c r="BA37" i="13" s="1"/>
  <c r="W51" i="18"/>
  <c r="AV78" i="13"/>
  <c r="AZ15" i="13"/>
  <c r="BB48" i="13"/>
  <c r="BF55" i="13"/>
  <c r="BG55" i="13" s="1"/>
  <c r="W21" i="18"/>
  <c r="T21" i="18"/>
  <c r="M40" i="18"/>
  <c r="W40" i="18"/>
  <c r="W42" i="18"/>
  <c r="M53" i="18"/>
  <c r="W67" i="18"/>
  <c r="T42" i="18"/>
  <c r="T31" i="18"/>
  <c r="W50" i="18"/>
  <c r="T71" i="18"/>
  <c r="D75" i="18"/>
  <c r="T34" i="18"/>
  <c r="AZ48" i="13"/>
  <c r="BA48" i="13" s="1"/>
  <c r="T55" i="18"/>
  <c r="W66" i="18"/>
  <c r="AZ11" i="13"/>
  <c r="BA11" i="13" s="1"/>
  <c r="AZ19" i="13"/>
  <c r="BA19" i="13" s="1"/>
  <c r="AZ27" i="13"/>
  <c r="BA27" i="13" s="1"/>
  <c r="AZ35" i="13"/>
  <c r="BA35" i="13" s="1"/>
  <c r="AZ43" i="13"/>
  <c r="BA43" i="13" s="1"/>
  <c r="AZ51" i="13"/>
  <c r="BA51" i="13" s="1"/>
  <c r="AZ59" i="13"/>
  <c r="BA59" i="13" s="1"/>
  <c r="AZ67" i="13"/>
  <c r="BA67" i="13" s="1"/>
  <c r="AZ75" i="13"/>
  <c r="BA75" i="13" s="1"/>
  <c r="AK78" i="13"/>
  <c r="T20" i="18"/>
  <c r="W23" i="18"/>
  <c r="T28" i="18"/>
  <c r="T36" i="18"/>
  <c r="W39" i="18"/>
  <c r="T44" i="18"/>
  <c r="W47" i="18"/>
  <c r="T52" i="18"/>
  <c r="T60" i="18"/>
  <c r="W63" i="18"/>
  <c r="T68" i="18"/>
  <c r="AZ24" i="13"/>
  <c r="BA24" i="13" s="1"/>
  <c r="AZ56" i="13"/>
  <c r="BA56" i="13" s="1"/>
  <c r="AZ72" i="13"/>
  <c r="BA72" i="13" s="1"/>
  <c r="BE8" i="13"/>
  <c r="BF8" i="13" s="1"/>
  <c r="BG8" i="13" s="1"/>
  <c r="BE16" i="13"/>
  <c r="BE32" i="13"/>
  <c r="BE40" i="13"/>
  <c r="BE64" i="13"/>
  <c r="BF64" i="13" s="1"/>
  <c r="BG64" i="13" s="1"/>
  <c r="W26" i="18"/>
  <c r="W58" i="18"/>
  <c r="T74" i="18"/>
  <c r="AV22" i="36"/>
  <c r="AW22" i="36" s="1"/>
  <c r="AE23" i="36"/>
  <c r="K23" i="36"/>
  <c r="AF23" i="36"/>
  <c r="AL23" i="36"/>
  <c r="AM23" i="36"/>
  <c r="AS23" i="36"/>
  <c r="AX11" i="36"/>
  <c r="AY11" i="36" s="1"/>
  <c r="BB11" i="36" s="1"/>
  <c r="BC11" i="36" s="1"/>
  <c r="AX9" i="36"/>
  <c r="AY9" i="36" s="1"/>
  <c r="AX12" i="36"/>
  <c r="AY12" i="36" s="1"/>
  <c r="AX13" i="36"/>
  <c r="AY13" i="36" s="1"/>
  <c r="BB13" i="36" s="1"/>
  <c r="BC13" i="36" s="1"/>
  <c r="BB8" i="36"/>
  <c r="BC8" i="36" s="1"/>
  <c r="AY17" i="36"/>
  <c r="AY20" i="36"/>
  <c r="AY21" i="36"/>
  <c r="BB21" i="36" s="1"/>
  <c r="BC21" i="36" s="1"/>
  <c r="AX5" i="36"/>
  <c r="AY5" i="36" s="1"/>
  <c r="BB5" i="36" s="1"/>
  <c r="BC5" i="36" s="1"/>
  <c r="AX14" i="36"/>
  <c r="AY14" i="36" s="1"/>
  <c r="U20" i="37"/>
  <c r="V20" i="37"/>
  <c r="AX17" i="36"/>
  <c r="W20" i="37"/>
  <c r="T20" i="37"/>
  <c r="M20" i="37"/>
  <c r="AX19" i="36"/>
  <c r="AY19" i="36" s="1"/>
  <c r="BB19" i="36" s="1"/>
  <c r="BC19" i="36" s="1"/>
  <c r="AV6" i="36"/>
  <c r="AW6" i="36" s="1"/>
  <c r="AN4" i="36"/>
  <c r="M4" i="37"/>
  <c r="BA14" i="36"/>
  <c r="T15" i="37"/>
  <c r="BA9" i="36"/>
  <c r="BA17" i="36"/>
  <c r="T4" i="37"/>
  <c r="AV7" i="36"/>
  <c r="AW7" i="36" s="1"/>
  <c r="U4" i="37"/>
  <c r="BA4" i="36"/>
  <c r="BA12" i="36"/>
  <c r="BA20" i="36"/>
  <c r="W4" i="37"/>
  <c r="T9" i="37"/>
  <c r="W12" i="37"/>
  <c r="T17" i="37"/>
  <c r="T5" i="37"/>
  <c r="T13" i="37"/>
  <c r="W10" i="37"/>
  <c r="AV4" i="36"/>
  <c r="W7" i="37"/>
  <c r="AV15" i="36"/>
  <c r="AW15" i="36" s="1"/>
  <c r="V4" i="37"/>
  <c r="AV10" i="36"/>
  <c r="AW10" i="36" s="1"/>
  <c r="AV18" i="36"/>
  <c r="AW18" i="36" s="1"/>
  <c r="AR23" i="36"/>
  <c r="W13" i="37"/>
  <c r="T23" i="36"/>
  <c r="U23" i="36" s="1"/>
  <c r="T6" i="37"/>
  <c r="T14" i="37"/>
  <c r="L4" i="37"/>
  <c r="L20" i="37" s="1"/>
  <c r="W18" i="37"/>
  <c r="M5" i="37"/>
  <c r="AC23" i="36"/>
  <c r="V78" i="12"/>
  <c r="AZ77" i="12"/>
  <c r="BA77" i="12" s="1"/>
  <c r="AX78" i="12"/>
  <c r="AC78" i="12"/>
  <c r="S78" i="12"/>
  <c r="T78" i="12"/>
  <c r="U78" i="12" s="1"/>
  <c r="BC23" i="12"/>
  <c r="BF23" i="12" s="1"/>
  <c r="BG23" i="12" s="1"/>
  <c r="BB52" i="12"/>
  <c r="BC7" i="12"/>
  <c r="BF19" i="12"/>
  <c r="BG19" i="12" s="1"/>
  <c r="BC26" i="12"/>
  <c r="BB68" i="12"/>
  <c r="BC57" i="12"/>
  <c r="BB71" i="12"/>
  <c r="BC71" i="12" s="1"/>
  <c r="BF71" i="12" s="1"/>
  <c r="BG71" i="12" s="1"/>
  <c r="BC75" i="12"/>
  <c r="L75" i="17"/>
  <c r="BB39" i="12"/>
  <c r="BC39" i="12" s="1"/>
  <c r="BC27" i="12"/>
  <c r="BB28" i="12"/>
  <c r="BB57" i="12"/>
  <c r="BB76" i="12"/>
  <c r="BC76" i="12" s="1"/>
  <c r="BF76" i="12" s="1"/>
  <c r="BG76" i="12" s="1"/>
  <c r="BB12" i="12"/>
  <c r="BC12" i="12" s="1"/>
  <c r="BF12" i="12" s="1"/>
  <c r="BG12" i="12" s="1"/>
  <c r="BC47" i="12"/>
  <c r="BF47" i="12" s="1"/>
  <c r="BG47" i="12" s="1"/>
  <c r="BB15" i="12"/>
  <c r="BC15" i="12" s="1"/>
  <c r="BF67" i="12"/>
  <c r="BG67" i="12" s="1"/>
  <c r="BB47" i="12"/>
  <c r="BC51" i="12"/>
  <c r="BC67" i="12"/>
  <c r="BC5" i="12"/>
  <c r="BF5" i="12" s="1"/>
  <c r="BG5" i="12" s="1"/>
  <c r="BF30" i="12"/>
  <c r="BG30" i="12" s="1"/>
  <c r="BB41" i="12"/>
  <c r="BC41" i="12" s="1"/>
  <c r="BF41" i="12" s="1"/>
  <c r="BG41" i="12" s="1"/>
  <c r="BC66" i="12"/>
  <c r="BF46" i="12"/>
  <c r="BG46" i="12" s="1"/>
  <c r="BC53" i="12"/>
  <c r="BF53" i="12" s="1"/>
  <c r="BG53" i="12" s="1"/>
  <c r="BC62" i="12"/>
  <c r="BF62" i="12" s="1"/>
  <c r="BG62" i="12" s="1"/>
  <c r="BC9" i="12"/>
  <c r="BC38" i="12"/>
  <c r="BF38" i="12" s="1"/>
  <c r="BG38" i="12" s="1"/>
  <c r="BC63" i="12"/>
  <c r="BB72" i="12"/>
  <c r="BC72" i="12" s="1"/>
  <c r="BF9" i="12"/>
  <c r="BG9" i="12" s="1"/>
  <c r="BF33" i="12"/>
  <c r="BG33" i="12" s="1"/>
  <c r="BF57" i="12"/>
  <c r="BG57" i="12" s="1"/>
  <c r="W67" i="17"/>
  <c r="T67" i="17"/>
  <c r="M67" i="17"/>
  <c r="AP16" i="12"/>
  <c r="AP40" i="12"/>
  <c r="AP64" i="12"/>
  <c r="V32" i="17"/>
  <c r="V36" i="17"/>
  <c r="T36" i="17"/>
  <c r="V48" i="17"/>
  <c r="V52" i="17"/>
  <c r="W73" i="17"/>
  <c r="BE16" i="12"/>
  <c r="AZ16" i="12"/>
  <c r="BA16" i="12" s="1"/>
  <c r="BE40" i="12"/>
  <c r="AZ40" i="12"/>
  <c r="BA40" i="12" s="1"/>
  <c r="BE64" i="12"/>
  <c r="AZ64" i="12"/>
  <c r="BA64" i="12" s="1"/>
  <c r="W52" i="17"/>
  <c r="U56" i="17"/>
  <c r="BB6" i="12"/>
  <c r="BC6" i="12" s="1"/>
  <c r="BF6" i="12" s="1"/>
  <c r="BG6" i="12" s="1"/>
  <c r="W60" i="17"/>
  <c r="U64" i="17"/>
  <c r="BC60" i="12"/>
  <c r="BF60" i="12" s="1"/>
  <c r="BG60" i="12" s="1"/>
  <c r="U9" i="12"/>
  <c r="BB11" i="12"/>
  <c r="BF10" i="12"/>
  <c r="BG10" i="12" s="1"/>
  <c r="BB30" i="12"/>
  <c r="BF34" i="12"/>
  <c r="BG34" i="12" s="1"/>
  <c r="BB54" i="12"/>
  <c r="BF58" i="12"/>
  <c r="BG58" i="12" s="1"/>
  <c r="D75" i="17"/>
  <c r="BE15" i="12"/>
  <c r="BB16" i="12"/>
  <c r="BE39" i="12"/>
  <c r="BB40" i="12"/>
  <c r="BE63" i="12"/>
  <c r="BF63" i="12" s="1"/>
  <c r="BG63" i="12" s="1"/>
  <c r="M25" i="17"/>
  <c r="BF25" i="12"/>
  <c r="BG25" i="12" s="1"/>
  <c r="BE35" i="12"/>
  <c r="BF49" i="12"/>
  <c r="BG49" i="12" s="1"/>
  <c r="BF73" i="12"/>
  <c r="BG73" i="12" s="1"/>
  <c r="AL78" i="12"/>
  <c r="AZ21" i="12"/>
  <c r="AP32" i="12"/>
  <c r="AZ45" i="12"/>
  <c r="AP56" i="12"/>
  <c r="AZ69" i="12"/>
  <c r="AV78" i="12"/>
  <c r="O75" i="17"/>
  <c r="U19" i="17"/>
  <c r="V23" i="17"/>
  <c r="M33" i="17"/>
  <c r="V64" i="17"/>
  <c r="BB35" i="12"/>
  <c r="BC35" i="12" s="1"/>
  <c r="BB59" i="12"/>
  <c r="W44" i="17"/>
  <c r="U48" i="17"/>
  <c r="K78" i="12"/>
  <c r="M68" i="17"/>
  <c r="BE11" i="12"/>
  <c r="BF11" i="12" s="1"/>
  <c r="BG11" i="12" s="1"/>
  <c r="BE59" i="12"/>
  <c r="BF59" i="12" s="1"/>
  <c r="BG59" i="12" s="1"/>
  <c r="AU78" i="12"/>
  <c r="AP8" i="12"/>
  <c r="BC8" i="12" s="1"/>
  <c r="AM78" i="12"/>
  <c r="BC28" i="12"/>
  <c r="BF28" i="12" s="1"/>
  <c r="BG28" i="12" s="1"/>
  <c r="BC52" i="12"/>
  <c r="BF52" i="12" s="1"/>
  <c r="BG52" i="12" s="1"/>
  <c r="P75" i="17"/>
  <c r="V19" i="17"/>
  <c r="V68" i="17"/>
  <c r="BC11" i="12"/>
  <c r="V40" i="17"/>
  <c r="BE8" i="12"/>
  <c r="AZ8" i="12"/>
  <c r="BA8" i="12" s="1"/>
  <c r="BE56" i="12"/>
  <c r="AZ56" i="12"/>
  <c r="BA56" i="12" s="1"/>
  <c r="V35" i="17"/>
  <c r="T68" i="17"/>
  <c r="AW78" i="12"/>
  <c r="BE7" i="12"/>
  <c r="BF7" i="12" s="1"/>
  <c r="BG7" i="12" s="1"/>
  <c r="BB8" i="12"/>
  <c r="BE31" i="12"/>
  <c r="BF31" i="12" s="1"/>
  <c r="BG31" i="12" s="1"/>
  <c r="BE55" i="12"/>
  <c r="BF55" i="12" s="1"/>
  <c r="BG55" i="12" s="1"/>
  <c r="BB56" i="12"/>
  <c r="T31" i="17"/>
  <c r="W35" i="17"/>
  <c r="T35" i="17"/>
  <c r="M35" i="17"/>
  <c r="V47" i="17"/>
  <c r="W25" i="17"/>
  <c r="U33" i="17"/>
  <c r="V43" i="17"/>
  <c r="BA12" i="12"/>
  <c r="BA17" i="12"/>
  <c r="BB17" i="12" s="1"/>
  <c r="BC17" i="12" s="1"/>
  <c r="BF17" i="12" s="1"/>
  <c r="BG17" i="12" s="1"/>
  <c r="BA36" i="12"/>
  <c r="BB36" i="12" s="1"/>
  <c r="BC36" i="12" s="1"/>
  <c r="BF36" i="12" s="1"/>
  <c r="BG36" i="12" s="1"/>
  <c r="BA41" i="12"/>
  <c r="BB51" i="12"/>
  <c r="BB75" i="12"/>
  <c r="V72" i="17"/>
  <c r="BF26" i="12"/>
  <c r="BG26" i="12" s="1"/>
  <c r="BF50" i="12"/>
  <c r="BG50" i="12" s="1"/>
  <c r="BB60" i="12"/>
  <c r="BB65" i="12"/>
  <c r="BC65" i="12" s="1"/>
  <c r="BF65" i="12" s="1"/>
  <c r="BG65" i="12" s="1"/>
  <c r="BF74" i="12"/>
  <c r="BG74" i="12" s="1"/>
  <c r="AZ4" i="12"/>
  <c r="AZ13" i="12"/>
  <c r="BA13" i="12" s="1"/>
  <c r="AZ37" i="12"/>
  <c r="BA37" i="12" s="1"/>
  <c r="AZ61" i="12"/>
  <c r="BA61" i="12" s="1"/>
  <c r="W31" i="17"/>
  <c r="T39" i="17"/>
  <c r="W43" i="17"/>
  <c r="T43" i="17"/>
  <c r="M43" i="17"/>
  <c r="V55" i="17"/>
  <c r="BC20" i="12"/>
  <c r="BF20" i="12" s="1"/>
  <c r="BG20" i="12" s="1"/>
  <c r="BC44" i="12"/>
  <c r="BF44" i="12" s="1"/>
  <c r="BG44" i="12" s="1"/>
  <c r="BC68" i="12"/>
  <c r="BF68" i="12" s="1"/>
  <c r="BG68" i="12" s="1"/>
  <c r="W33" i="17"/>
  <c r="U41" i="17"/>
  <c r="BE32" i="12"/>
  <c r="AZ32" i="12"/>
  <c r="BA32" i="12" s="1"/>
  <c r="N75" i="17"/>
  <c r="W39" i="17"/>
  <c r="T47" i="17"/>
  <c r="W51" i="17"/>
  <c r="T51" i="17"/>
  <c r="M51" i="17"/>
  <c r="T57" i="17"/>
  <c r="V63" i="17"/>
  <c r="AP30" i="12"/>
  <c r="BC30" i="12" s="1"/>
  <c r="AP54" i="12"/>
  <c r="BB67" i="12"/>
  <c r="AD78" i="12"/>
  <c r="M28" i="17"/>
  <c r="W41" i="17"/>
  <c r="U49" i="17"/>
  <c r="M73" i="17"/>
  <c r="BC59" i="12"/>
  <c r="R75" i="17"/>
  <c r="V27" i="17"/>
  <c r="W27" i="17"/>
  <c r="T27" i="17"/>
  <c r="M27" i="17"/>
  <c r="V39" i="17"/>
  <c r="BE27" i="12"/>
  <c r="P78" i="12"/>
  <c r="BB14" i="12"/>
  <c r="BC14" i="12" s="1"/>
  <c r="BF14" i="12" s="1"/>
  <c r="BG14" i="12" s="1"/>
  <c r="BE18" i="12"/>
  <c r="BF18" i="12" s="1"/>
  <c r="BG18" i="12" s="1"/>
  <c r="BF29" i="12"/>
  <c r="BG29" i="12" s="1"/>
  <c r="BB38" i="12"/>
  <c r="BE42" i="12"/>
  <c r="BF42" i="12" s="1"/>
  <c r="BG42" i="12" s="1"/>
  <c r="BB62" i="12"/>
  <c r="BE66" i="12"/>
  <c r="V20" i="17"/>
  <c r="W47" i="17"/>
  <c r="T55" i="17"/>
  <c r="W59" i="17"/>
  <c r="T59" i="17"/>
  <c r="M59" i="17"/>
  <c r="V44" i="17"/>
  <c r="AN78" i="12"/>
  <c r="Q75" i="17"/>
  <c r="W19" i="17"/>
  <c r="T19" i="17"/>
  <c r="M19" i="17"/>
  <c r="AO78" i="12"/>
  <c r="BB27" i="12"/>
  <c r="S75" i="17"/>
  <c r="BE51" i="12"/>
  <c r="BE75" i="12"/>
  <c r="Q78" i="12"/>
  <c r="BE24" i="12"/>
  <c r="AZ24" i="12"/>
  <c r="BA24" i="12" s="1"/>
  <c r="BE48" i="12"/>
  <c r="AZ48" i="12"/>
  <c r="BA48" i="12" s="1"/>
  <c r="BE72" i="12"/>
  <c r="AZ72" i="12"/>
  <c r="BA72" i="12" s="1"/>
  <c r="AF78" i="12"/>
  <c r="W20" i="17"/>
  <c r="U24" i="17"/>
  <c r="M36" i="17"/>
  <c r="W49" i="17"/>
  <c r="V71" i="17"/>
  <c r="V22" i="17"/>
  <c r="V30" i="17"/>
  <c r="V38" i="17"/>
  <c r="V46" i="17"/>
  <c r="V54" i="17"/>
  <c r="V62" i="17"/>
  <c r="V70" i="17"/>
  <c r="AK78" i="12"/>
  <c r="T24" i="17"/>
  <c r="T32" i="17"/>
  <c r="T40" i="17"/>
  <c r="T48" i="17"/>
  <c r="T56" i="17"/>
  <c r="T64" i="17"/>
  <c r="T72" i="17"/>
  <c r="AX77" i="41"/>
  <c r="AY77" i="41" s="1"/>
  <c r="AE78" i="41"/>
  <c r="V78" i="41"/>
  <c r="AK78" i="41"/>
  <c r="AF78" i="41"/>
  <c r="AD78" i="41"/>
  <c r="BC7" i="41"/>
  <c r="AX7" i="41"/>
  <c r="AY7" i="41" s="1"/>
  <c r="AX18" i="41"/>
  <c r="BC18" i="41"/>
  <c r="BD25" i="41"/>
  <c r="BE25" i="41" s="1"/>
  <c r="AY28" i="41"/>
  <c r="AZ28" i="41"/>
  <c r="BA28" i="41" s="1"/>
  <c r="BD28" i="41" s="1"/>
  <c r="BE28" i="41" s="1"/>
  <c r="AZ46" i="41"/>
  <c r="BA46" i="41" s="1"/>
  <c r="BD46" i="41" s="1"/>
  <c r="BE46" i="41" s="1"/>
  <c r="AZ65" i="41"/>
  <c r="BA65" i="41" s="1"/>
  <c r="BD65" i="41" s="1"/>
  <c r="BE65" i="41" s="1"/>
  <c r="W71" i="23"/>
  <c r="V71" i="23"/>
  <c r="W11" i="23"/>
  <c r="V11" i="23"/>
  <c r="BA20" i="41"/>
  <c r="AZ37" i="41"/>
  <c r="W28" i="23"/>
  <c r="M28" i="23"/>
  <c r="T28" i="23"/>
  <c r="X65" i="23"/>
  <c r="X53" i="23"/>
  <c r="X41" i="23"/>
  <c r="X29" i="23"/>
  <c r="X17" i="23"/>
  <c r="X5" i="23"/>
  <c r="X70" i="23"/>
  <c r="X58" i="23"/>
  <c r="X46" i="23"/>
  <c r="X34" i="23"/>
  <c r="X22" i="23"/>
  <c r="X10" i="23"/>
  <c r="X32" i="23"/>
  <c r="X20" i="23"/>
  <c r="X8" i="23"/>
  <c r="X63" i="23"/>
  <c r="X51" i="23"/>
  <c r="X39" i="23"/>
  <c r="X27" i="23"/>
  <c r="X15" i="23"/>
  <c r="X68" i="23"/>
  <c r="X56" i="23"/>
  <c r="X44" i="23"/>
  <c r="X73" i="23"/>
  <c r="X61" i="23"/>
  <c r="X49" i="23"/>
  <c r="X37" i="23"/>
  <c r="X25" i="23"/>
  <c r="X13" i="23"/>
  <c r="X66" i="23"/>
  <c r="X54" i="23"/>
  <c r="X42" i="23"/>
  <c r="X30" i="23"/>
  <c r="X18" i="23"/>
  <c r="X71" i="23"/>
  <c r="X59" i="23"/>
  <c r="X47" i="23"/>
  <c r="X35" i="23"/>
  <c r="X23" i="23"/>
  <c r="X11" i="23"/>
  <c r="X64" i="23"/>
  <c r="X52" i="23"/>
  <c r="X40" i="23"/>
  <c r="X28" i="23"/>
  <c r="X16" i="23"/>
  <c r="X4" i="23"/>
  <c r="X69" i="23"/>
  <c r="X57" i="23"/>
  <c r="X45" i="23"/>
  <c r="X33" i="23"/>
  <c r="X21" i="23"/>
  <c r="X9" i="23"/>
  <c r="X72" i="23"/>
  <c r="X60" i="23"/>
  <c r="X48" i="23"/>
  <c r="X36" i="23"/>
  <c r="X24" i="23"/>
  <c r="X12" i="23"/>
  <c r="BC66" i="41"/>
  <c r="AX66" i="41"/>
  <c r="AY66" i="41" s="1"/>
  <c r="AZ36" i="41"/>
  <c r="BA36" i="41" s="1"/>
  <c r="BD36" i="41" s="1"/>
  <c r="BE36" i="41" s="1"/>
  <c r="BD6" i="41"/>
  <c r="BE6" i="41" s="1"/>
  <c r="BD17" i="41"/>
  <c r="BE17" i="41" s="1"/>
  <c r="BD29" i="41"/>
  <c r="BE29" i="41" s="1"/>
  <c r="BC20" i="41"/>
  <c r="AX20" i="41"/>
  <c r="AY20" i="41" s="1"/>
  <c r="BD76" i="41"/>
  <c r="BE76" i="41" s="1"/>
  <c r="W59" i="23"/>
  <c r="V59" i="23"/>
  <c r="AZ20" i="41"/>
  <c r="AZ68" i="41"/>
  <c r="BA68" i="41" s="1"/>
  <c r="BD68" i="41" s="1"/>
  <c r="BE68" i="41" s="1"/>
  <c r="BA23" i="41"/>
  <c r="BD23" i="41" s="1"/>
  <c r="BE23" i="41" s="1"/>
  <c r="AZ30" i="41"/>
  <c r="BA30" i="41" s="1"/>
  <c r="BD30" i="41" s="1"/>
  <c r="BE30" i="41" s="1"/>
  <c r="BD38" i="41"/>
  <c r="BE38" i="41" s="1"/>
  <c r="BA51" i="41"/>
  <c r="BD51" i="41" s="1"/>
  <c r="BE51" i="41" s="1"/>
  <c r="BA22" i="41"/>
  <c r="BD22" i="41" s="1"/>
  <c r="BE22" i="41" s="1"/>
  <c r="BA71" i="41"/>
  <c r="AZ70" i="41"/>
  <c r="BA70" i="41" s="1"/>
  <c r="BD70" i="41" s="1"/>
  <c r="BE70" i="41" s="1"/>
  <c r="W47" i="23"/>
  <c r="V47" i="23"/>
  <c r="AZ11" i="41"/>
  <c r="BA11" i="41" s="1"/>
  <c r="BD11" i="41" s="1"/>
  <c r="BE11" i="41" s="1"/>
  <c r="AZ22" i="41"/>
  <c r="AO34" i="41"/>
  <c r="BA34" i="41" s="1"/>
  <c r="BD34" i="41" s="1"/>
  <c r="BE34" i="41" s="1"/>
  <c r="AZ41" i="41"/>
  <c r="BA41" i="41" s="1"/>
  <c r="BD41" i="41" s="1"/>
  <c r="BE41" i="41" s="1"/>
  <c r="AY60" i="41"/>
  <c r="AZ60" i="41"/>
  <c r="BA60" i="41" s="1"/>
  <c r="BD60" i="41" s="1"/>
  <c r="BE60" i="41" s="1"/>
  <c r="BA43" i="41"/>
  <c r="BD43" i="41" s="1"/>
  <c r="BE43" i="41" s="1"/>
  <c r="AO62" i="41"/>
  <c r="N75" i="23"/>
  <c r="U75" i="23" s="1"/>
  <c r="U6" i="23"/>
  <c r="W16" i="23"/>
  <c r="M16" i="23"/>
  <c r="T16" i="23"/>
  <c r="BC37" i="41"/>
  <c r="AX37" i="41"/>
  <c r="AY37" i="41" s="1"/>
  <c r="W35" i="23"/>
  <c r="V35" i="23"/>
  <c r="AM78" i="41"/>
  <c r="AZ16" i="41"/>
  <c r="BA16" i="41" s="1"/>
  <c r="BD16" i="41" s="1"/>
  <c r="BE16" i="41" s="1"/>
  <c r="AX26" i="41"/>
  <c r="AY26" i="41" s="1"/>
  <c r="BC26" i="41"/>
  <c r="BA38" i="41"/>
  <c r="BA67" i="41"/>
  <c r="BD67" i="41" s="1"/>
  <c r="BE67" i="41" s="1"/>
  <c r="AZ73" i="41"/>
  <c r="BA73" i="41" s="1"/>
  <c r="BD73" i="41" s="1"/>
  <c r="BE73" i="41" s="1"/>
  <c r="AZ74" i="41"/>
  <c r="BA74" i="41" s="1"/>
  <c r="X62" i="23"/>
  <c r="AZ7" i="41"/>
  <c r="BA7" i="41" s="1"/>
  <c r="AX47" i="41"/>
  <c r="AY47" i="41" s="1"/>
  <c r="BC47" i="41"/>
  <c r="AO4" i="41"/>
  <c r="BD63" i="41"/>
  <c r="BE63" i="41" s="1"/>
  <c r="W4" i="23"/>
  <c r="M4" i="23"/>
  <c r="Q75" i="23"/>
  <c r="T4" i="23"/>
  <c r="BC4" i="41"/>
  <c r="AX4" i="41"/>
  <c r="AS78" i="41"/>
  <c r="AU78" i="41"/>
  <c r="BD14" i="41"/>
  <c r="BE14" i="41" s="1"/>
  <c r="AO19" i="41"/>
  <c r="AZ26" i="41"/>
  <c r="BA26" i="41" s="1"/>
  <c r="AZ52" i="41"/>
  <c r="BA52" i="41" s="1"/>
  <c r="BD52" i="41" s="1"/>
  <c r="BE52" i="41" s="1"/>
  <c r="BA55" i="41"/>
  <c r="X6" i="23"/>
  <c r="W23" i="23"/>
  <c r="V23" i="23"/>
  <c r="AY12" i="41"/>
  <c r="AZ12" i="41" s="1"/>
  <c r="BA12" i="41" s="1"/>
  <c r="BD12" i="41" s="1"/>
  <c r="BE12" i="41" s="1"/>
  <c r="BA75" i="41"/>
  <c r="BD75" i="41" s="1"/>
  <c r="BE75" i="41" s="1"/>
  <c r="BD71" i="41"/>
  <c r="BE71" i="41" s="1"/>
  <c r="AZ15" i="41"/>
  <c r="BA15" i="41" s="1"/>
  <c r="BD15" i="41" s="1"/>
  <c r="BE15" i="41" s="1"/>
  <c r="AV78" i="41"/>
  <c r="AO66" i="41"/>
  <c r="X31" i="23"/>
  <c r="BD44" i="41"/>
  <c r="BE44" i="41" s="1"/>
  <c r="AY62" i="41"/>
  <c r="AZ62" i="41" s="1"/>
  <c r="BB78" i="41"/>
  <c r="AZ5" i="41"/>
  <c r="BA5" i="41" s="1"/>
  <c r="BD5" i="41" s="1"/>
  <c r="BE5" i="41" s="1"/>
  <c r="BA76" i="41"/>
  <c r="AJ78" i="41"/>
  <c r="BD61" i="41"/>
  <c r="BE61" i="41" s="1"/>
  <c r="AL78" i="41"/>
  <c r="BD45" i="41"/>
  <c r="BE45" i="41" s="1"/>
  <c r="AZ69" i="41"/>
  <c r="BA69" i="41" s="1"/>
  <c r="BD69" i="41" s="1"/>
  <c r="BE69" i="41" s="1"/>
  <c r="C75" i="23"/>
  <c r="P78" i="41"/>
  <c r="P75" i="23"/>
  <c r="V75" i="23" s="1"/>
  <c r="AN78" i="41"/>
  <c r="AO8" i="41"/>
  <c r="AZ53" i="41"/>
  <c r="BC74" i="41"/>
  <c r="AX74" i="41"/>
  <c r="AY74" i="41" s="1"/>
  <c r="BC50" i="41"/>
  <c r="AX50" i="41"/>
  <c r="AY50" i="41" s="1"/>
  <c r="U4" i="23"/>
  <c r="W9" i="23"/>
  <c r="W21" i="23"/>
  <c r="W33" i="23"/>
  <c r="W45" i="23"/>
  <c r="W57" i="23"/>
  <c r="W69" i="23"/>
  <c r="AX11" i="41"/>
  <c r="AY11" i="41" s="1"/>
  <c r="AY70" i="41"/>
  <c r="V4" i="23"/>
  <c r="K78" i="41"/>
  <c r="W13" i="23"/>
  <c r="M13" i="23"/>
  <c r="W25" i="23"/>
  <c r="M25" i="23"/>
  <c r="W37" i="23"/>
  <c r="W49" i="23"/>
  <c r="W61" i="23"/>
  <c r="W73" i="23"/>
  <c r="BC58" i="41"/>
  <c r="AX58" i="41"/>
  <c r="AY58" i="41" s="1"/>
  <c r="AO9" i="41"/>
  <c r="BA9" i="41" s="1"/>
  <c r="BD9" i="41" s="1"/>
  <c r="BE9" i="41" s="1"/>
  <c r="AZ19" i="41"/>
  <c r="BC42" i="41"/>
  <c r="AX42" i="41"/>
  <c r="AZ8" i="41"/>
  <c r="AY54" i="41"/>
  <c r="AZ54" i="41" s="1"/>
  <c r="BA54" i="41" s="1"/>
  <c r="BD54" i="41" s="1"/>
  <c r="BE54" i="41" s="1"/>
  <c r="AT78" i="41"/>
  <c r="AO13" i="41"/>
  <c r="AY46" i="41"/>
  <c r="AZ75" i="41"/>
  <c r="Q78" i="41"/>
  <c r="AO24" i="41"/>
  <c r="AZ67" i="41"/>
  <c r="AO72" i="41"/>
  <c r="R78" i="41"/>
  <c r="AO17" i="41"/>
  <c r="BA17" i="41" s="1"/>
  <c r="AZ27" i="41"/>
  <c r="BA27" i="41" s="1"/>
  <c r="BD27" i="41" s="1"/>
  <c r="BE27" i="41" s="1"/>
  <c r="AZ59" i="41"/>
  <c r="BA59" i="41" s="1"/>
  <c r="BD59" i="41" s="1"/>
  <c r="BE59" i="41" s="1"/>
  <c r="AO64" i="41"/>
  <c r="BA64" i="41" s="1"/>
  <c r="S78" i="41"/>
  <c r="BA48" i="41"/>
  <c r="W10" i="23"/>
  <c r="M10" i="23"/>
  <c r="W22" i="23"/>
  <c r="M22" i="23"/>
  <c r="W34" i="23"/>
  <c r="W46" i="23"/>
  <c r="W58" i="23"/>
  <c r="W70" i="23"/>
  <c r="T10" i="23"/>
  <c r="W15" i="23"/>
  <c r="W27" i="23"/>
  <c r="W39" i="23"/>
  <c r="W51" i="23"/>
  <c r="W63" i="23"/>
  <c r="AZ43" i="41"/>
  <c r="BA40" i="41"/>
  <c r="BD40" i="41" s="1"/>
  <c r="BE40" i="41" s="1"/>
  <c r="AZ72" i="41"/>
  <c r="AX31" i="41"/>
  <c r="AY31" i="41" s="1"/>
  <c r="AZ64" i="41"/>
  <c r="AX13" i="41"/>
  <c r="AY13" i="41" s="1"/>
  <c r="AX39" i="41"/>
  <c r="AY39" i="41" s="1"/>
  <c r="BD48" i="41"/>
  <c r="BE48" i="41" s="1"/>
  <c r="AO53" i="41"/>
  <c r="BA53" i="41" s="1"/>
  <c r="BD53" i="41" s="1"/>
  <c r="BE53" i="41" s="1"/>
  <c r="BC55" i="41"/>
  <c r="AZ56" i="41"/>
  <c r="BA56" i="41" s="1"/>
  <c r="BD56" i="41" s="1"/>
  <c r="BE56" i="41" s="1"/>
  <c r="AC78" i="41"/>
  <c r="BD64" i="41"/>
  <c r="BE64" i="41" s="1"/>
  <c r="T22" i="23"/>
  <c r="AX24" i="41"/>
  <c r="AY24" i="41" s="1"/>
  <c r="AO33" i="41"/>
  <c r="BA33" i="41" s="1"/>
  <c r="BD33" i="41" s="1"/>
  <c r="BE33" i="41" s="1"/>
  <c r="BC35" i="41"/>
  <c r="AO45" i="41"/>
  <c r="BA45" i="41" s="1"/>
  <c r="AZ48" i="41"/>
  <c r="AX72" i="41"/>
  <c r="AY72" i="41" s="1"/>
  <c r="V5" i="23"/>
  <c r="W7" i="23"/>
  <c r="M7" i="23"/>
  <c r="V17" i="23"/>
  <c r="W19" i="23"/>
  <c r="M19" i="23"/>
  <c r="V29" i="23"/>
  <c r="W31" i="23"/>
  <c r="V41" i="23"/>
  <c r="W43" i="23"/>
  <c r="V53" i="23"/>
  <c r="W55" i="23"/>
  <c r="V65" i="23"/>
  <c r="W67" i="23"/>
  <c r="AZ35" i="41"/>
  <c r="BA35" i="41" s="1"/>
  <c r="AZ32" i="41"/>
  <c r="BA32" i="41" s="1"/>
  <c r="BD32" i="41" s="1"/>
  <c r="BE32" i="41" s="1"/>
  <c r="AO37" i="41"/>
  <c r="BA37" i="41" s="1"/>
  <c r="AX64" i="41"/>
  <c r="AY64" i="41" s="1"/>
  <c r="AX16" i="41"/>
  <c r="AY16" i="41" s="1"/>
  <c r="AZ40" i="41"/>
  <c r="AX56" i="41"/>
  <c r="AY56" i="41" s="1"/>
  <c r="M31" i="23"/>
  <c r="M34" i="23"/>
  <c r="M37" i="23"/>
  <c r="M40" i="23"/>
  <c r="M43" i="23"/>
  <c r="M46" i="23"/>
  <c r="M49" i="23"/>
  <c r="M52" i="23"/>
  <c r="M55" i="23"/>
  <c r="M58" i="23"/>
  <c r="M61" i="23"/>
  <c r="M64" i="23"/>
  <c r="M67" i="23"/>
  <c r="M70" i="23"/>
  <c r="M73" i="23"/>
  <c r="AZ43" i="34" l="1"/>
  <c r="BA43" i="34" s="1"/>
  <c r="BD43" i="34" s="1"/>
  <c r="BE43" i="34" s="1"/>
  <c r="AZ41" i="34"/>
  <c r="BA41" i="34" s="1"/>
  <c r="BD41" i="34" s="1"/>
  <c r="BE41" i="34" s="1"/>
  <c r="BD24" i="34"/>
  <c r="BE24" i="34" s="1"/>
  <c r="AX44" i="34"/>
  <c r="AZ10" i="34"/>
  <c r="BA10" i="34" s="1"/>
  <c r="BD10" i="34" s="1"/>
  <c r="BE10" i="34" s="1"/>
  <c r="AY44" i="34"/>
  <c r="BD40" i="34"/>
  <c r="BE40" i="34" s="1"/>
  <c r="AZ4" i="34"/>
  <c r="BD12" i="34"/>
  <c r="BE12" i="34" s="1"/>
  <c r="BC44" i="34"/>
  <c r="T41" i="35"/>
  <c r="M41" i="35"/>
  <c r="W41" i="35"/>
  <c r="BD7" i="34"/>
  <c r="BE7" i="34" s="1"/>
  <c r="BD38" i="34"/>
  <c r="BE38" i="34" s="1"/>
  <c r="BD19" i="34"/>
  <c r="BE19" i="34" s="1"/>
  <c r="AZ9" i="34"/>
  <c r="BA9" i="34" s="1"/>
  <c r="BD9" i="34" s="1"/>
  <c r="BE9" i="34" s="1"/>
  <c r="BD28" i="34"/>
  <c r="BE28" i="34" s="1"/>
  <c r="AZ5" i="34"/>
  <c r="BA5" i="34" s="1"/>
  <c r="BD5" i="34" s="1"/>
  <c r="BE5" i="34" s="1"/>
  <c r="AZ22" i="34"/>
  <c r="BA22" i="34" s="1"/>
  <c r="BD22" i="34" s="1"/>
  <c r="BE22" i="34" s="1"/>
  <c r="AZ33" i="34"/>
  <c r="BA33" i="34" s="1"/>
  <c r="BD33" i="34" s="1"/>
  <c r="BE33" i="34" s="1"/>
  <c r="V41" i="35"/>
  <c r="AZ17" i="34"/>
  <c r="BA17" i="34" s="1"/>
  <c r="BD17" i="34" s="1"/>
  <c r="BE17" i="34" s="1"/>
  <c r="BD31" i="34"/>
  <c r="BE31" i="34" s="1"/>
  <c r="AX56" i="28"/>
  <c r="AY56" i="28" s="1"/>
  <c r="BB56" i="28" s="1"/>
  <c r="BC56" i="28" s="1"/>
  <c r="BB53" i="28"/>
  <c r="BC53" i="28" s="1"/>
  <c r="BB43" i="28"/>
  <c r="BC43" i="28" s="1"/>
  <c r="BB32" i="28"/>
  <c r="BC32" i="28" s="1"/>
  <c r="AY40" i="28"/>
  <c r="BB34" i="28"/>
  <c r="BC34" i="28" s="1"/>
  <c r="AX29" i="28"/>
  <c r="AY29" i="28" s="1"/>
  <c r="BB51" i="28"/>
  <c r="BC51" i="28" s="1"/>
  <c r="BB40" i="28"/>
  <c r="BC40" i="28" s="1"/>
  <c r="AX38" i="28"/>
  <c r="AY38" i="28" s="1"/>
  <c r="BB38" i="28" s="1"/>
  <c r="BC38" i="28" s="1"/>
  <c r="AX48" i="28"/>
  <c r="AY48" i="28" s="1"/>
  <c r="BB48" i="28" s="1"/>
  <c r="BC48" i="28" s="1"/>
  <c r="AX22" i="28"/>
  <c r="AY22" i="28" s="1"/>
  <c r="BB22" i="28" s="1"/>
  <c r="BC22" i="28" s="1"/>
  <c r="AX37" i="28"/>
  <c r="AY37" i="28" s="1"/>
  <c r="BB45" i="28"/>
  <c r="BC45" i="28" s="1"/>
  <c r="AW5" i="28"/>
  <c r="AX5" i="28" s="1"/>
  <c r="AY5" i="28" s="1"/>
  <c r="BB5" i="28" s="1"/>
  <c r="BC5" i="28" s="1"/>
  <c r="AV57" i="28"/>
  <c r="V54" i="29"/>
  <c r="AX4" i="28"/>
  <c r="BB10" i="28"/>
  <c r="BC10" i="28" s="1"/>
  <c r="BB29" i="28"/>
  <c r="BC29" i="28" s="1"/>
  <c r="BB37" i="28"/>
  <c r="BC37" i="28" s="1"/>
  <c r="BB50" i="28"/>
  <c r="BC50" i="28" s="1"/>
  <c r="BB21" i="28"/>
  <c r="BC21" i="28" s="1"/>
  <c r="BB13" i="28"/>
  <c r="BC13" i="28" s="1"/>
  <c r="AY32" i="28"/>
  <c r="AX30" i="28"/>
  <c r="AY30" i="28" s="1"/>
  <c r="BB30" i="28" s="1"/>
  <c r="BC30" i="28" s="1"/>
  <c r="BB26" i="28"/>
  <c r="BC26" i="28" s="1"/>
  <c r="AY10" i="28"/>
  <c r="BB42" i="28"/>
  <c r="BC42" i="28" s="1"/>
  <c r="AX19" i="28"/>
  <c r="AY19" i="28" s="1"/>
  <c r="BB19" i="28" s="1"/>
  <c r="BC19" i="28" s="1"/>
  <c r="AX18" i="28"/>
  <c r="AY18" i="28" s="1"/>
  <c r="BB18" i="28" s="1"/>
  <c r="BC18" i="28" s="1"/>
  <c r="AX46" i="28"/>
  <c r="AY46" i="28" s="1"/>
  <c r="BB46" i="28" s="1"/>
  <c r="BC46" i="28" s="1"/>
  <c r="AX14" i="28"/>
  <c r="AY14" i="28" s="1"/>
  <c r="BB14" i="28" s="1"/>
  <c r="BC14" i="28" s="1"/>
  <c r="BB8" i="28"/>
  <c r="BC8" i="28" s="1"/>
  <c r="AX54" i="28"/>
  <c r="AY54" i="28" s="1"/>
  <c r="BB54" i="28" s="1"/>
  <c r="BC54" i="28" s="1"/>
  <c r="AX65" i="26"/>
  <c r="AY65" i="26" s="1"/>
  <c r="BB65" i="26" s="1"/>
  <c r="BC65" i="26" s="1"/>
  <c r="AN66" i="26"/>
  <c r="BB44" i="26"/>
  <c r="BC44" i="26" s="1"/>
  <c r="BB31" i="26"/>
  <c r="BC31" i="26" s="1"/>
  <c r="AX36" i="26"/>
  <c r="AY36" i="26" s="1"/>
  <c r="BB36" i="26" s="1"/>
  <c r="BC36" i="26" s="1"/>
  <c r="AX54" i="26"/>
  <c r="AY54" i="26" s="1"/>
  <c r="BB54" i="26" s="1"/>
  <c r="BC54" i="26" s="1"/>
  <c r="BB20" i="26"/>
  <c r="BC20" i="26" s="1"/>
  <c r="BB52" i="26"/>
  <c r="BC52" i="26" s="1"/>
  <c r="BB23" i="26"/>
  <c r="BC23" i="26" s="1"/>
  <c r="AX7" i="26"/>
  <c r="AY7" i="26" s="1"/>
  <c r="BB7" i="26" s="1"/>
  <c r="BC7" i="26" s="1"/>
  <c r="T63" i="27"/>
  <c r="M63" i="27"/>
  <c r="W63" i="27"/>
  <c r="AX17" i="26"/>
  <c r="AY17" i="26" s="1"/>
  <c r="BB17" i="26" s="1"/>
  <c r="BC17" i="26" s="1"/>
  <c r="BB55" i="26"/>
  <c r="BC55" i="26" s="1"/>
  <c r="AW4" i="26"/>
  <c r="AV66" i="26"/>
  <c r="AW62" i="26"/>
  <c r="AX62" i="26"/>
  <c r="AY62" i="26" s="1"/>
  <c r="BB62" i="26" s="1"/>
  <c r="BC62" i="26" s="1"/>
  <c r="AX9" i="26"/>
  <c r="AY9" i="26" s="1"/>
  <c r="BB9" i="26" s="1"/>
  <c r="BC9" i="26" s="1"/>
  <c r="AY50" i="26"/>
  <c r="BB50" i="26" s="1"/>
  <c r="BC50" i="26" s="1"/>
  <c r="AX46" i="26"/>
  <c r="AY46" i="26" s="1"/>
  <c r="BB46" i="26" s="1"/>
  <c r="BC46" i="26" s="1"/>
  <c r="BB15" i="26"/>
  <c r="BC15" i="26" s="1"/>
  <c r="AX41" i="26"/>
  <c r="AY41" i="26" s="1"/>
  <c r="BB41" i="26" s="1"/>
  <c r="BC41" i="26" s="1"/>
  <c r="BA66" i="26"/>
  <c r="AX22" i="26"/>
  <c r="AY22" i="26" s="1"/>
  <c r="BB22" i="26" s="1"/>
  <c r="BC22" i="26" s="1"/>
  <c r="AX50" i="26"/>
  <c r="BB28" i="26"/>
  <c r="BC28" i="26" s="1"/>
  <c r="AX38" i="26"/>
  <c r="AY38" i="26" s="1"/>
  <c r="BB38" i="26" s="1"/>
  <c r="BC38" i="26" s="1"/>
  <c r="BB12" i="26"/>
  <c r="BC12" i="26" s="1"/>
  <c r="AX60" i="26"/>
  <c r="AY60" i="26" s="1"/>
  <c r="BB60" i="26" s="1"/>
  <c r="BC60" i="26" s="1"/>
  <c r="BB77" i="13"/>
  <c r="BC77" i="13" s="1"/>
  <c r="BF77" i="13" s="1"/>
  <c r="BG77" i="13" s="1"/>
  <c r="BB23" i="13"/>
  <c r="BC23" i="13" s="1"/>
  <c r="BF23" i="13" s="1"/>
  <c r="BG23" i="13" s="1"/>
  <c r="BF45" i="13"/>
  <c r="BG45" i="13" s="1"/>
  <c r="BF58" i="13"/>
  <c r="BG58" i="13" s="1"/>
  <c r="BB13" i="13"/>
  <c r="BC13" i="13" s="1"/>
  <c r="BF13" i="13" s="1"/>
  <c r="BG13" i="13" s="1"/>
  <c r="BA47" i="13"/>
  <c r="BB47" i="13"/>
  <c r="BC47" i="13" s="1"/>
  <c r="BF47" i="13" s="1"/>
  <c r="BG47" i="13" s="1"/>
  <c r="BA15" i="13"/>
  <c r="BB15" i="13"/>
  <c r="BC15" i="13" s="1"/>
  <c r="BF15" i="13" s="1"/>
  <c r="BG15" i="13" s="1"/>
  <c r="BF29" i="13"/>
  <c r="BG29" i="13" s="1"/>
  <c r="AP78" i="13"/>
  <c r="BB18" i="13"/>
  <c r="BC18" i="13" s="1"/>
  <c r="BF18" i="13" s="1"/>
  <c r="BG18" i="13" s="1"/>
  <c r="BB56" i="13"/>
  <c r="BC56" i="13" s="1"/>
  <c r="BF56" i="13" s="1"/>
  <c r="BG56" i="13" s="1"/>
  <c r="BF74" i="13"/>
  <c r="BG74" i="13" s="1"/>
  <c r="BB5" i="13"/>
  <c r="BC5" i="13" s="1"/>
  <c r="BF5" i="13" s="1"/>
  <c r="BG5" i="13" s="1"/>
  <c r="BB35" i="13"/>
  <c r="BC35" i="13" s="1"/>
  <c r="BF35" i="13" s="1"/>
  <c r="BG35" i="13" s="1"/>
  <c r="BF16" i="13"/>
  <c r="BG16" i="13" s="1"/>
  <c r="BA78" i="13"/>
  <c r="BB43" i="13"/>
  <c r="BC43" i="13" s="1"/>
  <c r="BF43" i="13" s="1"/>
  <c r="BG43" i="13" s="1"/>
  <c r="BB63" i="13"/>
  <c r="BC63" i="13" s="1"/>
  <c r="BF63" i="13" s="1"/>
  <c r="BG63" i="13" s="1"/>
  <c r="BB72" i="13"/>
  <c r="BC72" i="13" s="1"/>
  <c r="BF72" i="13" s="1"/>
  <c r="BG72" i="13" s="1"/>
  <c r="AZ78" i="13"/>
  <c r="BF53" i="13"/>
  <c r="BG53" i="13" s="1"/>
  <c r="BF66" i="13"/>
  <c r="BG66" i="13" s="1"/>
  <c r="BF32" i="13"/>
  <c r="BG32" i="13" s="1"/>
  <c r="W75" i="18"/>
  <c r="BB59" i="13"/>
  <c r="BC59" i="13" s="1"/>
  <c r="BF59" i="13" s="1"/>
  <c r="BG59" i="13" s="1"/>
  <c r="BF42" i="13"/>
  <c r="BG42" i="13" s="1"/>
  <c r="BB50" i="13"/>
  <c r="BC50" i="13" s="1"/>
  <c r="BF50" i="13" s="1"/>
  <c r="BG50" i="13" s="1"/>
  <c r="BB75" i="13"/>
  <c r="BC75" i="13" s="1"/>
  <c r="BF75" i="13" s="1"/>
  <c r="BG75" i="13" s="1"/>
  <c r="BF40" i="13"/>
  <c r="BG40" i="13" s="1"/>
  <c r="BB26" i="13"/>
  <c r="BC26" i="13" s="1"/>
  <c r="BF26" i="13" s="1"/>
  <c r="BG26" i="13" s="1"/>
  <c r="BB34" i="13"/>
  <c r="BC34" i="13" s="1"/>
  <c r="BF34" i="13" s="1"/>
  <c r="BG34" i="13" s="1"/>
  <c r="BF37" i="13"/>
  <c r="BG37" i="13" s="1"/>
  <c r="BC4" i="13"/>
  <c r="BB61" i="13"/>
  <c r="BC61" i="13" s="1"/>
  <c r="BF61" i="13" s="1"/>
  <c r="BG61" i="13" s="1"/>
  <c r="BB19" i="13"/>
  <c r="BC19" i="13" s="1"/>
  <c r="BF19" i="13" s="1"/>
  <c r="BG19" i="13" s="1"/>
  <c r="BB71" i="13"/>
  <c r="BC71" i="13" s="1"/>
  <c r="BF71" i="13" s="1"/>
  <c r="BG71" i="13" s="1"/>
  <c r="BB51" i="13"/>
  <c r="BC51" i="13" s="1"/>
  <c r="BF51" i="13" s="1"/>
  <c r="BG51" i="13" s="1"/>
  <c r="BE78" i="13"/>
  <c r="BF69" i="13"/>
  <c r="BG69" i="13" s="1"/>
  <c r="BB39" i="13"/>
  <c r="BC39" i="13" s="1"/>
  <c r="BF39" i="13" s="1"/>
  <c r="BG39" i="13" s="1"/>
  <c r="BB31" i="13"/>
  <c r="BC31" i="13" s="1"/>
  <c r="BF31" i="13" s="1"/>
  <c r="BG31" i="13" s="1"/>
  <c r="BB7" i="13"/>
  <c r="BC7" i="13" s="1"/>
  <c r="BF7" i="13" s="1"/>
  <c r="BG7" i="13" s="1"/>
  <c r="AX22" i="36"/>
  <c r="AY22" i="36" s="1"/>
  <c r="BB22" i="36" s="1"/>
  <c r="BC22" i="36" s="1"/>
  <c r="AN23" i="36"/>
  <c r="AX18" i="36"/>
  <c r="AY18" i="36" s="1"/>
  <c r="BB18" i="36" s="1"/>
  <c r="BC18" i="36" s="1"/>
  <c r="BB20" i="36"/>
  <c r="BC20" i="36" s="1"/>
  <c r="BA23" i="36"/>
  <c r="BB17" i="36"/>
  <c r="BC17" i="36" s="1"/>
  <c r="AX6" i="36"/>
  <c r="AY6" i="36" s="1"/>
  <c r="BB6" i="36" s="1"/>
  <c r="BC6" i="36" s="1"/>
  <c r="AX10" i="36"/>
  <c r="AY10" i="36" s="1"/>
  <c r="BB10" i="36" s="1"/>
  <c r="BC10" i="36" s="1"/>
  <c r="AV23" i="36"/>
  <c r="AW4" i="36"/>
  <c r="BB12" i="36"/>
  <c r="BC12" i="36" s="1"/>
  <c r="BB9" i="36"/>
  <c r="BC9" i="36" s="1"/>
  <c r="AX7" i="36"/>
  <c r="AY7" i="36" s="1"/>
  <c r="BB7" i="36" s="1"/>
  <c r="BC7" i="36" s="1"/>
  <c r="BB14" i="36"/>
  <c r="BC14" i="36" s="1"/>
  <c r="AX15" i="36"/>
  <c r="AY15" i="36" s="1"/>
  <c r="BB15" i="36" s="1"/>
  <c r="BC15" i="36" s="1"/>
  <c r="BB77" i="12"/>
  <c r="BC77" i="12" s="1"/>
  <c r="BF77" i="12" s="1"/>
  <c r="BG77" i="12" s="1"/>
  <c r="AP78" i="12"/>
  <c r="BF27" i="12"/>
  <c r="BG27" i="12" s="1"/>
  <c r="BB48" i="12"/>
  <c r="BC48" i="12" s="1"/>
  <c r="BB32" i="12"/>
  <c r="BB24" i="12"/>
  <c r="BC24" i="12" s="1"/>
  <c r="BB13" i="12"/>
  <c r="BC13" i="12" s="1"/>
  <c r="BF13" i="12" s="1"/>
  <c r="BG13" i="12" s="1"/>
  <c r="BB64" i="12"/>
  <c r="BC64" i="12" s="1"/>
  <c r="BF64" i="12" s="1"/>
  <c r="BG64" i="12" s="1"/>
  <c r="BF35" i="12"/>
  <c r="BG35" i="12" s="1"/>
  <c r="BB37" i="12"/>
  <c r="BC37" i="12" s="1"/>
  <c r="BF37" i="12" s="1"/>
  <c r="BG37" i="12" s="1"/>
  <c r="BF48" i="12"/>
  <c r="BG48" i="12" s="1"/>
  <c r="U75" i="17"/>
  <c r="BF39" i="12"/>
  <c r="BG39" i="12" s="1"/>
  <c r="BF15" i="12"/>
  <c r="BG15" i="12" s="1"/>
  <c r="BE78" i="12"/>
  <c r="T75" i="17"/>
  <c r="M75" i="17"/>
  <c r="W75" i="17"/>
  <c r="BF56" i="12"/>
  <c r="BG56" i="12" s="1"/>
  <c r="BF24" i="12"/>
  <c r="BG24" i="12" s="1"/>
  <c r="BC54" i="12"/>
  <c r="BF54" i="12" s="1"/>
  <c r="BG54" i="12" s="1"/>
  <c r="BB69" i="12"/>
  <c r="BC69" i="12" s="1"/>
  <c r="BF69" i="12" s="1"/>
  <c r="BG69" i="12" s="1"/>
  <c r="BA69" i="12"/>
  <c r="BC56" i="12"/>
  <c r="BA21" i="12"/>
  <c r="BB21" i="12" s="1"/>
  <c r="BC21" i="12" s="1"/>
  <c r="BF21" i="12" s="1"/>
  <c r="BG21" i="12" s="1"/>
  <c r="BF72" i="12"/>
  <c r="BG72" i="12" s="1"/>
  <c r="V75" i="17"/>
  <c r="BA45" i="12"/>
  <c r="BB45" i="12" s="1"/>
  <c r="BC45" i="12" s="1"/>
  <c r="BF45" i="12" s="1"/>
  <c r="BG45" i="12" s="1"/>
  <c r="BC40" i="12"/>
  <c r="BF40" i="12" s="1"/>
  <c r="BG40" i="12" s="1"/>
  <c r="AZ78" i="12"/>
  <c r="BA4" i="12"/>
  <c r="BA78" i="12" s="1"/>
  <c r="BF8" i="12"/>
  <c r="BG8" i="12" s="1"/>
  <c r="BF66" i="12"/>
  <c r="BG66" i="12" s="1"/>
  <c r="BF75" i="12"/>
  <c r="BG75" i="12" s="1"/>
  <c r="BF51" i="12"/>
  <c r="BG51" i="12" s="1"/>
  <c r="BC32" i="12"/>
  <c r="BF32" i="12" s="1"/>
  <c r="BG32" i="12" s="1"/>
  <c r="BC16" i="12"/>
  <c r="BF16" i="12" s="1"/>
  <c r="BG16" i="12" s="1"/>
  <c r="BB61" i="12"/>
  <c r="BC61" i="12" s="1"/>
  <c r="BF61" i="12" s="1"/>
  <c r="BG61" i="12" s="1"/>
  <c r="BB4" i="12"/>
  <c r="AZ77" i="41"/>
  <c r="BA77" i="41" s="1"/>
  <c r="BD77" i="41" s="1"/>
  <c r="BE77" i="41" s="1"/>
  <c r="AY42" i="41"/>
  <c r="AZ42" i="41"/>
  <c r="BA42" i="41" s="1"/>
  <c r="BD74" i="41"/>
  <c r="BE74" i="41" s="1"/>
  <c r="BD55" i="41"/>
  <c r="BE55" i="41" s="1"/>
  <c r="BC78" i="41"/>
  <c r="AZ58" i="41"/>
  <c r="BA58" i="41" s="1"/>
  <c r="BD58" i="41" s="1"/>
  <c r="BE58" i="41" s="1"/>
  <c r="AZ24" i="41"/>
  <c r="BA24" i="41" s="1"/>
  <c r="BD24" i="41" s="1"/>
  <c r="BE24" i="41" s="1"/>
  <c r="BD37" i="41"/>
  <c r="BE37" i="41" s="1"/>
  <c r="BD26" i="41"/>
  <c r="BE26" i="41" s="1"/>
  <c r="BA8" i="41"/>
  <c r="BD8" i="41" s="1"/>
  <c r="BE8" i="41" s="1"/>
  <c r="AX78" i="41"/>
  <c r="AY4" i="41"/>
  <c r="W75" i="23"/>
  <c r="T75" i="23"/>
  <c r="M75" i="23"/>
  <c r="AY18" i="41"/>
  <c r="AZ18" i="41" s="1"/>
  <c r="BA18" i="41" s="1"/>
  <c r="BD18" i="41" s="1"/>
  <c r="BE18" i="41" s="1"/>
  <c r="AO78" i="41"/>
  <c r="AZ39" i="41"/>
  <c r="BA39" i="41" s="1"/>
  <c r="BD39" i="41" s="1"/>
  <c r="BE39" i="41" s="1"/>
  <c r="BD20" i="41"/>
  <c r="BE20" i="41" s="1"/>
  <c r="BD42" i="41"/>
  <c r="BE42" i="41" s="1"/>
  <c r="BA19" i="41"/>
  <c r="BD19" i="41" s="1"/>
  <c r="BE19" i="41" s="1"/>
  <c r="AZ31" i="41"/>
  <c r="BA31" i="41" s="1"/>
  <c r="BD31" i="41" s="1"/>
  <c r="BE31" i="41" s="1"/>
  <c r="AZ47" i="41"/>
  <c r="BA47" i="41" s="1"/>
  <c r="BA72" i="41"/>
  <c r="BD72" i="41" s="1"/>
  <c r="BE72" i="41" s="1"/>
  <c r="BD35" i="41"/>
  <c r="BE35" i="41" s="1"/>
  <c r="AZ66" i="41"/>
  <c r="BA66" i="41" s="1"/>
  <c r="BD66" i="41" s="1"/>
  <c r="BE66" i="41" s="1"/>
  <c r="BA62" i="41"/>
  <c r="BD62" i="41" s="1"/>
  <c r="BE62" i="41" s="1"/>
  <c r="AZ50" i="41"/>
  <c r="BA50" i="41" s="1"/>
  <c r="BD50" i="41" s="1"/>
  <c r="BE50" i="41" s="1"/>
  <c r="AZ13" i="41"/>
  <c r="BA13" i="41" s="1"/>
  <c r="BD13" i="41" s="1"/>
  <c r="BE13" i="41" s="1"/>
  <c r="BD7" i="41"/>
  <c r="BE7" i="41" s="1"/>
  <c r="BD47" i="41"/>
  <c r="BE47" i="41" s="1"/>
  <c r="AZ44" i="34" l="1"/>
  <c r="BA4" i="34"/>
  <c r="AX57" i="28"/>
  <c r="AY4" i="28"/>
  <c r="AW57" i="28"/>
  <c r="AW66" i="26"/>
  <c r="AX4" i="26"/>
  <c r="BB78" i="13"/>
  <c r="BC78" i="13"/>
  <c r="BF4" i="13"/>
  <c r="AW23" i="36"/>
  <c r="AX4" i="36"/>
  <c r="BB78" i="12"/>
  <c r="BC4" i="12"/>
  <c r="AY78" i="41"/>
  <c r="AZ4" i="41"/>
  <c r="BA44" i="34" l="1"/>
  <c r="BD4" i="34"/>
  <c r="AY57" i="28"/>
  <c r="BB4" i="28"/>
  <c r="AX66" i="26"/>
  <c r="AY4" i="26"/>
  <c r="BG4" i="13"/>
  <c r="BG78" i="13" s="1"/>
  <c r="BF78" i="13"/>
  <c r="AX23" i="36"/>
  <c r="AY4" i="36"/>
  <c r="BC78" i="12"/>
  <c r="BF4" i="12"/>
  <c r="AZ78" i="41"/>
  <c r="BA4" i="41"/>
  <c r="BD44" i="34" l="1"/>
  <c r="BE4" i="34"/>
  <c r="BE44" i="34" s="1"/>
  <c r="BB57" i="28"/>
  <c r="BC4" i="28"/>
  <c r="BC57" i="28" s="1"/>
  <c r="AY66" i="26"/>
  <c r="BB4" i="26"/>
  <c r="AY23" i="36"/>
  <c r="BB4" i="36"/>
  <c r="BF78" i="12"/>
  <c r="BG4" i="12"/>
  <c r="BG78" i="12" s="1"/>
  <c r="BA78" i="41"/>
  <c r="BD4" i="41"/>
  <c r="BC4" i="26" l="1"/>
  <c r="BC66" i="26" s="1"/>
  <c r="BB66" i="26"/>
  <c r="BC4" i="36"/>
  <c r="BC23" i="36" s="1"/>
  <c r="BB23" i="36"/>
  <c r="BE4" i="41"/>
  <c r="BD78" i="41"/>
  <c r="BE78" i="41" s="1"/>
</calcChain>
</file>

<file path=xl/sharedStrings.xml><?xml version="1.0" encoding="utf-8"?>
<sst xmlns="http://schemas.openxmlformats.org/spreadsheetml/2006/main" count="2636" uniqueCount="460">
  <si>
    <t>产品</t>
  </si>
  <si>
    <t>销售情况$</t>
  </si>
  <si>
    <t>广告$</t>
  </si>
  <si>
    <t>销售成本$</t>
  </si>
  <si>
    <r>
      <rPr>
        <b/>
        <sz val="11"/>
        <color theme="0"/>
        <rFont val="宋体"/>
        <charset val="134"/>
        <scheme val="minor"/>
      </rPr>
      <t xml:space="preserve">退款成本$
</t>
    </r>
    <r>
      <rPr>
        <b/>
        <sz val="11"/>
        <color theme="4" tint="0.39988402966399123"/>
        <rFont val="宋体"/>
        <charset val="134"/>
        <scheme val="minor"/>
      </rPr>
      <t>退款部分的销售金额=系统退款金额/(1-0.15+0.2*0.15)</t>
    </r>
  </si>
  <si>
    <t>汇总$</t>
  </si>
  <si>
    <t>输入</t>
  </si>
  <si>
    <t>公式输出</t>
  </si>
  <si>
    <t>日期</t>
  </si>
  <si>
    <t>周数</t>
  </si>
  <si>
    <t>销量</t>
  </si>
  <si>
    <t>订单量</t>
  </si>
  <si>
    <t>销售额</t>
  </si>
  <si>
    <t>促销销量</t>
  </si>
  <si>
    <t>促销订单量</t>
  </si>
  <si>
    <t>促销销售额</t>
  </si>
  <si>
    <t>促销折扣</t>
  </si>
  <si>
    <t>退款量</t>
  </si>
  <si>
    <t>退款率</t>
  </si>
  <si>
    <t>退款金额</t>
  </si>
  <si>
    <t>销量环比</t>
  </si>
  <si>
    <t>订单环比</t>
  </si>
  <si>
    <t>销售额环比</t>
  </si>
  <si>
    <t>客单
销量</t>
  </si>
  <si>
    <t>客单
价格($)</t>
  </si>
  <si>
    <t>销售
均价($)</t>
  </si>
  <si>
    <t>日均
销量</t>
  </si>
  <si>
    <t>自然
订单</t>
  </si>
  <si>
    <t>自然单
占比(%)</t>
  </si>
  <si>
    <t>TAcos
(%)</t>
  </si>
  <si>
    <t>展示</t>
  </si>
  <si>
    <t>点击</t>
  </si>
  <si>
    <t>广告订单量</t>
  </si>
  <si>
    <t>广告花费</t>
  </si>
  <si>
    <t>广告销售额</t>
  </si>
  <si>
    <t>CPC</t>
  </si>
  <si>
    <t>Acos(%)</t>
  </si>
  <si>
    <t>CTR(%)</t>
  </si>
  <si>
    <t>CVR(%)</t>
  </si>
  <si>
    <t>CPS(%)</t>
  </si>
  <si>
    <t>3.6FT</t>
  </si>
  <si>
    <t>5.0FT</t>
  </si>
  <si>
    <t>5.5FT</t>
  </si>
  <si>
    <t>产品成本</t>
  </si>
  <si>
    <t>头程</t>
  </si>
  <si>
    <t>入仓费</t>
  </si>
  <si>
    <t>FBA物流</t>
  </si>
  <si>
    <t>佣金</t>
  </si>
  <si>
    <t>成本小结</t>
  </si>
  <si>
    <t>退款3.6FT</t>
  </si>
  <si>
    <t>退款5.0FT</t>
  </si>
  <si>
    <t>退款5.5FT</t>
  </si>
  <si>
    <t>退款
销售金额</t>
  </si>
  <si>
    <t>退款
产品成本</t>
  </si>
  <si>
    <t>退款头程</t>
  </si>
  <si>
    <t>退款
入仓费</t>
  </si>
  <si>
    <t>退款
FBA物流</t>
  </si>
  <si>
    <t>退款佣金</t>
  </si>
  <si>
    <t>退款
管理费用
佣金的20%</t>
  </si>
  <si>
    <t>退款
成本小结</t>
  </si>
  <si>
    <t>净成本</t>
  </si>
  <si>
    <t>净销售额</t>
  </si>
  <si>
    <t>净销售额
(-退款金额)</t>
  </si>
  <si>
    <t>毛利</t>
  </si>
  <si>
    <t>毛利率</t>
  </si>
  <si>
    <t>BSR</t>
  </si>
  <si>
    <t>备注</t>
  </si>
  <si>
    <t>促销</t>
  </si>
  <si>
    <t>备用</t>
  </si>
  <si>
    <t>1104~1110</t>
  </si>
  <si>
    <t>2024W45</t>
  </si>
  <si>
    <t>1111~1117</t>
  </si>
  <si>
    <t>2024W46</t>
  </si>
  <si>
    <t>1118~1124</t>
  </si>
  <si>
    <t>2024W47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</si>
  <si>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1.00</t>
    </r>
  </si>
  <si>
    <t>1125~1201</t>
  </si>
  <si>
    <t>2024W48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</si>
  <si>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0.98</t>
    </r>
  </si>
  <si>
    <t>1202~1208</t>
  </si>
  <si>
    <t>2024W49</t>
  </si>
  <si>
    <t>1209~1215</t>
  </si>
  <si>
    <t>2024W50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</si>
  <si>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0.97</t>
    </r>
  </si>
  <si>
    <t>1216~1222</t>
  </si>
  <si>
    <t>2024W51</t>
  </si>
  <si>
    <t>1223~1229</t>
  </si>
  <si>
    <t>2024W52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</si>
  <si>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1.06</t>
    </r>
  </si>
  <si>
    <t>1230~0105</t>
  </si>
  <si>
    <t>2025W01</t>
  </si>
  <si>
    <t>九折</t>
  </si>
  <si>
    <t>0106~0112</t>
  </si>
  <si>
    <t>2025W02</t>
  </si>
  <si>
    <t>原价</t>
  </si>
  <si>
    <t>0113~0119</t>
  </si>
  <si>
    <t>2025W03</t>
  </si>
  <si>
    <t>平日原价, 周末九折
平日销量一般，周末拉升</t>
  </si>
  <si>
    <t>0120~0126</t>
  </si>
  <si>
    <t>2025W04</t>
  </si>
  <si>
    <t>新P陆续到货，老P毛利环比减少$631.19</t>
  </si>
  <si>
    <t>0127~0202</t>
  </si>
  <si>
    <t>2025W05</t>
  </si>
  <si>
    <t>减少广告预算</t>
  </si>
  <si>
    <t>0203~0209</t>
  </si>
  <si>
    <t>2025W06</t>
  </si>
  <si>
    <t>销量5.5FT↑,5FT↓</t>
  </si>
  <si>
    <t>0210~0216</t>
  </si>
  <si>
    <t>2025W07</t>
  </si>
  <si>
    <t>销量5.5FT↑</t>
  </si>
  <si>
    <t>0217~0223</t>
  </si>
  <si>
    <t>2025W08</t>
  </si>
  <si>
    <t>基本保持</t>
  </si>
  <si>
    <t>0224~0302</t>
  </si>
  <si>
    <t>2025W09</t>
  </si>
  <si>
    <t>0303~0309</t>
  </si>
  <si>
    <t>2025W10</t>
  </si>
  <si>
    <t>销量5.5FT黑绿橙断货,其他5.5FT库存28个; CPC↑：断货的5.5FT的平均CPC=0.75</t>
  </si>
  <si>
    <t>0310~0316</t>
  </si>
  <si>
    <t>2025W11</t>
  </si>
  <si>
    <t>调整广告重心为老款P；
5.5FT短暂有货又马上断货。黑/薄绿/粉共库存26个</t>
  </si>
  <si>
    <t>0317~0323</t>
  </si>
  <si>
    <t>2025W12</t>
  </si>
  <si>
    <t>调整广告重心为老款P；
5.5FT依旧有货</t>
  </si>
  <si>
    <t>0324~0330</t>
  </si>
  <si>
    <t>2025W13</t>
  </si>
  <si>
    <t>春促15%off折扣，销量提升，但是客单价降低</t>
  </si>
  <si>
    <t>85折</t>
  </si>
  <si>
    <t>0331~0406</t>
  </si>
  <si>
    <t>2025W14</t>
  </si>
  <si>
    <t>0407~0413</t>
  </si>
  <si>
    <t>2025W15</t>
  </si>
  <si>
    <t>主力Black出现断货</t>
  </si>
  <si>
    <t>0414~0420</t>
  </si>
  <si>
    <t>2025W16</t>
  </si>
  <si>
    <t>主力Black 3.6FT断货数天</t>
  </si>
  <si>
    <t>0421~0427</t>
  </si>
  <si>
    <t>2025W17</t>
  </si>
  <si>
    <t>后面三天9折</t>
  </si>
  <si>
    <t>0428~0504</t>
  </si>
  <si>
    <t>2025W18</t>
  </si>
  <si>
    <t>5.5FT多巴胺出现断货</t>
  </si>
  <si>
    <t>0505~0511</t>
  </si>
  <si>
    <t>2025W19</t>
  </si>
  <si>
    <t>0512~0518</t>
  </si>
  <si>
    <t>2025W20</t>
  </si>
  <si>
    <t>粉色三尺寸彻底断货上周销量20+,粉色SKU的流量切断</t>
  </si>
  <si>
    <t>0519~0525</t>
  </si>
  <si>
    <t>2025W21</t>
  </si>
  <si>
    <t>本周五促销LD,85折</t>
  </si>
  <si>
    <t>0526~0601</t>
  </si>
  <si>
    <t>2025W22</t>
  </si>
  <si>
    <t>上周测试了SB SD广告开头效果不佳，退货略高</t>
  </si>
  <si>
    <t>9折</t>
  </si>
  <si>
    <t>0602~0608</t>
  </si>
  <si>
    <t>2025W23</t>
  </si>
  <si>
    <t>0609~0615</t>
  </si>
  <si>
    <t>2025W24</t>
  </si>
  <si>
    <t>0616~0622</t>
  </si>
  <si>
    <t>2025W25</t>
  </si>
  <si>
    <t>0623~0629</t>
  </si>
  <si>
    <t>2025W26</t>
  </si>
  <si>
    <t>0630~0706</t>
  </si>
  <si>
    <t>2025W27</t>
  </si>
  <si>
    <t>7.4独立日，销量37，ACOAS=39.28%</t>
  </si>
  <si>
    <t>0708~0711</t>
  </si>
  <si>
    <t>PD2025 
4 Days</t>
  </si>
  <si>
    <t>0707~0713</t>
  </si>
  <si>
    <t>2025W28</t>
  </si>
  <si>
    <t>0714~0720</t>
  </si>
  <si>
    <t>2025W29</t>
  </si>
  <si>
    <r>
      <rPr>
        <sz val="10"/>
        <color rgb="FF000000"/>
        <rFont val="Times New Roman"/>
        <family val="1"/>
      </rPr>
      <t>‎</t>
    </r>
    <r>
      <rPr>
        <sz val="10"/>
        <color rgb="FF000000"/>
        <rFont val="宋体"/>
        <charset val="134"/>
      </rPr>
      <t>1.02</t>
    </r>
  </si>
  <si>
    <t>0721~0727</t>
  </si>
  <si>
    <t>2025W30</t>
  </si>
  <si>
    <t>上周黑5.5FT断货</t>
  </si>
  <si>
    <t>0728~0803</t>
  </si>
  <si>
    <t>2025W31</t>
  </si>
  <si>
    <t>0804~0810</t>
  </si>
  <si>
    <t>2025W32</t>
  </si>
  <si>
    <t>0811~0817</t>
  </si>
  <si>
    <t>2025W33</t>
  </si>
  <si>
    <t>0818~0824</t>
  </si>
  <si>
    <t>2025W34</t>
  </si>
  <si>
    <t>0825~0831</t>
  </si>
  <si>
    <t>2025W35</t>
  </si>
  <si>
    <t>0901~0907</t>
  </si>
  <si>
    <t>2025W36</t>
  </si>
  <si>
    <t>0908~0914</t>
  </si>
  <si>
    <t>2025W37</t>
  </si>
  <si>
    <t>0915~0921</t>
  </si>
  <si>
    <t>2025W38</t>
  </si>
  <si>
    <t>0922~0928</t>
  </si>
  <si>
    <t>2025W39</t>
  </si>
  <si>
    <t>0929~1005</t>
  </si>
  <si>
    <t>2025W40</t>
  </si>
  <si>
    <t>1006~1012</t>
  </si>
  <si>
    <t>2025W41</t>
  </si>
  <si>
    <t>1007~1008 PD秋促</t>
  </si>
  <si>
    <t>1013~1019</t>
  </si>
  <si>
    <t>2025W42</t>
  </si>
  <si>
    <t>1020~1026</t>
  </si>
  <si>
    <t>2025W43</t>
  </si>
  <si>
    <t>1027~1102</t>
  </si>
  <si>
    <t>2025W44</t>
  </si>
  <si>
    <t>30号万圣节</t>
  </si>
  <si>
    <t>1103~1109</t>
  </si>
  <si>
    <t>2025W45</t>
  </si>
  <si>
    <t>断货 黑色一天</t>
  </si>
  <si>
    <t>1110~1116</t>
  </si>
  <si>
    <t>2025W46</t>
  </si>
  <si>
    <t>1117~1123</t>
  </si>
  <si>
    <t>2025W47</t>
  </si>
  <si>
    <t>断货 (周二粉色3.6/绿色5.0/绿色5.5/粉色5.5)，1120开始8天</t>
  </si>
  <si>
    <t>1124~1130</t>
  </si>
  <si>
    <t>2025W48</t>
  </si>
  <si>
    <t>黑五（周五周六周日，28 29 30）</t>
  </si>
  <si>
    <t>1201~1207</t>
  </si>
  <si>
    <t>2025W49</t>
  </si>
  <si>
    <t>网络星期一 1201; 之后保持九折</t>
  </si>
  <si>
    <t>1208~1214</t>
  </si>
  <si>
    <t>2025W50</t>
  </si>
  <si>
    <t>1215~1221</t>
  </si>
  <si>
    <t>2025W51</t>
  </si>
  <si>
    <t>1222~1228</t>
  </si>
  <si>
    <t>2025W52</t>
  </si>
  <si>
    <t>平安夜 圣诞节</t>
  </si>
  <si>
    <t>1229~0104</t>
  </si>
  <si>
    <t>2026W01</t>
  </si>
  <si>
    <t>0105~0111</t>
  </si>
  <si>
    <t>2026W02</t>
  </si>
  <si>
    <t>0112~0118</t>
  </si>
  <si>
    <t>2026W03</t>
  </si>
  <si>
    <t>0119~0125</t>
  </si>
  <si>
    <t>2026W04</t>
  </si>
  <si>
    <t>5338,31</t>
  </si>
  <si>
    <t>1-21开始Z划算，整体15%off；美国大雪1月23开始持续，一半的州受到影响，整体流量严重下滑</t>
  </si>
  <si>
    <t>0126~0201</t>
  </si>
  <si>
    <t>2026W05</t>
  </si>
  <si>
    <t>4790,24</t>
  </si>
  <si>
    <t>1-21开始Z划算，整体15%off,2-3结束；</t>
  </si>
  <si>
    <t>0202~0208</t>
  </si>
  <si>
    <t>2026W06</t>
  </si>
  <si>
    <t>5120,37</t>
  </si>
  <si>
    <t>19.79/22.39/23.29,0206-0228,整体10%off 划线价</t>
  </si>
  <si>
    <t>0209~0215</t>
  </si>
  <si>
    <t>2026W07</t>
  </si>
  <si>
    <t>4203,30</t>
  </si>
  <si>
    <t>0216~0222</t>
  </si>
  <si>
    <t>2026W08</t>
  </si>
  <si>
    <t>4557,36</t>
  </si>
  <si>
    <t>0223~0301</t>
  </si>
  <si>
    <t>2026W09</t>
  </si>
  <si>
    <t>4679,37</t>
  </si>
  <si>
    <t>19.79/22.39/23.29,0301-0331,整体10%off 划线价 0227~0305 评论拆分 3天影响</t>
  </si>
  <si>
    <t>0302~0308</t>
  </si>
  <si>
    <t>2026W10</t>
  </si>
  <si>
    <t>4803,36</t>
  </si>
  <si>
    <t>19.79/22.39/23.29,0301-0331,整体10%off 划线价 0227~0305 评论拆分 4天影响</t>
  </si>
  <si>
    <t>0309~0315</t>
  </si>
  <si>
    <t>2026W11</t>
  </si>
  <si>
    <t>4800,40</t>
  </si>
  <si>
    <t>19.79/22.39/23.29,0301-0331,整体10%off 划线价 高退货 B0CDBV251P/B0BMQL779Q/B0BMQKFDQ7</t>
  </si>
  <si>
    <t>0316~0322</t>
  </si>
  <si>
    <t>2026W12</t>
  </si>
  <si>
    <t>3817,29</t>
  </si>
  <si>
    <t>19.79/22.39/23.29,0317-0324,整体10%off Z划算</t>
  </si>
  <si>
    <t>汇总</t>
  </si>
  <si>
    <t>Short w/oBall 1Pack</t>
  </si>
  <si>
    <t>Long w/oBall 1Pack</t>
  </si>
  <si>
    <t>w/Ball 1Pack</t>
  </si>
  <si>
    <t>Long w/oBall 2Pack</t>
  </si>
  <si>
    <t>退款Short w/oBall 1Pack</t>
  </si>
  <si>
    <t>退款Long w/oBall 1Pack</t>
  </si>
  <si>
    <t>退款w/Ball 1Pack</t>
  </si>
  <si>
    <t>退款Long w/oBall 2Pack</t>
  </si>
  <si>
    <t>列1</t>
  </si>
  <si>
    <t>ADW1</t>
  </si>
  <si>
    <t>ADW2,降CPC和Acos</t>
  </si>
  <si>
    <t>平日原价 周末九折</t>
  </si>
  <si>
    <t>断货w/ball只有orange</t>
  </si>
  <si>
    <t>断货w/ball只有orange,其他陆续断货</t>
  </si>
  <si>
    <t>海运补货0323</t>
  </si>
  <si>
    <t>春促15%off折扣</t>
  </si>
  <si>
    <t>陆续到货，目前是都有货的状态，广告陆续重新打开，还有待观察调整。需要重新打排名，目前160，需要稳定到100以内</t>
  </si>
  <si>
    <t>无调整</t>
  </si>
  <si>
    <t>新开广告，广告单占比高</t>
  </si>
  <si>
    <t>原价，没做折扣</t>
  </si>
  <si>
    <t>1120开始8天</t>
  </si>
  <si>
    <t>网络星期一 1201</t>
  </si>
  <si>
    <t>平安夜 圣诞节;</t>
  </si>
  <si>
    <t>10%coupon 1225-0124</t>
  </si>
  <si>
    <t>20.68/21.59/21.59,1230-0106,6天</t>
  </si>
  <si>
    <t>20.68/21.59/21.59,1230-0106,2天</t>
  </si>
  <si>
    <t>20.69/21.59/21.59,0117-0120,2天</t>
  </si>
  <si>
    <t>16594,50</t>
  </si>
  <si>
    <t>20.69/21.59/21.59,0117-0120,7天</t>
  </si>
  <si>
    <t>20257,65</t>
  </si>
  <si>
    <t>20.69/21.59/21.59,0123-0206,7天</t>
  </si>
  <si>
    <t>22389,73</t>
  </si>
  <si>
    <t>19.54/19.98/19.98/35.97,0201-0303,7天</t>
  </si>
  <si>
    <t>10%coupon 0202-0308</t>
  </si>
  <si>
    <t>17896,52</t>
  </si>
  <si>
    <t>18350,50</t>
  </si>
  <si>
    <t>19623,61</t>
  </si>
  <si>
    <t>23351,74</t>
  </si>
  <si>
    <t>19.54/19.98/19.98/35.97,0307-0331,2天</t>
  </si>
  <si>
    <t>10%coupon 0307-0406</t>
  </si>
  <si>
    <t>24632,75</t>
  </si>
  <si>
    <t>Rope Toy大盘转化近一个月走低趋势，Toy的Acos整体收高，需要调整广告-0316完成</t>
  </si>
  <si>
    <t>18977,60</t>
  </si>
  <si>
    <t>19.54/19.98/19.98/35.97,0307-0331,7天</t>
  </si>
  <si>
    <t>1Pack</t>
  </si>
  <si>
    <t>2Pack</t>
  </si>
  <si>
    <t>退款1Pack</t>
  </si>
  <si>
    <t>退款2Pack</t>
  </si>
  <si>
    <t>备注2</t>
  </si>
  <si>
    <t>17.47/29.93,0201-0304</t>
  </si>
  <si>
    <t>10%coupon 0202-0304</t>
  </si>
  <si>
    <t>17.47/29.93,0307-0331,2天</t>
  </si>
  <si>
    <t>17.47/29.93,0307-0331</t>
  </si>
  <si>
    <t>w/oHandle AL</t>
  </si>
  <si>
    <t>w/Handle AL</t>
  </si>
  <si>
    <t>w/oHandle ZN</t>
  </si>
  <si>
    <t>w/Handle ZN</t>
  </si>
  <si>
    <t>退款w/oHandle AL</t>
  </si>
  <si>
    <t>退款w/Handle AL</t>
  </si>
  <si>
    <t>退款w/oHandle ZN</t>
  </si>
  <si>
    <t>退款w/Handle ZN</t>
  </si>
  <si>
    <t>原价,广告增加</t>
  </si>
  <si>
    <t>平日原价 周末九折 新增广告
下周广告精准化</t>
  </si>
  <si>
    <t>降不理想的词竞价，继续增新广活</t>
  </si>
  <si>
    <t>需要控制广告预算</t>
  </si>
  <si>
    <t>主力黑色断货(在途中,预计下周到仓)</t>
  </si>
  <si>
    <t>主力黑色依旧断货, 原价销售</t>
  </si>
  <si>
    <t>主力黑色, 陆续到货</t>
  </si>
  <si>
    <t>主力黑色到货</t>
  </si>
  <si>
    <t>不亏</t>
  </si>
  <si>
    <t>继续观察广告，适时调整</t>
  </si>
  <si>
    <t>3个 SKU断货</t>
  </si>
  <si>
    <t>春促15%off折扣，自然单占比23%低</t>
  </si>
  <si>
    <t>4.26开始涨价2刀，看效果</t>
  </si>
  <si>
    <t>涨价后，广告CTR和CVR都有轻微的降低, 1.5尺寸仅黄色到货</t>
  </si>
  <si>
    <t>1.5橙色和黄色到货,2.0颜色齐全</t>
  </si>
  <si>
    <t>CVR持续提升，但是过度依赖广告单占78%
需要持续出单，提高关键词权重和自然位位置</t>
  </si>
  <si>
    <t>自然订单占比上升，广告CVR减低，调整广告</t>
  </si>
  <si>
    <t>目标广告ACOS需要&lt;40%，达到盈亏平衡</t>
  </si>
  <si>
    <t>评分4.3-&gt;4.2,新增1星差评（秒坏）;计划新增子体</t>
  </si>
  <si>
    <t>1..06</t>
  </si>
  <si>
    <t>13151,7</t>
  </si>
  <si>
    <t>12075,9</t>
  </si>
  <si>
    <t>原价 0129-0228,coupon10%off;高退货率标签B0CSFMXHT7/B0CSFNDMY6/B0DHL1BPBL</t>
  </si>
  <si>
    <t>9917,9</t>
  </si>
  <si>
    <t>原价 0301-0331,coupon10%off;高退货率标签B0CSFMXHT7/B0CSFNDMY6/B0DHL1BPBL</t>
  </si>
  <si>
    <t>9447,9</t>
  </si>
  <si>
    <t>11619,11</t>
  </si>
  <si>
    <t>原价 0301-0331,coupon10%off;高退货率标签B0DHL1BPBL;12,13号两天自然单表现很差</t>
  </si>
  <si>
    <t>11221,13</t>
  </si>
  <si>
    <t>原价 0301-0331,coupon10%off;高退货率标签B0DHL1BPBL;共享评论拆分0320</t>
  </si>
  <si>
    <t>3FT</t>
  </si>
  <si>
    <t>6FT</t>
  </si>
  <si>
    <t>退款3FT</t>
  </si>
  <si>
    <t>退款6FT</t>
  </si>
  <si>
    <t>Vine 1个</t>
  </si>
  <si>
    <t>Vine 8个</t>
  </si>
  <si>
    <t>Vine 1个 黑色断货</t>
  </si>
  <si>
    <t>继续断货</t>
  </si>
  <si>
    <t>全面断货</t>
  </si>
  <si>
    <t>陆续到货</t>
  </si>
  <si>
    <t>广告收缩</t>
  </si>
  <si>
    <t>建议放大 “三向扣”差异化，去掉项圈部分，加长绳子可伸缩, 作为splitter</t>
  </si>
  <si>
    <t>23.81/26.91,0306-0331,整体10%off 划线价</t>
  </si>
  <si>
    <t>B0DPL8PXC5 B0DPL8PXC5</t>
  </si>
  <si>
    <t>AL</t>
  </si>
  <si>
    <t>ZN</t>
  </si>
  <si>
    <t>退款AL</t>
  </si>
  <si>
    <t>退款ZN</t>
  </si>
  <si>
    <t>‎103.56</t>
  </si>
  <si>
    <t>多功能适用面更广，基数大</t>
  </si>
  <si>
    <t>CTR提升，但CVR降2个点</t>
  </si>
  <si>
    <t>预计价格过高，下周降价测试</t>
  </si>
  <si>
    <t>15单优惠券，下周通过直接降价测试</t>
  </si>
  <si>
    <t>优惠券10%</t>
  </si>
  <si>
    <t>黄红绿有货，其他售罄。广告临时暂停大部分</t>
  </si>
  <si>
    <t>广告临时暂停</t>
  </si>
  <si>
    <t>AL原价26.89 价格偏高。ZN 21.89*0.9=19.70</t>
  </si>
  <si>
    <t>AL原价26.89。ZN 21.89*0.7=15.59</t>
  </si>
  <si>
    <t>24.20/19.69,0301-0331,整体10%off 划线价</t>
  </si>
  <si>
    <t>SFM 1</t>
  </si>
  <si>
    <t>SFM 2</t>
  </si>
  <si>
    <t>SFM 3</t>
  </si>
  <si>
    <t>退款SFM 1</t>
  </si>
  <si>
    <t>退款SFM 2</t>
  </si>
  <si>
    <t>退款SFM 3</t>
  </si>
  <si>
    <t>14个Vine</t>
  </si>
  <si>
    <t>1个Vine</t>
  </si>
  <si>
    <t>15个Vine</t>
  </si>
  <si>
    <t>0814`0817 WOOT 14天BD</t>
  </si>
  <si>
    <t>0818~0824 WOOT 14天BD</t>
  </si>
  <si>
    <t>0825`0831 WOOT 14天BD</t>
  </si>
  <si>
    <t>0904 9~21 WOOT 12小时LD</t>
  </si>
  <si>
    <t>0915`0921 WOOT 14天BD</t>
  </si>
  <si>
    <t>降广告</t>
  </si>
  <si>
    <t>进一步收缩广告预算</t>
  </si>
  <si>
    <t>13.45/20.65/28.75,0101-0228</t>
  </si>
  <si>
    <t>13.45/20.65/28.75,0101-0228
Coupopne 10%Off 0106-0205</t>
  </si>
  <si>
    <t>同上</t>
  </si>
  <si>
    <r>
      <rPr>
        <sz val="11"/>
        <color rgb="FF000000"/>
        <rFont val="Times New Roman"/>
        <family val="1"/>
      </rPr>
      <t>‎</t>
    </r>
    <r>
      <rPr>
        <sz val="11"/>
        <color rgb="FF000000"/>
        <rFont val="宋体"/>
        <charset val="134"/>
      </rPr>
      <t>0.90</t>
    </r>
  </si>
  <si>
    <t>16.13/20.65/28.75,0308-0331
Coupopne 10%Off 0308-</t>
  </si>
  <si>
    <t>124 86 33 118 131 98</t>
  </si>
  <si>
    <t>销售情况</t>
  </si>
  <si>
    <t>访问量</t>
  </si>
  <si>
    <t>Sessions-Browser</t>
  </si>
  <si>
    <t>Sessions-Mobile</t>
  </si>
  <si>
    <t>Sessions-Total</t>
  </si>
  <si>
    <t>PV-Browser</t>
  </si>
  <si>
    <t>PV-Mobile</t>
  </si>
  <si>
    <t>PV-Total</t>
  </si>
  <si>
    <t>CVR</t>
  </si>
  <si>
    <t>TAcos</t>
  </si>
  <si>
    <t>平均CVR</t>
  </si>
  <si>
    <t>访问量（和老P合并后，此数据无法统计）</t>
  </si>
  <si>
    <t>款号</t>
  </si>
  <si>
    <t>款式</t>
  </si>
  <si>
    <t>成本</t>
  </si>
  <si>
    <t>FBA尾程</t>
  </si>
  <si>
    <t>RMB</t>
  </si>
  <si>
    <t>USD</t>
  </si>
  <si>
    <t>SL</t>
  </si>
  <si>
    <t>老P</t>
  </si>
  <si>
    <t>小</t>
  </si>
  <si>
    <t>大</t>
  </si>
  <si>
    <t>新P</t>
  </si>
  <si>
    <t>Toy</t>
  </si>
  <si>
    <t>玩具</t>
  </si>
  <si>
    <t>短</t>
  </si>
  <si>
    <t>长</t>
  </si>
  <si>
    <t>球</t>
  </si>
  <si>
    <t>长*2</t>
  </si>
  <si>
    <t>ToyDH</t>
  </si>
  <si>
    <t>玩具
双手柄</t>
  </si>
  <si>
    <t>单个装</t>
  </si>
  <si>
    <t>双个装</t>
  </si>
  <si>
    <t>DL</t>
  </si>
  <si>
    <t>双头绳</t>
  </si>
  <si>
    <t>无手柄AL</t>
  </si>
  <si>
    <t>有手柄AL</t>
  </si>
  <si>
    <t>DLS</t>
  </si>
  <si>
    <t>无手柄ZN</t>
  </si>
  <si>
    <t>有手柄ZN</t>
  </si>
  <si>
    <t>DSL</t>
  </si>
  <si>
    <t>双头P绳</t>
  </si>
  <si>
    <t>无手柄</t>
  </si>
  <si>
    <t>有手柄</t>
  </si>
  <si>
    <t>MFL</t>
  </si>
  <si>
    <t>7.5FT AL</t>
  </si>
  <si>
    <t>7.5FT ZN</t>
  </si>
  <si>
    <t>SFM</t>
  </si>
  <si>
    <t>三个装</t>
  </si>
  <si>
    <t>0323~0329</t>
    <phoneticPr fontId="36" type="noConversion"/>
  </si>
  <si>
    <t>2026W13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</si>
</sst>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76" formatCode="0.00_);[Red]\(0.00\)"/>
    <numFmt numFmtId="177" formatCode="0.0_);[Red]\(0.0\)"/>
    <numFmt numFmtId="178" formatCode="0.00_ "/>
    <numFmt numFmtId="179" formatCode="0_);[Red]\(0\)"/>
    <numFmt numFmtId="180" formatCode="0_ "/>
  </numFmts>
  <fonts count="37" x14ac:knownFonts="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8" tint="-0.249977111117893"/>
      <name val="宋体"/>
      <charset val="134"/>
    </font>
    <font>
      <b/>
      <sz val="11"/>
      <color rgb="FFFF0000"/>
      <name val="宋体"/>
      <charset val="134"/>
    </font>
    <font>
      <b/>
      <sz val="11"/>
      <color rgb="FFFFFF00"/>
      <name val="宋体"/>
      <charset val="134"/>
    </font>
    <font>
      <sz val="11"/>
      <color rgb="FF000000"/>
      <name val="宋体"/>
      <charset val="134"/>
    </font>
    <font>
      <sz val="11"/>
      <color rgb="FF08090C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rgb="FFFFFF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name val="宋体"/>
      <charset val="134"/>
      <scheme val="minor"/>
    </font>
    <font>
      <sz val="11"/>
      <color rgb="FF0B1019"/>
      <name val="宋体"/>
      <charset val="134"/>
    </font>
    <font>
      <sz val="11"/>
      <color rgb="FF000000"/>
      <name val="Times New Roman"/>
      <family val="1"/>
    </font>
    <font>
      <sz val="11"/>
      <color theme="1" tint="4.9989318521683403E-2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theme="8" tint="-0.249977111117893"/>
      <name val="宋体"/>
      <charset val="134"/>
    </font>
    <font>
      <sz val="10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rgb="FF0B1019"/>
      <name val="宋体"/>
      <charset val="134"/>
      <scheme val="major"/>
    </font>
    <font>
      <sz val="10"/>
      <color rgb="FF08090C"/>
      <name val="宋体"/>
      <charset val="134"/>
    </font>
    <font>
      <sz val="10"/>
      <color theme="7" tint="-0.499984740745262"/>
      <name val="宋体"/>
      <charset val="134"/>
      <scheme val="minor"/>
    </font>
    <font>
      <sz val="10"/>
      <color rgb="FF000000"/>
      <name val="Times New Roman"/>
      <family val="1"/>
    </font>
    <font>
      <sz val="10"/>
      <name val="宋体"/>
      <charset val="134"/>
    </font>
    <font>
      <sz val="10"/>
      <color rgb="FFFF0000"/>
      <name val="宋体"/>
      <charset val="134"/>
    </font>
    <font>
      <sz val="10"/>
      <color theme="7" tint="-0.499984740745262"/>
      <name val="宋体"/>
      <charset val="134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4" tint="0.39988402966399123"/>
      <name val="宋体"/>
      <charset val="134"/>
      <scheme val="minor"/>
    </font>
    <font>
      <sz val="9"/>
      <name val="宋体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5961485641044"/>
        <bgColor theme="4" tint="0.7998596148564104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EF2CA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88402966399123"/>
        <bgColor theme="4"/>
      </patternFill>
    </fill>
    <fill>
      <patternFill patternType="solid">
        <fgColor theme="8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89013336588644"/>
        <bgColor theme="7" tint="0.7998901333658864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dashDotDot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ashDotDot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7"/>
      </top>
      <bottom style="thin">
        <color rgb="FF000000"/>
      </bottom>
      <diagonal/>
    </border>
    <border>
      <left/>
      <right/>
      <top style="medium">
        <color theme="7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77" fontId="0" fillId="0" borderId="7" xfId="0" applyNumberFormat="1" applyFont="1" applyFill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 wrapText="1"/>
    </xf>
    <xf numFmtId="0" fontId="7" fillId="8" borderId="33" xfId="0" applyNumberFormat="1" applyFont="1" applyFill="1" applyBorder="1" applyAlignment="1">
      <alignment horizontal="center" vertical="center"/>
    </xf>
    <xf numFmtId="0" fontId="7" fillId="8" borderId="17" xfId="0" applyNumberFormat="1" applyFont="1" applyFill="1" applyBorder="1" applyAlignment="1">
      <alignment horizontal="center" vertical="center"/>
    </xf>
    <xf numFmtId="178" fontId="7" fillId="8" borderId="17" xfId="0" applyNumberFormat="1" applyFont="1" applyFill="1" applyBorder="1" applyAlignment="1">
      <alignment horizontal="center" vertical="center"/>
    </xf>
    <xf numFmtId="179" fontId="8" fillId="8" borderId="33" xfId="0" applyNumberFormat="1" applyFont="1" applyFill="1" applyBorder="1" applyAlignment="1">
      <alignment horizontal="center" vertical="center"/>
    </xf>
    <xf numFmtId="179" fontId="8" fillId="8" borderId="17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  <xf numFmtId="179" fontId="8" fillId="8" borderId="18" xfId="0" applyNumberFormat="1" applyFont="1" applyFill="1" applyBorder="1" applyAlignment="1">
      <alignment horizontal="center" vertical="center"/>
    </xf>
    <xf numFmtId="10" fontId="8" fillId="8" borderId="18" xfId="1" applyNumberFormat="1" applyFont="1" applyFill="1" applyBorder="1" applyAlignment="1">
      <alignment horizontal="center" vertical="center"/>
    </xf>
    <xf numFmtId="10" fontId="9" fillId="8" borderId="35" xfId="0" applyNumberFormat="1" applyFont="1" applyFill="1" applyBorder="1" applyAlignment="1">
      <alignment horizontal="center" vertical="center"/>
    </xf>
    <xf numFmtId="10" fontId="8" fillId="8" borderId="33" xfId="0" applyNumberFormat="1" applyFont="1" applyFill="1" applyBorder="1" applyAlignment="1">
      <alignment horizontal="center" vertical="center"/>
    </xf>
    <xf numFmtId="10" fontId="8" fillId="8" borderId="17" xfId="0" applyNumberFormat="1" applyFont="1" applyFill="1" applyBorder="1" applyAlignment="1">
      <alignment horizontal="center" vertical="center"/>
    </xf>
    <xf numFmtId="176" fontId="8" fillId="8" borderId="18" xfId="0" applyNumberFormat="1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 wrapText="1"/>
    </xf>
    <xf numFmtId="0" fontId="10" fillId="9" borderId="33" xfId="0" applyFont="1" applyFill="1" applyBorder="1" applyAlignment="1">
      <alignment horizontal="center" vertical="center" wrapText="1"/>
    </xf>
    <xf numFmtId="0" fontId="10" fillId="9" borderId="36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 wrapText="1"/>
    </xf>
    <xf numFmtId="0" fontId="7" fillId="9" borderId="36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10" borderId="36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 wrapText="1"/>
    </xf>
    <xf numFmtId="178" fontId="0" fillId="0" borderId="37" xfId="0" applyNumberForma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0" fontId="0" fillId="0" borderId="36" xfId="0" applyNumberFormat="1" applyBorder="1" applyAlignment="1">
      <alignment horizontal="center" vertical="center"/>
    </xf>
    <xf numFmtId="10" fontId="0" fillId="0" borderId="38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6" fontId="0" fillId="0" borderId="37" xfId="0" applyNumberFormat="1" applyBorder="1" applyAlignment="1">
      <alignment horizontal="center" vertical="center"/>
    </xf>
    <xf numFmtId="0" fontId="7" fillId="7" borderId="33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27" xfId="0" applyFont="1" applyFill="1" applyBorder="1" applyAlignment="1">
      <alignment horizontal="center" vertical="center"/>
    </xf>
    <xf numFmtId="0" fontId="7" fillId="8" borderId="33" xfId="0" applyFont="1" applyFill="1" applyBorder="1" applyAlignment="1">
      <alignment horizontal="center" vertical="center" wrapText="1"/>
    </xf>
    <xf numFmtId="10" fontId="8" fillId="8" borderId="35" xfId="0" applyNumberFormat="1" applyFont="1" applyFill="1" applyBorder="1" applyAlignment="1">
      <alignment horizontal="center" vertical="center"/>
    </xf>
    <xf numFmtId="10" fontId="10" fillId="8" borderId="35" xfId="0" applyNumberFormat="1" applyFont="1" applyFill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7" fillId="8" borderId="39" xfId="0" applyFont="1" applyFill="1" applyBorder="1" applyAlignment="1">
      <alignment horizontal="center" vertical="center"/>
    </xf>
    <xf numFmtId="0" fontId="7" fillId="8" borderId="40" xfId="0" applyFont="1" applyFill="1" applyBorder="1" applyAlignment="1">
      <alignment horizontal="center" vertical="center"/>
    </xf>
    <xf numFmtId="178" fontId="7" fillId="8" borderId="41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80" fontId="0" fillId="0" borderId="40" xfId="0" applyNumberFormat="1" applyBorder="1" applyAlignment="1">
      <alignment horizontal="center" vertical="center"/>
    </xf>
    <xf numFmtId="179" fontId="0" fillId="0" borderId="40" xfId="0" applyNumberFormat="1" applyBorder="1" applyAlignment="1">
      <alignment horizontal="center" vertical="center"/>
    </xf>
    <xf numFmtId="179" fontId="0" fillId="0" borderId="41" xfId="0" applyNumberFormat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4" fillId="4" borderId="27" xfId="0" applyFont="1" applyFill="1" applyBorder="1" applyAlignment="1">
      <alignment horizontal="center" vertical="center" wrapText="1"/>
    </xf>
    <xf numFmtId="178" fontId="4" fillId="4" borderId="27" xfId="0" applyNumberFormat="1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77" fontId="14" fillId="13" borderId="13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/>
    </xf>
    <xf numFmtId="0" fontId="14" fillId="13" borderId="45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14" fillId="6" borderId="13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 wrapText="1"/>
    </xf>
    <xf numFmtId="0" fontId="14" fillId="6" borderId="45" xfId="0" applyFont="1" applyFill="1" applyBorder="1" applyAlignment="1">
      <alignment horizontal="center" vertical="center"/>
    </xf>
    <xf numFmtId="0" fontId="15" fillId="14" borderId="46" xfId="0" applyFont="1" applyFill="1" applyBorder="1" applyAlignment="1">
      <alignment horizontal="center" vertical="center" wrapText="1"/>
    </xf>
    <xf numFmtId="178" fontId="15" fillId="14" borderId="46" xfId="0" applyNumberFormat="1" applyFont="1" applyFill="1" applyBorder="1" applyAlignment="1">
      <alignment horizontal="center" vertical="center"/>
    </xf>
    <xf numFmtId="180" fontId="7" fillId="8" borderId="1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>
      <alignment horizontal="center" vertical="center"/>
    </xf>
    <xf numFmtId="10" fontId="7" fillId="8" borderId="17" xfId="1" applyNumberFormat="1" applyFont="1" applyFill="1" applyBorder="1" applyAlignment="1">
      <alignment horizontal="center" vertical="center"/>
    </xf>
    <xf numFmtId="178" fontId="7" fillId="8" borderId="17" xfId="1" applyNumberFormat="1" applyFont="1" applyFill="1" applyBorder="1" applyAlignment="1">
      <alignment horizontal="center" vertical="center"/>
    </xf>
    <xf numFmtId="10" fontId="7" fillId="8" borderId="32" xfId="1" applyNumberFormat="1" applyFont="1" applyFill="1" applyBorder="1" applyAlignment="1">
      <alignment horizontal="center" vertical="center"/>
    </xf>
    <xf numFmtId="176" fontId="8" fillId="8" borderId="33" xfId="0" applyNumberFormat="1" applyFont="1" applyFill="1" applyBorder="1" applyAlignment="1">
      <alignment horizontal="center" vertical="center"/>
    </xf>
    <xf numFmtId="176" fontId="8" fillId="8" borderId="17" xfId="0" applyNumberFormat="1" applyFont="1" applyFill="1" applyBorder="1" applyAlignment="1">
      <alignment horizontal="center" vertical="center"/>
    </xf>
    <xf numFmtId="176" fontId="9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0" fontId="8" fillId="8" borderId="18" xfId="0" applyNumberFormat="1" applyFont="1" applyFill="1" applyBorder="1" applyAlignment="1">
      <alignment horizontal="center" vertical="center"/>
    </xf>
    <xf numFmtId="0" fontId="16" fillId="8" borderId="27" xfId="0" applyFont="1" applyFill="1" applyBorder="1" applyAlignment="1">
      <alignment horizontal="center" vertical="center"/>
    </xf>
    <xf numFmtId="10" fontId="9" fillId="8" borderId="17" xfId="0" applyNumberFormat="1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43" fontId="0" fillId="7" borderId="12" xfId="0" applyNumberFormat="1" applyFill="1" applyBorder="1" applyAlignment="1">
      <alignment horizontal="center" vertical="center"/>
    </xf>
    <xf numFmtId="43" fontId="0" fillId="7" borderId="13" xfId="0" applyNumberForma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/>
    </xf>
    <xf numFmtId="179" fontId="0" fillId="7" borderId="13" xfId="0" applyNumberFormat="1" applyFill="1" applyBorder="1" applyAlignment="1">
      <alignment horizontal="center" vertical="center"/>
    </xf>
    <xf numFmtId="176" fontId="0" fillId="7" borderId="12" xfId="0" applyNumberFormat="1" applyFill="1" applyBorder="1" applyAlignment="1">
      <alignment horizontal="center" vertical="center"/>
    </xf>
    <xf numFmtId="178" fontId="0" fillId="14" borderId="43" xfId="0" applyNumberFormat="1" applyFill="1" applyBorder="1" applyAlignment="1">
      <alignment horizontal="center" vertical="center"/>
    </xf>
    <xf numFmtId="176" fontId="0" fillId="14" borderId="43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7" fillId="8" borderId="17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9" fontId="18" fillId="0" borderId="0" xfId="0" applyNumberFormat="1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80" fontId="18" fillId="0" borderId="0" xfId="0" applyNumberFormat="1" applyFont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177" fontId="14" fillId="13" borderId="13" xfId="0" applyNumberFormat="1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center" vertical="center"/>
    </xf>
    <xf numFmtId="176" fontId="10" fillId="8" borderId="17" xfId="0" applyNumberFormat="1" applyFont="1" applyFill="1" applyBorder="1" applyAlignment="1">
      <alignment horizontal="center" vertical="center"/>
    </xf>
    <xf numFmtId="176" fontId="0" fillId="7" borderId="13" xfId="0" applyNumberFormat="1" applyFill="1" applyBorder="1" applyAlignment="1">
      <alignment horizontal="center" vertical="center"/>
    </xf>
    <xf numFmtId="43" fontId="0" fillId="7" borderId="43" xfId="0" applyNumberFormat="1" applyFill="1" applyBorder="1" applyAlignment="1">
      <alignment horizontal="center" vertical="center"/>
    </xf>
    <xf numFmtId="179" fontId="9" fillId="8" borderId="17" xfId="1" applyNumberFormat="1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14" fillId="6" borderId="43" xfId="0" applyFont="1" applyFill="1" applyBorder="1" applyAlignment="1">
      <alignment horizontal="center" vertical="center" wrapText="1"/>
    </xf>
    <xf numFmtId="0" fontId="8" fillId="8" borderId="17" xfId="0" applyNumberFormat="1" applyFont="1" applyFill="1" applyBorder="1" applyAlignment="1">
      <alignment horizontal="center" vertical="center"/>
    </xf>
    <xf numFmtId="179" fontId="0" fillId="7" borderId="12" xfId="0" applyNumberFormat="1" applyFill="1" applyBorder="1" applyAlignment="1">
      <alignment horizontal="center" vertical="center" wrapText="1"/>
    </xf>
    <xf numFmtId="177" fontId="14" fillId="13" borderId="12" xfId="0" applyNumberFormat="1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0" fontId="14" fillId="13" borderId="45" xfId="0" applyFont="1" applyFill="1" applyBorder="1" applyAlignment="1">
      <alignment horizontal="center" vertical="center" wrapText="1"/>
    </xf>
    <xf numFmtId="10" fontId="10" fillId="8" borderId="17" xfId="0" applyNumberFormat="1" applyFont="1" applyFill="1" applyBorder="1" applyAlignment="1">
      <alignment horizontal="center" vertical="center"/>
    </xf>
    <xf numFmtId="4" fontId="7" fillId="8" borderId="27" xfId="0" applyNumberFormat="1" applyFont="1" applyFill="1" applyBorder="1" applyAlignment="1">
      <alignment horizontal="center" vertical="center"/>
    </xf>
    <xf numFmtId="4" fontId="7" fillId="8" borderId="1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78" fontId="7" fillId="8" borderId="27" xfId="0" applyNumberFormat="1" applyFont="1" applyFill="1" applyBorder="1" applyAlignment="1">
      <alignment horizontal="center" vertical="center"/>
    </xf>
    <xf numFmtId="179" fontId="7" fillId="8" borderId="17" xfId="1" applyNumberFormat="1" applyFont="1" applyFill="1" applyBorder="1" applyAlignment="1" applyProtection="1">
      <alignment horizontal="center" vertical="center"/>
    </xf>
    <xf numFmtId="10" fontId="7" fillId="8" borderId="17" xfId="1" applyNumberFormat="1" applyFont="1" applyFill="1" applyBorder="1" applyAlignment="1" applyProtection="1">
      <alignment horizontal="center" vertical="center"/>
    </xf>
    <xf numFmtId="178" fontId="7" fillId="8" borderId="17" xfId="1" applyNumberFormat="1" applyFont="1" applyFill="1" applyBorder="1" applyAlignment="1" applyProtection="1">
      <alignment horizontal="center" vertical="center"/>
    </xf>
    <xf numFmtId="10" fontId="7" fillId="8" borderId="32" xfId="1" applyNumberFormat="1" applyFont="1" applyFill="1" applyBorder="1" applyAlignment="1" applyProtection="1">
      <alignment horizontal="center" vertical="center"/>
    </xf>
    <xf numFmtId="0" fontId="0" fillId="7" borderId="13" xfId="0" applyNumberFormat="1" applyFill="1" applyBorder="1" applyAlignment="1">
      <alignment horizontal="center" vertical="center"/>
    </xf>
    <xf numFmtId="178" fontId="0" fillId="7" borderId="12" xfId="0" applyNumberFormat="1" applyFill="1" applyBorder="1" applyAlignment="1">
      <alignment horizontal="center" vertical="center"/>
    </xf>
    <xf numFmtId="10" fontId="0" fillId="14" borderId="43" xfId="1" applyNumberFormat="1" applyFont="1" applyFill="1" applyBorder="1" applyAlignment="1" applyProtection="1">
      <alignment horizontal="center" vertical="center"/>
    </xf>
    <xf numFmtId="10" fontId="7" fillId="8" borderId="16" xfId="1" applyNumberFormat="1" applyFont="1" applyFill="1" applyBorder="1" applyAlignment="1" applyProtection="1">
      <alignment horizontal="center" vertical="center"/>
    </xf>
    <xf numFmtId="10" fontId="7" fillId="8" borderId="40" xfId="1" applyNumberFormat="1" applyFont="1" applyFill="1" applyBorder="1" applyAlignment="1" applyProtection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/>
    </xf>
    <xf numFmtId="0" fontId="22" fillId="4" borderId="27" xfId="0" applyFont="1" applyFill="1" applyBorder="1" applyAlignment="1">
      <alignment horizontal="center" vertical="center" wrapText="1"/>
    </xf>
    <xf numFmtId="178" fontId="22" fillId="4" borderId="27" xfId="0" applyNumberFormat="1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 wrapText="1"/>
    </xf>
    <xf numFmtId="0" fontId="22" fillId="4" borderId="30" xfId="0" applyFont="1" applyFill="1" applyBorder="1" applyAlignment="1">
      <alignment horizontal="center" vertical="center" wrapText="1"/>
    </xf>
    <xf numFmtId="0" fontId="22" fillId="4" borderId="31" xfId="0" applyFont="1" applyFill="1" applyBorder="1" applyAlignment="1">
      <alignment horizontal="left" vertical="center" wrapText="1"/>
    </xf>
    <xf numFmtId="0" fontId="21" fillId="6" borderId="28" xfId="0" applyFont="1" applyFill="1" applyBorder="1" applyAlignment="1">
      <alignment horizontal="center" vertical="center"/>
    </xf>
    <xf numFmtId="0" fontId="21" fillId="6" borderId="27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32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3" fillId="13" borderId="14" xfId="0" applyFont="1" applyFill="1" applyBorder="1" applyAlignment="1">
      <alignment horizontal="center" vertical="center"/>
    </xf>
    <xf numFmtId="0" fontId="23" fillId="13" borderId="12" xfId="0" applyFont="1" applyFill="1" applyBorder="1" applyAlignment="1">
      <alignment horizontal="center" vertical="center"/>
    </xf>
    <xf numFmtId="0" fontId="23" fillId="13" borderId="45" xfId="0" applyFont="1" applyFill="1" applyBorder="1" applyAlignment="1">
      <alignment horizontal="center" vertical="center"/>
    </xf>
    <xf numFmtId="0" fontId="23" fillId="13" borderId="22" xfId="0" applyFont="1" applyFill="1" applyBorder="1" applyAlignment="1">
      <alignment horizontal="center" vertical="center"/>
    </xf>
    <xf numFmtId="0" fontId="23" fillId="6" borderId="14" xfId="0" applyFont="1" applyFill="1" applyBorder="1" applyAlignment="1">
      <alignment horizontal="center" vertical="center" wrapText="1"/>
    </xf>
    <xf numFmtId="0" fontId="23" fillId="6" borderId="12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 wrapText="1"/>
    </xf>
    <xf numFmtId="0" fontId="23" fillId="6" borderId="45" xfId="0" applyFont="1" applyFill="1" applyBorder="1" applyAlignment="1">
      <alignment horizontal="center" vertical="center"/>
    </xf>
    <xf numFmtId="0" fontId="24" fillId="14" borderId="46" xfId="0" applyFont="1" applyFill="1" applyBorder="1" applyAlignment="1">
      <alignment horizontal="center" vertical="center" wrapText="1"/>
    </xf>
    <xf numFmtId="178" fontId="24" fillId="14" borderId="46" xfId="0" applyNumberFormat="1" applyFont="1" applyFill="1" applyBorder="1" applyAlignment="1">
      <alignment horizontal="center" vertical="center"/>
    </xf>
    <xf numFmtId="0" fontId="25" fillId="8" borderId="33" xfId="0" applyFont="1" applyFill="1" applyBorder="1" applyAlignment="1">
      <alignment horizontal="center" vertical="center" wrapText="1"/>
    </xf>
    <xf numFmtId="0" fontId="25" fillId="8" borderId="33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8" fontId="25" fillId="8" borderId="17" xfId="0" applyNumberFormat="1" applyFont="1" applyFill="1" applyBorder="1" applyAlignment="1">
      <alignment horizontal="center" vertical="center"/>
    </xf>
    <xf numFmtId="180" fontId="26" fillId="8" borderId="17" xfId="0" applyNumberFormat="1" applyFont="1" applyFill="1" applyBorder="1" applyAlignment="1">
      <alignment horizontal="center" vertical="center"/>
    </xf>
    <xf numFmtId="178" fontId="26" fillId="8" borderId="17" xfId="0" applyNumberFormat="1" applyFont="1" applyFill="1" applyBorder="1" applyAlignment="1">
      <alignment horizontal="center" vertical="center"/>
    </xf>
    <xf numFmtId="179" fontId="25" fillId="8" borderId="17" xfId="0" applyNumberFormat="1" applyFont="1" applyFill="1" applyBorder="1" applyAlignment="1">
      <alignment horizontal="center" vertical="center"/>
    </xf>
    <xf numFmtId="10" fontId="25" fillId="8" borderId="17" xfId="1" applyNumberFormat="1" applyFont="1" applyFill="1" applyBorder="1" applyAlignment="1">
      <alignment horizontal="center" vertical="center"/>
    </xf>
    <xf numFmtId="178" fontId="25" fillId="8" borderId="17" xfId="1" applyNumberFormat="1" applyFont="1" applyFill="1" applyBorder="1" applyAlignment="1">
      <alignment horizontal="center" vertical="center"/>
    </xf>
    <xf numFmtId="10" fontId="25" fillId="8" borderId="32" xfId="1" applyNumberFormat="1" applyFont="1" applyFill="1" applyBorder="1" applyAlignment="1">
      <alignment horizontal="center" vertical="center"/>
    </xf>
    <xf numFmtId="176" fontId="27" fillId="8" borderId="33" xfId="0" applyNumberFormat="1" applyFont="1" applyFill="1" applyBorder="1" applyAlignment="1">
      <alignment horizontal="center" vertical="center"/>
    </xf>
    <xf numFmtId="176" fontId="27" fillId="8" borderId="17" xfId="0" applyNumberFormat="1" applyFont="1" applyFill="1" applyBorder="1" applyAlignment="1">
      <alignment horizontal="center" vertical="center"/>
    </xf>
    <xf numFmtId="0" fontId="27" fillId="8" borderId="17" xfId="0" applyNumberFormat="1" applyFont="1" applyFill="1" applyBorder="1" applyAlignment="1">
      <alignment horizontal="center" vertical="center"/>
    </xf>
    <xf numFmtId="10" fontId="27" fillId="8" borderId="18" xfId="0" applyNumberFormat="1" applyFont="1" applyFill="1" applyBorder="1" applyAlignment="1">
      <alignment horizontal="center" vertical="center"/>
    </xf>
    <xf numFmtId="10" fontId="27" fillId="8" borderId="35" xfId="0" applyNumberFormat="1" applyFont="1" applyFill="1" applyBorder="1" applyAlignment="1">
      <alignment horizontal="center" vertical="center"/>
    </xf>
    <xf numFmtId="176" fontId="25" fillId="8" borderId="17" xfId="0" applyNumberFormat="1" applyFont="1" applyFill="1" applyBorder="1" applyAlignment="1">
      <alignment horizontal="center" vertical="center"/>
    </xf>
    <xf numFmtId="176" fontId="25" fillId="8" borderId="47" xfId="0" applyNumberFormat="1" applyFont="1" applyFill="1" applyBorder="1" applyAlignment="1">
      <alignment horizontal="center" vertical="center"/>
    </xf>
    <xf numFmtId="10" fontId="27" fillId="8" borderId="33" xfId="0" applyNumberFormat="1" applyFont="1" applyFill="1" applyBorder="1" applyAlignment="1">
      <alignment horizontal="center" vertical="center"/>
    </xf>
    <xf numFmtId="10" fontId="27" fillId="8" borderId="17" xfId="0" applyNumberFormat="1" applyFont="1" applyFill="1" applyBorder="1" applyAlignment="1">
      <alignment horizontal="center" vertical="center"/>
    </xf>
    <xf numFmtId="0" fontId="27" fillId="8" borderId="32" xfId="0" applyNumberFormat="1" applyFont="1" applyFill="1" applyBorder="1" applyAlignment="1">
      <alignment horizontal="center" vertical="center"/>
    </xf>
    <xf numFmtId="0" fontId="27" fillId="8" borderId="18" xfId="0" applyNumberFormat="1" applyFont="1" applyFill="1" applyBorder="1" applyAlignment="1">
      <alignment horizontal="center" vertical="center"/>
    </xf>
    <xf numFmtId="43" fontId="28" fillId="7" borderId="12" xfId="0" applyNumberFormat="1" applyFont="1" applyFill="1" applyBorder="1" applyAlignment="1">
      <alignment horizontal="center" vertical="center"/>
    </xf>
    <xf numFmtId="43" fontId="28" fillId="7" borderId="13" xfId="0" applyNumberFormat="1" applyFont="1" applyFill="1" applyBorder="1" applyAlignment="1">
      <alignment horizontal="center" vertical="center"/>
    </xf>
    <xf numFmtId="179" fontId="28" fillId="7" borderId="12" xfId="0" applyNumberFormat="1" applyFont="1" applyFill="1" applyBorder="1" applyAlignment="1">
      <alignment horizontal="center" vertical="center"/>
    </xf>
    <xf numFmtId="179" fontId="28" fillId="7" borderId="13" xfId="0" applyNumberFormat="1" applyFont="1" applyFill="1" applyBorder="1" applyAlignment="1">
      <alignment horizontal="center" vertical="center"/>
    </xf>
    <xf numFmtId="176" fontId="28" fillId="7" borderId="13" xfId="0" applyNumberFormat="1" applyFont="1" applyFill="1" applyBorder="1" applyAlignment="1">
      <alignment horizontal="right" vertical="center"/>
    </xf>
    <xf numFmtId="176" fontId="28" fillId="7" borderId="12" xfId="0" applyNumberFormat="1" applyFont="1" applyFill="1" applyBorder="1" applyAlignment="1">
      <alignment horizontal="right" vertical="center"/>
    </xf>
    <xf numFmtId="43" fontId="28" fillId="7" borderId="43" xfId="0" applyNumberFormat="1" applyFont="1" applyFill="1" applyBorder="1" applyAlignment="1">
      <alignment horizontal="right" vertical="center"/>
    </xf>
    <xf numFmtId="43" fontId="28" fillId="7" borderId="12" xfId="0" applyNumberFormat="1" applyFont="1" applyFill="1" applyBorder="1" applyAlignment="1">
      <alignment horizontal="right" vertical="center"/>
    </xf>
    <xf numFmtId="43" fontId="28" fillId="7" borderId="13" xfId="0" applyNumberFormat="1" applyFont="1" applyFill="1" applyBorder="1" applyAlignment="1">
      <alignment horizontal="right" vertical="center"/>
    </xf>
    <xf numFmtId="176" fontId="28" fillId="14" borderId="43" xfId="0" applyNumberFormat="1" applyFont="1" applyFill="1" applyBorder="1" applyAlignment="1">
      <alignment horizontal="center" vertical="center"/>
    </xf>
    <xf numFmtId="178" fontId="24" fillId="14" borderId="43" xfId="0" applyNumberFormat="1" applyFont="1" applyFill="1" applyBorder="1" applyAlignment="1">
      <alignment horizontal="center" vertical="center"/>
    </xf>
    <xf numFmtId="10" fontId="28" fillId="14" borderId="43" xfId="1" applyNumberFormat="1" applyFont="1" applyFill="1" applyBorder="1" applyAlignment="1">
      <alignment horizontal="center" vertical="center"/>
    </xf>
    <xf numFmtId="0" fontId="28" fillId="15" borderId="48" xfId="0" applyFont="1" applyFill="1" applyBorder="1">
      <alignment vertical="center"/>
    </xf>
    <xf numFmtId="179" fontId="25" fillId="8" borderId="17" xfId="1" applyNumberFormat="1" applyFont="1" applyFill="1" applyBorder="1" applyAlignment="1">
      <alignment horizontal="center" vertical="center"/>
    </xf>
    <xf numFmtId="176" fontId="25" fillId="8" borderId="27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9" fillId="8" borderId="17" xfId="0" applyFont="1" applyFill="1" applyBorder="1" applyAlignment="1">
      <alignment horizontal="center" vertical="center"/>
    </xf>
    <xf numFmtId="0" fontId="28" fillId="15" borderId="0" xfId="0" applyFont="1" applyFill="1">
      <alignment vertical="center"/>
    </xf>
    <xf numFmtId="176" fontId="30" fillId="8" borderId="17" xfId="0" applyNumberFormat="1" applyFont="1" applyFill="1" applyBorder="1" applyAlignment="1">
      <alignment horizontal="center" vertical="center"/>
    </xf>
    <xf numFmtId="176" fontId="31" fillId="8" borderId="17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vertical="center" wrapText="1"/>
    </xf>
    <xf numFmtId="0" fontId="28" fillId="0" borderId="0" xfId="0" applyFont="1" applyAlignment="1">
      <alignment vertical="center" wrapText="1"/>
    </xf>
    <xf numFmtId="0" fontId="25" fillId="7" borderId="33" xfId="0" applyFont="1" applyFill="1" applyBorder="1" applyAlignment="1">
      <alignment horizontal="center" vertical="center" wrapText="1"/>
    </xf>
    <xf numFmtId="0" fontId="25" fillId="7" borderId="33" xfId="0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32" fillId="15" borderId="0" xfId="0" applyFont="1" applyFill="1">
      <alignment vertical="center"/>
    </xf>
    <xf numFmtId="179" fontId="30" fillId="8" borderId="17" xfId="1" applyNumberFormat="1" applyFont="1" applyFill="1" applyBorder="1" applyAlignment="1">
      <alignment horizontal="center" vertical="center"/>
    </xf>
    <xf numFmtId="10" fontId="30" fillId="8" borderId="17" xfId="1" applyNumberFormat="1" applyFont="1" applyFill="1" applyBorder="1" applyAlignment="1">
      <alignment horizontal="center" vertical="center"/>
    </xf>
    <xf numFmtId="178" fontId="30" fillId="8" borderId="17" xfId="1" applyNumberFormat="1" applyFont="1" applyFill="1" applyBorder="1" applyAlignment="1">
      <alignment horizontal="center" vertical="center"/>
    </xf>
    <xf numFmtId="0" fontId="20" fillId="16" borderId="39" xfId="0" applyFont="1" applyFill="1" applyBorder="1" applyAlignment="1">
      <alignment horizontal="center" vertical="center"/>
    </xf>
    <xf numFmtId="0" fontId="20" fillId="16" borderId="40" xfId="0" applyFont="1" applyFill="1" applyBorder="1" applyAlignment="1">
      <alignment horizontal="center" vertical="center"/>
    </xf>
    <xf numFmtId="0" fontId="33" fillId="16" borderId="40" xfId="0" applyFont="1" applyFill="1" applyBorder="1" applyAlignment="1">
      <alignment horizontal="center" vertical="center"/>
    </xf>
    <xf numFmtId="10" fontId="31" fillId="16" borderId="40" xfId="0" applyNumberFormat="1" applyFont="1" applyFill="1" applyBorder="1" applyAlignment="1">
      <alignment horizontal="center" vertical="center"/>
    </xf>
    <xf numFmtId="0" fontId="20" fillId="16" borderId="41" xfId="0" applyFont="1" applyFill="1" applyBorder="1" applyAlignment="1">
      <alignment horizontal="center" vertical="center"/>
    </xf>
    <xf numFmtId="0" fontId="20" fillId="16" borderId="49" xfId="0" applyFont="1" applyFill="1" applyBorder="1" applyAlignment="1">
      <alignment horizontal="center" vertical="center"/>
    </xf>
    <xf numFmtId="176" fontId="27" fillId="16" borderId="33" xfId="0" applyNumberFormat="1" applyFont="1" applyFill="1" applyBorder="1" applyAlignment="1">
      <alignment horizontal="center" vertical="center"/>
    </xf>
    <xf numFmtId="176" fontId="30" fillId="16" borderId="17" xfId="0" applyNumberFormat="1" applyFont="1" applyFill="1" applyBorder="1" applyAlignment="1">
      <alignment horizontal="center" vertical="center"/>
    </xf>
    <xf numFmtId="0" fontId="27" fillId="16" borderId="17" xfId="0" applyNumberFormat="1" applyFont="1" applyFill="1" applyBorder="1" applyAlignment="1">
      <alignment horizontal="center" vertical="center"/>
    </xf>
    <xf numFmtId="10" fontId="27" fillId="16" borderId="18" xfId="0" applyNumberFormat="1" applyFont="1" applyFill="1" applyBorder="1" applyAlignment="1">
      <alignment horizontal="center" vertical="center"/>
    </xf>
    <xf numFmtId="10" fontId="27" fillId="16" borderId="35" xfId="0" applyNumberFormat="1" applyFont="1" applyFill="1" applyBorder="1" applyAlignment="1">
      <alignment horizontal="center" vertical="center"/>
    </xf>
    <xf numFmtId="0" fontId="20" fillId="16" borderId="50" xfId="0" applyFont="1" applyFill="1" applyBorder="1" applyAlignment="1">
      <alignment horizontal="center" vertical="center"/>
    </xf>
    <xf numFmtId="176" fontId="20" fillId="16" borderId="49" xfId="0" applyNumberFormat="1" applyFont="1" applyFill="1" applyBorder="1" applyAlignment="1">
      <alignment horizontal="center" vertical="center"/>
    </xf>
    <xf numFmtId="10" fontId="27" fillId="16" borderId="33" xfId="0" applyNumberFormat="1" applyFont="1" applyFill="1" applyBorder="1" applyAlignment="1">
      <alignment horizontal="center" vertical="center"/>
    </xf>
    <xf numFmtId="10" fontId="27" fillId="16" borderId="17" xfId="0" applyNumberFormat="1" applyFont="1" applyFill="1" applyBorder="1" applyAlignment="1">
      <alignment horizontal="center" vertical="center"/>
    </xf>
    <xf numFmtId="176" fontId="27" fillId="16" borderId="17" xfId="0" applyNumberFormat="1" applyFont="1" applyFill="1" applyBorder="1" applyAlignment="1">
      <alignment horizontal="center" vertical="center"/>
    </xf>
    <xf numFmtId="176" fontId="20" fillId="16" borderId="14" xfId="0" applyNumberFormat="1" applyFont="1" applyFill="1" applyBorder="1" applyAlignment="1">
      <alignment horizontal="center" vertical="center"/>
    </xf>
    <xf numFmtId="176" fontId="20" fillId="16" borderId="12" xfId="0" applyNumberFormat="1" applyFont="1" applyFill="1" applyBorder="1" applyAlignment="1">
      <alignment horizontal="center" vertical="center"/>
    </xf>
    <xf numFmtId="176" fontId="20" fillId="16" borderId="13" xfId="0" applyNumberFormat="1" applyFont="1" applyFill="1" applyBorder="1" applyAlignment="1">
      <alignment horizontal="center" vertical="center"/>
    </xf>
    <xf numFmtId="0" fontId="20" fillId="16" borderId="14" xfId="0" applyFont="1" applyFill="1" applyBorder="1" applyAlignment="1">
      <alignment horizontal="center" vertical="center"/>
    </xf>
    <xf numFmtId="0" fontId="20" fillId="16" borderId="12" xfId="0" applyFont="1" applyFill="1" applyBorder="1" applyAlignment="1">
      <alignment horizontal="center" vertical="center"/>
    </xf>
    <xf numFmtId="0" fontId="20" fillId="16" borderId="13" xfId="0" applyFont="1" applyFill="1" applyBorder="1" applyAlignment="1">
      <alignment horizontal="center" vertical="center"/>
    </xf>
    <xf numFmtId="178" fontId="20" fillId="16" borderId="12" xfId="0" applyNumberFormat="1" applyFont="1" applyFill="1" applyBorder="1" applyAlignment="1">
      <alignment horizontal="center" vertical="center"/>
    </xf>
    <xf numFmtId="10" fontId="28" fillId="16" borderId="43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4" fillId="4" borderId="42" xfId="0" applyFont="1" applyFill="1" applyBorder="1" applyAlignment="1">
      <alignment horizontal="center" vertical="center" wrapText="1"/>
    </xf>
    <xf numFmtId="0" fontId="4" fillId="4" borderId="43" xfId="0" applyFont="1" applyFill="1" applyBorder="1" applyAlignment="1">
      <alignment horizontal="center" vertical="center" wrapText="1"/>
    </xf>
    <xf numFmtId="178" fontId="4" fillId="4" borderId="43" xfId="0" applyNumberFormat="1" applyFont="1" applyFill="1" applyBorder="1" applyAlignment="1">
      <alignment horizontal="center" vertical="center" wrapText="1"/>
    </xf>
    <xf numFmtId="0" fontId="4" fillId="4" borderId="44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178" fontId="5" fillId="4" borderId="22" xfId="0" applyNumberFormat="1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3" fillId="11" borderId="22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 wrapText="1"/>
    </xf>
    <xf numFmtId="0" fontId="12" fillId="11" borderId="22" xfId="0" applyFont="1" applyFill="1" applyBorder="1" applyAlignment="1">
      <alignment horizontal="center" vertical="center" wrapText="1"/>
    </xf>
    <xf numFmtId="0" fontId="13" fillId="11" borderId="4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11" borderId="4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6" fillId="5" borderId="24" xfId="0" applyFont="1" applyFill="1" applyBorder="1" applyAlignment="1">
      <alignment horizontal="center" vertical="center" wrapText="1"/>
    </xf>
    <xf numFmtId="0" fontId="6" fillId="6" borderId="18" xfId="0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76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宋体"/>
        <charset val="134"/>
        <scheme val="minor"/>
      </font>
      <numFmt numFmtId="14" formatCode="0.0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80" formatCode="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9" formatCode="0_);[Red]\(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6" formatCode="0.00_);[Red]\(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78" formatCode="0.00_ 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宋体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7" tint="-0.499984740745262"/>
        <name val="宋体"/>
        <charset val="134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8" formatCode="0.00_ 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8090C"/>
        <name val="宋体"/>
        <charset val="134"/>
        <scheme val="none"/>
      </font>
      <numFmt numFmtId="176" formatCode="0.00_);[Red]\(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charset val="134"/>
        <scheme val="minor"/>
      </font>
      <alignment horizontal="center" vertical="center" textRotation="0" wrapText="0" indent="0" justifyLastLine="0" shrinkToFit="0" readingOrder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8" formatCode="0.00_ "/>
    </dxf>
    <dxf>
      <numFmt numFmtId="0" formatCode="General"/>
    </dxf>
    <dxf>
      <numFmt numFmtId="0" formatCode="General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alignment horizontal="left"/>
    </dxf>
    <dxf>
      <numFmt numFmtId="178" formatCode="0.00_ "/>
    </dxf>
    <dxf>
      <numFmt numFmtId="178" formatCode="0.00_ "/>
    </dxf>
    <dxf>
      <numFmt numFmtId="178" formatCode="0.0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font>
        <color rgb="FFFF0000"/>
      </font>
    </dxf>
    <dxf>
      <font>
        <color auto="1"/>
      </font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auto="1"/>
      </font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80" formatCode="0_ "/>
    </dxf>
    <dxf>
      <numFmt numFmtId="180" formatCode="0_ "/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9" formatCode="0_);[Red]\(0\)"/>
    </dxf>
    <dxf>
      <numFmt numFmtId="179" formatCode="0_);[Red]\(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80" formatCode="0_ "/>
    </dxf>
    <dxf>
      <numFmt numFmtId="180" formatCode="0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fill>
        <patternFill patternType="solid">
          <bgColor theme="6" tint="0.79992065187536243"/>
        </patternFill>
      </fill>
    </dxf>
    <dxf>
      <fill>
        <patternFill patternType="solid">
          <bgColor theme="6" tint="0.79992065187536243"/>
        </patternFill>
      </fill>
    </dxf>
    <dxf>
      <numFmt numFmtId="14" formatCode="0.00%"/>
    </dxf>
    <dxf>
      <numFmt numFmtId="178" formatCode="0.00_ 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178" formatCode="0.00_ "/>
    </dxf>
    <dxf>
      <protection locked="0"/>
    </dxf>
    <dxf>
      <protection locked="0"/>
    </dxf>
    <dxf>
      <protection locked="0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numFmt numFmtId="35" formatCode="_ * #,##0.00_ ;_ * \-#,##0.00_ ;_ * &quot;-&quot;??_ ;_ @_ "/>
    </dxf>
    <dxf>
      <protection locked="0"/>
    </dxf>
    <dxf>
      <protection locked="0"/>
    </dxf>
    <dxf>
      <protection locked="0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4" formatCode="0.00%"/>
    </dxf>
    <dxf>
      <numFmt numFmtId="14" formatCode="0.00%"/>
    </dxf>
    <dxf>
      <numFmt numFmtId="0" formatCode="General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4" formatCode="0.00%"/>
    </dxf>
    <dxf>
      <numFmt numFmtId="14" formatCode="0.00%"/>
    </dxf>
    <dxf>
      <numFmt numFmtId="14" formatCode="0.00%"/>
    </dxf>
    <dxf>
      <protection locked="0"/>
    </dxf>
    <dxf>
      <numFmt numFmtId="14" formatCode="0.00%"/>
      <protection locked="0"/>
    </dxf>
    <dxf>
      <protection locked="0"/>
    </dxf>
    <dxf>
      <numFmt numFmtId="180" formatCode="0_ "/>
    </dxf>
    <dxf>
      <numFmt numFmtId="180" formatCode="0_ "/>
    </dxf>
    <dxf>
      <protection locked="0"/>
    </dxf>
    <dxf>
      <protection locked="0"/>
    </dxf>
    <dxf>
      <protection locked="0"/>
    </dxf>
    <dxf>
      <font>
        <b val="0"/>
        <i val="0"/>
        <strike val="0"/>
        <u val="none"/>
        <sz val="10"/>
        <color theme="1"/>
        <name val="宋体"/>
        <charset val="134"/>
        <scheme val="none"/>
      </font>
    </dxf>
    <dxf>
      <font>
        <sz val="10"/>
        <color theme="7" tint="-0.499984740745262"/>
      </font>
      <numFmt numFmtId="14" formatCode="0.00%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auto="1"/>
      </font>
      <numFmt numFmtId="178" formatCode="0.00_ 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8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90133365886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6" formatCode="0.00_);[Red]\(0.00\)"/>
      <fill>
        <patternFill patternType="solid">
          <bgColor theme="6" tint="0.79989013336588644"/>
        </patternFill>
      </fill>
      <alignment horizontal="right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179" formatCode="0_);[Red]\(0\)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theme="7" tint="-0.499984740745262"/>
      </font>
      <numFmt numFmtId="35" formatCode="_ * #,##0.00_ ;_ * \-#,##0.00_ ;_ * &quot;-&quot;??_ ;_ @_ "/>
      <fill>
        <patternFill patternType="solid">
          <bgColor theme="6" tint="0.79989013336588644"/>
        </patternFill>
      </fill>
      <alignment horizontal="center" vertical="center"/>
      <border>
        <top style="thin">
          <color auto="1"/>
        </top>
        <bottom style="thin">
          <color auto="1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right style="thin">
          <color auto="1"/>
        </right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0" formatCode="General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8090C"/>
        <name val="宋体"/>
        <scheme val="none"/>
      </font>
      <numFmt numFmtId="176" formatCode="0.00_);[Red]\(0.00\)"/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left style="thin">
          <color auto="1"/>
        </left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4" formatCode="0.00%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auto="1"/>
        <name val="宋体"/>
        <scheme val="none"/>
      </font>
      <numFmt numFmtId="179" formatCode="0_);[Red]\(0\)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80" formatCode="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B1019"/>
        <name val="宋体"/>
        <scheme val="none"/>
      </font>
      <numFmt numFmtId="178" formatCode="0.00_ "/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rgb="FFFEF2CA"/>
        </patternFill>
      </fill>
      <alignment horizontal="center" vertical="center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90133365886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z val="10"/>
        <color rgb="FF000000"/>
        <name val="宋体"/>
        <scheme val="none"/>
      </font>
      <fill>
        <patternFill patternType="solid">
          <bgColor theme="6" tint="0.79989013336588644"/>
        </patternFill>
      </fill>
      <alignment horizontal="center" vertical="center" wrapText="1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  <dxf>
      <fill>
        <patternFill patternType="solid">
          <fgColor theme="7" tint="0.79995117038483843"/>
          <bgColor theme="7" tint="0.79995117038483843"/>
        </patternFill>
      </fill>
    </dxf>
    <dxf>
      <fill>
        <patternFill patternType="solid">
          <fgColor theme="7" tint="0.79995117038483843"/>
          <bgColor theme="7" tint="0.79995117038483843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 tint="-0.249977111117893"/>
      </font>
    </dxf>
    <dxf>
      <font>
        <b/>
        <color rgb="FF000000" tint="-0.249977111117893"/>
      </font>
    </dxf>
    <dxf>
      <font>
        <b/>
        <color rgb="FF000000" tint="-0.499984740745262"/>
      </font>
      <border>
        <top style="thin">
          <color rgb="FF000000"/>
        </top>
      </border>
    </dxf>
    <dxf>
      <font>
        <b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4" defaultTableStyle="TableStylePreset3_Accent1" defaultPivotStyle="PivotStylePreset2_Accent1">
    <tableStyle name="TableStylePreset1_Dark" pivot="0" count="7" xr9:uid="{28FDBD1A-FFE6-4757-B51A-567B165570C2}">
      <tableStyleElement type="wholeTable" dxfId="765"/>
      <tableStyleElement type="headerRow" dxfId="764"/>
      <tableStyleElement type="totalRow" dxfId="763"/>
      <tableStyleElement type="firstColumn" dxfId="762"/>
      <tableStyleElement type="lastColumn" dxfId="761"/>
      <tableStyleElement type="firstRowStripe" dxfId="760"/>
      <tableStyleElement type="firstColumnStripe" dxfId="759"/>
    </tableStyle>
    <tableStyle name="TableStylePreset1_Accent4" pivot="0" count="7" xr9:uid="{E1C7B2B3-B766-4CA6-BF19-1F9A17DF7709}">
      <tableStyleElement type="wholeTable" dxfId="758"/>
      <tableStyleElement type="headerRow" dxfId="757"/>
      <tableStyleElement type="totalRow" dxfId="756"/>
      <tableStyleElement type="firstColumn" dxfId="755"/>
      <tableStyleElement type="lastColumn" dxfId="754"/>
      <tableStyleElement type="firstRowStripe" dxfId="753"/>
      <tableStyleElement type="firstColumnStripe" dxfId="752"/>
    </tableStyle>
    <tableStyle name="TableStylePreset3_Accent1" pivot="0" count="7" xr9:uid="{59DB682C-5494-4EDE-A608-00C9E5F0F923}">
      <tableStyleElement type="wholeTable" dxfId="751"/>
      <tableStyleElement type="headerRow" dxfId="750"/>
      <tableStyleElement type="totalRow" dxfId="749"/>
      <tableStyleElement type="firstColumn" dxfId="748"/>
      <tableStyleElement type="lastColumn" dxfId="747"/>
      <tableStyleElement type="firstRowStripe" dxfId="746"/>
      <tableStyleElement type="firstColumnStripe" dxfId="745"/>
    </tableStyle>
    <tableStyle name="PivotStylePreset2_Accent1" table="0" count="10" xr9:uid="{267968C8-6FFD-4C36-ACC1-9EA1FD1885CA}">
      <tableStyleElement type="headerRow" dxfId="744"/>
      <tableStyleElement type="totalRow" dxfId="743"/>
      <tableStyleElement type="firstRowStripe" dxfId="742"/>
      <tableStyleElement type="firstColumnStripe" dxfId="741"/>
      <tableStyleElement type="firstSubtotalRow" dxfId="740"/>
      <tableStyleElement type="secondSubtotalRow" dxfId="739"/>
      <tableStyleElement type="firstRowSubheading" dxfId="738"/>
      <tableStyleElement type="secondRowSubheading" dxfId="737"/>
      <tableStyleElement type="pageFieldLabels" dxfId="736"/>
      <tableStyleElement type="pageFieldValues" dxfId="735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CVR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SL_访问量!$L$3</c:f>
              <c:strCache>
                <c:ptCount val="1"/>
                <c:pt idx="0">
                  <c:v>CVR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SL_访问量!$L$4:$L$49</c:f>
              <c:numCache>
                <c:formatCode>0.00%</c:formatCode>
                <c:ptCount val="46"/>
                <c:pt idx="0">
                  <c:v>6.2559241706161131E-2</c:v>
                </c:pt>
                <c:pt idx="1">
                  <c:v>6.5668202764976952E-2</c:v>
                </c:pt>
                <c:pt idx="2">
                  <c:v>7.1764705882352939E-2</c:v>
                </c:pt>
                <c:pt idx="3">
                  <c:v>6.1872604489870413E-2</c:v>
                </c:pt>
                <c:pt idx="4">
                  <c:v>6.6415762674341378E-2</c:v>
                </c:pt>
                <c:pt idx="5">
                  <c:v>7.4238082834071378E-2</c:v>
                </c:pt>
                <c:pt idx="6">
                  <c:v>8.5382513661202183E-2</c:v>
                </c:pt>
                <c:pt idx="7">
                  <c:v>9.1888466413181241E-2</c:v>
                </c:pt>
                <c:pt idx="8">
                  <c:v>6.3458588957055209E-2</c:v>
                </c:pt>
                <c:pt idx="9">
                  <c:v>5.9521194816604436E-2</c:v>
                </c:pt>
                <c:pt idx="10">
                  <c:v>6.3756953359007273E-2</c:v>
                </c:pt>
                <c:pt idx="11">
                  <c:v>6.8939005638134293E-2</c:v>
                </c:pt>
                <c:pt idx="12">
                  <c:v>5.5102040816326532E-2</c:v>
                </c:pt>
                <c:pt idx="13">
                  <c:v>5.8905299739357084E-2</c:v>
                </c:pt>
                <c:pt idx="14">
                  <c:v>6.1119671289162812E-2</c:v>
                </c:pt>
                <c:pt idx="15">
                  <c:v>5.6514168117777423E-2</c:v>
                </c:pt>
                <c:pt idx="16">
                  <c:v>6.3492063492063489E-2</c:v>
                </c:pt>
                <c:pt idx="17">
                  <c:v>5.6295802798134578E-2</c:v>
                </c:pt>
                <c:pt idx="18">
                  <c:v>5.8685812392695491E-2</c:v>
                </c:pt>
                <c:pt idx="19">
                  <c:v>8.8569441224205889E-2</c:v>
                </c:pt>
                <c:pt idx="20">
                  <c:v>8.0225577587775154E-2</c:v>
                </c:pt>
                <c:pt idx="21">
                  <c:v>6.6916103036408117E-2</c:v>
                </c:pt>
                <c:pt idx="22">
                  <c:v>6.2851631570487065E-2</c:v>
                </c:pt>
                <c:pt idx="23">
                  <c:v>7.3815243502948241E-2</c:v>
                </c:pt>
                <c:pt idx="24">
                  <c:v>6.0431166185707014E-2</c:v>
                </c:pt>
                <c:pt idx="25">
                  <c:v>6.5956367326230336E-2</c:v>
                </c:pt>
                <c:pt idx="26">
                  <c:v>7.0116054158607347E-2</c:v>
                </c:pt>
                <c:pt idx="27">
                  <c:v>7.3364581210515589E-2</c:v>
                </c:pt>
                <c:pt idx="28">
                  <c:v>6.348178137651822E-2</c:v>
                </c:pt>
                <c:pt idx="29">
                  <c:v>6.4320592692372447E-2</c:v>
                </c:pt>
                <c:pt idx="30">
                  <c:v>6.862404447533009E-2</c:v>
                </c:pt>
                <c:pt idx="31">
                  <c:v>6.5932174212428987E-2</c:v>
                </c:pt>
                <c:pt idx="32">
                  <c:v>6.4908374721698928E-2</c:v>
                </c:pt>
                <c:pt idx="33">
                  <c:v>6.8918223898508491E-2</c:v>
                </c:pt>
                <c:pt idx="34">
                  <c:v>6.7433914763531735E-2</c:v>
                </c:pt>
                <c:pt idx="35">
                  <c:v>8.6321155480033981E-2</c:v>
                </c:pt>
                <c:pt idx="36">
                  <c:v>7.6473829201101934E-2</c:v>
                </c:pt>
                <c:pt idx="37">
                  <c:v>6.1639645151422451E-2</c:v>
                </c:pt>
                <c:pt idx="38">
                  <c:v>6.8334578043315913E-2</c:v>
                </c:pt>
                <c:pt idx="39">
                  <c:v>8.0071527915756016E-2</c:v>
                </c:pt>
                <c:pt idx="40">
                  <c:v>7.9386385426653883E-2</c:v>
                </c:pt>
                <c:pt idx="41">
                  <c:v>8.5423345276258722E-2</c:v>
                </c:pt>
                <c:pt idx="42">
                  <c:v>9.7346821912578735E-2</c:v>
                </c:pt>
                <c:pt idx="43">
                  <c:v>7.1170282708744245E-2</c:v>
                </c:pt>
                <c:pt idx="44">
                  <c:v>8.5249801744647108E-2</c:v>
                </c:pt>
                <c:pt idx="45">
                  <c:v>9.2323439099283519E-2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8-46B4-ADD3-DDE9DE2849E0}"/>
            </c:ext>
          </c:extLst>
        </c:ser>
        <c:ser>
          <c:idx val="1"/>
          <c:order val="1"/>
          <c:tx>
            <c:strRef>
              <c:f>SL_访问量!$X$3</c:f>
              <c:strCache>
                <c:ptCount val="1"/>
                <c:pt idx="0">
                  <c:v>平均CVR</c:v>
                </c:pt>
              </c:strCache>
            </c:strRef>
          </c:tx>
          <c:spPr>
            <a:ln w="158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880848121687019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48-46B4-ADD3-DDE9DE2849E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48-46B4-ADD3-DDE9DE2849E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48-46B4-ADD3-DDE9DE2849E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48-46B4-ADD3-DDE9DE2849E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48-46B4-ADD3-DDE9DE2849E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48-46B4-ADD3-DDE9DE2849E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48-46B4-ADD3-DDE9DE2849E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48-46B4-ADD3-DDE9DE2849E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48-46B4-ADD3-DDE9DE2849E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C48-46B4-ADD3-DDE9DE2849E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C48-46B4-ADD3-DDE9DE2849E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C48-46B4-ADD3-DDE9DE2849E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C48-46B4-ADD3-DDE9DE2849E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C48-46B4-ADD3-DDE9DE2849E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C48-46B4-ADD3-DDE9DE2849E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C48-46B4-ADD3-DDE9DE2849E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C48-46B4-ADD3-DDE9DE2849E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C48-46B4-ADD3-DDE9DE2849E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C48-46B4-ADD3-DDE9DE2849E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C48-46B4-ADD3-DDE9DE2849E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C48-46B4-ADD3-DDE9DE2849E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C48-46B4-ADD3-DDE9DE2849E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C48-46B4-ADD3-DDE9DE2849E0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C48-46B4-ADD3-DDE9DE2849E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C48-46B4-ADD3-DDE9DE2849E0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C48-46B4-ADD3-DDE9DE2849E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C48-46B4-ADD3-DDE9DE2849E0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C48-46B4-ADD3-DDE9DE2849E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C48-46B4-ADD3-DDE9DE2849E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C48-46B4-ADD3-DDE9DE2849E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C48-46B4-ADD3-DDE9DE2849E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C48-46B4-ADD3-DDE9DE2849E0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C48-46B4-ADD3-DDE9DE2849E0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C48-46B4-ADD3-DDE9DE2849E0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C48-46B4-ADD3-DDE9DE2849E0}"/>
                </c:ext>
              </c:extLst>
            </c:dLbl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C48-46B4-ADD3-DDE9DE2849E0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C48-46B4-ADD3-DDE9DE2849E0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C48-46B4-ADD3-DDE9DE2849E0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C48-46B4-ADD3-DDE9DE2849E0}"/>
                </c:ext>
              </c:extLst>
            </c:dLbl>
            <c:dLbl>
              <c:idx val="3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C48-46B4-ADD3-DDE9DE2849E0}"/>
                </c:ext>
              </c:extLst>
            </c:dLbl>
            <c:dLbl>
              <c:idx val="4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C48-46B4-ADD3-DDE9DE2849E0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C48-46B4-ADD3-DDE9DE2849E0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C48-46B4-ADD3-DDE9DE2849E0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C48-46B4-ADD3-DDE9DE2849E0}"/>
                </c:ext>
              </c:extLst>
            </c:dLbl>
            <c:dLbl>
              <c:idx val="4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C48-46B4-ADD3-DDE9DE2849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SL_访问量!$B$4:$B$49</c:f>
              <c:strCache>
                <c:ptCount val="46"/>
                <c:pt idx="0">
                  <c:v>2024W45</c:v>
                </c:pt>
                <c:pt idx="1">
                  <c:v>2024W46</c:v>
                </c:pt>
                <c:pt idx="2">
                  <c:v>2024W47</c:v>
                </c:pt>
                <c:pt idx="3">
                  <c:v>2024W48</c:v>
                </c:pt>
                <c:pt idx="4">
                  <c:v>2024W49</c:v>
                </c:pt>
                <c:pt idx="5">
                  <c:v>2024W50</c:v>
                </c:pt>
                <c:pt idx="6">
                  <c:v>2024W51</c:v>
                </c:pt>
                <c:pt idx="7">
                  <c:v>2024W52</c:v>
                </c:pt>
                <c:pt idx="8">
                  <c:v>2025W01</c:v>
                </c:pt>
                <c:pt idx="9">
                  <c:v>2025W02</c:v>
                </c:pt>
                <c:pt idx="10">
                  <c:v>2025W03</c:v>
                </c:pt>
                <c:pt idx="11">
                  <c:v>2025W04</c:v>
                </c:pt>
                <c:pt idx="12">
                  <c:v>2025W05</c:v>
                </c:pt>
                <c:pt idx="13">
                  <c:v>2025W06</c:v>
                </c:pt>
                <c:pt idx="14">
                  <c:v>2025W07</c:v>
                </c:pt>
                <c:pt idx="15">
                  <c:v>2025W08</c:v>
                </c:pt>
                <c:pt idx="16">
                  <c:v>2025W09</c:v>
                </c:pt>
                <c:pt idx="17">
                  <c:v>2025W10</c:v>
                </c:pt>
                <c:pt idx="18">
                  <c:v>2025W11</c:v>
                </c:pt>
                <c:pt idx="19">
                  <c:v>2025W12</c:v>
                </c:pt>
                <c:pt idx="20">
                  <c:v>2025W13</c:v>
                </c:pt>
                <c:pt idx="21">
                  <c:v>2025W14</c:v>
                </c:pt>
                <c:pt idx="22">
                  <c:v>2025W15</c:v>
                </c:pt>
                <c:pt idx="23">
                  <c:v>2025W16</c:v>
                </c:pt>
                <c:pt idx="24">
                  <c:v>2025W17</c:v>
                </c:pt>
                <c:pt idx="25">
                  <c:v>2025W18</c:v>
                </c:pt>
                <c:pt idx="26">
                  <c:v>2025W19</c:v>
                </c:pt>
                <c:pt idx="27">
                  <c:v>2025W20</c:v>
                </c:pt>
                <c:pt idx="28">
                  <c:v>2025W21</c:v>
                </c:pt>
                <c:pt idx="29">
                  <c:v>2025W22</c:v>
                </c:pt>
                <c:pt idx="30">
                  <c:v>2025W23</c:v>
                </c:pt>
                <c:pt idx="31">
                  <c:v>2025W24</c:v>
                </c:pt>
                <c:pt idx="32">
                  <c:v>2025W25</c:v>
                </c:pt>
                <c:pt idx="33">
                  <c:v>2025W26</c:v>
                </c:pt>
                <c:pt idx="34">
                  <c:v>2025W27</c:v>
                </c:pt>
                <c:pt idx="35">
                  <c:v>PD2025 
4 Days</c:v>
                </c:pt>
                <c:pt idx="36">
                  <c:v>2025W28</c:v>
                </c:pt>
                <c:pt idx="37">
                  <c:v>2025W29</c:v>
                </c:pt>
                <c:pt idx="38">
                  <c:v>2025W30</c:v>
                </c:pt>
                <c:pt idx="39">
                  <c:v>2025W31</c:v>
                </c:pt>
                <c:pt idx="40">
                  <c:v>2025W32</c:v>
                </c:pt>
                <c:pt idx="41">
                  <c:v>2025W33</c:v>
                </c:pt>
                <c:pt idx="42">
                  <c:v>2025W34</c:v>
                </c:pt>
                <c:pt idx="43">
                  <c:v>2025W35</c:v>
                </c:pt>
                <c:pt idx="44">
                  <c:v>2025W36</c:v>
                </c:pt>
                <c:pt idx="45">
                  <c:v>2025W37</c:v>
                </c:pt>
              </c:strCache>
            </c:strRef>
          </c:cat>
          <c:val>
            <c:numRef>
              <c:f>SL_访问量!$X$4:$X$48</c:f>
              <c:numCache>
                <c:formatCode>0.00%</c:formatCode>
                <c:ptCount val="45"/>
                <c:pt idx="0">
                  <c:v>7.3389933044182634E-2</c:v>
                </c:pt>
                <c:pt idx="1">
                  <c:v>7.3389933044182634E-2</c:v>
                </c:pt>
                <c:pt idx="2">
                  <c:v>7.3389933044182634E-2</c:v>
                </c:pt>
                <c:pt idx="3">
                  <c:v>7.3389933044182634E-2</c:v>
                </c:pt>
                <c:pt idx="4">
                  <c:v>7.3389933044182634E-2</c:v>
                </c:pt>
                <c:pt idx="5">
                  <c:v>7.3389933044182634E-2</c:v>
                </c:pt>
                <c:pt idx="6">
                  <c:v>7.3389933044182634E-2</c:v>
                </c:pt>
                <c:pt idx="7">
                  <c:v>7.3389933044182634E-2</c:v>
                </c:pt>
                <c:pt idx="8">
                  <c:v>7.3389933044182634E-2</c:v>
                </c:pt>
                <c:pt idx="9">
                  <c:v>7.3389933044182634E-2</c:v>
                </c:pt>
                <c:pt idx="10">
                  <c:v>7.3389933044182634E-2</c:v>
                </c:pt>
                <c:pt idx="11">
                  <c:v>7.3389933044182634E-2</c:v>
                </c:pt>
                <c:pt idx="12">
                  <c:v>7.3389933044182634E-2</c:v>
                </c:pt>
                <c:pt idx="13">
                  <c:v>7.3389933044182634E-2</c:v>
                </c:pt>
                <c:pt idx="14">
                  <c:v>7.3389933044182634E-2</c:v>
                </c:pt>
                <c:pt idx="15">
                  <c:v>7.3389933044182634E-2</c:v>
                </c:pt>
                <c:pt idx="16">
                  <c:v>7.3389933044182634E-2</c:v>
                </c:pt>
                <c:pt idx="17">
                  <c:v>7.3389933044182634E-2</c:v>
                </c:pt>
                <c:pt idx="18">
                  <c:v>7.3389933044182634E-2</c:v>
                </c:pt>
                <c:pt idx="19">
                  <c:v>7.3389933044182634E-2</c:v>
                </c:pt>
                <c:pt idx="20">
                  <c:v>7.3389933044182634E-2</c:v>
                </c:pt>
                <c:pt idx="21">
                  <c:v>7.3389933044182634E-2</c:v>
                </c:pt>
                <c:pt idx="22">
                  <c:v>7.3389933044182634E-2</c:v>
                </c:pt>
                <c:pt idx="23">
                  <c:v>7.3389933044182634E-2</c:v>
                </c:pt>
                <c:pt idx="24">
                  <c:v>7.3389933044182634E-2</c:v>
                </c:pt>
                <c:pt idx="25">
                  <c:v>7.3389933044182634E-2</c:v>
                </c:pt>
                <c:pt idx="26">
                  <c:v>7.3389933044182634E-2</c:v>
                </c:pt>
                <c:pt idx="27">
                  <c:v>7.3389933044182634E-2</c:v>
                </c:pt>
                <c:pt idx="28">
                  <c:v>7.3389933044182634E-2</c:v>
                </c:pt>
                <c:pt idx="29">
                  <c:v>7.3389933044182634E-2</c:v>
                </c:pt>
                <c:pt idx="30">
                  <c:v>7.3389933044182634E-2</c:v>
                </c:pt>
                <c:pt idx="31">
                  <c:v>7.3389933044182634E-2</c:v>
                </c:pt>
                <c:pt idx="32">
                  <c:v>7.3389933044182634E-2</c:v>
                </c:pt>
                <c:pt idx="33">
                  <c:v>7.3389933044182634E-2</c:v>
                </c:pt>
                <c:pt idx="34">
                  <c:v>7.3389933044182634E-2</c:v>
                </c:pt>
                <c:pt idx="35">
                  <c:v>7.3389933044182634E-2</c:v>
                </c:pt>
                <c:pt idx="36">
                  <c:v>7.3389933044182634E-2</c:v>
                </c:pt>
                <c:pt idx="37">
                  <c:v>7.3389933044182634E-2</c:v>
                </c:pt>
                <c:pt idx="38">
                  <c:v>7.3389933044182634E-2</c:v>
                </c:pt>
                <c:pt idx="39">
                  <c:v>7.3389933044182634E-2</c:v>
                </c:pt>
                <c:pt idx="40">
                  <c:v>7.3389933044182634E-2</c:v>
                </c:pt>
                <c:pt idx="41">
                  <c:v>7.3389933044182634E-2</c:v>
                </c:pt>
                <c:pt idx="42">
                  <c:v>7.3389933044182634E-2</c:v>
                </c:pt>
                <c:pt idx="43">
                  <c:v>7.3389933044182634E-2</c:v>
                </c:pt>
                <c:pt idx="44">
                  <c:v>7.3389933044182634E-2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C48-46B4-ADD3-DDE9DE2849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97109795"/>
        <c:axId val="58592345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>
                    <a:outerShdw blurRad="50800" dist="25400" dir="5400000" algn="t" rotWithShape="0">
                      <a:schemeClr val="accent3">
                        <a:lumMod val="50000"/>
                        <a:alpha val="30000"/>
                      </a:scheme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0" vertOverflow="ellipsis" vert="horz" wrap="square" lIns="38100" tIns="19050" rIns="38100" bIns="19050" anchor="ctr" anchorCtr="1"/>
                    <a:lstStyle/>
                    <a:p>
                      <a:pPr>
                        <a:defRPr lang="zh-CN" sz="10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SL_访问量!$B$4:$B$49</c15:sqref>
                        </c15:formulaRef>
                      </c:ext>
                    </c:extLst>
                    <c:strCache>
                      <c:ptCount val="46"/>
                      <c:pt idx="0">
                        <c:v>2024W45</c:v>
                      </c:pt>
                      <c:pt idx="1">
                        <c:v>2024W46</c:v>
                      </c:pt>
                      <c:pt idx="2">
                        <c:v>2024W47</c:v>
                      </c:pt>
                      <c:pt idx="3">
                        <c:v>2024W48</c:v>
                      </c:pt>
                      <c:pt idx="4">
                        <c:v>2024W49</c:v>
                      </c:pt>
                      <c:pt idx="5">
                        <c:v>2024W50</c:v>
                      </c:pt>
                      <c:pt idx="6">
                        <c:v>2024W51</c:v>
                      </c:pt>
                      <c:pt idx="7">
                        <c:v>2024W52</c:v>
                      </c:pt>
                      <c:pt idx="8">
                        <c:v>2025W01</c:v>
                      </c:pt>
                      <c:pt idx="9">
                        <c:v>2025W02</c:v>
                      </c:pt>
                      <c:pt idx="10">
                        <c:v>2025W03</c:v>
                      </c:pt>
                      <c:pt idx="11">
                        <c:v>2025W04</c:v>
                      </c:pt>
                      <c:pt idx="12">
                        <c:v>2025W05</c:v>
                      </c:pt>
                      <c:pt idx="13">
                        <c:v>2025W06</c:v>
                      </c:pt>
                      <c:pt idx="14">
                        <c:v>2025W07</c:v>
                      </c:pt>
                      <c:pt idx="15">
                        <c:v>2025W08</c:v>
                      </c:pt>
                      <c:pt idx="16">
                        <c:v>2025W09</c:v>
                      </c:pt>
                      <c:pt idx="17">
                        <c:v>2025W10</c:v>
                      </c:pt>
                      <c:pt idx="18">
                        <c:v>2025W11</c:v>
                      </c:pt>
                      <c:pt idx="19">
                        <c:v>2025W12</c:v>
                      </c:pt>
                      <c:pt idx="20">
                        <c:v>2025W13</c:v>
                      </c:pt>
                      <c:pt idx="21">
                        <c:v>2025W14</c:v>
                      </c:pt>
                      <c:pt idx="22">
                        <c:v>2025W15</c:v>
                      </c:pt>
                      <c:pt idx="23">
                        <c:v>2025W16</c:v>
                      </c:pt>
                      <c:pt idx="24">
                        <c:v>2025W17</c:v>
                      </c:pt>
                      <c:pt idx="25">
                        <c:v>2025W18</c:v>
                      </c:pt>
                      <c:pt idx="26">
                        <c:v>2025W19</c:v>
                      </c:pt>
                      <c:pt idx="27">
                        <c:v>2025W20</c:v>
                      </c:pt>
                      <c:pt idx="28">
                        <c:v>2025W21</c:v>
                      </c:pt>
                      <c:pt idx="29">
                        <c:v>2025W22</c:v>
                      </c:pt>
                      <c:pt idx="30">
                        <c:v>2025W23</c:v>
                      </c:pt>
                      <c:pt idx="31">
                        <c:v>2025W24</c:v>
                      </c:pt>
                      <c:pt idx="32">
                        <c:v>2025W25</c:v>
                      </c:pt>
                      <c:pt idx="33">
                        <c:v>2025W26</c:v>
                      </c:pt>
                      <c:pt idx="34">
                        <c:v>2025W27</c:v>
                      </c:pt>
                      <c:pt idx="35">
                        <c:v>PD2025 
4 Days</c:v>
                      </c:pt>
                      <c:pt idx="36">
                        <c:v>2025W28</c:v>
                      </c:pt>
                      <c:pt idx="37">
                        <c:v>2025W29</c:v>
                      </c:pt>
                      <c:pt idx="38">
                        <c:v>2025W30</c:v>
                      </c:pt>
                      <c:pt idx="39">
                        <c:v>2025W31</c:v>
                      </c:pt>
                      <c:pt idx="40">
                        <c:v>2025W32</c:v>
                      </c:pt>
                      <c:pt idx="41">
                        <c:v>2025W33</c:v>
                      </c:pt>
                      <c:pt idx="42">
                        <c:v>2025W34</c:v>
                      </c:pt>
                      <c:pt idx="43">
                        <c:v>2025W35</c:v>
                      </c:pt>
                      <c:pt idx="44">
                        <c:v>2025W36</c:v>
                      </c:pt>
                      <c:pt idx="45">
                        <c:v>2025W37</c:v>
                      </c:pt>
                    </c:strCache>
                  </c:strRef>
                </c:cat>
                <c:val>
                  <c:numLit>
                    <c:formatCode>General</c:formatCode>
                    <c:ptCount val="4"/>
                    <c:pt idx="0">
                      <c:v>2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5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2F-8C48-46B4-ADD3-DDE9DE2849E0}"/>
                  </c:ext>
                </c:extLst>
              </c15:ser>
            </c15:filteredLineSeries>
          </c:ext>
        </c:extLst>
      </c:lineChart>
      <c:catAx>
        <c:axId val="5971097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5923452"/>
        <c:crosses val="autoZero"/>
        <c:auto val="1"/>
        <c:lblAlgn val="ctr"/>
        <c:lblOffset val="100"/>
        <c:noMultiLvlLbl val="0"/>
      </c:catAx>
      <c:valAx>
        <c:axId val="585923452"/>
        <c:scaling>
          <c:orientation val="minMax"/>
          <c:min val="4.4999999999999998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71097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4d40ea6-bb5c-4283-9680-f9435bf8992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391160</xdr:colOff>
      <xdr:row>75</xdr:row>
      <xdr:rowOff>241300</xdr:rowOff>
    </xdr:from>
    <xdr:to>
      <xdr:col>24</xdr:col>
      <xdr:colOff>425450</xdr:colOff>
      <xdr:row>92</xdr:row>
      <xdr:rowOff>362585</xdr:rowOff>
    </xdr:to>
    <xdr:graphicFrame macro="">
      <xdr:nvGraphicFramePr>
        <xdr:cNvPr id="2" name="图表 1" descr="7b0a202020202263686172745265734964223a20223230343736313638220a7d0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0000000}" name="表22" displayName="表22" ref="A3:BI78" totalsRowCount="1">
  <autoFilter ref="A3:BI77" xr:uid="{00000000-0009-0000-0100-000016000000}"/>
  <tableColumns count="61">
    <tableColumn id="1" xr3:uid="{00000000-0010-0000-0000-000001000000}" name="日期" totalsRowLabel="汇总" dataDxfId="692" totalsRowDxfId="400"/>
    <tableColumn id="2" xr3:uid="{00000000-0010-0000-0000-000002000000}" name="周数" dataDxfId="691" totalsRowDxfId="399"/>
    <tableColumn id="3" xr3:uid="{00000000-0010-0000-0000-000003000000}" name="销量" totalsRowFunction="sum" dataDxfId="690" totalsRowDxfId="398"/>
    <tableColumn id="4" xr3:uid="{00000000-0010-0000-0000-000004000000}" name="订单量" totalsRowFunction="sum" dataDxfId="689" totalsRowDxfId="397"/>
    <tableColumn id="5" xr3:uid="{00000000-0010-0000-0000-000005000000}" name="销售额" totalsRowFunction="sum" dataDxfId="688" totalsRowDxfId="396"/>
    <tableColumn id="6" xr3:uid="{00000000-0010-0000-0000-000006000000}" name="促销销量" totalsRowFunction="sum" dataDxfId="687" totalsRowDxfId="395"/>
    <tableColumn id="7" xr3:uid="{00000000-0010-0000-0000-000007000000}" name="促销订单量" totalsRowFunction="sum" dataDxfId="686" totalsRowDxfId="394"/>
    <tableColumn id="8" xr3:uid="{00000000-0010-0000-0000-000008000000}" name="促销销售额" totalsRowFunction="sum" dataDxfId="685" totalsRowDxfId="393"/>
    <tableColumn id="9" xr3:uid="{00000000-0010-0000-0000-000009000000}" name="促销折扣" totalsRowFunction="sum" dataDxfId="684" totalsRowDxfId="392"/>
    <tableColumn id="10" xr3:uid="{00000000-0010-0000-0000-00000A000000}" name="退款量" totalsRowFunction="sum" dataDxfId="683" totalsRowDxfId="391"/>
    <tableColumn id="11" xr3:uid="{00000000-0010-0000-0000-00000B000000}" name="退款率" totalsRowFunction="custom" dataDxfId="682" totalsRowDxfId="390">
      <calculatedColumnFormula>J4/C4</calculatedColumnFormula>
      <totalsRowFormula>J78/C78</totalsRowFormula>
    </tableColumn>
    <tableColumn id="12" xr3:uid="{00000000-0010-0000-0000-00000C000000}" name="退款金额" totalsRowFunction="sum" dataDxfId="681" totalsRowDxfId="389"/>
    <tableColumn id="13" xr3:uid="{00000000-0010-0000-0000-00000D000000}" name="销量环比" dataDxfId="680" totalsRowDxfId="388">
      <calculatedColumnFormula>(C4-C3)/C3</calculatedColumnFormula>
    </tableColumn>
    <tableColumn id="14" xr3:uid="{00000000-0010-0000-0000-00000E000000}" name="订单环比" dataDxfId="679" totalsRowDxfId="387">
      <calculatedColumnFormula>(D4-D3)/D3</calculatedColumnFormula>
    </tableColumn>
    <tableColumn id="15" xr3:uid="{00000000-0010-0000-0000-00000F000000}" name="销售额环比" dataDxfId="678" totalsRowDxfId="386">
      <calculatedColumnFormula>(E4-E3)/E3</calculatedColumnFormula>
    </tableColumn>
    <tableColumn id="16" xr3:uid="{00000000-0010-0000-0000-000010000000}" name="客单_x000a_销量" totalsRowFunction="custom" dataDxfId="677" totalsRowDxfId="385">
      <calculatedColumnFormula>C4/D4</calculatedColumnFormula>
      <totalsRowFormula>C78/D78</totalsRowFormula>
    </tableColumn>
    <tableColumn id="17" xr3:uid="{00000000-0010-0000-0000-000011000000}" name="客单_x000a_价格($)" totalsRowFunction="custom" dataDxfId="676" totalsRowDxfId="384">
      <calculatedColumnFormula>E4/D4</calculatedColumnFormula>
      <totalsRowFormula>E78/D78</totalsRowFormula>
    </tableColumn>
    <tableColumn id="18" xr3:uid="{00000000-0010-0000-0000-000012000000}" name="销售_x000a_均价($)" totalsRowFunction="custom" dataDxfId="675" totalsRowDxfId="383">
      <calculatedColumnFormula>E4/C4</calculatedColumnFormula>
      <totalsRowFormula>E78/C78</totalsRowFormula>
    </tableColumn>
    <tableColumn id="19" xr3:uid="{00000000-0010-0000-0000-000013000000}" name="日均_x000a_销量" totalsRowFunction="custom" dataDxfId="674" totalsRowDxfId="382">
      <calculatedColumnFormula>C4/7</calculatedColumnFormula>
      <totalsRowFormula>C78/7</totalsRowFormula>
    </tableColumn>
    <tableColumn id="20" xr3:uid="{00000000-0010-0000-0000-000014000000}" name="自然_x000a_订单" totalsRowFunction="custom" dataDxfId="673" totalsRowDxfId="381">
      <calculatedColumnFormula>D4-Y4</calculatedColumnFormula>
      <totalsRowFormula>D78-Y78</totalsRowFormula>
    </tableColumn>
    <tableColumn id="21" xr3:uid="{00000000-0010-0000-0000-000015000000}" name="自然单_x000a_占比(%)" totalsRowFunction="custom" dataDxfId="672" totalsRowDxfId="380">
      <calculatedColumnFormula>T4/D4</calculatedColumnFormula>
      <totalsRowFormula>T78/D78</totalsRowFormula>
    </tableColumn>
    <tableColumn id="22" xr3:uid="{00000000-0010-0000-0000-000016000000}" name="TAcos_x000a_(%)" totalsRowFunction="custom" dataDxfId="671" totalsRowDxfId="379">
      <calculatedColumnFormula>Z4/(E4-I4)</calculatedColumnFormula>
      <totalsRowFormula>Z78/(E78-I78)</totalsRowFormula>
    </tableColumn>
    <tableColumn id="23" xr3:uid="{00000000-0010-0000-0000-000017000000}" name="展示" totalsRowFunction="sum" dataDxfId="670" totalsRowDxfId="378"/>
    <tableColumn id="24" xr3:uid="{00000000-0010-0000-0000-000018000000}" name="点击" totalsRowFunction="sum" dataDxfId="669" totalsRowDxfId="377"/>
    <tableColumn id="25" xr3:uid="{00000000-0010-0000-0000-000019000000}" name="广告订单量" totalsRowFunction="sum" dataDxfId="668" totalsRowDxfId="376"/>
    <tableColumn id="26" xr3:uid="{00000000-0010-0000-0000-00001A000000}" name="广告花费" totalsRowFunction="sum" dataDxfId="667" totalsRowDxfId="375"/>
    <tableColumn id="27" xr3:uid="{00000000-0010-0000-0000-00001B000000}" name="广告销售额" totalsRowFunction="sum" dataDxfId="666" totalsRowDxfId="374"/>
    <tableColumn id="28" xr3:uid="{00000000-0010-0000-0000-00001C000000}" name="CPC" totalsRowFunction="average" dataDxfId="665" totalsRowDxfId="373"/>
    <tableColumn id="29" xr3:uid="{00000000-0010-0000-0000-00001D000000}" name="Acos(%)" totalsRowFunction="custom" dataDxfId="664" totalsRowDxfId="372">
      <calculatedColumnFormula>Z4/AA4</calculatedColumnFormula>
      <totalsRowFormula>Z78/AA78</totalsRowFormula>
    </tableColumn>
    <tableColumn id="30" xr3:uid="{00000000-0010-0000-0000-00001E000000}" name="CTR(%)" totalsRowFunction="custom" dataDxfId="663" totalsRowDxfId="371">
      <calculatedColumnFormula>X4/W4</calculatedColumnFormula>
      <totalsRowFormula>X78/W78</totalsRowFormula>
    </tableColumn>
    <tableColumn id="31" xr3:uid="{00000000-0010-0000-0000-00001F000000}" name="CVR(%)" totalsRowFunction="custom" dataDxfId="662" totalsRowDxfId="370">
      <calculatedColumnFormula>Y4/X4</calculatedColumnFormula>
      <totalsRowFormula>Y78/X78</totalsRowFormula>
    </tableColumn>
    <tableColumn id="32" xr3:uid="{00000000-0010-0000-0000-000020000000}" name="CPS(%)" totalsRowFunction="custom" dataDxfId="661" totalsRowDxfId="369">
      <calculatedColumnFormula>Z4/Y4</calculatedColumnFormula>
      <totalsRowFormula>Z78/Y78</totalsRowFormula>
    </tableColumn>
    <tableColumn id="33" xr3:uid="{00000000-0010-0000-0000-000021000000}" name="3.6FT" totalsRowFunction="sum" totalsRowDxfId="368"/>
    <tableColumn id="34" xr3:uid="{00000000-0010-0000-0000-000022000000}" name="5.0FT" totalsRowFunction="sum" totalsRowDxfId="367"/>
    <tableColumn id="35" xr3:uid="{00000000-0010-0000-0000-000023000000}" name="5.5FT" totalsRowFunction="sum" totalsRowDxfId="366"/>
    <tableColumn id="36" xr3:uid="{00000000-0010-0000-0000-000024000000}" name="产品成本" totalsRowFunction="sum" dataDxfId="660" totalsRowDxfId="365">
      <calculatedColumnFormula>AG4*产品成本!$D$2+AH4*产品成本!$D$3+AI4*产品成本!$D$4</calculatedColumnFormula>
    </tableColumn>
    <tableColumn id="37" xr3:uid="{00000000-0010-0000-0000-000025000000}" name="头程" totalsRowFunction="sum" dataDxfId="659" totalsRowDxfId="364">
      <calculatedColumnFormula>AG4*产品成本!$E$2+AH4*产品成本!$E$3+AI4*产品成本!$E$4</calculatedColumnFormula>
    </tableColumn>
    <tableColumn id="38" xr3:uid="{00000000-0010-0000-0000-000026000000}" name="入仓费" totalsRowFunction="sum" dataDxfId="658" totalsRowDxfId="363">
      <calculatedColumnFormula>AG4*产品成本!$F$2+AH4*产品成本!$F$3+AI4*产品成本!$F$4</calculatedColumnFormula>
    </tableColumn>
    <tableColumn id="39" xr3:uid="{00000000-0010-0000-0000-000027000000}" name="FBA物流" totalsRowFunction="sum" dataDxfId="657" totalsRowDxfId="362">
      <calculatedColumnFormula>AG4*产品成本!$G$2+AH4*产品成本!$G$3+AI4*产品成本!$G$4</calculatedColumnFormula>
    </tableColumn>
    <tableColumn id="40" xr3:uid="{00000000-0010-0000-0000-000028000000}" name="佣金" totalsRowFunction="sum" dataDxfId="656" totalsRowDxfId="361">
      <calculatedColumnFormula>(E4-I4)*0.15</calculatedColumnFormula>
    </tableColumn>
    <tableColumn id="41" xr3:uid="{00000000-0010-0000-0000-000029000000}" name="成本小结" totalsRowFunction="sum" dataDxfId="655" totalsRowDxfId="360">
      <calculatedColumnFormula>SUM(AJ4:AN4)</calculatedColumnFormula>
    </tableColumn>
    <tableColumn id="42" xr3:uid="{00000000-0010-0000-0000-00002A000000}" name="退款3.6FT" totalsRowFunction="sum" dataDxfId="654" totalsRowDxfId="359"/>
    <tableColumn id="43" xr3:uid="{00000000-0010-0000-0000-00002B000000}" name="退款5.0FT" totalsRowFunction="sum" dataDxfId="653" totalsRowDxfId="358"/>
    <tableColumn id="44" xr3:uid="{00000000-0010-0000-0000-00002C000000}" name="退款5.5FT" totalsRowFunction="sum" dataDxfId="652" totalsRowDxfId="357"/>
    <tableColumn id="45" xr3:uid="{00000000-0010-0000-0000-00002D000000}" name="退款_x000a_销售金额" totalsRowFunction="sum" dataDxfId="651" totalsRowDxfId="356">
      <calculatedColumnFormula>L4/(1-0.15+0.15*0.2)</calculatedColumnFormula>
    </tableColumn>
    <tableColumn id="46" xr3:uid="{00000000-0010-0000-0000-00002E000000}" name="退款_x000a_产品成本" totalsRowFunction="sum" dataDxfId="650" totalsRowDxfId="355">
      <calculatedColumnFormula>AP4*产品成本!$D$2+AQ4*产品成本!$D$3+AR4*产品成本!$D$4</calculatedColumnFormula>
    </tableColumn>
    <tableColumn id="47" xr3:uid="{00000000-0010-0000-0000-00002F000000}" name="退款头程" totalsRowFunction="sum" dataDxfId="649" totalsRowDxfId="354">
      <calculatedColumnFormula>AP4*产品成本!$E$2+AQ4*产品成本!$E$3+AR4*产品成本!$E$4</calculatedColumnFormula>
    </tableColumn>
    <tableColumn id="48" xr3:uid="{00000000-0010-0000-0000-000030000000}" name="退款_x000a_入仓费" totalsRowFunction="sum" dataDxfId="648" totalsRowDxfId="353">
      <calculatedColumnFormula>AP4*产品成本!$F$2+AQ4*产品成本!$F$3+AR4*产品成本!$F$4</calculatedColumnFormula>
    </tableColumn>
    <tableColumn id="49" xr3:uid="{00000000-0010-0000-0000-000031000000}" name="退款_x000a_FBA物流" dataDxfId="647" totalsRowDxfId="352"/>
    <tableColumn id="50" xr3:uid="{00000000-0010-0000-0000-000032000000}" name="退款佣金" totalsRowFunction="sum" dataDxfId="646" totalsRowDxfId="351">
      <calculatedColumnFormula>AS4*0.15</calculatedColumnFormula>
    </tableColumn>
    <tableColumn id="51" xr3:uid="{00000000-0010-0000-0000-000033000000}" name="退款_x000a_管理费用_x000a_佣金的20%" totalsRowFunction="sum" dataDxfId="645" totalsRowDxfId="350">
      <calculatedColumnFormula>-AX4*0.2</calculatedColumnFormula>
    </tableColumn>
    <tableColumn id="52" xr3:uid="{00000000-0010-0000-0000-000034000000}" name="退款_x000a_成本小结" totalsRowFunction="sum" dataDxfId="644" totalsRowDxfId="349">
      <calculatedColumnFormula>SUM(AT4:AY4)</calculatedColumnFormula>
    </tableColumn>
    <tableColumn id="53" xr3:uid="{00000000-0010-0000-0000-000035000000}" name="净成本" totalsRowFunction="sum" dataDxfId="643" totalsRowDxfId="348">
      <calculatedColumnFormula>AO4-AZ4</calculatedColumnFormula>
    </tableColumn>
    <tableColumn id="54" xr3:uid="{00000000-0010-0000-0000-000036000000}" name="净销售额" totalsRowFunction="sum" dataDxfId="642" totalsRowDxfId="347">
      <calculatedColumnFormula>E4-I4</calculatedColumnFormula>
    </tableColumn>
    <tableColumn id="55" xr3:uid="{00000000-0010-0000-0000-000037000000}" name="净销售额_x000a_(-退款金额)" totalsRowFunction="sum" dataDxfId="641" totalsRowDxfId="346">
      <calculatedColumnFormula>E4-AS4-I4</calculatedColumnFormula>
    </tableColumn>
    <tableColumn id="56" xr3:uid="{00000000-0010-0000-0000-000038000000}" name="毛利" totalsRowFunction="sum" dataDxfId="640" totalsRowDxfId="345">
      <calculatedColumnFormula>BC4-BA4-Z4</calculatedColumnFormula>
    </tableColumn>
    <tableColumn id="57" xr3:uid="{00000000-0010-0000-0000-000039000000}" name="毛利率" totalsRowFunction="custom" dataDxfId="639" totalsRowDxfId="344">
      <calculatedColumnFormula>BD4/BC4</calculatedColumnFormula>
      <totalsRowFormula>BD78/BC78</totalsRowFormula>
    </tableColumn>
    <tableColumn id="58" xr3:uid="{00000000-0010-0000-0000-00003A000000}" name="BSR" totalsRowDxfId="343"/>
    <tableColumn id="59" xr3:uid="{00000000-0010-0000-0000-00003B000000}" name="备注" totalsRowDxfId="342"/>
    <tableColumn id="60" xr3:uid="{00000000-0010-0000-0000-00003C000000}" name="促销" dataDxfId="638" totalsRowDxfId="341"/>
    <tableColumn id="61" xr3:uid="{00000000-0010-0000-0000-00003D000000}" name="备用" totalsRowFunction="count" totalsRowDxfId="340"/>
  </tableColumns>
  <tableStyleInfo name="TableStylePreset1_Accen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表3_38" displayName="表3_38" ref="A3:BK78" totalsRowCount="1">
  <tableColumns count="63">
    <tableColumn id="1" xr3:uid="{00000000-0010-0000-0100-000001000000}" name="日期" totalsRowLabel="汇总" totalsRowDxfId="339"/>
    <tableColumn id="2" xr3:uid="{00000000-0010-0000-0100-000002000000}" name="周数" totalsRowDxfId="338"/>
    <tableColumn id="3" xr3:uid="{00000000-0010-0000-0100-000003000000}" name="销量" totalsRowFunction="sum" dataDxfId="637" totalsRowDxfId="337"/>
    <tableColumn id="4" xr3:uid="{00000000-0010-0000-0100-000004000000}" name="订单量" totalsRowFunction="sum" dataDxfId="636" totalsRowDxfId="336"/>
    <tableColumn id="5" xr3:uid="{00000000-0010-0000-0100-000005000000}" name="销售额" totalsRowFunction="sum" dataDxfId="635" totalsRowDxfId="335"/>
    <tableColumn id="54" xr3:uid="{00000000-0010-0000-0100-000036000000}" name="促销销量" totalsRowFunction="sum" dataDxfId="634" totalsRowDxfId="334"/>
    <tableColumn id="55" xr3:uid="{00000000-0010-0000-0100-000037000000}" name="促销订单量" totalsRowFunction="sum" dataDxfId="633" totalsRowDxfId="333"/>
    <tableColumn id="56" xr3:uid="{00000000-0010-0000-0100-000038000000}" name="促销销售额" totalsRowFunction="sum" totalsRowDxfId="332"/>
    <tableColumn id="57" xr3:uid="{00000000-0010-0000-0100-000039000000}" name="促销折扣" totalsRowFunction="sum" totalsRowDxfId="331"/>
    <tableColumn id="6" xr3:uid="{00000000-0010-0000-0100-000006000000}" name="退款量" totalsRowFunction="sum" dataDxfId="632" totalsRowDxfId="330"/>
    <tableColumn id="7" xr3:uid="{00000000-0010-0000-0100-000007000000}" name="退款率" totalsRowFunction="custom" dataDxfId="631" totalsRowDxfId="329">
      <calculatedColumnFormula>J4/C4</calculatedColumnFormula>
      <totalsRowFormula>J78/C78</totalsRowFormula>
    </tableColumn>
    <tableColumn id="8" xr3:uid="{00000000-0010-0000-0100-000008000000}" name="退款金额" totalsRowFunction="sum" dataDxfId="630" totalsRowDxfId="328"/>
    <tableColumn id="9" xr3:uid="{00000000-0010-0000-0100-000009000000}" name="销量环比" dataDxfId="629" totalsRowDxfId="327">
      <calculatedColumnFormula>(C4-C3)/C3</calculatedColumnFormula>
    </tableColumn>
    <tableColumn id="10" xr3:uid="{00000000-0010-0000-0100-00000A000000}" name="订单环比" dataDxfId="628" totalsRowDxfId="326">
      <calculatedColumnFormula>(D4-D3)/D3</calculatedColumnFormula>
    </tableColumn>
    <tableColumn id="11" xr3:uid="{00000000-0010-0000-0100-00000B000000}" name="销售额环比" dataDxfId="627" totalsRowDxfId="325">
      <calculatedColumnFormula>(E4-E3)/E3</calculatedColumnFormula>
    </tableColumn>
    <tableColumn id="12" xr3:uid="{00000000-0010-0000-0100-00000C000000}" name="客单_x000a_销量" totalsRowFunction="average" dataDxfId="626" totalsRowDxfId="324">
      <calculatedColumnFormula>C4/D4</calculatedColumnFormula>
    </tableColumn>
    <tableColumn id="13" xr3:uid="{00000000-0010-0000-0100-00000D000000}" name="客单_x000a_价格($)" totalsRowFunction="average" dataDxfId="625" totalsRowDxfId="323">
      <calculatedColumnFormula>E4/D4</calculatedColumnFormula>
    </tableColumn>
    <tableColumn id="14" xr3:uid="{00000000-0010-0000-0100-00000E000000}" name="销售_x000a_均价($)" totalsRowFunction="average" dataDxfId="624" totalsRowDxfId="322">
      <calculatedColumnFormula>E4/C4</calculatedColumnFormula>
    </tableColumn>
    <tableColumn id="53" xr3:uid="{00000000-0010-0000-0100-000035000000}" name="日均_x000a_销量" totalsRowFunction="average" dataDxfId="623" totalsRowDxfId="321">
      <calculatedColumnFormula>G4/7</calculatedColumnFormula>
    </tableColumn>
    <tableColumn id="15" xr3:uid="{00000000-0010-0000-0100-00000F000000}" name="自然_x000a_订单" totalsRowFunction="sum" dataDxfId="622" totalsRowDxfId="320">
      <calculatedColumnFormula>D4-Y4</calculatedColumnFormula>
    </tableColumn>
    <tableColumn id="16" xr3:uid="{00000000-0010-0000-0100-000010000000}" name="自然单_x000a_占比(%)" totalsRowFunction="custom" dataDxfId="621" totalsRowDxfId="319">
      <calculatedColumnFormula>T4/D4</calculatedColumnFormula>
      <totalsRowFormula>T78/D78</totalsRowFormula>
    </tableColumn>
    <tableColumn id="17" xr3:uid="{00000000-0010-0000-0100-000011000000}" name="TAcos_x000a_(%)" totalsRowFunction="average" dataDxfId="620" totalsRowDxfId="318">
      <calculatedColumnFormula>Z4/(E4-I4)</calculatedColumnFormula>
    </tableColumn>
    <tableColumn id="18" xr3:uid="{00000000-0010-0000-0100-000012000000}" name="展示" totalsRowFunction="sum" dataDxfId="619" totalsRowDxfId="317"/>
    <tableColumn id="19" xr3:uid="{00000000-0010-0000-0100-000013000000}" name="点击" totalsRowFunction="sum" dataDxfId="618" totalsRowDxfId="316"/>
    <tableColumn id="20" xr3:uid="{00000000-0010-0000-0100-000014000000}" name="广告订单量" totalsRowFunction="sum" dataDxfId="617" totalsRowDxfId="315"/>
    <tableColumn id="21" xr3:uid="{00000000-0010-0000-0100-000015000000}" name="广告花费" totalsRowFunction="sum" dataDxfId="616" totalsRowDxfId="314"/>
    <tableColumn id="22" xr3:uid="{00000000-0010-0000-0100-000016000000}" name="广告销售额" totalsRowFunction="sum" dataDxfId="615" totalsRowDxfId="313"/>
    <tableColumn id="23" xr3:uid="{00000000-0010-0000-0100-000017000000}" name="CPC" totalsRowFunction="average" dataDxfId="614" totalsRowDxfId="312"/>
    <tableColumn id="24" xr3:uid="{00000000-0010-0000-0100-000018000000}" name="Acos(%)" totalsRowFunction="custom" dataDxfId="613" totalsRowDxfId="311">
      <calculatedColumnFormula>Z4/AA4</calculatedColumnFormula>
      <totalsRowFormula>Z78/AA78</totalsRowFormula>
    </tableColumn>
    <tableColumn id="25" xr3:uid="{00000000-0010-0000-0100-000019000000}" name="CTR(%)" totalsRowFunction="custom" dataDxfId="612" totalsRowDxfId="310">
      <calculatedColumnFormula>X4/W4</calculatedColumnFormula>
      <totalsRowFormula>X78/W78</totalsRowFormula>
    </tableColumn>
    <tableColumn id="26" xr3:uid="{00000000-0010-0000-0100-00001A000000}" name="CVR(%)" totalsRowFunction="custom" dataDxfId="611" totalsRowDxfId="309">
      <calculatedColumnFormula>Y4/X4</calculatedColumnFormula>
      <totalsRowFormula>Y78/X78</totalsRowFormula>
    </tableColumn>
    <tableColumn id="27" xr3:uid="{00000000-0010-0000-0100-00001B000000}" name="CPS(%)" totalsRowFunction="custom" dataDxfId="610" totalsRowDxfId="308">
      <calculatedColumnFormula>Z4/Y4</calculatedColumnFormula>
      <totalsRowFormula>Z78/Y78</totalsRowFormula>
    </tableColumn>
    <tableColumn id="28" xr3:uid="{00000000-0010-0000-0100-00001C000000}" name="Short w/oBall 1Pack" totalsRowFunction="sum" dataDxfId="609" totalsRowDxfId="307"/>
    <tableColumn id="50" xr3:uid="{00000000-0010-0000-0100-000032000000}" name="Long w/oBall 1Pack" totalsRowFunction="sum" dataDxfId="608" totalsRowDxfId="306"/>
    <tableColumn id="29" xr3:uid="{00000000-0010-0000-0100-00001D000000}" name="w/Ball 1Pack" totalsRowFunction="sum" dataDxfId="607" totalsRowDxfId="305"/>
    <tableColumn id="59" xr3:uid="{00000000-0010-0000-0100-00003B000000}" name="Long w/oBall 2Pack" totalsRowFunction="sum" totalsRowDxfId="304"/>
    <tableColumn id="30" xr3:uid="{00000000-0010-0000-0100-00001E000000}" name="产品成本" totalsRowFunction="sum" dataDxfId="606" totalsRowDxfId="303">
      <calculatedColumnFormula>AG4*产品成本!$D$5+AH4*产品成本!$D$6+AI4*产品成本!$D$7+AJ4*产品成本!$D$8</calculatedColumnFormula>
    </tableColumn>
    <tableColumn id="31" xr3:uid="{00000000-0010-0000-0100-00001F000000}" name="头程" totalsRowFunction="sum" dataDxfId="605" totalsRowDxfId="302">
      <calculatedColumnFormula>AG4*产品成本!$E$5+AH4*产品成本!$E$6+AI4*产品成本!$E$7+AJ4*产品成本!$E$8</calculatedColumnFormula>
    </tableColumn>
    <tableColumn id="32" xr3:uid="{00000000-0010-0000-0100-000020000000}" name="入仓费" totalsRowFunction="sum" dataDxfId="604" totalsRowDxfId="301">
      <calculatedColumnFormula>AG4*产品成本!$F$5+AH4*产品成本!$F$6+AI4*产品成本!$F$7+AJ4*产品成本!$F$8</calculatedColumnFormula>
    </tableColumn>
    <tableColumn id="33" xr3:uid="{00000000-0010-0000-0100-000021000000}" name="FBA物流" totalsRowFunction="sum" dataDxfId="603" totalsRowDxfId="300">
      <calculatedColumnFormula>AG4*产品成本!$G$5+AH4*产品成本!$G$6+AI4*产品成本!$G$7+AJ4*产品成本!$G$8</calculatedColumnFormula>
    </tableColumn>
    <tableColumn id="34" xr3:uid="{00000000-0010-0000-0100-000022000000}" name="佣金" totalsRowFunction="sum" dataDxfId="602" totalsRowDxfId="299">
      <calculatedColumnFormula>(E4-I4)*0.15</calculatedColumnFormula>
    </tableColumn>
    <tableColumn id="35" xr3:uid="{00000000-0010-0000-0100-000023000000}" name="成本小结" totalsRowFunction="sum" dataDxfId="601" totalsRowDxfId="298">
      <calculatedColumnFormula>SUM(AK4:AO4)</calculatedColumnFormula>
    </tableColumn>
    <tableColumn id="36" xr3:uid="{00000000-0010-0000-0100-000024000000}" name="退款Short w/oBall 1Pack" totalsRowFunction="sum" dataDxfId="600" totalsRowDxfId="297"/>
    <tableColumn id="51" xr3:uid="{00000000-0010-0000-0100-000033000000}" name="退款Long w/oBall 1Pack" totalsRowFunction="sum" dataDxfId="599" totalsRowDxfId="296"/>
    <tableColumn id="37" xr3:uid="{00000000-0010-0000-0100-000025000000}" name="退款w/Ball 1Pack" totalsRowFunction="sum" dataDxfId="598" totalsRowDxfId="295"/>
    <tableColumn id="60" xr3:uid="{00000000-0010-0000-0100-00003C000000}" name="退款Long w/oBall 2Pack" totalsRowFunction="sum" totalsRowDxfId="294"/>
    <tableColumn id="38" xr3:uid="{00000000-0010-0000-0100-000026000000}" name="退款_x000a_销售金额" totalsRowFunction="sum" dataDxfId="597" totalsRowDxfId="293">
      <calculatedColumnFormula>L4/(1-0.15-0.15*0.2)</calculatedColumnFormula>
    </tableColumn>
    <tableColumn id="39" xr3:uid="{00000000-0010-0000-0100-000027000000}" name="退款_x000a_产品成本" totalsRowFunction="sum" dataDxfId="596" totalsRowDxfId="292">
      <calculatedColumnFormula>AQ4*产品成本!$D$5+AR4*产品成本!$D$6+AS4*产品成本!$D$7+AT4*产品成本!D8</calculatedColumnFormula>
    </tableColumn>
    <tableColumn id="40" xr3:uid="{00000000-0010-0000-0100-000028000000}" name="退款头程" totalsRowFunction="sum" dataDxfId="595" totalsRowDxfId="291">
      <calculatedColumnFormula>AQ4*产品成本!$E$5+AR4*产品成本!$E$6+AS4*产品成本!$E$7+AT4*产品成本!E8</calculatedColumnFormula>
    </tableColumn>
    <tableColumn id="41" xr3:uid="{00000000-0010-0000-0100-000029000000}" name="退款_x000a_入仓费" totalsRowFunction="sum" dataDxfId="594" totalsRowDxfId="290">
      <calculatedColumnFormula>AQ4*产品成本!$F$5+AR4*产品成本!$F$6+AS4*产品成本!$F$7+AT4*产品成本!F8</calculatedColumnFormula>
    </tableColumn>
    <tableColumn id="42" xr3:uid="{00000000-0010-0000-0100-00002A000000}" name="退款_x000a_FBA物流" totalsRowFunction="sum" totalsRowDxfId="289"/>
    <tableColumn id="43" xr3:uid="{00000000-0010-0000-0100-00002B000000}" name="退款佣金" totalsRowFunction="sum" dataDxfId="593" totalsRowDxfId="288">
      <calculatedColumnFormula>AU4*0.15</calculatedColumnFormula>
    </tableColumn>
    <tableColumn id="44" xr3:uid="{00000000-0010-0000-0100-00002C000000}" name="退款_x000a_管理费用_x000a_佣金的20%" totalsRowFunction="sum" dataDxfId="592" totalsRowDxfId="287">
      <calculatedColumnFormula>-AZ4*0.2</calculatedColumnFormula>
    </tableColumn>
    <tableColumn id="45" xr3:uid="{00000000-0010-0000-0100-00002D000000}" name="退款_x000a_成本小结" totalsRowFunction="sum" dataDxfId="591" totalsRowDxfId="286">
      <calculatedColumnFormula>SUM(AV4:BA4)</calculatedColumnFormula>
    </tableColumn>
    <tableColumn id="46" xr3:uid="{00000000-0010-0000-0100-00002E000000}" name="净成本" totalsRowFunction="sum" dataDxfId="590" totalsRowDxfId="285">
      <calculatedColumnFormula>AP4-BB4</calculatedColumnFormula>
    </tableColumn>
    <tableColumn id="58" xr3:uid="{00000000-0010-0000-0100-00003A000000}" name="净销售额" totalsRowFunction="sum" dataDxfId="589" totalsRowDxfId="284">
      <calculatedColumnFormula>E4-I4</calculatedColumnFormula>
    </tableColumn>
    <tableColumn id="47" xr3:uid="{00000000-0010-0000-0100-00002F000000}" name="净销售额_x000a_(-退款金额)" totalsRowFunction="sum" dataDxfId="588" totalsRowDxfId="283">
      <calculatedColumnFormula>E4-AU4-I4</calculatedColumnFormula>
    </tableColumn>
    <tableColumn id="48" xr3:uid="{00000000-0010-0000-0100-000030000000}" name="毛利" totalsRowFunction="sum" dataDxfId="587" totalsRowDxfId="282">
      <calculatedColumnFormula>BE4-BC4-Z4</calculatedColumnFormula>
    </tableColumn>
    <tableColumn id="49" xr3:uid="{00000000-0010-0000-0100-000031000000}" name="毛利率" totalsRowFunction="average" dataDxfId="586" totalsRowDxfId="281">
      <calculatedColumnFormula>BF4/BE4</calculatedColumnFormula>
    </tableColumn>
    <tableColumn id="61" xr3:uid="{00000000-0010-0000-0100-00003D000000}" name="BSR"/>
    <tableColumn id="52" xr3:uid="{00000000-0010-0000-0100-000034000000}" name="备注"/>
    <tableColumn id="62" xr3:uid="{00000000-0010-0000-0100-00003E000000}" name="促销"/>
    <tableColumn id="63" xr3:uid="{00000000-0010-0000-0100-00003F000000}" name="列1"/>
  </tableColumns>
  <tableStyleInfo name="TableStylePreset1_Accen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表3_391418" displayName="表3_391418" ref="A3:BF23" totalsRowCount="1">
  <tableColumns count="58">
    <tableColumn id="1" xr3:uid="{00000000-0010-0000-0200-000001000000}" name="日期" totalsRowLabel="汇总" dataDxfId="585" totalsRowDxfId="280"/>
    <tableColumn id="2" xr3:uid="{00000000-0010-0000-0200-000002000000}" name="周数" dataDxfId="584" totalsRowDxfId="279"/>
    <tableColumn id="3" xr3:uid="{00000000-0010-0000-0200-000003000000}" name="销量" totalsRowFunction="sum" totalsRowDxfId="278"/>
    <tableColumn id="4" xr3:uid="{00000000-0010-0000-0200-000004000000}" name="订单量" totalsRowFunction="sum" totalsRowDxfId="277"/>
    <tableColumn id="5" xr3:uid="{00000000-0010-0000-0200-000005000000}" name="销售额" totalsRowFunction="sum" totalsRowDxfId="276"/>
    <tableColumn id="6" xr3:uid="{00000000-0010-0000-0200-000006000000}" name="促销销量" totalsRowFunction="sum" totalsRowDxfId="275"/>
    <tableColumn id="7" xr3:uid="{00000000-0010-0000-0200-000007000000}" name="促销订单量" totalsRowFunction="sum" totalsRowDxfId="274"/>
    <tableColumn id="8" xr3:uid="{00000000-0010-0000-0200-000008000000}" name="促销销售额" totalsRowFunction="sum" totalsRowDxfId="273"/>
    <tableColumn id="9" xr3:uid="{00000000-0010-0000-0200-000009000000}" name="促销折扣" totalsRowFunction="sum" totalsRowDxfId="272"/>
    <tableColumn id="10" xr3:uid="{00000000-0010-0000-0200-00000A000000}" name="退款量" totalsRowFunction="sum" totalsRowDxfId="271"/>
    <tableColumn id="11" xr3:uid="{00000000-0010-0000-0200-00000B000000}" name="退款率" totalsRowFunction="custom" totalsRowDxfId="270">
      <calculatedColumnFormula>#REF!/#REF!</calculatedColumnFormula>
      <totalsRowFormula>J23/C23</totalsRowFormula>
    </tableColumn>
    <tableColumn id="12" xr3:uid="{00000000-0010-0000-0200-00000C000000}" name="退款金额" totalsRowFunction="sum" totalsRowDxfId="269"/>
    <tableColumn id="13" xr3:uid="{00000000-0010-0000-0200-00000D000000}" name="销量环比" totalsRowDxfId="268">
      <calculatedColumnFormula>(#REF!-C3)/C3</calculatedColumnFormula>
    </tableColumn>
    <tableColumn id="14" xr3:uid="{00000000-0010-0000-0200-00000E000000}" name="订单环比" totalsRowDxfId="267">
      <calculatedColumnFormula>(#REF!-D3)/D3</calculatedColumnFormula>
    </tableColumn>
    <tableColumn id="15" xr3:uid="{00000000-0010-0000-0200-00000F000000}" name="销售额环比" totalsRowDxfId="266">
      <calculatedColumnFormula>(#REF!-E3)/E3</calculatedColumnFormula>
    </tableColumn>
    <tableColumn id="16" xr3:uid="{00000000-0010-0000-0200-000010000000}" name="客单_x000a_销量" totalsRowFunction="average" totalsRowDxfId="265">
      <calculatedColumnFormula>#REF!/#REF!</calculatedColumnFormula>
    </tableColumn>
    <tableColumn id="17" xr3:uid="{00000000-0010-0000-0200-000011000000}" name="客单_x000a_价格($)" totalsRowFunction="average" totalsRowDxfId="264">
      <calculatedColumnFormula>#REF!/#REF!</calculatedColumnFormula>
    </tableColumn>
    <tableColumn id="18" xr3:uid="{00000000-0010-0000-0200-000012000000}" name="销售_x000a_均价($)" totalsRowFunction="average" totalsRowDxfId="263">
      <calculatedColumnFormula>#REF!/#REF!</calculatedColumnFormula>
    </tableColumn>
    <tableColumn id="19" xr3:uid="{00000000-0010-0000-0200-000013000000}" name="日均_x000a_销量" totalsRowFunction="average" totalsRowDxfId="262">
      <calculatedColumnFormula>#REF!/7</calculatedColumnFormula>
    </tableColumn>
    <tableColumn id="20" xr3:uid="{00000000-0010-0000-0200-000014000000}" name="自然_x000a_订单" totalsRowFunction="sum" totalsRowDxfId="261">
      <calculatedColumnFormula>#REF!-#REF!</calculatedColumnFormula>
    </tableColumn>
    <tableColumn id="21" xr3:uid="{00000000-0010-0000-0200-000015000000}" name="自然单_x000a_占比(%)" totalsRowFunction="custom" totalsRowDxfId="260">
      <calculatedColumnFormula>#REF!/#REF!</calculatedColumnFormula>
      <totalsRowFormula>T23/D23</totalsRowFormula>
    </tableColumn>
    <tableColumn id="22" xr3:uid="{00000000-0010-0000-0200-000016000000}" name="TAcos_x000a_(%)" totalsRowFunction="average" totalsRowDxfId="259">
      <calculatedColumnFormula>#REF!/(#REF!-#REF!)</calculatedColumnFormula>
    </tableColumn>
    <tableColumn id="23" xr3:uid="{00000000-0010-0000-0200-000017000000}" name="展示" totalsRowFunction="sum" totalsRowDxfId="258"/>
    <tableColumn id="24" xr3:uid="{00000000-0010-0000-0200-000018000000}" name="点击" totalsRowFunction="sum" totalsRowDxfId="257"/>
    <tableColumn id="25" xr3:uid="{00000000-0010-0000-0200-000019000000}" name="广告订单量" totalsRowFunction="sum" totalsRowDxfId="256"/>
    <tableColumn id="26" xr3:uid="{00000000-0010-0000-0200-00001A000000}" name="广告花费" totalsRowFunction="sum" totalsRowDxfId="255"/>
    <tableColumn id="27" xr3:uid="{00000000-0010-0000-0200-00001B000000}" name="广告销售额" totalsRowFunction="sum" totalsRowDxfId="254"/>
    <tableColumn id="28" xr3:uid="{00000000-0010-0000-0200-00001C000000}" name="CPC" totalsRowFunction="average" totalsRowDxfId="253"/>
    <tableColumn id="29" xr3:uid="{00000000-0010-0000-0200-00001D000000}" name="Acos(%)" totalsRowFunction="custom" totalsRowDxfId="252">
      <calculatedColumnFormula>#REF!/#REF!</calculatedColumnFormula>
      <totalsRowFormula>Z23/AA23</totalsRowFormula>
    </tableColumn>
    <tableColumn id="30" xr3:uid="{00000000-0010-0000-0200-00001E000000}" name="CTR(%)" totalsRowFunction="custom" totalsRowDxfId="251">
      <calculatedColumnFormula>#REF!/#REF!</calculatedColumnFormula>
      <totalsRowFormula>X23/W23</totalsRowFormula>
    </tableColumn>
    <tableColumn id="31" xr3:uid="{00000000-0010-0000-0200-00001F000000}" name="CVR(%)" totalsRowFunction="custom" totalsRowDxfId="250">
      <calculatedColumnFormula>#REF!/#REF!</calculatedColumnFormula>
      <totalsRowFormula>Y23/X23</totalsRowFormula>
    </tableColumn>
    <tableColumn id="32" xr3:uid="{00000000-0010-0000-0200-000020000000}" name="CPS(%)" totalsRowFunction="custom" totalsRowDxfId="249">
      <calculatedColumnFormula>#REF!/#REF!</calculatedColumnFormula>
      <totalsRowFormula>Z23/Y23</totalsRowFormula>
    </tableColumn>
    <tableColumn id="33" xr3:uid="{00000000-0010-0000-0200-000021000000}" name="1Pack" totalsRowFunction="sum" totalsRowDxfId="248"/>
    <tableColumn id="34" xr3:uid="{00000000-0010-0000-0200-000022000000}" name="2Pack" totalsRowFunction="sum" totalsRowDxfId="247"/>
    <tableColumn id="35" xr3:uid="{00000000-0010-0000-0200-000023000000}" name="产品成本" totalsRowFunction="sum" dataDxfId="583" totalsRowDxfId="246">
      <calculatedColumnFormula>AG4*产品成本!$D$9+AH4*产品成本!$D$10</calculatedColumnFormula>
    </tableColumn>
    <tableColumn id="36" xr3:uid="{00000000-0010-0000-0200-000024000000}" name="头程" totalsRowFunction="sum" dataDxfId="582" totalsRowDxfId="245">
      <calculatedColumnFormula>AG4*产品成本!$E$9+AH4*产品成本!$E$10</calculatedColumnFormula>
    </tableColumn>
    <tableColumn id="37" xr3:uid="{00000000-0010-0000-0200-000025000000}" name="入仓费" totalsRowFunction="sum" dataDxfId="581" totalsRowDxfId="244">
      <calculatedColumnFormula>AG4*产品成本!$F$9+AH4*产品成本!$F$10</calculatedColumnFormula>
    </tableColumn>
    <tableColumn id="38" xr3:uid="{00000000-0010-0000-0200-000026000000}" name="FBA物流" totalsRowFunction="sum" dataDxfId="580" totalsRowDxfId="243">
      <calculatedColumnFormula>AG4*产品成本!$G$9+AH4*产品成本!$G$10</calculatedColumnFormula>
    </tableColumn>
    <tableColumn id="39" xr3:uid="{00000000-0010-0000-0200-000027000000}" name="佣金" totalsRowFunction="sum" dataDxfId="579" totalsRowDxfId="242">
      <calculatedColumnFormula>(E4-I4)*0.15</calculatedColumnFormula>
    </tableColumn>
    <tableColumn id="40" xr3:uid="{00000000-0010-0000-0200-000028000000}" name="成本小结" totalsRowFunction="sum" dataDxfId="578" totalsRowDxfId="241">
      <calculatedColumnFormula>SUM(AI4:AM4)</calculatedColumnFormula>
    </tableColumn>
    <tableColumn id="41" xr3:uid="{00000000-0010-0000-0200-000029000000}" name="退款1Pack" totalsRowFunction="sum" totalsRowDxfId="240"/>
    <tableColumn id="42" xr3:uid="{00000000-0010-0000-0200-00002A000000}" name="退款2Pack" totalsRowFunction="sum" totalsRowDxfId="239"/>
    <tableColumn id="43" xr3:uid="{00000000-0010-0000-0200-00002B000000}" name="退款_x000a_销售金额" totalsRowFunction="sum" totalsRowDxfId="238">
      <calculatedColumnFormula>#REF!/(1-0.15-0.15*0.2)</calculatedColumnFormula>
    </tableColumn>
    <tableColumn id="44" xr3:uid="{00000000-0010-0000-0200-00002C000000}" name="退款_x000a_产品成本" totalsRowFunction="sum" dataDxfId="577" totalsRowDxfId="237">
      <calculatedColumnFormula>AO4*产品成本!$D$9+AP4*产品成本!$D$10</calculatedColumnFormula>
    </tableColumn>
    <tableColumn id="45" xr3:uid="{00000000-0010-0000-0200-00002D000000}" name="退款头程" totalsRowFunction="sum" dataDxfId="576" totalsRowDxfId="236">
      <calculatedColumnFormula>AO4*产品成本!$E$9+AP4*产品成本!$E$10</calculatedColumnFormula>
    </tableColumn>
    <tableColumn id="46" xr3:uid="{00000000-0010-0000-0200-00002E000000}" name="退款_x000a_入仓费" totalsRowFunction="sum" dataDxfId="575" totalsRowDxfId="235">
      <calculatedColumnFormula>AO4*产品成本!$F$9+AP4*产品成本!$F$10</calculatedColumnFormula>
    </tableColumn>
    <tableColumn id="47" xr3:uid="{00000000-0010-0000-0200-00002F000000}" name="退款_x000a_FBA物流" totalsRowFunction="sum" totalsRowDxfId="234"/>
    <tableColumn id="48" xr3:uid="{00000000-0010-0000-0200-000030000000}" name="退款佣金" totalsRowFunction="sum" totalsRowDxfId="233">
      <calculatedColumnFormula>#REF!*0.15</calculatedColumnFormula>
    </tableColumn>
    <tableColumn id="49" xr3:uid="{00000000-0010-0000-0200-000031000000}" name="退款_x000a_管理费用_x000a_佣金的20%" totalsRowFunction="sum" totalsRowDxfId="232">
      <calculatedColumnFormula>-#REF!*0.2</calculatedColumnFormula>
    </tableColumn>
    <tableColumn id="50" xr3:uid="{00000000-0010-0000-0200-000032000000}" name="退款_x000a_成本小结" totalsRowFunction="sum" totalsRowDxfId="231">
      <calculatedColumnFormula>SUM(#REF!)</calculatedColumnFormula>
    </tableColumn>
    <tableColumn id="51" xr3:uid="{00000000-0010-0000-0200-000033000000}" name="净成本" totalsRowFunction="sum" totalsRowDxfId="230">
      <calculatedColumnFormula>#REF!-#REF!</calculatedColumnFormula>
    </tableColumn>
    <tableColumn id="52" xr3:uid="{00000000-0010-0000-0200-000034000000}" name="净销售额" totalsRowFunction="sum" totalsRowDxfId="229">
      <calculatedColumnFormula>#REF!-#REF!</calculatedColumnFormula>
    </tableColumn>
    <tableColumn id="53" xr3:uid="{00000000-0010-0000-0200-000035000000}" name="净销售额_x000a_(-退款金额)" totalsRowFunction="sum" totalsRowDxfId="228">
      <calculatedColumnFormula>#REF!-#REF!-#REF!</calculatedColumnFormula>
    </tableColumn>
    <tableColumn id="54" xr3:uid="{00000000-0010-0000-0200-000036000000}" name="毛利" totalsRowFunction="sum" totalsRowDxfId="227">
      <calculatedColumnFormula>#REF!-#REF!-#REF!</calculatedColumnFormula>
    </tableColumn>
    <tableColumn id="55" xr3:uid="{00000000-0010-0000-0200-000037000000}" name="毛利率" totalsRowFunction="average" totalsRowDxfId="226">
      <calculatedColumnFormula>#REF!/#REF!</calculatedColumnFormula>
    </tableColumn>
    <tableColumn id="56" xr3:uid="{00000000-0010-0000-0200-000038000000}" name="BSR"/>
    <tableColumn id="58" xr3:uid="{00000000-0010-0000-0200-00003A000000}" name="备注2"/>
    <tableColumn id="57" xr3:uid="{00000000-0010-0000-0200-000039000000}" name="促销"/>
  </tableColumns>
  <tableStyleInfo name="TableStylePreset1_Accen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表3_39" displayName="表3_39" ref="A3:BI78" totalsRowCount="1">
  <tableColumns count="61">
    <tableColumn id="1" xr3:uid="{00000000-0010-0000-0300-000001000000}" name="日期" totalsRowLabel="汇总" totalsRowDxfId="225"/>
    <tableColumn id="2" xr3:uid="{00000000-0010-0000-0300-000002000000}" name="周数" totalsRowDxfId="224"/>
    <tableColumn id="3" xr3:uid="{00000000-0010-0000-0300-000003000000}" name="销量" totalsRowFunction="sum" totalsRowDxfId="223"/>
    <tableColumn id="4" xr3:uid="{00000000-0010-0000-0300-000004000000}" name="订单量" totalsRowFunction="sum" totalsRowDxfId="222"/>
    <tableColumn id="5" xr3:uid="{00000000-0010-0000-0300-000005000000}" name="销售额" totalsRowFunction="sum" totalsRowDxfId="221"/>
    <tableColumn id="52" xr3:uid="{00000000-0010-0000-0300-000034000000}" name="促销销量" totalsRowFunction="sum" dataDxfId="574" totalsRowDxfId="220"/>
    <tableColumn id="53" xr3:uid="{00000000-0010-0000-0300-000035000000}" name="促销订单量" totalsRowFunction="sum" dataDxfId="573" totalsRowDxfId="219"/>
    <tableColumn id="54" xr3:uid="{00000000-0010-0000-0300-000036000000}" name="促销销售额" totalsRowFunction="sum" totalsRowDxfId="218"/>
    <tableColumn id="55" xr3:uid="{00000000-0010-0000-0300-000037000000}" name="促销折扣" totalsRowFunction="sum" totalsRowDxfId="217"/>
    <tableColumn id="6" xr3:uid="{00000000-0010-0000-0300-000006000000}" name="退款量" totalsRowFunction="sum" totalsRowDxfId="216"/>
    <tableColumn id="7" xr3:uid="{00000000-0010-0000-0300-000007000000}" name="退款率" totalsRowFunction="custom" dataDxfId="572" totalsRowDxfId="215">
      <calculatedColumnFormula>J4/C4</calculatedColumnFormula>
      <totalsRowFormula>J78/C78</totalsRowFormula>
    </tableColumn>
    <tableColumn id="8" xr3:uid="{00000000-0010-0000-0300-000008000000}" name="退款金额" totalsRowFunction="sum" totalsRowDxfId="214"/>
    <tableColumn id="9" xr3:uid="{00000000-0010-0000-0300-000009000000}" name="销量环比" dataDxfId="571" totalsRowDxfId="213">
      <calculatedColumnFormula>(C4-C3)/C3</calculatedColumnFormula>
    </tableColumn>
    <tableColumn id="10" xr3:uid="{00000000-0010-0000-0300-00000A000000}" name="订单环比" dataDxfId="570" totalsRowDxfId="212">
      <calculatedColumnFormula>(D4-D3)/D3</calculatedColumnFormula>
    </tableColumn>
    <tableColumn id="11" xr3:uid="{00000000-0010-0000-0300-00000B000000}" name="销售额环比" dataDxfId="569" totalsRowDxfId="211">
      <calculatedColumnFormula>(E4-E3)/E3</calculatedColumnFormula>
    </tableColumn>
    <tableColumn id="12" xr3:uid="{00000000-0010-0000-0300-00000C000000}" name="客单_x000a_销量" totalsRowFunction="average" dataDxfId="568" totalsRowDxfId="210">
      <calculatedColumnFormula>C4/D4</calculatedColumnFormula>
    </tableColumn>
    <tableColumn id="13" xr3:uid="{00000000-0010-0000-0300-00000D000000}" name="客单_x000a_价格($)" totalsRowFunction="average" dataDxfId="567" totalsRowDxfId="209">
      <calculatedColumnFormula>E4/D4</calculatedColumnFormula>
    </tableColumn>
    <tableColumn id="14" xr3:uid="{00000000-0010-0000-0300-00000E000000}" name="销售_x000a_均价($)" totalsRowFunction="average" dataDxfId="566" totalsRowDxfId="208">
      <calculatedColumnFormula>E4/C4</calculatedColumnFormula>
    </tableColumn>
    <tableColumn id="51" xr3:uid="{00000000-0010-0000-0300-000033000000}" name="日均_x000a_销量" totalsRowFunction="average" dataDxfId="565" totalsRowDxfId="207">
      <calculatedColumnFormula>G4/7</calculatedColumnFormula>
    </tableColumn>
    <tableColumn id="15" xr3:uid="{00000000-0010-0000-0300-00000F000000}" name="自然_x000a_订单" totalsRowFunction="sum" dataDxfId="564" totalsRowDxfId="206">
      <calculatedColumnFormula>D4-Y4</calculatedColumnFormula>
    </tableColumn>
    <tableColumn id="16" xr3:uid="{00000000-0010-0000-0300-000010000000}" name="自然单_x000a_占比(%)" totalsRowFunction="custom" dataDxfId="563" totalsRowDxfId="205">
      <calculatedColumnFormula>T4/D4</calculatedColumnFormula>
      <totalsRowFormula>T78/D78</totalsRowFormula>
    </tableColumn>
    <tableColumn id="17" xr3:uid="{00000000-0010-0000-0300-000011000000}" name="TAcos_x000a_(%)" totalsRowFunction="average" dataDxfId="562" totalsRowDxfId="204">
      <calculatedColumnFormula>Z4/(E4-I4)</calculatedColumnFormula>
    </tableColumn>
    <tableColumn id="18" xr3:uid="{00000000-0010-0000-0300-000012000000}" name="展示" totalsRowFunction="sum" totalsRowDxfId="203"/>
    <tableColumn id="19" xr3:uid="{00000000-0010-0000-0300-000013000000}" name="点击" totalsRowFunction="sum" totalsRowDxfId="202"/>
    <tableColumn id="20" xr3:uid="{00000000-0010-0000-0300-000014000000}" name="广告订单量" totalsRowFunction="sum" totalsRowDxfId="201"/>
    <tableColumn id="21" xr3:uid="{00000000-0010-0000-0300-000015000000}" name="广告花费" totalsRowFunction="sum" totalsRowDxfId="200"/>
    <tableColumn id="22" xr3:uid="{00000000-0010-0000-0300-000016000000}" name="广告销售额" totalsRowFunction="sum" totalsRowDxfId="199"/>
    <tableColumn id="23" xr3:uid="{00000000-0010-0000-0300-000017000000}" name="CPC" totalsRowFunction="average" totalsRowDxfId="198"/>
    <tableColumn id="24" xr3:uid="{00000000-0010-0000-0300-000018000000}" name="Acos(%)" totalsRowFunction="custom" dataDxfId="561" totalsRowDxfId="197">
      <calculatedColumnFormula>Z4/AA4</calculatedColumnFormula>
      <totalsRowFormula>Z78/AA78</totalsRowFormula>
    </tableColumn>
    <tableColumn id="25" xr3:uid="{00000000-0010-0000-0300-000019000000}" name="CTR(%)" totalsRowFunction="custom" dataDxfId="560" totalsRowDxfId="196">
      <calculatedColumnFormula>X4/W4</calculatedColumnFormula>
      <totalsRowFormula>X78/W78</totalsRowFormula>
    </tableColumn>
    <tableColumn id="26" xr3:uid="{00000000-0010-0000-0300-00001A000000}" name="CVR(%)" totalsRowFunction="custom" dataDxfId="559" totalsRowDxfId="195">
      <calculatedColumnFormula>Y4/X4</calculatedColumnFormula>
      <totalsRowFormula>Y78/X78</totalsRowFormula>
    </tableColumn>
    <tableColumn id="27" xr3:uid="{00000000-0010-0000-0300-00001B000000}" name="CPS(%)" totalsRowFunction="custom" dataDxfId="558" totalsRowDxfId="194">
      <calculatedColumnFormula>Z4/Y4</calculatedColumnFormula>
      <totalsRowFormula>Z78/Y78</totalsRowFormula>
    </tableColumn>
    <tableColumn id="28" xr3:uid="{00000000-0010-0000-0300-00001C000000}" name="w/oHandle AL" totalsRowFunction="sum" totalsRowDxfId="193"/>
    <tableColumn id="29" xr3:uid="{00000000-0010-0000-0300-00001D000000}" name="w/Handle AL" totalsRowFunction="sum" totalsRowDxfId="192"/>
    <tableColumn id="57" xr3:uid="{00000000-0010-0000-0300-000039000000}" name="w/oHandle ZN" totalsRowFunction="sum" dataDxfId="557" totalsRowDxfId="191"/>
    <tableColumn id="58" xr3:uid="{00000000-0010-0000-0300-00003A000000}" name="w/Handle ZN" totalsRowFunction="sum" dataDxfId="556" totalsRowDxfId="190"/>
    <tableColumn id="30" xr3:uid="{00000000-0010-0000-0300-00001E000000}" name="产品成本" totalsRowFunction="sum" dataDxfId="555" totalsRowDxfId="189">
      <calculatedColumnFormula>AG4*产品成本!$D$11+AH4*产品成本!$D$12+AI4*产品成本!$D$13+AJ4*产品成本!$D$14</calculatedColumnFormula>
    </tableColumn>
    <tableColumn id="31" xr3:uid="{00000000-0010-0000-0300-00001F000000}" name="头程" totalsRowFunction="sum" dataDxfId="554" totalsRowDxfId="188">
      <calculatedColumnFormula>AG4*产品成本!$E$11+AH4*产品成本!$E$12+AI4*产品成本!$E$13+AJ4*产品成本!$E$14</calculatedColumnFormula>
    </tableColumn>
    <tableColumn id="32" xr3:uid="{00000000-0010-0000-0300-000020000000}" name="入仓费" totalsRowFunction="sum" dataDxfId="553" totalsRowDxfId="187">
      <calculatedColumnFormula>AG4*产品成本!$F$11+AH4*产品成本!$F$12+AI4*产品成本!$F$13+AJ4*产品成本!$F$14</calculatedColumnFormula>
    </tableColumn>
    <tableColumn id="33" xr3:uid="{00000000-0010-0000-0300-000021000000}" name="FBA物流" totalsRowFunction="sum" dataDxfId="552" totalsRowDxfId="186">
      <calculatedColumnFormula>AG4*产品成本!$G$11+AH4*产品成本!$G$12+AI4*产品成本!$G$13+AJ4*产品成本!$G$14</calculatedColumnFormula>
    </tableColumn>
    <tableColumn id="34" xr3:uid="{00000000-0010-0000-0300-000022000000}" name="佣金" totalsRowFunction="sum" dataDxfId="551" totalsRowDxfId="185">
      <calculatedColumnFormula>(E4-I4)*0.15</calculatedColumnFormula>
    </tableColumn>
    <tableColumn id="35" xr3:uid="{00000000-0010-0000-0300-000023000000}" name="成本小结" totalsRowFunction="sum" dataDxfId="550" totalsRowDxfId="184">
      <calculatedColumnFormula>SUM(AK4:AO4)</calculatedColumnFormula>
    </tableColumn>
    <tableColumn id="36" xr3:uid="{00000000-0010-0000-0300-000024000000}" name="退款w/oHandle AL" totalsRowFunction="sum" totalsRowDxfId="183"/>
    <tableColumn id="37" xr3:uid="{00000000-0010-0000-0300-000025000000}" name="退款w/Handle AL" totalsRowFunction="sum" totalsRowDxfId="182"/>
    <tableColumn id="59" xr3:uid="{00000000-0010-0000-0300-00003B000000}" name="退款w/oHandle ZN" totalsRowFunction="sum" totalsRowDxfId="181"/>
    <tableColumn id="60" xr3:uid="{00000000-0010-0000-0300-00003C000000}" name="退款w/Handle ZN" totalsRowFunction="sum" totalsRowDxfId="180"/>
    <tableColumn id="38" xr3:uid="{00000000-0010-0000-0300-000026000000}" name="退款_x000a_销售金额" totalsRowFunction="sum" dataDxfId="549" totalsRowDxfId="179">
      <calculatedColumnFormula>L4/(1-0.15-0.15*0.2)</calculatedColumnFormula>
    </tableColumn>
    <tableColumn id="39" xr3:uid="{00000000-0010-0000-0300-000027000000}" name="退款_x000a_产品成本" totalsRowFunction="sum" dataDxfId="548" totalsRowDxfId="178">
      <calculatedColumnFormula>AQ4*产品成本!$D$11+AR4*产品成本!$D$12+AS4*产品成本!$D$13+AT4*产品成本!$D$14</calculatedColumnFormula>
    </tableColumn>
    <tableColumn id="40" xr3:uid="{00000000-0010-0000-0300-000028000000}" name="退款头程" totalsRowFunction="sum" dataDxfId="547" totalsRowDxfId="177">
      <calculatedColumnFormula>AQ4*产品成本!$E$11+AR4*产品成本!$E$12+AS4*产品成本!$E$13+AT4*产品成本!$E$14</calculatedColumnFormula>
    </tableColumn>
    <tableColumn id="41" xr3:uid="{00000000-0010-0000-0300-000029000000}" name="退款_x000a_入仓费" totalsRowFunction="sum" dataDxfId="546" totalsRowDxfId="176">
      <calculatedColumnFormula>AQ4*产品成本!$F$11+AR4*产品成本!$F$12+AS4*产品成本!$F$13+AT4*产品成本!$F$14</calculatedColumnFormula>
    </tableColumn>
    <tableColumn id="42" xr3:uid="{00000000-0010-0000-0300-00002A000000}" name="退款_x000a_FBA物流" totalsRowFunction="sum" totalsRowDxfId="175"/>
    <tableColumn id="43" xr3:uid="{00000000-0010-0000-0300-00002B000000}" name="退款佣金" totalsRowFunction="sum" dataDxfId="545" totalsRowDxfId="174">
      <calculatedColumnFormula>AU4*0.15</calculatedColumnFormula>
    </tableColumn>
    <tableColumn id="44" xr3:uid="{00000000-0010-0000-0300-00002C000000}" name="退款_x000a_管理费用_x000a_佣金的20%" totalsRowFunction="sum" dataDxfId="544" totalsRowDxfId="173">
      <calculatedColumnFormula>-AZ4*0.2</calculatedColumnFormula>
    </tableColumn>
    <tableColumn id="45" xr3:uid="{00000000-0010-0000-0300-00002D000000}" name="退款_x000a_成本小结" totalsRowFunction="sum" dataDxfId="543" totalsRowDxfId="172">
      <calculatedColumnFormula>SUM(AV4:BA4)</calculatedColumnFormula>
    </tableColumn>
    <tableColumn id="46" xr3:uid="{00000000-0010-0000-0300-00002E000000}" name="净成本" totalsRowFunction="sum" dataDxfId="542" totalsRowDxfId="171">
      <calculatedColumnFormula>AP4-BB4</calculatedColumnFormula>
    </tableColumn>
    <tableColumn id="56" xr3:uid="{00000000-0010-0000-0300-000038000000}" name="净销售额" totalsRowFunction="sum" dataDxfId="541" totalsRowDxfId="170">
      <calculatedColumnFormula>E4-I4</calculatedColumnFormula>
    </tableColumn>
    <tableColumn id="47" xr3:uid="{00000000-0010-0000-0300-00002F000000}" name="净销售额_x000a_(-退款金额)" totalsRowFunction="sum" dataDxfId="540" totalsRowDxfId="169">
      <calculatedColumnFormula>E4-AU4-I4</calculatedColumnFormula>
    </tableColumn>
    <tableColumn id="48" xr3:uid="{00000000-0010-0000-0300-000030000000}" name="毛利" totalsRowFunction="sum" dataDxfId="539" totalsRowDxfId="168">
      <calculatedColumnFormula>BE4-BC4-Z4</calculatedColumnFormula>
    </tableColumn>
    <tableColumn id="49" xr3:uid="{00000000-0010-0000-0300-000031000000}" name="毛利率" totalsRowFunction="average" dataDxfId="538" totalsRowDxfId="167">
      <calculatedColumnFormula>BF4/BE4</calculatedColumnFormula>
    </tableColumn>
    <tableColumn id="61" xr3:uid="{00000000-0010-0000-0300-00003D000000}" name="BSR"/>
    <tableColumn id="50" xr3:uid="{00000000-0010-0000-0300-000032000000}" name="备注"/>
  </tableColumns>
  <tableStyleInfo name="TableStylePreset1_Accent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4000000}" name="表3_3914" displayName="表3_3914" ref="A3:BE66" totalsRowCount="1">
  <tableColumns count="57">
    <tableColumn id="1" xr3:uid="{00000000-0010-0000-0400-000001000000}" name="日期" totalsRowLabel="汇总" totalsRowDxfId="166"/>
    <tableColumn id="2" xr3:uid="{00000000-0010-0000-0400-000002000000}" name="周数" totalsRowDxfId="165"/>
    <tableColumn id="3" xr3:uid="{00000000-0010-0000-0400-000003000000}" name="销量" totalsRowFunction="sum" totalsRowDxfId="164"/>
    <tableColumn id="4" xr3:uid="{00000000-0010-0000-0400-000004000000}" name="订单量" totalsRowFunction="sum" totalsRowDxfId="163"/>
    <tableColumn id="5" xr3:uid="{00000000-0010-0000-0400-000005000000}" name="销售额" totalsRowFunction="sum" totalsRowDxfId="162"/>
    <tableColumn id="53" xr3:uid="{00000000-0010-0000-0400-000035000000}" name="促销销量" totalsRowFunction="sum" dataDxfId="537" totalsRowDxfId="161"/>
    <tableColumn id="54" xr3:uid="{00000000-0010-0000-0400-000036000000}" name="促销订单量" totalsRowFunction="sum" dataDxfId="536" totalsRowDxfId="160"/>
    <tableColumn id="55" xr3:uid="{00000000-0010-0000-0400-000037000000}" name="促销销售额" totalsRowFunction="sum" totalsRowDxfId="159"/>
    <tableColumn id="56" xr3:uid="{00000000-0010-0000-0400-000038000000}" name="促销折扣" totalsRowFunction="sum" totalsRowDxfId="158"/>
    <tableColumn id="6" xr3:uid="{00000000-0010-0000-0400-000006000000}" name="退款量" totalsRowFunction="sum" totalsRowDxfId="157"/>
    <tableColumn id="7" xr3:uid="{00000000-0010-0000-0400-000007000000}" name="退款率" totalsRowFunction="custom" dataDxfId="535" totalsRowDxfId="156">
      <calculatedColumnFormula>J4/C4</calculatedColumnFormula>
      <totalsRowFormula>J66/C66</totalsRowFormula>
    </tableColumn>
    <tableColumn id="8" xr3:uid="{00000000-0010-0000-0400-000008000000}" name="退款金额" totalsRowFunction="sum" totalsRowDxfId="155"/>
    <tableColumn id="9" xr3:uid="{00000000-0010-0000-0400-000009000000}" name="销量环比" totalsRowDxfId="154">
      <calculatedColumnFormula>(#REF!-C3)/C3</calculatedColumnFormula>
    </tableColumn>
    <tableColumn id="10" xr3:uid="{00000000-0010-0000-0400-00000A000000}" name="订单环比" totalsRowDxfId="153">
      <calculatedColumnFormula>(#REF!-D3)/D3</calculatedColumnFormula>
    </tableColumn>
    <tableColumn id="11" xr3:uid="{00000000-0010-0000-0400-00000B000000}" name="销售额环比" totalsRowDxfId="152">
      <calculatedColumnFormula>(#REF!-E3)/E3</calculatedColumnFormula>
    </tableColumn>
    <tableColumn id="12" xr3:uid="{00000000-0010-0000-0400-00000C000000}" name="客单_x000a_销量" totalsRowFunction="average" dataDxfId="534" totalsRowDxfId="151">
      <calculatedColumnFormula>C4/D4</calculatedColumnFormula>
    </tableColumn>
    <tableColumn id="13" xr3:uid="{00000000-0010-0000-0400-00000D000000}" name="客单_x000a_价格($)" totalsRowFunction="average" dataDxfId="533" totalsRowDxfId="150">
      <calculatedColumnFormula>E4/D4</calculatedColumnFormula>
    </tableColumn>
    <tableColumn id="14" xr3:uid="{00000000-0010-0000-0400-00000E000000}" name="销售_x000a_均价($)" totalsRowFunction="average" dataDxfId="532" totalsRowDxfId="149">
      <calculatedColumnFormula>E4/C4</calculatedColumnFormula>
    </tableColumn>
    <tableColumn id="52" xr3:uid="{00000000-0010-0000-0400-000034000000}" name="日均_x000a_销量" totalsRowFunction="average" dataDxfId="531" totalsRowDxfId="148">
      <calculatedColumnFormula>C4/7</calculatedColumnFormula>
    </tableColumn>
    <tableColumn id="15" xr3:uid="{00000000-0010-0000-0400-00000F000000}" name="自然_x000a_订单" totalsRowFunction="sum" dataDxfId="530" totalsRowDxfId="147">
      <calculatedColumnFormula>D4-Y4</calculatedColumnFormula>
    </tableColumn>
    <tableColumn id="16" xr3:uid="{00000000-0010-0000-0400-000010000000}" name="自然单_x000a_占比(%)" totalsRowFunction="custom" dataDxfId="529" totalsRowDxfId="146">
      <calculatedColumnFormula>T4/D4</calculatedColumnFormula>
      <totalsRowFormula>T66/D66</totalsRowFormula>
    </tableColumn>
    <tableColumn id="17" xr3:uid="{00000000-0010-0000-0400-000011000000}" name="TAcos_x000a_(%)" totalsRowFunction="average" dataDxfId="528" totalsRowDxfId="145">
      <calculatedColumnFormula>Z4/(E4-I4)</calculatedColumnFormula>
    </tableColumn>
    <tableColumn id="18" xr3:uid="{00000000-0010-0000-0400-000012000000}" name="展示" totalsRowFunction="sum" totalsRowDxfId="144"/>
    <tableColumn id="19" xr3:uid="{00000000-0010-0000-0400-000013000000}" name="点击" totalsRowFunction="sum" totalsRowDxfId="143"/>
    <tableColumn id="20" xr3:uid="{00000000-0010-0000-0400-000014000000}" name="广告订单量" totalsRowFunction="sum" totalsRowDxfId="142"/>
    <tableColumn id="21" xr3:uid="{00000000-0010-0000-0400-000015000000}" name="广告花费" totalsRowFunction="sum" totalsRowDxfId="141"/>
    <tableColumn id="22" xr3:uid="{00000000-0010-0000-0400-000016000000}" name="广告销售额" totalsRowFunction="sum" totalsRowDxfId="140"/>
    <tableColumn id="23" xr3:uid="{00000000-0010-0000-0400-000017000000}" name="CPC" totalsRowFunction="average" totalsRowDxfId="139"/>
    <tableColumn id="24" xr3:uid="{00000000-0010-0000-0400-000018000000}" name="Acos(%)" totalsRowFunction="custom" dataDxfId="527" totalsRowDxfId="138">
      <calculatedColumnFormula>Z4/AA4</calculatedColumnFormula>
      <totalsRowFormula>Z66/AA66</totalsRowFormula>
    </tableColumn>
    <tableColumn id="25" xr3:uid="{00000000-0010-0000-0400-000019000000}" name="CTR(%)" totalsRowFunction="custom" dataDxfId="526" totalsRowDxfId="137">
      <calculatedColumnFormula>X4/W4</calculatedColumnFormula>
      <totalsRowFormula>X66/W66</totalsRowFormula>
    </tableColumn>
    <tableColumn id="26" xr3:uid="{00000000-0010-0000-0400-00001A000000}" name="CVR(%)" totalsRowFunction="custom" dataDxfId="525" totalsRowDxfId="136">
      <calculatedColumnFormula>Y4/X4</calculatedColumnFormula>
      <totalsRowFormula>Y66/X66</totalsRowFormula>
    </tableColumn>
    <tableColumn id="27" xr3:uid="{00000000-0010-0000-0400-00001B000000}" name="CPS(%)" totalsRowFunction="custom" dataDxfId="524" totalsRowDxfId="135">
      <calculatedColumnFormula>Z4/Y4</calculatedColumnFormula>
      <totalsRowFormula>Z66/Y66</totalsRowFormula>
    </tableColumn>
    <tableColumn id="28" xr3:uid="{00000000-0010-0000-0400-00001C000000}" name="3FT" totalsRowFunction="sum" totalsRowDxfId="134"/>
    <tableColumn id="29" xr3:uid="{00000000-0010-0000-0400-00001D000000}" name="6FT" totalsRowFunction="sum" totalsRowDxfId="133"/>
    <tableColumn id="30" xr3:uid="{00000000-0010-0000-0400-00001E000000}" name="产品成本" totalsRowFunction="sum" dataDxfId="523" totalsRowDxfId="132">
      <calculatedColumnFormula>AG4*产品成本!$D$15+AH4*产品成本!$D$16</calculatedColumnFormula>
    </tableColumn>
    <tableColumn id="31" xr3:uid="{00000000-0010-0000-0400-00001F000000}" name="头程" totalsRowFunction="sum" dataDxfId="522" totalsRowDxfId="131">
      <calculatedColumnFormula>AG4*产品成本!$E$15+AH4*产品成本!$E$16</calculatedColumnFormula>
    </tableColumn>
    <tableColumn id="32" xr3:uid="{00000000-0010-0000-0400-000020000000}" name="入仓费" totalsRowFunction="sum" dataDxfId="521" totalsRowDxfId="130">
      <calculatedColumnFormula>AG4*产品成本!$F$15+AH4*产品成本!$F$16</calculatedColumnFormula>
    </tableColumn>
    <tableColumn id="33" xr3:uid="{00000000-0010-0000-0400-000021000000}" name="FBA物流" totalsRowFunction="sum" dataDxfId="520" totalsRowDxfId="129">
      <calculatedColumnFormula>AG4*产品成本!$G$15+AH4*产品成本!$G$16</calculatedColumnFormula>
    </tableColumn>
    <tableColumn id="34" xr3:uid="{00000000-0010-0000-0400-000022000000}" name="佣金" totalsRowFunction="sum" dataDxfId="519" totalsRowDxfId="128">
      <calculatedColumnFormula>(E4-I4)*0.15</calculatedColumnFormula>
    </tableColumn>
    <tableColumn id="35" xr3:uid="{00000000-0010-0000-0400-000023000000}" name="成本小结" totalsRowFunction="sum" dataDxfId="518" totalsRowDxfId="127">
      <calculatedColumnFormula>SUM(AI4:AM4)</calculatedColumnFormula>
    </tableColumn>
    <tableColumn id="36" xr3:uid="{00000000-0010-0000-0400-000024000000}" name="退款3FT" totalsRowFunction="sum" totalsRowDxfId="126"/>
    <tableColumn id="37" xr3:uid="{00000000-0010-0000-0400-000025000000}" name="退款6FT" totalsRowFunction="sum" totalsRowDxfId="125"/>
    <tableColumn id="38" xr3:uid="{00000000-0010-0000-0400-000026000000}" name="退款_x000a_销售金额" totalsRowFunction="sum" dataDxfId="517" totalsRowDxfId="124">
      <calculatedColumnFormula>L4/(1-0.15-0.15*0.2)</calculatedColumnFormula>
    </tableColumn>
    <tableColumn id="39" xr3:uid="{00000000-0010-0000-0400-000027000000}" name="退款_x000a_产品成本" totalsRowFunction="sum" dataDxfId="516" totalsRowDxfId="123">
      <calculatedColumnFormula>AO4*产品成本!$D$15+AP4*产品成本!$D$16</calculatedColumnFormula>
    </tableColumn>
    <tableColumn id="40" xr3:uid="{00000000-0010-0000-0400-000028000000}" name="退款头程" totalsRowFunction="sum" dataDxfId="515" totalsRowDxfId="122">
      <calculatedColumnFormula>AO4*产品成本!$E$15+AP4*产品成本!$E$16</calculatedColumnFormula>
    </tableColumn>
    <tableColumn id="41" xr3:uid="{00000000-0010-0000-0400-000029000000}" name="退款_x000a_入仓费" totalsRowFunction="sum" dataDxfId="514" totalsRowDxfId="121">
      <calculatedColumnFormula>AO4*产品成本!$F$15+AP4*产品成本!$F$16</calculatedColumnFormula>
    </tableColumn>
    <tableColumn id="42" xr3:uid="{00000000-0010-0000-0400-00002A000000}" name="退款_x000a_FBA物流" totalsRowFunction="sum" totalsRowDxfId="120"/>
    <tableColumn id="43" xr3:uid="{00000000-0010-0000-0400-00002B000000}" name="退款佣金" totalsRowFunction="sum" dataDxfId="513" totalsRowDxfId="119">
      <calculatedColumnFormula>AQ4*0.15</calculatedColumnFormula>
    </tableColumn>
    <tableColumn id="44" xr3:uid="{00000000-0010-0000-0400-00002C000000}" name="退款_x000a_管理费用_x000a_佣金的20%" totalsRowFunction="sum" dataDxfId="512" totalsRowDxfId="118">
      <calculatedColumnFormula>-AV4*0.2</calculatedColumnFormula>
    </tableColumn>
    <tableColumn id="45" xr3:uid="{00000000-0010-0000-0400-00002D000000}" name="退款_x000a_成本小结" totalsRowFunction="sum" dataDxfId="511" totalsRowDxfId="117">
      <calculatedColumnFormula>SUM(AR4:AW4)</calculatedColumnFormula>
    </tableColumn>
    <tableColumn id="46" xr3:uid="{00000000-0010-0000-0400-00002E000000}" name="净成本" totalsRowFunction="sum" totalsRowDxfId="116">
      <calculatedColumnFormula>#REF!-#REF!</calculatedColumnFormula>
    </tableColumn>
    <tableColumn id="57" xr3:uid="{00000000-0010-0000-0400-000039000000}" name="净销售额" totalsRowFunction="sum" dataDxfId="510" totalsRowDxfId="115">
      <calculatedColumnFormula>E4-I4</calculatedColumnFormula>
    </tableColumn>
    <tableColumn id="47" xr3:uid="{00000000-0010-0000-0400-00002F000000}" name="净销售额_x000a_(-退款金额)" totalsRowFunction="sum" dataDxfId="509" totalsRowDxfId="114">
      <calculatedColumnFormula>E4-AQ4-I4</calculatedColumnFormula>
    </tableColumn>
    <tableColumn id="48" xr3:uid="{00000000-0010-0000-0400-000030000000}" name="毛利" totalsRowFunction="sum" dataDxfId="508" totalsRowDxfId="113">
      <calculatedColumnFormula>BA4-AY4-Z4</calculatedColumnFormula>
    </tableColumn>
    <tableColumn id="49" xr3:uid="{00000000-0010-0000-0400-000031000000}" name="毛利率" totalsRowFunction="average" totalsRowDxfId="112">
      <calculatedColumnFormula>#REF!/#REF!</calculatedColumnFormula>
    </tableColumn>
    <tableColumn id="50" xr3:uid="{00000000-0010-0000-0400-000032000000}" name="备注" totalsRowLabel="B0DPL8PXC5 B0DPL8PXC5"/>
    <tableColumn id="51" xr3:uid="{00000000-0010-0000-0400-000033000000}" name="列1"/>
  </tableColumns>
  <tableStyleInfo name="TableStylePreset1_Accent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表3_391410" displayName="表3_391410" ref="A3:BE57" totalsRowCount="1">
  <tableColumns count="57">
    <tableColumn id="1" xr3:uid="{00000000-0010-0000-0500-000001000000}" name="日期" totalsRowLabel="汇总" totalsRowDxfId="111"/>
    <tableColumn id="2" xr3:uid="{00000000-0010-0000-0500-000002000000}" name="周数" totalsRowDxfId="110"/>
    <tableColumn id="3" xr3:uid="{00000000-0010-0000-0500-000003000000}" name="销量" totalsRowFunction="sum" totalsRowDxfId="109"/>
    <tableColumn id="4" xr3:uid="{00000000-0010-0000-0500-000004000000}" name="订单量" totalsRowFunction="sum" totalsRowDxfId="108"/>
    <tableColumn id="5" xr3:uid="{00000000-0010-0000-0500-000005000000}" name="销售额" totalsRowFunction="sum" totalsRowDxfId="107"/>
    <tableColumn id="53" xr3:uid="{00000000-0010-0000-0500-000035000000}" name="促销销量" totalsRowFunction="sum" dataDxfId="507" totalsRowDxfId="106"/>
    <tableColumn id="54" xr3:uid="{00000000-0010-0000-0500-000036000000}" name="促销订单量" totalsRowFunction="sum" dataDxfId="506" totalsRowDxfId="105"/>
    <tableColumn id="55" xr3:uid="{00000000-0010-0000-0500-000037000000}" name="促销销售额" totalsRowFunction="sum" totalsRowDxfId="104"/>
    <tableColumn id="56" xr3:uid="{00000000-0010-0000-0500-000038000000}" name="促销折扣" totalsRowFunction="sum" totalsRowDxfId="103"/>
    <tableColumn id="6" xr3:uid="{00000000-0010-0000-0500-000006000000}" name="退款量" totalsRowFunction="sum" totalsRowDxfId="102"/>
    <tableColumn id="7" xr3:uid="{00000000-0010-0000-0500-000007000000}" name="退款率" totalsRowFunction="custom" dataDxfId="505" totalsRowDxfId="101">
      <calculatedColumnFormula>J4/C4</calculatedColumnFormula>
      <totalsRowFormula>J57/C57</totalsRowFormula>
    </tableColumn>
    <tableColumn id="8" xr3:uid="{00000000-0010-0000-0500-000008000000}" name="退款金额" totalsRowFunction="sum" totalsRowDxfId="100"/>
    <tableColumn id="9" xr3:uid="{00000000-0010-0000-0500-000009000000}" name="销量环比" totalsRowDxfId="99">
      <calculatedColumnFormula>(#REF!-C3)/C3</calculatedColumnFormula>
    </tableColumn>
    <tableColumn id="10" xr3:uid="{00000000-0010-0000-0500-00000A000000}" name="订单环比" totalsRowDxfId="98">
      <calculatedColumnFormula>(#REF!-D3)/D3</calculatedColumnFormula>
    </tableColumn>
    <tableColumn id="11" xr3:uid="{00000000-0010-0000-0500-00000B000000}" name="销售额环比" totalsRowDxfId="97">
      <calculatedColumnFormula>(#REF!-E3)/E3</calculatedColumnFormula>
    </tableColumn>
    <tableColumn id="12" xr3:uid="{00000000-0010-0000-0500-00000C000000}" name="客单_x000a_销量" totalsRowFunction="average" dataDxfId="504" totalsRowDxfId="96">
      <calculatedColumnFormula>C4/D4</calculatedColumnFormula>
    </tableColumn>
    <tableColumn id="13" xr3:uid="{00000000-0010-0000-0500-00000D000000}" name="客单_x000a_价格($)" totalsRowFunction="average" dataDxfId="503" totalsRowDxfId="95">
      <calculatedColumnFormula>E4/D4</calculatedColumnFormula>
    </tableColumn>
    <tableColumn id="14" xr3:uid="{00000000-0010-0000-0500-00000E000000}" name="销售_x000a_均价($)" totalsRowFunction="average" dataDxfId="502" totalsRowDxfId="94">
      <calculatedColumnFormula>E4/C4</calculatedColumnFormula>
    </tableColumn>
    <tableColumn id="52" xr3:uid="{00000000-0010-0000-0500-000034000000}" name="日均_x000a_销量" totalsRowFunction="average" dataDxfId="501" totalsRowDxfId="93">
      <calculatedColumnFormula>G4/7</calculatedColumnFormula>
    </tableColumn>
    <tableColumn id="15" xr3:uid="{00000000-0010-0000-0500-00000F000000}" name="自然_x000a_订单" totalsRowFunction="sum" totalsRowDxfId="92">
      <calculatedColumnFormula>#REF!-#REF!</calculatedColumnFormula>
    </tableColumn>
    <tableColumn id="16" xr3:uid="{00000000-0010-0000-0500-000010000000}" name="自然单_x000a_占比(%)" totalsRowFunction="custom" dataDxfId="500" totalsRowDxfId="91">
      <calculatedColumnFormula>T4/D4</calculatedColumnFormula>
      <totalsRowFormula>T57/D57</totalsRowFormula>
    </tableColumn>
    <tableColumn id="17" xr3:uid="{00000000-0010-0000-0500-000011000000}" name="TAcos_x000a_(%)" totalsRowFunction="average" dataDxfId="499" totalsRowDxfId="90">
      <calculatedColumnFormula>Z4/(E4-I4)</calculatedColumnFormula>
    </tableColumn>
    <tableColumn id="18" xr3:uid="{00000000-0010-0000-0500-000012000000}" name="展示" totalsRowFunction="sum" totalsRowDxfId="89"/>
    <tableColumn id="19" xr3:uid="{00000000-0010-0000-0500-000013000000}" name="点击" totalsRowFunction="sum" totalsRowDxfId="88"/>
    <tableColumn id="20" xr3:uid="{00000000-0010-0000-0500-000014000000}" name="广告订单量" totalsRowFunction="sum" totalsRowDxfId="87"/>
    <tableColumn id="21" xr3:uid="{00000000-0010-0000-0500-000015000000}" name="广告花费" totalsRowFunction="sum" totalsRowDxfId="86"/>
    <tableColumn id="22" xr3:uid="{00000000-0010-0000-0500-000016000000}" name="广告销售额" totalsRowFunction="sum" totalsRowDxfId="85"/>
    <tableColumn id="23" xr3:uid="{00000000-0010-0000-0500-000017000000}" name="CPC" totalsRowFunction="average" totalsRowDxfId="84"/>
    <tableColumn id="24" xr3:uid="{00000000-0010-0000-0500-000018000000}" name="Acos(%)" totalsRowFunction="custom" dataDxfId="498" totalsRowDxfId="83">
      <calculatedColumnFormula>Z4/AA4</calculatedColumnFormula>
      <totalsRowFormula>Z57/AA57</totalsRowFormula>
    </tableColumn>
    <tableColumn id="25" xr3:uid="{00000000-0010-0000-0500-000019000000}" name="CTR(%)" totalsRowFunction="custom" dataDxfId="497" totalsRowDxfId="82">
      <calculatedColumnFormula>X4/W4</calculatedColumnFormula>
      <totalsRowFormula>X57/W57</totalsRowFormula>
    </tableColumn>
    <tableColumn id="26" xr3:uid="{00000000-0010-0000-0500-00001A000000}" name="CVR(%)" totalsRowFunction="custom" dataDxfId="496" totalsRowDxfId="81">
      <calculatedColumnFormula>Y4/X4</calculatedColumnFormula>
      <totalsRowFormula>Y57/X57</totalsRowFormula>
    </tableColumn>
    <tableColumn id="27" xr3:uid="{00000000-0010-0000-0500-00001B000000}" name="CPS(%)" totalsRowFunction="custom" dataDxfId="495" totalsRowDxfId="80">
      <calculatedColumnFormula>Z4/Y4</calculatedColumnFormula>
      <totalsRowFormula>Z57/Y57</totalsRowFormula>
    </tableColumn>
    <tableColumn id="28" xr3:uid="{00000000-0010-0000-0500-00001C000000}" name="AL" totalsRowFunction="sum" totalsRowDxfId="79"/>
    <tableColumn id="29" xr3:uid="{00000000-0010-0000-0500-00001D000000}" name="ZN" totalsRowFunction="sum" totalsRowDxfId="78"/>
    <tableColumn id="30" xr3:uid="{00000000-0010-0000-0500-00001E000000}" name="产品成本" totalsRowFunction="sum" dataDxfId="494" totalsRowDxfId="77">
      <calculatedColumnFormula>AG4*产品成本!$D$17+AH4*产品成本!$D$18</calculatedColumnFormula>
    </tableColumn>
    <tableColumn id="31" xr3:uid="{00000000-0010-0000-0500-00001F000000}" name="头程" totalsRowFunction="sum" dataDxfId="493" totalsRowDxfId="76">
      <calculatedColumnFormula>AG4*产品成本!$E$17+AH4*产品成本!$E$18</calculatedColumnFormula>
    </tableColumn>
    <tableColumn id="32" xr3:uid="{00000000-0010-0000-0500-000020000000}" name="入仓费" totalsRowFunction="sum" dataDxfId="492" totalsRowDxfId="75">
      <calculatedColumnFormula>AG4*产品成本!$F$17+AH4*产品成本!$F$18</calculatedColumnFormula>
    </tableColumn>
    <tableColumn id="33" xr3:uid="{00000000-0010-0000-0500-000021000000}" name="FBA物流" totalsRowFunction="sum" dataDxfId="491" totalsRowDxfId="74">
      <calculatedColumnFormula>AG4*产品成本!$G$17+AH4*产品成本!$G$18</calculatedColumnFormula>
    </tableColumn>
    <tableColumn id="34" xr3:uid="{00000000-0010-0000-0500-000022000000}" name="佣金" totalsRowFunction="sum" dataDxfId="490" totalsRowDxfId="73">
      <calculatedColumnFormula>(E4-I4)*0.15</calculatedColumnFormula>
    </tableColumn>
    <tableColumn id="35" xr3:uid="{00000000-0010-0000-0500-000023000000}" name="成本小结" totalsRowFunction="sum" dataDxfId="489" totalsRowDxfId="72">
      <calculatedColumnFormula>SUM(AI4:AM4)</calculatedColumnFormula>
    </tableColumn>
    <tableColumn id="36" xr3:uid="{00000000-0010-0000-0500-000024000000}" name="退款AL" totalsRowFunction="sum" totalsRowDxfId="71"/>
    <tableColumn id="37" xr3:uid="{00000000-0010-0000-0500-000025000000}" name="退款ZN" totalsRowFunction="sum" totalsRowDxfId="70"/>
    <tableColumn id="38" xr3:uid="{00000000-0010-0000-0500-000026000000}" name="退款_x000a_销售金额" totalsRowFunction="sum" dataDxfId="488" totalsRowDxfId="69">
      <calculatedColumnFormula>AO4*产品成本!$D$17+AP4*产品成本!$D$18</calculatedColumnFormula>
    </tableColumn>
    <tableColumn id="39" xr3:uid="{00000000-0010-0000-0500-000027000000}" name="退款_x000a_产品成本" totalsRowFunction="sum" dataDxfId="487" totalsRowDxfId="68">
      <calculatedColumnFormula>AO4*产品成本!$E$17+AP4*产品成本!$E$18</calculatedColumnFormula>
    </tableColumn>
    <tableColumn id="40" xr3:uid="{00000000-0010-0000-0500-000028000000}" name="退款头程" totalsRowFunction="sum" dataDxfId="486" totalsRowDxfId="67">
      <calculatedColumnFormula>AO4*产品成本!$F$17+AP4*产品成本!$F$18</calculatedColumnFormula>
    </tableColumn>
    <tableColumn id="41" xr3:uid="{00000000-0010-0000-0500-000029000000}" name="退款_x000a_入仓费" totalsRowFunction="sum" dataDxfId="485" totalsRowDxfId="66">
      <calculatedColumnFormula>AO4*产品成本!$G$17+AP4*产品成本!$G$18</calculatedColumnFormula>
    </tableColumn>
    <tableColumn id="42" xr3:uid="{00000000-0010-0000-0500-00002A000000}" name="退款_x000a_FBA物流" totalsRowFunction="sum" totalsRowDxfId="65"/>
    <tableColumn id="43" xr3:uid="{00000000-0010-0000-0500-00002B000000}" name="退款佣金" totalsRowFunction="sum" dataDxfId="484" totalsRowDxfId="64">
      <calculatedColumnFormula>AQ4*0.15</calculatedColumnFormula>
    </tableColumn>
    <tableColumn id="44" xr3:uid="{00000000-0010-0000-0500-00002C000000}" name="退款_x000a_管理费用_x000a_佣金的20%" totalsRowFunction="sum" dataDxfId="483" totalsRowDxfId="63">
      <calculatedColumnFormula>-AV4*0.2</calculatedColumnFormula>
    </tableColumn>
    <tableColumn id="45" xr3:uid="{00000000-0010-0000-0500-00002D000000}" name="退款_x000a_成本小结" totalsRowFunction="sum" totalsRowDxfId="62">
      <calculatedColumnFormula>SUM(#REF!)</calculatedColumnFormula>
    </tableColumn>
    <tableColumn id="46" xr3:uid="{00000000-0010-0000-0500-00002E000000}" name="净成本" totalsRowFunction="sum" totalsRowDxfId="61">
      <calculatedColumnFormula>#REF!-#REF!</calculatedColumnFormula>
    </tableColumn>
    <tableColumn id="57" xr3:uid="{00000000-0010-0000-0500-000039000000}" name="净销售额" totalsRowFunction="var" dataDxfId="482" totalsRowDxfId="60">
      <calculatedColumnFormula>E4-I4</calculatedColumnFormula>
    </tableColumn>
    <tableColumn id="47" xr3:uid="{00000000-0010-0000-0500-00002F000000}" name="净销售额_x000a_(-退款金额)" totalsRowFunction="sum" dataDxfId="481" totalsRowDxfId="59">
      <calculatedColumnFormula>E4-AQ4-I4</calculatedColumnFormula>
    </tableColumn>
    <tableColumn id="48" xr3:uid="{00000000-0010-0000-0500-000030000000}" name="毛利" totalsRowFunction="sum" totalsRowDxfId="58">
      <calculatedColumnFormula>#REF!-#REF!-#REF!</calculatedColumnFormula>
    </tableColumn>
    <tableColumn id="49" xr3:uid="{00000000-0010-0000-0500-000031000000}" name="毛利率" totalsRowFunction="average" totalsRowDxfId="57">
      <calculatedColumnFormula>#REF!/#REF!</calculatedColumnFormula>
    </tableColumn>
    <tableColumn id="50" xr3:uid="{00000000-0010-0000-0500-000032000000}" name="备注"/>
    <tableColumn id="51" xr3:uid="{00000000-0010-0000-0500-000033000000}" name="列1"/>
  </tableColumns>
  <tableStyleInfo name="TableStylePreset1_Accent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表3_39141016" displayName="表3_39141016" ref="A3:BG44" totalsRowCount="1">
  <tableColumns count="59">
    <tableColumn id="1" xr3:uid="{00000000-0010-0000-0600-000001000000}" name="日期" totalsRowLabel="汇总" totalsRowDxfId="56"/>
    <tableColumn id="2" xr3:uid="{00000000-0010-0000-0600-000002000000}" name="周数" totalsRowDxfId="55"/>
    <tableColumn id="3" xr3:uid="{00000000-0010-0000-0600-000003000000}" name="销量" totalsRowFunction="sum" totalsRowDxfId="54"/>
    <tableColumn id="4" xr3:uid="{00000000-0010-0000-0600-000004000000}" name="订单量" totalsRowFunction="sum" totalsRowDxfId="53"/>
    <tableColumn id="5" xr3:uid="{00000000-0010-0000-0600-000005000000}" name="销售额" totalsRowFunction="sum" totalsRowDxfId="52"/>
    <tableColumn id="6" xr3:uid="{00000000-0010-0000-0600-000006000000}" name="促销销量" totalsRowFunction="sum" totalsRowDxfId="51"/>
    <tableColumn id="7" xr3:uid="{00000000-0010-0000-0600-000007000000}" name="促销订单量" totalsRowFunction="sum" totalsRowDxfId="50"/>
    <tableColumn id="8" xr3:uid="{00000000-0010-0000-0600-000008000000}" name="促销销售额" totalsRowFunction="sum" totalsRowDxfId="49"/>
    <tableColumn id="9" xr3:uid="{00000000-0010-0000-0600-000009000000}" name="促销折扣" totalsRowFunction="sum" totalsRowDxfId="48"/>
    <tableColumn id="10" xr3:uid="{00000000-0010-0000-0600-00000A000000}" name="退款量" totalsRowFunction="sum" totalsRowDxfId="47"/>
    <tableColumn id="11" xr3:uid="{00000000-0010-0000-0600-00000B000000}" name="退款率" totalsRowFunction="custom" totalsRowDxfId="46">
      <calculatedColumnFormula>J6/C6</calculatedColumnFormula>
      <totalsRowFormula>J44/C44</totalsRowFormula>
    </tableColumn>
    <tableColumn id="12" xr3:uid="{00000000-0010-0000-0600-00000C000000}" name="退款金额" totalsRowFunction="sum" totalsRowDxfId="45"/>
    <tableColumn id="13" xr3:uid="{00000000-0010-0000-0600-00000D000000}" name="销量环比" totalsRowDxfId="44">
      <calculatedColumnFormula>(#REF!-C3)/C3</calculatedColumnFormula>
    </tableColumn>
    <tableColumn id="14" xr3:uid="{00000000-0010-0000-0600-00000E000000}" name="订单环比" totalsRowDxfId="43">
      <calculatedColumnFormula>(#REF!-D3)/D3</calculatedColumnFormula>
    </tableColumn>
    <tableColumn id="15" xr3:uid="{00000000-0010-0000-0600-00000F000000}" name="销售额环比" totalsRowDxfId="42">
      <calculatedColumnFormula>(#REF!-E3)/E3</calculatedColumnFormula>
    </tableColumn>
    <tableColumn id="16" xr3:uid="{00000000-0010-0000-0600-000010000000}" name="客单_x000a_销量" totalsRowFunction="average" totalsRowDxfId="41">
      <calculatedColumnFormula>#REF!/#REF!</calculatedColumnFormula>
    </tableColumn>
    <tableColumn id="17" xr3:uid="{00000000-0010-0000-0600-000011000000}" name="客单_x000a_价格($)" totalsRowFunction="average" totalsRowDxfId="40">
      <calculatedColumnFormula>#REF!/#REF!</calculatedColumnFormula>
    </tableColumn>
    <tableColumn id="18" xr3:uid="{00000000-0010-0000-0600-000012000000}" name="销售_x000a_均价($)" totalsRowFunction="average" dataDxfId="480" totalsRowDxfId="39">
      <calculatedColumnFormula>#REF!/#REF!</calculatedColumnFormula>
    </tableColumn>
    <tableColumn id="19" xr3:uid="{00000000-0010-0000-0600-000013000000}" name="日均_x000a_销量" totalsRowFunction="average" totalsRowDxfId="38">
      <calculatedColumnFormula>#REF!/7</calculatedColumnFormula>
    </tableColumn>
    <tableColumn id="20" xr3:uid="{00000000-0010-0000-0600-000014000000}" name="自然_x000a_订单" totalsRowFunction="sum" totalsRowDxfId="37">
      <calculatedColumnFormula>#REF!-#REF!</calculatedColumnFormula>
    </tableColumn>
    <tableColumn id="21" xr3:uid="{00000000-0010-0000-0600-000015000000}" name="自然单_x000a_占比(%)" totalsRowFunction="custom" totalsRowDxfId="36">
      <calculatedColumnFormula>#REF!/#REF!</calculatedColumnFormula>
      <totalsRowFormula>T44/D44</totalsRowFormula>
    </tableColumn>
    <tableColumn id="22" xr3:uid="{00000000-0010-0000-0600-000016000000}" name="TAcos_x000a_(%)" totalsRowFunction="average" dataDxfId="479" totalsRowDxfId="35">
      <calculatedColumnFormula>#REF!/(#REF!-#REF!)</calculatedColumnFormula>
    </tableColumn>
    <tableColumn id="23" xr3:uid="{00000000-0010-0000-0600-000017000000}" name="展示" totalsRowFunction="sum" totalsRowDxfId="34"/>
    <tableColumn id="24" xr3:uid="{00000000-0010-0000-0600-000018000000}" name="点击" totalsRowFunction="sum" totalsRowDxfId="33"/>
    <tableColumn id="25" xr3:uid="{00000000-0010-0000-0600-000019000000}" name="广告订单量" totalsRowFunction="sum" totalsRowDxfId="32"/>
    <tableColumn id="26" xr3:uid="{00000000-0010-0000-0600-00001A000000}" name="广告花费" totalsRowFunction="sum" totalsRowDxfId="31"/>
    <tableColumn id="27" xr3:uid="{00000000-0010-0000-0600-00001B000000}" name="广告销售额" totalsRowFunction="sum" totalsRowDxfId="30"/>
    <tableColumn id="28" xr3:uid="{00000000-0010-0000-0600-00001C000000}" name="CPC" totalsRowFunction="average" totalsRowDxfId="29"/>
    <tableColumn id="29" xr3:uid="{00000000-0010-0000-0600-00001D000000}" name="Acos(%)" totalsRowFunction="custom" totalsRowDxfId="28">
      <calculatedColumnFormula>Z6/AA6</calculatedColumnFormula>
      <totalsRowFormula>Z44/AA44</totalsRowFormula>
    </tableColumn>
    <tableColumn id="30" xr3:uid="{00000000-0010-0000-0600-00001E000000}" name="CTR(%)" totalsRowFunction="custom" dataDxfId="478" totalsRowDxfId="27">
      <calculatedColumnFormula>X4/W4</calculatedColumnFormula>
      <totalsRowFormula>X44/W44</totalsRowFormula>
    </tableColumn>
    <tableColumn id="31" xr3:uid="{00000000-0010-0000-0600-00001F000000}" name="CVR(%)" totalsRowFunction="custom" dataDxfId="477" totalsRowDxfId="26">
      <calculatedColumnFormula>Y4/X4</calculatedColumnFormula>
      <totalsRowFormula>Y44/X44</totalsRowFormula>
    </tableColumn>
    <tableColumn id="32" xr3:uid="{00000000-0010-0000-0600-000020000000}" name="CPS(%)" totalsRowFunction="custom" dataDxfId="476" totalsRowDxfId="25">
      <calculatedColumnFormula>Z4/Y4</calculatedColumnFormula>
      <totalsRowFormula>Z44/Y44</totalsRowFormula>
    </tableColumn>
    <tableColumn id="33" xr3:uid="{00000000-0010-0000-0600-000021000000}" name="SFM 1" totalsRowFunction="sum" totalsRowDxfId="24"/>
    <tableColumn id="58" xr3:uid="{00000000-0010-0000-0600-00003A000000}" name="SFM 2" totalsRowFunction="sum" totalsRowDxfId="23"/>
    <tableColumn id="34" xr3:uid="{00000000-0010-0000-0600-000022000000}" name="SFM 3" totalsRowFunction="sum" totalsRowDxfId="22"/>
    <tableColumn id="35" xr3:uid="{00000000-0010-0000-0600-000023000000}" name="产品成本" totalsRowFunction="sum" dataDxfId="475" totalsRowDxfId="21">
      <calculatedColumnFormula>AG4*产品成本!$D$19+AH4*产品成本!$D$20+AI4*产品成本!$D$21</calculatedColumnFormula>
    </tableColumn>
    <tableColumn id="36" xr3:uid="{00000000-0010-0000-0600-000024000000}" name="头程" totalsRowFunction="sum" dataDxfId="474" totalsRowDxfId="20">
      <calculatedColumnFormula>AG4*产品成本!$E$19+AH4*产品成本!$E$20+AI4*产品成本!$E$21</calculatedColumnFormula>
    </tableColumn>
    <tableColumn id="37" xr3:uid="{00000000-0010-0000-0600-000025000000}" name="入仓费" totalsRowFunction="sum" dataDxfId="473" totalsRowDxfId="19">
      <calculatedColumnFormula>AG4*产品成本!$F$19+AH4*产品成本!$F$20+AI4*产品成本!$F$21</calculatedColumnFormula>
    </tableColumn>
    <tableColumn id="38" xr3:uid="{00000000-0010-0000-0600-000026000000}" name="FBA物流" totalsRowFunction="sum" dataDxfId="472" totalsRowDxfId="18">
      <calculatedColumnFormula>AG4*产品成本!$G$19+AH4*产品成本!$G$20+AI4*产品成本!$G$21</calculatedColumnFormula>
    </tableColumn>
    <tableColumn id="39" xr3:uid="{00000000-0010-0000-0600-000027000000}" name="佣金" totalsRowFunction="sum" dataDxfId="471" totalsRowDxfId="17">
      <calculatedColumnFormula>(E4-I4)*0.15</calculatedColumnFormula>
    </tableColumn>
    <tableColumn id="40" xr3:uid="{00000000-0010-0000-0600-000028000000}" name="成本小结" totalsRowFunction="sum" dataDxfId="470" totalsRowDxfId="16">
      <calculatedColumnFormula>SUM(AJ4:AN4)</calculatedColumnFormula>
    </tableColumn>
    <tableColumn id="41" xr3:uid="{00000000-0010-0000-0600-000029000000}" name="退款SFM 1" totalsRowFunction="sum" totalsRowDxfId="15"/>
    <tableColumn id="59" xr3:uid="{00000000-0010-0000-0600-00003B000000}" name="退款SFM 2" totalsRowFunction="sum" totalsRowDxfId="14"/>
    <tableColumn id="42" xr3:uid="{00000000-0010-0000-0600-00002A000000}" name="退款SFM 3" totalsRowFunction="sum" totalsRowDxfId="13"/>
    <tableColumn id="43" xr3:uid="{00000000-0010-0000-0600-00002B000000}" name="退款_x000a_销售金额" totalsRowFunction="sum" dataDxfId="469" totalsRowDxfId="12">
      <calculatedColumnFormula>L4/(1-0.15-0.15*0.2)</calculatedColumnFormula>
    </tableColumn>
    <tableColumn id="44" xr3:uid="{00000000-0010-0000-0600-00002C000000}" name="退款_x000a_产品成本" totalsRowFunction="sum" dataDxfId="468" totalsRowDxfId="11">
      <calculatedColumnFormula>AP6*产品成本!$D$19+AQ6*产品成本!$D$20+AR6*产品成本!$D$21</calculatedColumnFormula>
    </tableColumn>
    <tableColumn id="45" xr3:uid="{00000000-0010-0000-0600-00002D000000}" name="退款头程" totalsRowFunction="sum" dataDxfId="467" totalsRowDxfId="10">
      <calculatedColumnFormula>AP6*产品成本!$E$19+AQ6*产品成本!$E$20+AR6*产品成本!$E$21</calculatedColumnFormula>
    </tableColumn>
    <tableColumn id="46" xr3:uid="{00000000-0010-0000-0600-00002E000000}" name="退款_x000a_入仓费" totalsRowFunction="sum" dataDxfId="466" totalsRowDxfId="9">
      <calculatedColumnFormula>AP6*产品成本!$F$19+AQ6*产品成本!$F$20+AR6*产品成本!$F$21</calculatedColumnFormula>
    </tableColumn>
    <tableColumn id="47" xr3:uid="{00000000-0010-0000-0600-00002F000000}" name="退款_x000a_FBA物流" totalsRowFunction="sum" dataDxfId="465" totalsRowDxfId="8">
      <calculatedColumnFormula>AP6*产品成本!$G$19+AQ6*产品成本!$G$20+AR6*产品成本!$G$21</calculatedColumnFormula>
    </tableColumn>
    <tableColumn id="48" xr3:uid="{00000000-0010-0000-0600-000030000000}" name="退款佣金" totalsRowFunction="sum" dataDxfId="464" totalsRowDxfId="7">
      <calculatedColumnFormula>AS6*0.15</calculatedColumnFormula>
    </tableColumn>
    <tableColumn id="49" xr3:uid="{00000000-0010-0000-0600-000031000000}" name="退款_x000a_管理费用_x000a_佣金的20%" totalsRowFunction="sum" dataDxfId="463" totalsRowDxfId="6">
      <calculatedColumnFormula>-AX6*0.2</calculatedColumnFormula>
    </tableColumn>
    <tableColumn id="50" xr3:uid="{00000000-0010-0000-0600-000032000000}" name="退款_x000a_成本小结" totalsRowFunction="sum" totalsRowDxfId="5">
      <calculatedColumnFormula>SUM(AT6:AY6)</calculatedColumnFormula>
    </tableColumn>
    <tableColumn id="51" xr3:uid="{00000000-0010-0000-0600-000033000000}" name="净成本" totalsRowFunction="sum" dataDxfId="462" totalsRowDxfId="4">
      <calculatedColumnFormula>AO6-AZ6</calculatedColumnFormula>
    </tableColumn>
    <tableColumn id="52" xr3:uid="{00000000-0010-0000-0600-000034000000}" name="净销售额" totalsRowFunction="var" totalsRowDxfId="3">
      <calculatedColumnFormula>E6-I6</calculatedColumnFormula>
    </tableColumn>
    <tableColumn id="53" xr3:uid="{00000000-0010-0000-0600-000035000000}" name="净销售额_x000a_(-退款金额)" totalsRowFunction="sum" dataDxfId="461" totalsRowDxfId="2">
      <calculatedColumnFormula>E4-AS4-I4</calculatedColumnFormula>
    </tableColumn>
    <tableColumn id="54" xr3:uid="{00000000-0010-0000-0600-000036000000}" name="毛利" totalsRowFunction="sum" dataDxfId="460" totalsRowDxfId="1">
      <calculatedColumnFormula>BC4-BA4-Z4</calculatedColumnFormula>
    </tableColumn>
    <tableColumn id="55" xr3:uid="{00000000-0010-0000-0600-000037000000}" name="毛利率" totalsRowFunction="average" totalsRowDxfId="0">
      <calculatedColumnFormula>BD6/BC6</calculatedColumnFormula>
    </tableColumn>
    <tableColumn id="56" xr3:uid="{00000000-0010-0000-0600-000038000000}" name="备注" dataDxfId="459"/>
    <tableColumn id="57" xr3:uid="{00000000-0010-0000-0600-000039000000}" name="列1"/>
  </tableColumns>
  <tableStyleInfo name="TableStylePreset1_Accent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表3_3212" displayName="表3_3212" ref="A3:X75" totalsRowCount="1">
  <tableColumns count="24">
    <tableColumn id="1" xr3:uid="{00000000-0010-0000-0700-000001000000}" name="日期" totalsRowLabel="汇总"/>
    <tableColumn id="2" xr3:uid="{00000000-0010-0000-0700-000002000000}" name="周数"/>
    <tableColumn id="3" xr3:uid="{00000000-0010-0000-0700-000003000000}" name="销量" totalsRowFunction="custom">
      <calculatedColumnFormula>SL!C4</calculatedColumnFormula>
      <totalsRowFormula>SL!C78</totalsRowFormula>
    </tableColumn>
    <tableColumn id="4" xr3:uid="{00000000-0010-0000-0700-000004000000}" name="订单量" totalsRowFunction="sum">
      <calculatedColumnFormula>SL!D4</calculatedColumnFormula>
    </tableColumn>
    <tableColumn id="5" xr3:uid="{00000000-0010-0000-0700-000005000000}" name="销售额" totalsRowFunction="custom">
      <calculatedColumnFormula>SL!E4</calculatedColumnFormula>
      <totalsRowFormula>SL!E78</totalsRowFormula>
    </tableColumn>
    <tableColumn id="6" xr3:uid="{00000000-0010-0000-0700-000006000000}" name="Sessions-Browser" totalsRowFunction="sum"/>
    <tableColumn id="7" xr3:uid="{00000000-0010-0000-0700-000007000000}" name="Sessions-Mobile" totalsRowFunction="sum"/>
    <tableColumn id="8" xr3:uid="{00000000-0010-0000-0700-000008000000}" name="Sessions-Total" totalsRowFunction="sum"/>
    <tableColumn id="9" xr3:uid="{00000000-0010-0000-0700-000009000000}" name="PV-Browser" totalsRowFunction="sum">
      <calculatedColumnFormula>D4-P4</calculatedColumnFormula>
    </tableColumn>
    <tableColumn id="10" xr3:uid="{00000000-0010-0000-0700-00000A000000}" name="PV-Mobile" totalsRowFunction="sum"/>
    <tableColumn id="11" xr3:uid="{00000000-0010-0000-0700-00000B000000}" name="PV-Total" totalsRowFunction="average"/>
    <tableColumn id="12" xr3:uid="{00000000-0010-0000-0700-00000C000000}" name="CVR" totalsRowFunction="custom" dataDxfId="458">
      <calculatedColumnFormula>D4/H4</calculatedColumnFormula>
      <totalsRowFormula>D75/H75</totalsRowFormula>
    </tableColumn>
    <tableColumn id="13" xr3:uid="{00000000-0010-0000-0700-00000D000000}" name="TAcos" totalsRowFunction="custom" dataDxfId="457">
      <calculatedColumnFormula>Q4/E4</calculatedColumnFormula>
      <totalsRowFormula>Q75/E75</totalsRowFormula>
    </tableColumn>
    <tableColumn id="14" xr3:uid="{00000000-0010-0000-0700-00000E000000}" name="展示" totalsRowFunction="sum">
      <calculatedColumnFormula>SL!W4</calculatedColumnFormula>
    </tableColumn>
    <tableColumn id="15" xr3:uid="{00000000-0010-0000-0700-00000F000000}" name="点击" totalsRowFunction="sum">
      <calculatedColumnFormula>SL!X4</calculatedColumnFormula>
    </tableColumn>
    <tableColumn id="16" xr3:uid="{00000000-0010-0000-0700-000010000000}" name="广告订单量" totalsRowFunction="sum">
      <calculatedColumnFormula>SL!Y4</calculatedColumnFormula>
    </tableColumn>
    <tableColumn id="17" xr3:uid="{00000000-0010-0000-0700-000011000000}" name="广告花费" totalsRowFunction="sum">
      <calculatedColumnFormula>SL!Z4</calculatedColumnFormula>
    </tableColumn>
    <tableColumn id="18" xr3:uid="{00000000-0010-0000-0700-000012000000}" name="广告销售额" totalsRowFunction="sum">
      <calculatedColumnFormula>SL!AA4</calculatedColumnFormula>
    </tableColumn>
    <tableColumn id="19" xr3:uid="{00000000-0010-0000-0700-000013000000}" name="CPC" totalsRowFunction="average">
      <calculatedColumnFormula>SL!AB4</calculatedColumnFormula>
    </tableColumn>
    <tableColumn id="20" xr3:uid="{00000000-0010-0000-0700-000014000000}" name="Acos(%)" totalsRowFunction="custom" dataDxfId="456">
      <calculatedColumnFormula>Q4/R4</calculatedColumnFormula>
      <totalsRowFormula>Q75/R75</totalsRowFormula>
    </tableColumn>
    <tableColumn id="21" xr3:uid="{00000000-0010-0000-0700-000015000000}" name="CTR(%)" totalsRowFunction="custom" dataDxfId="455">
      <calculatedColumnFormula>O4/N4</calculatedColumnFormula>
      <totalsRowFormula>O75/N75</totalsRowFormula>
    </tableColumn>
    <tableColumn id="22" xr3:uid="{00000000-0010-0000-0700-000016000000}" name="CVR(%)" totalsRowFunction="custom" dataDxfId="454">
      <calculatedColumnFormula>P4/O4</calculatedColumnFormula>
      <totalsRowFormula>P75/O75</totalsRowFormula>
    </tableColumn>
    <tableColumn id="23" xr3:uid="{00000000-0010-0000-0700-000017000000}" name="CPS(%)" totalsRowFunction="custom" dataDxfId="453">
      <calculatedColumnFormula>Q4/P4</calculatedColumnFormula>
      <totalsRowFormula>Q75/P75</totalsRowFormula>
    </tableColumn>
    <tableColumn id="24" xr3:uid="{00000000-0010-0000-0700-000018000000}" name="平均CVR" dataDxfId="452">
      <calculatedColumnFormula>$L$75</calculatedColumnFormula>
    </tableColumn>
  </tableColumns>
  <tableStyleInfo name="TableStylePreset1_Dark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8000000}" name="表3_3254" displayName="表3_3254" ref="A3:W75" totalsRowCount="1">
  <tableColumns count="23">
    <tableColumn id="1" xr3:uid="{00000000-0010-0000-0800-000001000000}" name="日期" totalsRowLabel="汇总"/>
    <tableColumn id="2" xr3:uid="{00000000-0010-0000-0800-000002000000}" name="周数"/>
    <tableColumn id="3" xr3:uid="{00000000-0010-0000-0800-000003000000}" name="销量" totalsRowFunction="sum">
      <calculatedColumnFormula>Toy!C4</calculatedColumnFormula>
    </tableColumn>
    <tableColumn id="4" xr3:uid="{00000000-0010-0000-0800-000004000000}" name="订单量" totalsRowFunction="sum">
      <calculatedColumnFormula>Toy!D4</calculatedColumnFormula>
    </tableColumn>
    <tableColumn id="5" xr3:uid="{00000000-0010-0000-0800-000005000000}" name="销售额" totalsRowFunction="sum">
      <calculatedColumnFormula>Toy!E4</calculatedColumnFormula>
    </tableColumn>
    <tableColumn id="6" xr3:uid="{00000000-0010-0000-0800-000006000000}" name="Sessions-Browser" totalsRowFunction="average"/>
    <tableColumn id="7" xr3:uid="{00000000-0010-0000-0800-000007000000}" name="Sessions-Mobile" totalsRowFunction="average"/>
    <tableColumn id="8" xr3:uid="{00000000-0010-0000-0800-000008000000}" name="Sessions-Total" totalsRowFunction="average"/>
    <tableColumn id="9" xr3:uid="{00000000-0010-0000-0800-000009000000}" name="PV-Browser" totalsRowFunction="average"/>
    <tableColumn id="10" xr3:uid="{00000000-0010-0000-0800-00000A000000}" name="PV-Mobile" totalsRowFunction="average"/>
    <tableColumn id="11" xr3:uid="{00000000-0010-0000-0800-00000B000000}" name="PV-Total" totalsRowFunction="average"/>
    <tableColumn id="12" xr3:uid="{00000000-0010-0000-0800-00000C000000}" name="CVR" totalsRowFunction="average" dataDxfId="451">
      <calculatedColumnFormula>D4/H4</calculatedColumnFormula>
    </tableColumn>
    <tableColumn id="13" xr3:uid="{00000000-0010-0000-0800-00000D000000}" name="TAcos" totalsRowFunction="custom" dataDxfId="450">
      <calculatedColumnFormula>Q4/E4</calculatedColumnFormula>
      <totalsRowFormula>Q75/E75</totalsRowFormula>
    </tableColumn>
    <tableColumn id="14" xr3:uid="{00000000-0010-0000-0800-00000E000000}" name="展示" totalsRowFunction="sum">
      <calculatedColumnFormula>Toy!W4</calculatedColumnFormula>
    </tableColumn>
    <tableColumn id="15" xr3:uid="{00000000-0010-0000-0800-00000F000000}" name="点击" totalsRowFunction="sum">
      <calculatedColumnFormula>Toy!X4</calculatedColumnFormula>
    </tableColumn>
    <tableColumn id="16" xr3:uid="{00000000-0010-0000-0800-000010000000}" name="广告订单量" totalsRowFunction="sum">
      <calculatedColumnFormula>Toy!Y4</calculatedColumnFormula>
    </tableColumn>
    <tableColumn id="17" xr3:uid="{00000000-0010-0000-0800-000011000000}" name="广告花费" totalsRowFunction="sum">
      <calculatedColumnFormula>Toy!Z4</calculatedColumnFormula>
    </tableColumn>
    <tableColumn id="18" xr3:uid="{00000000-0010-0000-0800-000012000000}" name="广告销售额" totalsRowFunction="sum">
      <calculatedColumnFormula>Toy!AA4</calculatedColumnFormula>
    </tableColumn>
    <tableColumn id="19" xr3:uid="{00000000-0010-0000-0800-000013000000}" name="CPC" totalsRowFunction="average">
      <calculatedColumnFormula>Toy!AB4</calculatedColumnFormula>
    </tableColumn>
    <tableColumn id="20" xr3:uid="{00000000-0010-0000-0800-000014000000}" name="Acos(%)" totalsRowFunction="custom" dataDxfId="449">
      <calculatedColumnFormula>Q4/R4</calculatedColumnFormula>
      <totalsRowFormula>Q75/R75</totalsRowFormula>
    </tableColumn>
    <tableColumn id="21" xr3:uid="{00000000-0010-0000-0800-000015000000}" name="CTR(%)" totalsRowFunction="custom" dataDxfId="448">
      <calculatedColumnFormula>O4/N4</calculatedColumnFormula>
      <totalsRowFormula>O75/N75</totalsRowFormula>
    </tableColumn>
    <tableColumn id="22" xr3:uid="{00000000-0010-0000-0800-000016000000}" name="CVR(%)" totalsRowFunction="custom" dataDxfId="447">
      <calculatedColumnFormula>P4/O4</calculatedColumnFormula>
      <totalsRowFormula>P75/O75</totalsRowFormula>
    </tableColumn>
    <tableColumn id="23" xr3:uid="{00000000-0010-0000-0800-000017000000}" name="CPS(%)" totalsRowFunction="custom" dataDxfId="446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9000000}" name="表3_325419" displayName="表3_325419" ref="A3:W20" totalsRowCount="1">
  <tableColumns count="23">
    <tableColumn id="1" xr3:uid="{00000000-0010-0000-0900-000001000000}" name="日期" totalsRowLabel="汇总"/>
    <tableColumn id="2" xr3:uid="{00000000-0010-0000-0900-000002000000}" name="周数"/>
    <tableColumn id="3" xr3:uid="{00000000-0010-0000-0900-000003000000}" name="销量" totalsRowFunction="sum" dataDxfId="445">
      <calculatedColumnFormula>ToyDH!C4</calculatedColumnFormula>
    </tableColumn>
    <tableColumn id="4" xr3:uid="{00000000-0010-0000-0900-000004000000}" name="订单量" totalsRowFunction="sum" dataDxfId="444">
      <calculatedColumnFormula>ToyDH!D4</calculatedColumnFormula>
    </tableColumn>
    <tableColumn id="5" xr3:uid="{00000000-0010-0000-0900-000005000000}" name="销售额" totalsRowFunction="sum" dataDxfId="443">
      <calculatedColumnFormula>ToyDH!E4</calculatedColumnFormula>
    </tableColumn>
    <tableColumn id="6" xr3:uid="{00000000-0010-0000-0900-000006000000}" name="Sessions-Browser" totalsRowFunction="average"/>
    <tableColumn id="7" xr3:uid="{00000000-0010-0000-0900-000007000000}" name="Sessions-Mobile" totalsRowFunction="average"/>
    <tableColumn id="8" xr3:uid="{00000000-0010-0000-0900-000008000000}" name="Sessions-Total" totalsRowFunction="average"/>
    <tableColumn id="9" xr3:uid="{00000000-0010-0000-0900-000009000000}" name="PV-Browser" totalsRowFunction="average"/>
    <tableColumn id="10" xr3:uid="{00000000-0010-0000-0900-00000A000000}" name="PV-Mobile" totalsRowFunction="average"/>
    <tableColumn id="11" xr3:uid="{00000000-0010-0000-0900-00000B000000}" name="PV-Total" totalsRowFunction="average"/>
    <tableColumn id="12" xr3:uid="{00000000-0010-0000-0900-00000C000000}" name="CVR" totalsRowFunction="average">
      <calculatedColumnFormula>#REF!/#REF!</calculatedColumnFormula>
    </tableColumn>
    <tableColumn id="13" xr3:uid="{00000000-0010-0000-0900-00000D000000}" name="TAcos" totalsRowFunction="custom">
      <calculatedColumnFormula>#REF!/#REF!</calculatedColumnFormula>
      <totalsRowFormula>Q20/E20</totalsRowFormula>
    </tableColumn>
    <tableColumn id="14" xr3:uid="{00000000-0010-0000-0900-00000E000000}" name="展示" totalsRowFunction="sum" dataDxfId="442">
      <calculatedColumnFormula>ToyDH!W4</calculatedColumnFormula>
    </tableColumn>
    <tableColumn id="15" xr3:uid="{00000000-0010-0000-0900-00000F000000}" name="点击" totalsRowFunction="sum" dataDxfId="441">
      <calculatedColumnFormula>ToyDH!X4</calculatedColumnFormula>
    </tableColumn>
    <tableColumn id="16" xr3:uid="{00000000-0010-0000-0900-000010000000}" name="广告订单量" totalsRowFunction="sum" dataDxfId="440">
      <calculatedColumnFormula>ToyDH!Y4</calculatedColumnFormula>
    </tableColumn>
    <tableColumn id="17" xr3:uid="{00000000-0010-0000-0900-000011000000}" name="广告花费" totalsRowFunction="sum" dataDxfId="439">
      <calculatedColumnFormula>ToyDH!Z4</calculatedColumnFormula>
    </tableColumn>
    <tableColumn id="18" xr3:uid="{00000000-0010-0000-0900-000012000000}" name="广告销售额" totalsRowFunction="sum" dataDxfId="438">
      <calculatedColumnFormula>ToyDH!AA4</calculatedColumnFormula>
    </tableColumn>
    <tableColumn id="19" xr3:uid="{00000000-0010-0000-0900-000013000000}" name="CPC" totalsRowFunction="average" dataDxfId="437">
      <calculatedColumnFormula>ToyDH!AB4</calculatedColumnFormula>
    </tableColumn>
    <tableColumn id="20" xr3:uid="{00000000-0010-0000-0900-000014000000}" name="Acos(%)" totalsRowFunction="custom">
      <calculatedColumnFormula>#REF!/#REF!</calculatedColumnFormula>
      <totalsRowFormula>Q20/R20</totalsRowFormula>
    </tableColumn>
    <tableColumn id="21" xr3:uid="{00000000-0010-0000-0900-000015000000}" name="CTR(%)" totalsRowFunction="custom">
      <calculatedColumnFormula>#REF!/#REF!</calculatedColumnFormula>
      <totalsRowFormula>O20/N20</totalsRowFormula>
    </tableColumn>
    <tableColumn id="22" xr3:uid="{00000000-0010-0000-0900-000016000000}" name="CVR(%)" totalsRowFunction="custom">
      <calculatedColumnFormula>#REF!/#REF!</calculatedColumnFormula>
      <totalsRowFormula>P20/O20</totalsRowFormula>
    </tableColumn>
    <tableColumn id="23" xr3:uid="{00000000-0010-0000-0900-000017000000}" name="CPS(%)" totalsRowFunction="custom">
      <calculatedColumnFormula>#REF!/#REF!</calculatedColumnFormula>
      <totalsRowFormula>Q20/P20</totalsRowFormula>
    </tableColumn>
  </tableColumns>
  <tableStyleInfo name="TableStylePreset1_Dark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表3_32546" displayName="表3_32546" ref="A3:W75" totalsRowCount="1">
  <tableColumns count="23">
    <tableColumn id="1" xr3:uid="{00000000-0010-0000-0A00-000001000000}" name="日期" totalsRowLabel="汇总"/>
    <tableColumn id="2" xr3:uid="{00000000-0010-0000-0A00-000002000000}" name="周数"/>
    <tableColumn id="3" xr3:uid="{00000000-0010-0000-0A00-000003000000}" name="销量" totalsRowFunction="sum">
      <calculatedColumnFormula>DL!C4</calculatedColumnFormula>
    </tableColumn>
    <tableColumn id="4" xr3:uid="{00000000-0010-0000-0A00-000004000000}" name="订单量" totalsRowFunction="sum">
      <calculatedColumnFormula>DL!D4</calculatedColumnFormula>
    </tableColumn>
    <tableColumn id="5" xr3:uid="{00000000-0010-0000-0A00-000005000000}" name="销售额" totalsRowFunction="sum">
      <calculatedColumnFormula>DL!E4</calculatedColumnFormula>
    </tableColumn>
    <tableColumn id="6" xr3:uid="{00000000-0010-0000-0A00-000006000000}" name="Sessions-Browser" totalsRowFunction="average"/>
    <tableColumn id="7" xr3:uid="{00000000-0010-0000-0A00-000007000000}" name="Sessions-Mobile" totalsRowFunction="average"/>
    <tableColumn id="8" xr3:uid="{00000000-0010-0000-0A00-000008000000}" name="Sessions-Total" totalsRowFunction="average"/>
    <tableColumn id="9" xr3:uid="{00000000-0010-0000-0A00-000009000000}" name="PV-Browser" totalsRowFunction="average"/>
    <tableColumn id="10" xr3:uid="{00000000-0010-0000-0A00-00000A000000}" name="PV-Mobile" totalsRowFunction="average"/>
    <tableColumn id="11" xr3:uid="{00000000-0010-0000-0A00-00000B000000}" name="PV-Total" totalsRowFunction="average"/>
    <tableColumn id="12" xr3:uid="{00000000-0010-0000-0A00-00000C000000}" name="CVR" totalsRowFunction="average" dataDxfId="436">
      <calculatedColumnFormula>D4/H4</calculatedColumnFormula>
    </tableColumn>
    <tableColumn id="13" xr3:uid="{00000000-0010-0000-0A00-00000D000000}" name="TAcos" totalsRowFunction="custom" dataDxfId="435">
      <calculatedColumnFormula>Q4/E4</calculatedColumnFormula>
      <totalsRowFormula>Q75/E75</totalsRowFormula>
    </tableColumn>
    <tableColumn id="14" xr3:uid="{00000000-0010-0000-0A00-00000E000000}" name="展示" totalsRowFunction="sum">
      <calculatedColumnFormula>DL!W4</calculatedColumnFormula>
    </tableColumn>
    <tableColumn id="15" xr3:uid="{00000000-0010-0000-0A00-00000F000000}" name="点击" totalsRowFunction="sum">
      <calculatedColumnFormula>DL!X4</calculatedColumnFormula>
    </tableColumn>
    <tableColumn id="16" xr3:uid="{00000000-0010-0000-0A00-000010000000}" name="广告订单量" totalsRowFunction="sum">
      <calculatedColumnFormula>DL!Y4</calculatedColumnFormula>
    </tableColumn>
    <tableColumn id="17" xr3:uid="{00000000-0010-0000-0A00-000011000000}" name="广告花费" totalsRowFunction="sum">
      <calculatedColumnFormula>DL!Z4</calculatedColumnFormula>
    </tableColumn>
    <tableColumn id="18" xr3:uid="{00000000-0010-0000-0A00-000012000000}" name="广告销售额" totalsRowFunction="sum">
      <calculatedColumnFormula>DL!AA4</calculatedColumnFormula>
    </tableColumn>
    <tableColumn id="19" xr3:uid="{00000000-0010-0000-0A00-000013000000}" name="CPC" totalsRowFunction="average">
      <calculatedColumnFormula>DL!AB4</calculatedColumnFormula>
    </tableColumn>
    <tableColumn id="20" xr3:uid="{00000000-0010-0000-0A00-000014000000}" name="Acos(%)" totalsRowFunction="custom" dataDxfId="434">
      <calculatedColumnFormula>Q4/R4</calculatedColumnFormula>
      <totalsRowFormula>Q75/R75</totalsRowFormula>
    </tableColumn>
    <tableColumn id="21" xr3:uid="{00000000-0010-0000-0A00-000015000000}" name="CTR(%)" totalsRowFunction="custom" dataDxfId="433">
      <calculatedColumnFormula>O4/N4</calculatedColumnFormula>
      <totalsRowFormula>O75/N75</totalsRowFormula>
    </tableColumn>
    <tableColumn id="22" xr3:uid="{00000000-0010-0000-0A00-000016000000}" name="CVR(%)" totalsRowFunction="custom" dataDxfId="432">
      <calculatedColumnFormula>P4/O4</calculatedColumnFormula>
      <totalsRowFormula>P75/O75</totalsRowFormula>
    </tableColumn>
    <tableColumn id="23" xr3:uid="{00000000-0010-0000-0A00-000017000000}" name="CPS(%)" totalsRowFunction="custom" dataDxfId="431">
      <calculatedColumnFormula>Q4/P4</calculatedColumnFormula>
      <totalsRowFormula>Q75/P75</totalsRowFormula>
    </tableColumn>
  </tableColumns>
  <tableStyleInfo name="TableStylePreset1_Dark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表3_3254615" displayName="表3_3254615" ref="A3:W63" totalsRowCount="1">
  <tableColumns count="23">
    <tableColumn id="1" xr3:uid="{00000000-0010-0000-0B00-000001000000}" name="日期" totalsRowLabel="汇总"/>
    <tableColumn id="2" xr3:uid="{00000000-0010-0000-0B00-000002000000}" name="周数"/>
    <tableColumn id="3" xr3:uid="{00000000-0010-0000-0B00-000003000000}" name="销量" totalsRowFunction="sum">
      <calculatedColumnFormula>DSL!C4</calculatedColumnFormula>
    </tableColumn>
    <tableColumn id="4" xr3:uid="{00000000-0010-0000-0B00-000004000000}" name="订单量" totalsRowFunction="sum">
      <calculatedColumnFormula>DSL!D4</calculatedColumnFormula>
    </tableColumn>
    <tableColumn id="5" xr3:uid="{00000000-0010-0000-0B00-000005000000}" name="销售额" totalsRowFunction="sum">
      <calculatedColumnFormula>DSL!E4</calculatedColumnFormula>
    </tableColumn>
    <tableColumn id="6" xr3:uid="{00000000-0010-0000-0B00-000006000000}" name="Sessions-Browser" totalsRowFunction="average"/>
    <tableColumn id="7" xr3:uid="{00000000-0010-0000-0B00-000007000000}" name="Sessions-Mobile" totalsRowFunction="average"/>
    <tableColumn id="8" xr3:uid="{00000000-0010-0000-0B00-000008000000}" name="Sessions-Total" totalsRowFunction="average"/>
    <tableColumn id="9" xr3:uid="{00000000-0010-0000-0B00-000009000000}" name="PV-Browser" totalsRowFunction="average"/>
    <tableColumn id="10" xr3:uid="{00000000-0010-0000-0B00-00000A000000}" name="PV-Mobile" totalsRowFunction="average"/>
    <tableColumn id="11" xr3:uid="{00000000-0010-0000-0B00-00000B000000}" name="PV-Total" totalsRowFunction="average"/>
    <tableColumn id="12" xr3:uid="{00000000-0010-0000-0B00-00000C000000}" name="CVR" totalsRowFunction="average">
      <calculatedColumnFormula>#REF!/#REF!</calculatedColumnFormula>
    </tableColumn>
    <tableColumn id="13" xr3:uid="{00000000-0010-0000-0B00-00000D000000}" name="TAcos" totalsRowFunction="custom">
      <calculatedColumnFormula>#REF!/#REF!</calculatedColumnFormula>
      <totalsRowFormula>Q63/E63</totalsRowFormula>
    </tableColumn>
    <tableColumn id="14" xr3:uid="{00000000-0010-0000-0B00-00000E000000}" name="展示" totalsRowFunction="sum">
      <calculatedColumnFormula>DSL!W4</calculatedColumnFormula>
    </tableColumn>
    <tableColumn id="15" xr3:uid="{00000000-0010-0000-0B00-00000F000000}" name="点击" totalsRowFunction="sum">
      <calculatedColumnFormula>DSL!X4</calculatedColumnFormula>
    </tableColumn>
    <tableColumn id="16" xr3:uid="{00000000-0010-0000-0B00-000010000000}" name="广告订单量" totalsRowFunction="sum">
      <calculatedColumnFormula>DSL!Y4</calculatedColumnFormula>
    </tableColumn>
    <tableColumn id="17" xr3:uid="{00000000-0010-0000-0B00-000011000000}" name="广告花费" totalsRowFunction="sum">
      <calculatedColumnFormula>DSL!Z4</calculatedColumnFormula>
    </tableColumn>
    <tableColumn id="18" xr3:uid="{00000000-0010-0000-0B00-000012000000}" name="广告销售额" totalsRowFunction="sum">
      <calculatedColumnFormula>DSL!AA4</calculatedColumnFormula>
    </tableColumn>
    <tableColumn id="19" xr3:uid="{00000000-0010-0000-0B00-000013000000}" name="CPC" totalsRowFunction="average">
      <calculatedColumnFormula>DSL!AB4</calculatedColumnFormula>
    </tableColumn>
    <tableColumn id="20" xr3:uid="{00000000-0010-0000-0B00-000014000000}" name="Acos(%)" totalsRowFunction="custom" dataDxfId="430">
      <calculatedColumnFormula>Q4/R4</calculatedColumnFormula>
      <totalsRowFormula>Q63/R63</totalsRowFormula>
    </tableColumn>
    <tableColumn id="21" xr3:uid="{00000000-0010-0000-0B00-000015000000}" name="CTR(%)" totalsRowFunction="custom" dataDxfId="429">
      <calculatedColumnFormula>O4/N4</calculatedColumnFormula>
      <totalsRowFormula>O63/N63</totalsRowFormula>
    </tableColumn>
    <tableColumn id="22" xr3:uid="{00000000-0010-0000-0B00-000016000000}" name="CVR(%)" totalsRowFunction="custom" dataDxfId="428">
      <calculatedColumnFormula>P4/O4</calculatedColumnFormula>
      <totalsRowFormula>P63/O63</totalsRowFormula>
    </tableColumn>
    <tableColumn id="23" xr3:uid="{00000000-0010-0000-0B00-000017000000}" name="CPS(%)" totalsRowFunction="custom" dataDxfId="427">
      <calculatedColumnFormula>Q4/P4</calculatedColumnFormula>
      <totalsRowFormula>Q63/P63</totalsRowFormula>
    </tableColumn>
  </tableColumns>
  <tableStyleInfo name="TableStylePreset1_Dark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C000000}" name="表3_325461513" displayName="表3_325461513" ref="A3:W54" totalsRowCount="1">
  <tableColumns count="23">
    <tableColumn id="1" xr3:uid="{00000000-0010-0000-0C00-000001000000}" name="日期" totalsRowLabel="汇总"/>
    <tableColumn id="2" xr3:uid="{00000000-0010-0000-0C00-000002000000}" name="周数"/>
    <tableColumn id="3" xr3:uid="{00000000-0010-0000-0C00-000003000000}" name="销量" totalsRowFunction="sum" dataDxfId="426">
      <calculatedColumnFormula>MFL!C4</calculatedColumnFormula>
    </tableColumn>
    <tableColumn id="4" xr3:uid="{00000000-0010-0000-0C00-000004000000}" name="订单量" totalsRowFunction="sum" dataDxfId="425">
      <calculatedColumnFormula>MFL!D4</calculatedColumnFormula>
    </tableColumn>
    <tableColumn id="5" xr3:uid="{00000000-0010-0000-0C00-000005000000}" name="销售额" totalsRowFunction="sum" dataDxfId="424">
      <calculatedColumnFormula>MFL!E4</calculatedColumnFormula>
    </tableColumn>
    <tableColumn id="6" xr3:uid="{00000000-0010-0000-0C00-000006000000}" name="Sessions-Browser" totalsRowFunction="average"/>
    <tableColumn id="7" xr3:uid="{00000000-0010-0000-0C00-000007000000}" name="Sessions-Mobile" totalsRowFunction="average"/>
    <tableColumn id="8" xr3:uid="{00000000-0010-0000-0C00-000008000000}" name="Sessions-Total" totalsRowFunction="average"/>
    <tableColumn id="9" xr3:uid="{00000000-0010-0000-0C00-000009000000}" name="PV-Browser" totalsRowFunction="average"/>
    <tableColumn id="10" xr3:uid="{00000000-0010-0000-0C00-00000A000000}" name="PV-Mobile" totalsRowFunction="average"/>
    <tableColumn id="11" xr3:uid="{00000000-0010-0000-0C00-00000B000000}" name="PV-Total" totalsRowFunction="average"/>
    <tableColumn id="12" xr3:uid="{00000000-0010-0000-0C00-00000C000000}" name="CVR" totalsRowFunction="average">
      <calculatedColumnFormula>#REF!/#REF!</calculatedColumnFormula>
    </tableColumn>
    <tableColumn id="13" xr3:uid="{00000000-0010-0000-0C00-00000D000000}" name="TAcos" totalsRowFunction="custom">
      <calculatedColumnFormula>#REF!/#REF!</calculatedColumnFormula>
      <totalsRowFormula>Q54/E54</totalsRowFormula>
    </tableColumn>
    <tableColumn id="14" xr3:uid="{00000000-0010-0000-0C00-00000E000000}" name="展示" totalsRowFunction="sum" dataDxfId="423">
      <calculatedColumnFormula>MFL!W4</calculatedColumnFormula>
    </tableColumn>
    <tableColumn id="15" xr3:uid="{00000000-0010-0000-0C00-00000F000000}" name="点击" totalsRowFunction="sum" dataDxfId="422">
      <calculatedColumnFormula>MFL!X4</calculatedColumnFormula>
    </tableColumn>
    <tableColumn id="16" xr3:uid="{00000000-0010-0000-0C00-000010000000}" name="广告订单量" totalsRowFunction="sum" dataDxfId="421">
      <calculatedColumnFormula>MFL!Y4</calculatedColumnFormula>
    </tableColumn>
    <tableColumn id="17" xr3:uid="{00000000-0010-0000-0C00-000011000000}" name="广告花费" totalsRowFunction="sum" dataDxfId="420">
      <calculatedColumnFormula>MFL!Z4</calculatedColumnFormula>
    </tableColumn>
    <tableColumn id="18" xr3:uid="{00000000-0010-0000-0C00-000012000000}" name="广告销售额" totalsRowFunction="sum" dataDxfId="419">
      <calculatedColumnFormula>MFL!AA4</calculatedColumnFormula>
    </tableColumn>
    <tableColumn id="19" xr3:uid="{00000000-0010-0000-0C00-000013000000}" name="CPC" totalsRowFunction="average" dataDxfId="418">
      <calculatedColumnFormula>MFL!AB4</calculatedColumnFormula>
    </tableColumn>
    <tableColumn id="20" xr3:uid="{00000000-0010-0000-0C00-000014000000}" name="Acos(%)" totalsRowFunction="custom" dataDxfId="417">
      <calculatedColumnFormula>Q4/R4</calculatedColumnFormula>
      <totalsRowFormula>Q54/R54</totalsRowFormula>
    </tableColumn>
    <tableColumn id="21" xr3:uid="{00000000-0010-0000-0C00-000015000000}" name="CTR(%)" totalsRowFunction="custom" dataDxfId="416">
      <calculatedColumnFormula>O4/N4</calculatedColumnFormula>
      <totalsRowFormula>O54/N54</totalsRowFormula>
    </tableColumn>
    <tableColumn id="22" xr3:uid="{00000000-0010-0000-0C00-000016000000}" name="CVR(%)" totalsRowFunction="custom" dataDxfId="415">
      <calculatedColumnFormula>P4/O4</calculatedColumnFormula>
      <totalsRowFormula>P54/O54</totalsRowFormula>
    </tableColumn>
    <tableColumn id="23" xr3:uid="{00000000-0010-0000-0C00-000017000000}" name="CPS(%)" totalsRowFunction="custom" dataDxfId="414">
      <calculatedColumnFormula>Q4/P4</calculatedColumnFormula>
      <totalsRowFormula>Q54/P54</totalsRowFormula>
    </tableColumn>
  </tableColumns>
  <tableStyleInfo name="TableStylePreset1_Dark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D000000}" name="表3_32546151317" displayName="表3_32546151317" ref="A3:W41" totalsRowCount="1">
  <tableColumns count="23">
    <tableColumn id="1" xr3:uid="{00000000-0010-0000-0D00-000001000000}" name="日期" totalsRowLabel="汇总"/>
    <tableColumn id="2" xr3:uid="{00000000-0010-0000-0D00-000002000000}" name="周数"/>
    <tableColumn id="3" xr3:uid="{00000000-0010-0000-0D00-000003000000}" name="销量" totalsRowFunction="sum" dataDxfId="413">
      <calculatedColumnFormula>SFM!C4</calculatedColumnFormula>
    </tableColumn>
    <tableColumn id="4" xr3:uid="{00000000-0010-0000-0D00-000004000000}" name="订单量" totalsRowFunction="sum" dataDxfId="412">
      <calculatedColumnFormula>SFM!D4</calculatedColumnFormula>
    </tableColumn>
    <tableColumn id="5" xr3:uid="{00000000-0010-0000-0D00-000005000000}" name="销售额" totalsRowFunction="sum" dataDxfId="411">
      <calculatedColumnFormula>SFM!E4</calculatedColumnFormula>
    </tableColumn>
    <tableColumn id="6" xr3:uid="{00000000-0010-0000-0D00-000006000000}" name="Sessions-Browser" totalsRowFunction="average"/>
    <tableColumn id="7" xr3:uid="{00000000-0010-0000-0D00-000007000000}" name="Sessions-Mobile" totalsRowFunction="average"/>
    <tableColumn id="8" xr3:uid="{00000000-0010-0000-0D00-000008000000}" name="Sessions-Total" totalsRowFunction="average"/>
    <tableColumn id="9" xr3:uid="{00000000-0010-0000-0D00-000009000000}" name="PV-Browser" totalsRowFunction="average"/>
    <tableColumn id="10" xr3:uid="{00000000-0010-0000-0D00-00000A000000}" name="PV-Mobile" totalsRowFunction="average"/>
    <tableColumn id="11" xr3:uid="{00000000-0010-0000-0D00-00000B000000}" name="PV-Total" totalsRowFunction="average"/>
    <tableColumn id="12" xr3:uid="{00000000-0010-0000-0D00-00000C000000}" name="CVR" totalsRowFunction="average">
      <calculatedColumnFormula>D6/H6</calculatedColumnFormula>
    </tableColumn>
    <tableColumn id="13" xr3:uid="{00000000-0010-0000-0D00-00000D000000}" name="TAcos" totalsRowFunction="custom">
      <calculatedColumnFormula>Q6/E6</calculatedColumnFormula>
      <totalsRowFormula>Q41/E41</totalsRowFormula>
    </tableColumn>
    <tableColumn id="14" xr3:uid="{00000000-0010-0000-0D00-00000E000000}" name="展示" totalsRowFunction="sum" dataDxfId="410">
      <calculatedColumnFormula>SFM!W4</calculatedColumnFormula>
    </tableColumn>
    <tableColumn id="15" xr3:uid="{00000000-0010-0000-0D00-00000F000000}" name="点击" totalsRowFunction="sum" dataDxfId="409">
      <calculatedColumnFormula>SFM!X4</calculatedColumnFormula>
    </tableColumn>
    <tableColumn id="16" xr3:uid="{00000000-0010-0000-0D00-000010000000}" name="广告订单量" totalsRowFunction="sum" dataDxfId="408">
      <calculatedColumnFormula>SFM!Y4</calculatedColumnFormula>
    </tableColumn>
    <tableColumn id="17" xr3:uid="{00000000-0010-0000-0D00-000011000000}" name="广告花费" totalsRowFunction="sum" dataDxfId="407">
      <calculatedColumnFormula>SFM!Z4</calculatedColumnFormula>
    </tableColumn>
    <tableColumn id="18" xr3:uid="{00000000-0010-0000-0D00-000012000000}" name="广告销售额" totalsRowFunction="sum" dataDxfId="406">
      <calculatedColumnFormula>SFM!AA4</calculatedColumnFormula>
    </tableColumn>
    <tableColumn id="19" xr3:uid="{00000000-0010-0000-0D00-000013000000}" name="CPC" totalsRowFunction="average" dataDxfId="405">
      <calculatedColumnFormula>SFM!AB4</calculatedColumnFormula>
    </tableColumn>
    <tableColumn id="20" xr3:uid="{00000000-0010-0000-0D00-000014000000}" name="Acos(%)" totalsRowFunction="custom" dataDxfId="404">
      <calculatedColumnFormula>Q4/R4</calculatedColumnFormula>
      <totalsRowFormula>Q41/R41</totalsRowFormula>
    </tableColumn>
    <tableColumn id="21" xr3:uid="{00000000-0010-0000-0D00-000015000000}" name="CTR(%)" totalsRowFunction="custom" dataDxfId="403">
      <calculatedColumnFormula>O4/N4</calculatedColumnFormula>
      <totalsRowFormula>O41/N41</totalsRowFormula>
    </tableColumn>
    <tableColumn id="22" xr3:uid="{00000000-0010-0000-0D00-000016000000}" name="CVR(%)" totalsRowFunction="custom" dataDxfId="402">
      <calculatedColumnFormula>P4/O4</calculatedColumnFormula>
      <totalsRowFormula>P41/O41</totalsRowFormula>
    </tableColumn>
    <tableColumn id="23" xr3:uid="{00000000-0010-0000-0D00-000017000000}" name="CPS(%)" totalsRowFunction="custom" dataDxfId="401">
      <calculatedColumnFormula>Q4/P4</calculatedColumnFormula>
      <totalsRowFormula>Q41/P41</totalsRowFormula>
    </tableColumn>
  </tableColumns>
  <tableStyleInfo name="TableStylePreset1_Dark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I78"/>
  <sheetViews>
    <sheetView workbookViewId="0">
      <pane xSplit="5" ySplit="3" topLeftCell="F64" activePane="bottomRight" state="frozen"/>
      <selection pane="topRight"/>
      <selection pane="bottomLeft"/>
      <selection pane="bottomRight" activeCell="A77" sqref="A77:XFD77"/>
    </sheetView>
  </sheetViews>
  <sheetFormatPr defaultColWidth="9" defaultRowHeight="13.5" x14ac:dyDescent="0.15"/>
  <cols>
    <col min="5" max="5" width="10.375"/>
    <col min="7" max="7" width="7.5" customWidth="1"/>
    <col min="8" max="8" width="10.375"/>
    <col min="9" max="9" width="9.25"/>
    <col min="12" max="12" width="10.375"/>
    <col min="19" max="19" width="9.5" customWidth="1"/>
    <col min="23" max="23" width="10.375"/>
    <col min="26" max="27" width="11.625"/>
    <col min="28" max="28" width="12.625"/>
    <col min="36" max="37" width="12.625"/>
    <col min="38" max="38" width="11.625"/>
    <col min="39" max="39" width="12.875"/>
    <col min="40" max="40" width="14.125"/>
    <col min="41" max="41" width="12.875"/>
    <col min="42" max="42" width="8.125" customWidth="1"/>
    <col min="43" max="43" width="7.75" customWidth="1"/>
    <col min="45" max="46" width="14.125"/>
    <col min="47" max="47" width="12.875"/>
    <col min="48" max="48" width="9.25"/>
    <col min="50" max="50" width="12.625"/>
    <col min="51" max="51" width="13.75"/>
    <col min="52" max="52" width="11.625"/>
    <col min="53" max="56" width="12.875"/>
    <col min="59" max="59" width="77.25" customWidth="1"/>
  </cols>
  <sheetData>
    <row r="1" spans="1:61" ht="23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82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61" ht="23.1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297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61" s="144" customFormat="1" ht="36" x14ac:dyDescent="0.15">
      <c r="A3" s="167" t="s">
        <v>8</v>
      </c>
      <c r="B3" s="167" t="s">
        <v>9</v>
      </c>
      <c r="C3" s="168" t="s">
        <v>10</v>
      </c>
      <c r="D3" s="169" t="s">
        <v>11</v>
      </c>
      <c r="E3" s="169" t="s">
        <v>12</v>
      </c>
      <c r="F3" s="170" t="s">
        <v>13</v>
      </c>
      <c r="G3" s="170" t="s">
        <v>14</v>
      </c>
      <c r="H3" s="170" t="s">
        <v>15</v>
      </c>
      <c r="I3" s="170" t="s">
        <v>16</v>
      </c>
      <c r="J3" s="169" t="s">
        <v>17</v>
      </c>
      <c r="K3" s="169" t="s">
        <v>18</v>
      </c>
      <c r="L3" s="171" t="s">
        <v>19</v>
      </c>
      <c r="M3" s="172" t="s">
        <v>20</v>
      </c>
      <c r="N3" s="169" t="s">
        <v>21</v>
      </c>
      <c r="O3" s="169" t="s">
        <v>22</v>
      </c>
      <c r="P3" s="173" t="s">
        <v>23</v>
      </c>
      <c r="Q3" s="170" t="s">
        <v>24</v>
      </c>
      <c r="R3" s="170" t="s">
        <v>25</v>
      </c>
      <c r="S3" s="170" t="s">
        <v>26</v>
      </c>
      <c r="T3" s="170" t="s">
        <v>27</v>
      </c>
      <c r="U3" s="174" t="s">
        <v>28</v>
      </c>
      <c r="V3" s="175" t="s">
        <v>29</v>
      </c>
      <c r="W3" s="176" t="s">
        <v>30</v>
      </c>
      <c r="X3" s="177" t="s">
        <v>31</v>
      </c>
      <c r="Y3" s="177" t="s">
        <v>32</v>
      </c>
      <c r="Z3" s="177" t="s">
        <v>33</v>
      </c>
      <c r="AA3" s="178" t="s">
        <v>34</v>
      </c>
      <c r="AB3" s="177" t="s">
        <v>35</v>
      </c>
      <c r="AC3" s="179" t="s">
        <v>36</v>
      </c>
      <c r="AD3" s="180" t="s">
        <v>37</v>
      </c>
      <c r="AE3" s="180" t="s">
        <v>38</v>
      </c>
      <c r="AF3" s="180" t="s">
        <v>39</v>
      </c>
      <c r="AG3" s="181" t="s">
        <v>40</v>
      </c>
      <c r="AH3" s="182" t="s">
        <v>41</v>
      </c>
      <c r="AI3" s="183" t="s">
        <v>42</v>
      </c>
      <c r="AJ3" s="184" t="s">
        <v>43</v>
      </c>
      <c r="AK3" s="184" t="s">
        <v>44</v>
      </c>
      <c r="AL3" s="184" t="s">
        <v>45</v>
      </c>
      <c r="AM3" s="184" t="s">
        <v>46</v>
      </c>
      <c r="AN3" s="184" t="s">
        <v>47</v>
      </c>
      <c r="AO3" s="183" t="s">
        <v>48</v>
      </c>
      <c r="AP3" s="185" t="s">
        <v>49</v>
      </c>
      <c r="AQ3" s="186" t="s">
        <v>50</v>
      </c>
      <c r="AR3" s="187" t="s">
        <v>51</v>
      </c>
      <c r="AS3" s="187" t="s">
        <v>52</v>
      </c>
      <c r="AT3" s="187" t="s">
        <v>53</v>
      </c>
      <c r="AU3" s="187" t="s">
        <v>54</v>
      </c>
      <c r="AV3" s="187" t="s">
        <v>55</v>
      </c>
      <c r="AW3" s="187" t="s">
        <v>56</v>
      </c>
      <c r="AX3" s="188" t="s">
        <v>57</v>
      </c>
      <c r="AY3" s="187" t="s">
        <v>58</v>
      </c>
      <c r="AZ3" s="187" t="s">
        <v>59</v>
      </c>
      <c r="BA3" s="189" t="s">
        <v>60</v>
      </c>
      <c r="BB3" s="189" t="s">
        <v>61</v>
      </c>
      <c r="BC3" s="189" t="s">
        <v>62</v>
      </c>
      <c r="BD3" s="190" t="s">
        <v>63</v>
      </c>
      <c r="BE3" s="190" t="s">
        <v>64</v>
      </c>
      <c r="BF3" s="166" t="s">
        <v>65</v>
      </c>
      <c r="BG3" s="166" t="s">
        <v>66</v>
      </c>
      <c r="BH3" s="144" t="s">
        <v>67</v>
      </c>
      <c r="BI3" s="144" t="s">
        <v>68</v>
      </c>
    </row>
    <row r="4" spans="1:61" ht="23.1" customHeight="1" x14ac:dyDescent="0.15">
      <c r="A4" s="191" t="s">
        <v>69</v>
      </c>
      <c r="B4" s="192" t="s">
        <v>70</v>
      </c>
      <c r="C4" s="192">
        <v>276</v>
      </c>
      <c r="D4" s="193">
        <v>264</v>
      </c>
      <c r="E4" s="194">
        <v>6073.25</v>
      </c>
      <c r="F4" s="195"/>
      <c r="G4" s="195"/>
      <c r="H4" s="196"/>
      <c r="I4" s="196"/>
      <c r="J4" s="197">
        <v>12</v>
      </c>
      <c r="K4" s="198">
        <f t="shared" ref="K4:K67" si="0">J4/C4</f>
        <v>4.3478260869565216E-2</v>
      </c>
      <c r="L4" s="199">
        <v>243.5</v>
      </c>
      <c r="M4" s="200" t="e">
        <f t="shared" ref="M4:M67" si="1">(C4-C3)/C3</f>
        <v>#VALUE!</v>
      </c>
      <c r="N4" s="198" t="e">
        <f t="shared" ref="N4:N67" si="2">(D4-D3)/D3</f>
        <v>#VALUE!</v>
      </c>
      <c r="O4" s="198" t="e">
        <f t="shared" ref="O4:O67" si="3">(E4-E3)/E3</f>
        <v>#VALUE!</v>
      </c>
      <c r="P4" s="201">
        <f t="shared" ref="P4:P67" si="4">C4/D4</f>
        <v>1.0454545454545454</v>
      </c>
      <c r="Q4" s="202">
        <f t="shared" ref="Q4:Q67" si="5">E4/D4</f>
        <v>23.004734848484848</v>
      </c>
      <c r="R4" s="202">
        <f t="shared" ref="R4:R67" si="6">E4/C4</f>
        <v>22.004528985507246</v>
      </c>
      <c r="S4" s="202">
        <f t="shared" ref="S4:S38" si="7">C4/7</f>
        <v>39.428571428571431</v>
      </c>
      <c r="T4" s="203">
        <f t="shared" ref="T4:T67" si="8">D4-Y4</f>
        <v>111</v>
      </c>
      <c r="U4" s="204">
        <f t="shared" ref="U4:U67" si="9">T4/D4</f>
        <v>0.42045454545454547</v>
      </c>
      <c r="V4" s="205">
        <f t="shared" ref="V4:V67" si="10">Z4/(E4-I4)</f>
        <v>0.28145062363643847</v>
      </c>
      <c r="W4" s="193">
        <v>136418</v>
      </c>
      <c r="X4" s="193">
        <v>1723</v>
      </c>
      <c r="Y4" s="193">
        <v>153</v>
      </c>
      <c r="Z4" s="206">
        <v>1709.32</v>
      </c>
      <c r="AA4" s="207">
        <v>3516.2</v>
      </c>
      <c r="AB4" s="193">
        <v>0.99</v>
      </c>
      <c r="AC4" s="208">
        <f t="shared" ref="AC4:AC67" si="11">Z4/AA4</f>
        <v>0.48612706899493774</v>
      </c>
      <c r="AD4" s="209">
        <f t="shared" ref="AD4:AF4" si="12">X4/W4</f>
        <v>1.2630298054508935E-2</v>
      </c>
      <c r="AE4" s="209">
        <f t="shared" si="12"/>
        <v>8.8798607080673247E-2</v>
      </c>
      <c r="AF4" s="202">
        <f t="shared" si="12"/>
        <v>11.17202614379085</v>
      </c>
      <c r="AG4" s="210">
        <v>68</v>
      </c>
      <c r="AH4" s="203">
        <v>203</v>
      </c>
      <c r="AI4" s="211">
        <v>5</v>
      </c>
      <c r="AJ4" s="212">
        <f>AG4*产品成本!$D$2+AH4*产品成本!$D$3+AI4*产品成本!$D$4</f>
        <v>589.08450704225402</v>
      </c>
      <c r="AK4" s="212">
        <f>AG4*产品成本!$E$2+AH4*产品成本!$E$3+AI4*产品成本!$E$4</f>
        <v>51.991677464788637</v>
      </c>
      <c r="AL4" s="212">
        <f>AG4*产品成本!$F$2+AH4*产品成本!$F$3+AI4*产品成本!$F$4</f>
        <v>93.840000000000018</v>
      </c>
      <c r="AM4" s="212">
        <f>AG4*产品成本!$G$2+AH4*产品成本!$G$3+AI4*产品成本!$G$4</f>
        <v>1062.1199999999999</v>
      </c>
      <c r="AN4" s="212">
        <f t="shared" ref="AN4:AN67" si="13">(E4-I4)*0.15</f>
        <v>910.98749999999995</v>
      </c>
      <c r="AO4" s="213">
        <f t="shared" ref="AO4:AO67" si="14">SUM(AJ4:AN4)</f>
        <v>2708.0236845070422</v>
      </c>
      <c r="AP4" s="214">
        <v>3</v>
      </c>
      <c r="AQ4" s="214">
        <v>9</v>
      </c>
      <c r="AR4" s="215">
        <v>0</v>
      </c>
      <c r="AS4" s="216">
        <f t="shared" ref="AS4:AS67" si="15">L4/(1-0.15+0.15*0.2)</f>
        <v>276.70454545454544</v>
      </c>
      <c r="AT4" s="217">
        <f>AP4*产品成本!$D$2+AQ4*产品成本!$D$3+AR4*产品成本!$D$4</f>
        <v>25.352112676056358</v>
      </c>
      <c r="AU4" s="218">
        <f>AP4*产品成本!$E$2+AQ4*产品成本!$E$3+AR4*产品成本!$E$4</f>
        <v>2.2559323943661931</v>
      </c>
      <c r="AV4" s="219">
        <f>AP4*产品成本!$F$2+AQ4*产品成本!$F$3+AR4*产品成本!$F$4</f>
        <v>4.08</v>
      </c>
      <c r="AW4" s="218">
        <v>0</v>
      </c>
      <c r="AX4" s="219">
        <f t="shared" ref="AX4:AX67" si="16">AS4*0.15</f>
        <v>41.505681818181813</v>
      </c>
      <c r="AY4" s="218">
        <f t="shared" ref="AY4:AY67" si="17">-AX4*0.2</f>
        <v>-8.3011363636363633</v>
      </c>
      <c r="AZ4" s="220">
        <f t="shared" ref="AZ4:AZ67" si="18">SUM(AT4:AY4)</f>
        <v>64.892590524968014</v>
      </c>
      <c r="BA4" s="221">
        <f t="shared" ref="BA4:BA67" si="19">AO4-AZ4</f>
        <v>2643.1310939820742</v>
      </c>
      <c r="BB4" s="221">
        <f t="shared" ref="BB4:BB67" si="20">E4-I4</f>
        <v>6073.25</v>
      </c>
      <c r="BC4" s="221">
        <f t="shared" ref="BC4:BC67" si="21">E4-AS4-I4</f>
        <v>5796.545454545455</v>
      </c>
      <c r="BD4" s="222">
        <f t="shared" ref="BD4:BD67" si="22">BC4-BA4-Z4</f>
        <v>1444.0943605633809</v>
      </c>
      <c r="BE4" s="223">
        <f t="shared" ref="BE4:BE67" si="23">BD4/BC4</f>
        <v>0.24913017104540616</v>
      </c>
      <c r="BF4" s="224"/>
      <c r="BG4" s="224"/>
      <c r="BH4" s="224"/>
    </row>
    <row r="5" spans="1:61" ht="23.1" customHeight="1" x14ac:dyDescent="0.15">
      <c r="A5" s="191" t="s">
        <v>71</v>
      </c>
      <c r="B5" s="192" t="s">
        <v>72</v>
      </c>
      <c r="C5" s="192">
        <v>296</v>
      </c>
      <c r="D5" s="193">
        <v>285</v>
      </c>
      <c r="E5" s="194">
        <v>6535.75</v>
      </c>
      <c r="F5" s="195"/>
      <c r="G5" s="195"/>
      <c r="H5" s="196"/>
      <c r="I5" s="196"/>
      <c r="J5" s="225">
        <v>12</v>
      </c>
      <c r="K5" s="198">
        <f t="shared" si="0"/>
        <v>4.0540540540540543E-2</v>
      </c>
      <c r="L5" s="199">
        <v>240.45</v>
      </c>
      <c r="M5" s="200">
        <f t="shared" si="1"/>
        <v>7.2463768115942032E-2</v>
      </c>
      <c r="N5" s="198">
        <f t="shared" si="2"/>
        <v>7.9545454545454544E-2</v>
      </c>
      <c r="O5" s="198">
        <f t="shared" si="3"/>
        <v>7.6153624500885031E-2</v>
      </c>
      <c r="P5" s="201">
        <f t="shared" si="4"/>
        <v>1.0385964912280701</v>
      </c>
      <c r="Q5" s="202">
        <f t="shared" si="5"/>
        <v>22.932456140350876</v>
      </c>
      <c r="R5" s="202">
        <f t="shared" si="6"/>
        <v>22.080236486486488</v>
      </c>
      <c r="S5" s="202">
        <f t="shared" si="7"/>
        <v>42.285714285714285</v>
      </c>
      <c r="T5" s="203">
        <f t="shared" si="8"/>
        <v>94</v>
      </c>
      <c r="U5" s="204">
        <f t="shared" si="9"/>
        <v>0.3298245614035088</v>
      </c>
      <c r="V5" s="205">
        <f t="shared" si="10"/>
        <v>0.28953524844126532</v>
      </c>
      <c r="W5" s="193">
        <v>184745</v>
      </c>
      <c r="X5" s="193">
        <v>1929</v>
      </c>
      <c r="Y5" s="193">
        <v>191</v>
      </c>
      <c r="Z5" s="206">
        <v>1892.33</v>
      </c>
      <c r="AA5" s="226">
        <v>4333.92</v>
      </c>
      <c r="AB5" s="193">
        <v>0.98</v>
      </c>
      <c r="AC5" s="208">
        <f t="shared" si="11"/>
        <v>0.43663242514859524</v>
      </c>
      <c r="AD5" s="209">
        <f t="shared" ref="AD5:AF5" si="24">X5/W5</f>
        <v>1.0441419253565726E-2</v>
      </c>
      <c r="AE5" s="209">
        <f t="shared" si="24"/>
        <v>9.9015033696215657E-2</v>
      </c>
      <c r="AF5" s="202">
        <f t="shared" si="24"/>
        <v>9.9074869109947645</v>
      </c>
      <c r="AG5" s="210">
        <v>68</v>
      </c>
      <c r="AH5" s="203">
        <v>216</v>
      </c>
      <c r="AI5" s="211">
        <v>12</v>
      </c>
      <c r="AJ5" s="212">
        <f>AG5*产品成本!$D$2+AH5*产品成本!$D$3+AI5*产品成本!$D$4</f>
        <v>639.7183098591554</v>
      </c>
      <c r="AK5" s="212">
        <f>AG5*产品成本!$E$2+AH5*产品成本!$E$3+AI5*产品成本!$E$4</f>
        <v>55.967949295774559</v>
      </c>
      <c r="AL5" s="212">
        <f>AG5*产品成本!$F$2+AH5*产品成本!$F$3+AI5*产品成本!$F$4</f>
        <v>100.64000000000001</v>
      </c>
      <c r="AM5" s="212">
        <f>AG5*产品成本!$G$2+AH5*产品成本!$G$3+AI5*产品成本!$G$4</f>
        <v>1140.1199999999999</v>
      </c>
      <c r="AN5" s="212">
        <f t="shared" si="13"/>
        <v>980.36249999999995</v>
      </c>
      <c r="AO5" s="213">
        <f t="shared" si="14"/>
        <v>2916.8087591549302</v>
      </c>
      <c r="AP5" s="214">
        <v>3</v>
      </c>
      <c r="AQ5" s="214">
        <v>9</v>
      </c>
      <c r="AR5" s="215">
        <v>0</v>
      </c>
      <c r="AS5" s="216">
        <f t="shared" si="15"/>
        <v>273.23863636363637</v>
      </c>
      <c r="AT5" s="216">
        <f>AP5*产品成本!$D$2+AQ5*产品成本!$D$3+AR5*产品成本!$D$4</f>
        <v>25.352112676056358</v>
      </c>
      <c r="AU5" s="220">
        <f>AP5*产品成本!$E$2+AQ5*产品成本!$E$3+AR5*产品成本!$E$4</f>
        <v>2.2559323943661931</v>
      </c>
      <c r="AV5" s="219">
        <f>AP5*产品成本!$F$2+AQ5*产品成本!$F$3+AR5*产品成本!$F$4</f>
        <v>4.08</v>
      </c>
      <c r="AW5" s="218">
        <v>0</v>
      </c>
      <c r="AX5" s="219">
        <f t="shared" si="16"/>
        <v>40.985795454545453</v>
      </c>
      <c r="AY5" s="218">
        <f t="shared" si="17"/>
        <v>-8.197159090909091</v>
      </c>
      <c r="AZ5" s="220">
        <f t="shared" si="18"/>
        <v>64.476681434058904</v>
      </c>
      <c r="BA5" s="221">
        <f t="shared" si="19"/>
        <v>2852.3320777208714</v>
      </c>
      <c r="BB5" s="221">
        <f t="shared" si="20"/>
        <v>6535.75</v>
      </c>
      <c r="BC5" s="221">
        <f t="shared" si="21"/>
        <v>6262.511363636364</v>
      </c>
      <c r="BD5" s="222">
        <f t="shared" si="22"/>
        <v>1517.8492859154926</v>
      </c>
      <c r="BE5" s="223">
        <f t="shared" si="23"/>
        <v>0.24237070366514185</v>
      </c>
      <c r="BF5" s="227"/>
      <c r="BG5" s="227"/>
      <c r="BH5" s="227"/>
    </row>
    <row r="6" spans="1:61" ht="23.1" customHeight="1" x14ac:dyDescent="0.15">
      <c r="A6" s="191" t="s">
        <v>73</v>
      </c>
      <c r="B6" s="192" t="s">
        <v>74</v>
      </c>
      <c r="C6" s="192">
        <v>401</v>
      </c>
      <c r="D6" s="193">
        <v>366</v>
      </c>
      <c r="E6" s="194">
        <v>7627.49</v>
      </c>
      <c r="F6" s="195"/>
      <c r="G6" s="195"/>
      <c r="H6" s="196"/>
      <c r="I6" s="196"/>
      <c r="J6" s="225">
        <v>16</v>
      </c>
      <c r="K6" s="198">
        <f t="shared" si="0"/>
        <v>3.9900249376558602E-2</v>
      </c>
      <c r="L6" s="199">
        <v>329.15</v>
      </c>
      <c r="M6" s="200">
        <f t="shared" si="1"/>
        <v>0.35472972972972971</v>
      </c>
      <c r="N6" s="198">
        <f t="shared" si="2"/>
        <v>0.28421052631578947</v>
      </c>
      <c r="O6" s="198">
        <f t="shared" si="3"/>
        <v>0.16704127299850818</v>
      </c>
      <c r="P6" s="201">
        <f t="shared" si="4"/>
        <v>1.0956284153005464</v>
      </c>
      <c r="Q6" s="202">
        <f t="shared" si="5"/>
        <v>20.840136612021858</v>
      </c>
      <c r="R6" s="202">
        <f t="shared" si="6"/>
        <v>19.021172069825436</v>
      </c>
      <c r="S6" s="202">
        <f t="shared" si="7"/>
        <v>57.285714285714285</v>
      </c>
      <c r="T6" s="203">
        <f t="shared" si="8"/>
        <v>126</v>
      </c>
      <c r="U6" s="204">
        <f t="shared" si="9"/>
        <v>0.34426229508196721</v>
      </c>
      <c r="V6" s="205">
        <f t="shared" si="10"/>
        <v>0.28473193671836999</v>
      </c>
      <c r="W6" s="193">
        <v>195302</v>
      </c>
      <c r="X6" s="193">
        <v>2172</v>
      </c>
      <c r="Y6" s="193">
        <v>240</v>
      </c>
      <c r="Z6" s="206">
        <v>2171.79</v>
      </c>
      <c r="AA6" s="226">
        <v>4918.97</v>
      </c>
      <c r="AB6" s="228" t="s">
        <v>75</v>
      </c>
      <c r="AC6" s="208">
        <f t="shared" si="11"/>
        <v>0.4415131623083694</v>
      </c>
      <c r="AD6" s="209">
        <f t="shared" ref="AD6:AF6" si="25">X6/W6</f>
        <v>1.1121237877748307E-2</v>
      </c>
      <c r="AE6" s="209">
        <f t="shared" si="25"/>
        <v>0.11049723756906077</v>
      </c>
      <c r="AF6" s="202">
        <f t="shared" si="25"/>
        <v>9.0491250000000001</v>
      </c>
      <c r="AG6" s="210">
        <v>119</v>
      </c>
      <c r="AH6" s="203">
        <v>271</v>
      </c>
      <c r="AI6" s="211">
        <v>11</v>
      </c>
      <c r="AJ6" s="212">
        <f>AG6*产品成本!$D$2+AH6*产品成本!$D$3+AI6*产品成本!$D$4</f>
        <v>860.352112676057</v>
      </c>
      <c r="AK6" s="212">
        <f>AG6*产品成本!$E$2+AH6*产品成本!$E$3+AI6*产品成本!$E$4</f>
        <v>75.215366197182973</v>
      </c>
      <c r="AL6" s="212">
        <f>AG6*产品成本!$F$2+AH6*产品成本!$F$3+AI6*产品成本!$F$4</f>
        <v>136.34</v>
      </c>
      <c r="AM6" s="212">
        <f>AG6*产品成本!$G$2+AH6*产品成本!$G$3+AI6*产品成本!$G$4</f>
        <v>1538.9099999999999</v>
      </c>
      <c r="AN6" s="212">
        <f t="shared" si="13"/>
        <v>1144.1234999999999</v>
      </c>
      <c r="AO6" s="213">
        <f t="shared" si="14"/>
        <v>3754.9409788732401</v>
      </c>
      <c r="AP6" s="214">
        <v>2</v>
      </c>
      <c r="AQ6" s="214">
        <v>14</v>
      </c>
      <c r="AR6" s="215">
        <v>1</v>
      </c>
      <c r="AS6" s="216">
        <f t="shared" si="15"/>
        <v>374.03409090909088</v>
      </c>
      <c r="AT6" s="216">
        <f>AP6*产品成本!$D$2+AQ6*产品成本!$D$3+AR6*产品成本!$D$4</f>
        <v>37.11267605633806</v>
      </c>
      <c r="AU6" s="220">
        <f>AP6*产品成本!$E$2+AQ6*产品成本!$E$3+AR6*产品成本!$E$4</f>
        <v>3.256276056338022</v>
      </c>
      <c r="AV6" s="219">
        <f>AP6*产品成本!$F$2+AQ6*产品成本!$F$3+AR6*产品成本!$F$4</f>
        <v>5.78</v>
      </c>
      <c r="AW6" s="218">
        <v>0</v>
      </c>
      <c r="AX6" s="219">
        <f t="shared" si="16"/>
        <v>56.105113636363633</v>
      </c>
      <c r="AY6" s="218">
        <f t="shared" si="17"/>
        <v>-11.221022727272727</v>
      </c>
      <c r="AZ6" s="220">
        <f t="shared" si="18"/>
        <v>91.033043021766986</v>
      </c>
      <c r="BA6" s="221">
        <f t="shared" si="19"/>
        <v>3663.9079358514732</v>
      </c>
      <c r="BB6" s="221">
        <f t="shared" si="20"/>
        <v>7627.49</v>
      </c>
      <c r="BC6" s="221">
        <f t="shared" si="21"/>
        <v>7253.4559090909088</v>
      </c>
      <c r="BD6" s="222">
        <f t="shared" si="22"/>
        <v>1417.7579732394356</v>
      </c>
      <c r="BE6" s="223">
        <f t="shared" si="23"/>
        <v>0.19545965275152907</v>
      </c>
      <c r="BF6" s="229"/>
      <c r="BG6" s="229"/>
      <c r="BH6" s="229"/>
    </row>
    <row r="7" spans="1:61" ht="23.1" customHeight="1" x14ac:dyDescent="0.15">
      <c r="A7" s="191" t="s">
        <v>76</v>
      </c>
      <c r="B7" s="192" t="s">
        <v>77</v>
      </c>
      <c r="C7" s="192">
        <v>349</v>
      </c>
      <c r="D7" s="193">
        <v>339</v>
      </c>
      <c r="E7" s="194">
        <v>6352.41</v>
      </c>
      <c r="F7" s="195"/>
      <c r="G7" s="195"/>
      <c r="H7" s="196"/>
      <c r="I7" s="196"/>
      <c r="J7" s="225">
        <v>22</v>
      </c>
      <c r="K7" s="198">
        <f t="shared" si="0"/>
        <v>6.3037249283667621E-2</v>
      </c>
      <c r="L7" s="199">
        <v>390.12</v>
      </c>
      <c r="M7" s="200">
        <f t="shared" si="1"/>
        <v>-0.12967581047381546</v>
      </c>
      <c r="N7" s="198">
        <f t="shared" si="2"/>
        <v>-7.3770491803278687E-2</v>
      </c>
      <c r="O7" s="198">
        <f t="shared" si="3"/>
        <v>-0.16716901628189615</v>
      </c>
      <c r="P7" s="201">
        <f t="shared" si="4"/>
        <v>1.0294985250737463</v>
      </c>
      <c r="Q7" s="202">
        <f t="shared" si="5"/>
        <v>18.73867256637168</v>
      </c>
      <c r="R7" s="202">
        <f t="shared" si="6"/>
        <v>18.201747851002864</v>
      </c>
      <c r="S7" s="202">
        <f t="shared" si="7"/>
        <v>49.857142857142854</v>
      </c>
      <c r="T7" s="203">
        <f t="shared" si="8"/>
        <v>118</v>
      </c>
      <c r="U7" s="204">
        <f t="shared" si="9"/>
        <v>0.34808259587020651</v>
      </c>
      <c r="V7" s="205">
        <f t="shared" si="10"/>
        <v>0.35467798835402625</v>
      </c>
      <c r="W7" s="193">
        <v>204302</v>
      </c>
      <c r="X7" s="193">
        <v>2295</v>
      </c>
      <c r="Y7" s="193">
        <v>221</v>
      </c>
      <c r="Z7" s="206">
        <v>2253.06</v>
      </c>
      <c r="AA7" s="226">
        <v>4084.24</v>
      </c>
      <c r="AB7" s="228" t="s">
        <v>78</v>
      </c>
      <c r="AC7" s="208">
        <f t="shared" si="11"/>
        <v>0.55164730769984138</v>
      </c>
      <c r="AD7" s="209">
        <f t="shared" ref="AD7:AF7" si="26">X7/W7</f>
        <v>1.1233370206850642E-2</v>
      </c>
      <c r="AE7" s="209">
        <f t="shared" si="26"/>
        <v>9.6296296296296297E-2</v>
      </c>
      <c r="AF7" s="202">
        <f t="shared" si="26"/>
        <v>10.194841628959276</v>
      </c>
      <c r="AG7" s="210">
        <v>129</v>
      </c>
      <c r="AH7" s="203">
        <v>196</v>
      </c>
      <c r="AI7" s="211">
        <v>24</v>
      </c>
      <c r="AJ7" s="212">
        <f>AG7*产品成本!$D$2+AH7*产品成本!$D$3+AI7*产品成本!$D$4</f>
        <v>766.05633802816965</v>
      </c>
      <c r="AK7" s="212">
        <f>AG7*产品成本!$E$2+AH7*产品成本!$E$3+AI7*产品成本!$E$4</f>
        <v>65.222176056337943</v>
      </c>
      <c r="AL7" s="212">
        <f>AG7*产品成本!$F$2+AH7*产品成本!$F$3+AI7*产品成本!$F$4</f>
        <v>118.66</v>
      </c>
      <c r="AM7" s="212">
        <f>AG7*产品成本!$G$2+AH7*产品成本!$G$3+AI7*产品成本!$G$4</f>
        <v>1334.0099999999998</v>
      </c>
      <c r="AN7" s="212">
        <f t="shared" si="13"/>
        <v>952.86149999999998</v>
      </c>
      <c r="AO7" s="213">
        <f t="shared" si="14"/>
        <v>3236.8100140845072</v>
      </c>
      <c r="AP7" s="214">
        <v>6</v>
      </c>
      <c r="AQ7" s="214">
        <v>16</v>
      </c>
      <c r="AR7" s="215">
        <v>0</v>
      </c>
      <c r="AS7" s="216">
        <f t="shared" si="15"/>
        <v>443.31818181818181</v>
      </c>
      <c r="AT7" s="216">
        <f>AP7*产品成本!$D$2+AQ7*产品成本!$D$3+AR7*产品成本!$D$4</f>
        <v>46.478873239436652</v>
      </c>
      <c r="AU7" s="220">
        <f>AP7*产品成本!$E$2+AQ7*产品成本!$E$3+AR7*产品成本!$E$4</f>
        <v>4.1262845070422465</v>
      </c>
      <c r="AV7" s="219">
        <f>AP7*产品成本!$F$2+AQ7*产品成本!$F$3+AR7*产品成本!$F$4</f>
        <v>7.48</v>
      </c>
      <c r="AW7" s="218">
        <v>0</v>
      </c>
      <c r="AX7" s="219">
        <f t="shared" si="16"/>
        <v>66.497727272727275</v>
      </c>
      <c r="AY7" s="218">
        <f t="shared" si="17"/>
        <v>-13.299545454545456</v>
      </c>
      <c r="AZ7" s="220">
        <f t="shared" si="18"/>
        <v>111.28333956466072</v>
      </c>
      <c r="BA7" s="221">
        <f t="shared" si="19"/>
        <v>3125.5266745198464</v>
      </c>
      <c r="BB7" s="221">
        <f t="shared" si="20"/>
        <v>6352.41</v>
      </c>
      <c r="BC7" s="221">
        <f t="shared" si="21"/>
        <v>5909.0918181818179</v>
      </c>
      <c r="BD7" s="222">
        <f t="shared" si="22"/>
        <v>530.50514366197149</v>
      </c>
      <c r="BE7" s="223">
        <f t="shared" si="23"/>
        <v>8.9777779730829066E-2</v>
      </c>
      <c r="BF7" s="227"/>
      <c r="BG7" s="227"/>
      <c r="BH7" s="227"/>
    </row>
    <row r="8" spans="1:61" ht="23.1" customHeight="1" x14ac:dyDescent="0.15">
      <c r="A8" s="191" t="s">
        <v>79</v>
      </c>
      <c r="B8" s="192" t="s">
        <v>80</v>
      </c>
      <c r="C8" s="192">
        <v>319</v>
      </c>
      <c r="D8" s="193">
        <v>300</v>
      </c>
      <c r="E8" s="194">
        <v>6697.47</v>
      </c>
      <c r="F8" s="195"/>
      <c r="G8" s="195"/>
      <c r="H8" s="196"/>
      <c r="I8" s="196"/>
      <c r="J8" s="225">
        <v>23</v>
      </c>
      <c r="K8" s="198">
        <f t="shared" si="0"/>
        <v>7.2100313479623826E-2</v>
      </c>
      <c r="L8" s="199">
        <v>402.29</v>
      </c>
      <c r="M8" s="200">
        <f t="shared" si="1"/>
        <v>-8.5959885386819479E-2</v>
      </c>
      <c r="N8" s="198">
        <f t="shared" si="2"/>
        <v>-0.11504424778761062</v>
      </c>
      <c r="O8" s="198">
        <f t="shared" si="3"/>
        <v>5.4319541717238087E-2</v>
      </c>
      <c r="P8" s="201">
        <f t="shared" si="4"/>
        <v>1.0633333333333332</v>
      </c>
      <c r="Q8" s="202">
        <f t="shared" si="5"/>
        <v>22.3249</v>
      </c>
      <c r="R8" s="202">
        <f t="shared" si="6"/>
        <v>20.995203761755487</v>
      </c>
      <c r="S8" s="202">
        <f t="shared" si="7"/>
        <v>45.571428571428569</v>
      </c>
      <c r="T8" s="203">
        <f t="shared" si="8"/>
        <v>122</v>
      </c>
      <c r="U8" s="204">
        <f t="shared" si="9"/>
        <v>0.40666666666666668</v>
      </c>
      <c r="V8" s="205">
        <f t="shared" si="10"/>
        <v>0.32161846189680582</v>
      </c>
      <c r="W8" s="193">
        <v>215967</v>
      </c>
      <c r="X8" s="193">
        <v>2203</v>
      </c>
      <c r="Y8" s="193">
        <v>178</v>
      </c>
      <c r="Z8" s="206">
        <v>2154.0300000000002</v>
      </c>
      <c r="AA8" s="226">
        <v>4084.54</v>
      </c>
      <c r="AB8" s="228" t="s">
        <v>78</v>
      </c>
      <c r="AC8" s="208">
        <f t="shared" si="11"/>
        <v>0.52736171025378631</v>
      </c>
      <c r="AD8" s="209">
        <f t="shared" ref="AD8:AF8" si="27">X8/W8</f>
        <v>1.0200632504039969E-2</v>
      </c>
      <c r="AE8" s="209">
        <f t="shared" si="27"/>
        <v>8.079891057648661E-2</v>
      </c>
      <c r="AF8" s="202">
        <f t="shared" si="27"/>
        <v>12.101292134831462</v>
      </c>
      <c r="AG8" s="210">
        <v>106</v>
      </c>
      <c r="AH8" s="203">
        <v>197</v>
      </c>
      <c r="AI8" s="211">
        <v>16</v>
      </c>
      <c r="AJ8" s="212">
        <f>AG8*产品成本!$D$2+AH8*产品成本!$D$3+AI8*产品成本!$D$4</f>
        <v>693.09859154929632</v>
      </c>
      <c r="AK8" s="212">
        <f>AG8*产品成本!$E$2+AH8*产品成本!$E$3+AI8*产品成本!$E$4</f>
        <v>59.742004225352019</v>
      </c>
      <c r="AL8" s="212">
        <f>AG8*产品成本!$F$2+AH8*产品成本!$F$3+AI8*产品成本!$F$4</f>
        <v>108.46000000000001</v>
      </c>
      <c r="AM8" s="212">
        <f>AG8*产品成本!$G$2+AH8*产品成本!$G$3+AI8*产品成本!$G$4</f>
        <v>1221.8400000000001</v>
      </c>
      <c r="AN8" s="212">
        <f t="shared" si="13"/>
        <v>1004.6205</v>
      </c>
      <c r="AO8" s="213">
        <f t="shared" si="14"/>
        <v>3087.7610957746483</v>
      </c>
      <c r="AP8" s="214">
        <v>10</v>
      </c>
      <c r="AQ8" s="214">
        <v>13</v>
      </c>
      <c r="AR8" s="215">
        <v>2</v>
      </c>
      <c r="AS8" s="216">
        <f t="shared" si="15"/>
        <v>457.14772727272731</v>
      </c>
      <c r="AT8" s="216">
        <f>AP8*产品成本!$D$2+AQ8*产品成本!$D$3+AR8*产品成本!$D$4</f>
        <v>55.211267605633843</v>
      </c>
      <c r="AU8" s="220">
        <f>AP8*产品成本!$E$2+AQ8*产品成本!$E$3+AR8*产品成本!$E$4</f>
        <v>4.6623422535211203</v>
      </c>
      <c r="AV8" s="219">
        <f>AP8*产品成本!$F$2+AQ8*产品成本!$F$3+AR8*产品成本!$F$4</f>
        <v>8.5</v>
      </c>
      <c r="AW8" s="218">
        <v>0</v>
      </c>
      <c r="AX8" s="219">
        <f t="shared" si="16"/>
        <v>68.572159090909096</v>
      </c>
      <c r="AY8" s="218">
        <f t="shared" si="17"/>
        <v>-13.71443181818182</v>
      </c>
      <c r="AZ8" s="220">
        <f t="shared" si="18"/>
        <v>123.23133713188224</v>
      </c>
      <c r="BA8" s="221">
        <f t="shared" si="19"/>
        <v>2964.529758642766</v>
      </c>
      <c r="BB8" s="221">
        <f t="shared" si="20"/>
        <v>6697.47</v>
      </c>
      <c r="BC8" s="221">
        <f t="shared" si="21"/>
        <v>6240.3222727272732</v>
      </c>
      <c r="BD8" s="222">
        <f t="shared" si="22"/>
        <v>1121.7625140845071</v>
      </c>
      <c r="BE8" s="223">
        <f t="shared" si="23"/>
        <v>0.17976034971576099</v>
      </c>
      <c r="BF8" s="229"/>
      <c r="BG8" s="229"/>
      <c r="BH8" s="229"/>
    </row>
    <row r="9" spans="1:61" ht="23.1" customHeight="1" x14ac:dyDescent="0.15">
      <c r="A9" s="191" t="s">
        <v>81</v>
      </c>
      <c r="B9" s="192" t="s">
        <v>82</v>
      </c>
      <c r="C9" s="192">
        <v>299</v>
      </c>
      <c r="D9" s="193">
        <v>285</v>
      </c>
      <c r="E9" s="194">
        <v>7065.55</v>
      </c>
      <c r="F9" s="195"/>
      <c r="G9" s="195"/>
      <c r="H9" s="196"/>
      <c r="I9" s="196"/>
      <c r="J9" s="225">
        <v>21</v>
      </c>
      <c r="K9" s="198">
        <f t="shared" si="0"/>
        <v>7.0234113712374577E-2</v>
      </c>
      <c r="L9" s="199">
        <v>418.94</v>
      </c>
      <c r="M9" s="200">
        <f t="shared" si="1"/>
        <v>-6.2695924764890276E-2</v>
      </c>
      <c r="N9" s="198">
        <f t="shared" si="2"/>
        <v>-0.05</v>
      </c>
      <c r="O9" s="198">
        <f t="shared" si="3"/>
        <v>5.4958066254869362E-2</v>
      </c>
      <c r="P9" s="201">
        <f t="shared" si="4"/>
        <v>1.0491228070175438</v>
      </c>
      <c r="Q9" s="202">
        <f t="shared" si="5"/>
        <v>24.791403508771932</v>
      </c>
      <c r="R9" s="202">
        <f t="shared" si="6"/>
        <v>23.630602006688964</v>
      </c>
      <c r="S9" s="202">
        <f t="shared" si="7"/>
        <v>42.714285714285715</v>
      </c>
      <c r="T9" s="203">
        <f t="shared" si="8"/>
        <v>93</v>
      </c>
      <c r="U9" s="204">
        <f t="shared" si="9"/>
        <v>0.32631578947368423</v>
      </c>
      <c r="V9" s="205">
        <f t="shared" si="10"/>
        <v>0.24653848603434977</v>
      </c>
      <c r="W9" s="193">
        <v>158506</v>
      </c>
      <c r="X9" s="193">
        <v>1791</v>
      </c>
      <c r="Y9" s="193">
        <v>192</v>
      </c>
      <c r="Z9" s="206">
        <v>1741.93</v>
      </c>
      <c r="AA9" s="226">
        <v>4780.29</v>
      </c>
      <c r="AB9" s="228" t="s">
        <v>83</v>
      </c>
      <c r="AC9" s="208">
        <f t="shared" si="11"/>
        <v>0.36439839423968001</v>
      </c>
      <c r="AD9" s="209">
        <f t="shared" ref="AD9:AF9" si="28">X9/W9</f>
        <v>1.1299256810467742E-2</v>
      </c>
      <c r="AE9" s="209">
        <f t="shared" si="28"/>
        <v>0.10720268006700168</v>
      </c>
      <c r="AF9" s="202">
        <f t="shared" si="28"/>
        <v>9.0725520833333331</v>
      </c>
      <c r="AG9" s="210">
        <v>98</v>
      </c>
      <c r="AH9" s="203">
        <v>187</v>
      </c>
      <c r="AI9" s="211">
        <v>14</v>
      </c>
      <c r="AJ9" s="212">
        <f>AG9*产品成本!$D$2+AH9*产品成本!$D$3+AI9*产品成本!$D$4</f>
        <v>648.45070422535264</v>
      </c>
      <c r="AK9" s="212">
        <f>AG9*产品成本!$E$2+AH9*产品成本!$E$3+AI9*产品成本!$E$4</f>
        <v>56.005246478873147</v>
      </c>
      <c r="AL9" s="212">
        <f>AG9*产品成本!$F$2+AH9*产品成本!$F$3+AI9*产品成本!$F$4</f>
        <v>101.66000000000001</v>
      </c>
      <c r="AM9" s="212">
        <f>AG9*产品成本!$G$2+AH9*产品成本!$G$3+AI9*产品成本!$G$4</f>
        <v>1145.52</v>
      </c>
      <c r="AN9" s="212">
        <f t="shared" si="13"/>
        <v>1059.8325</v>
      </c>
      <c r="AO9" s="213">
        <f t="shared" si="14"/>
        <v>3011.4684507042257</v>
      </c>
      <c r="AP9" s="214">
        <v>6</v>
      </c>
      <c r="AQ9" s="214">
        <v>15</v>
      </c>
      <c r="AR9" s="215">
        <v>2</v>
      </c>
      <c r="AS9" s="216">
        <f t="shared" si="15"/>
        <v>476.06818181818181</v>
      </c>
      <c r="AT9" s="216">
        <f>AP9*产品成本!$D$2+AQ9*产品成本!$D$3+AR9*产品成本!$D$4</f>
        <v>50.98591549295778</v>
      </c>
      <c r="AU9" s="220">
        <f>AP9*产品成本!$E$2+AQ9*产品成本!$E$3+AR9*产品成本!$E$4</f>
        <v>4.3534943661971761</v>
      </c>
      <c r="AV9" s="219">
        <f>AP9*产品成本!$F$2+AQ9*产品成本!$F$3+AR9*产品成本!$F$4</f>
        <v>7.82</v>
      </c>
      <c r="AW9" s="218">
        <v>0</v>
      </c>
      <c r="AX9" s="219">
        <f t="shared" si="16"/>
        <v>71.410227272727269</v>
      </c>
      <c r="AY9" s="218">
        <f t="shared" si="17"/>
        <v>-14.282045454545454</v>
      </c>
      <c r="AZ9" s="220">
        <f t="shared" si="18"/>
        <v>120.28759167733676</v>
      </c>
      <c r="BA9" s="221">
        <f t="shared" si="19"/>
        <v>2891.1808590268888</v>
      </c>
      <c r="BB9" s="221">
        <f t="shared" si="20"/>
        <v>7065.55</v>
      </c>
      <c r="BC9" s="221">
        <f t="shared" si="21"/>
        <v>6589.4818181818182</v>
      </c>
      <c r="BD9" s="222">
        <f t="shared" si="22"/>
        <v>1956.3709591549293</v>
      </c>
      <c r="BE9" s="223">
        <f t="shared" si="23"/>
        <v>0.29689298993994867</v>
      </c>
      <c r="BF9" s="227"/>
      <c r="BG9" s="227"/>
      <c r="BH9" s="227"/>
    </row>
    <row r="10" spans="1:61" ht="23.1" customHeight="1" x14ac:dyDescent="0.15">
      <c r="A10" s="191" t="s">
        <v>84</v>
      </c>
      <c r="B10" s="192" t="s">
        <v>85</v>
      </c>
      <c r="C10" s="192">
        <v>261</v>
      </c>
      <c r="D10" s="193">
        <v>250</v>
      </c>
      <c r="E10" s="194">
        <v>6230.89</v>
      </c>
      <c r="F10" s="195"/>
      <c r="G10" s="195"/>
      <c r="H10" s="196"/>
      <c r="I10" s="196"/>
      <c r="J10" s="225">
        <v>29</v>
      </c>
      <c r="K10" s="198">
        <f t="shared" si="0"/>
        <v>0.1111111111111111</v>
      </c>
      <c r="L10" s="199">
        <v>586.11</v>
      </c>
      <c r="M10" s="200">
        <f t="shared" si="1"/>
        <v>-0.12709030100334448</v>
      </c>
      <c r="N10" s="198">
        <f t="shared" si="2"/>
        <v>-0.12280701754385964</v>
      </c>
      <c r="O10" s="198">
        <f t="shared" si="3"/>
        <v>-0.11813093106693744</v>
      </c>
      <c r="P10" s="201">
        <f t="shared" si="4"/>
        <v>1.044</v>
      </c>
      <c r="Q10" s="202">
        <f t="shared" si="5"/>
        <v>24.923560000000002</v>
      </c>
      <c r="R10" s="202">
        <f t="shared" si="6"/>
        <v>23.873141762452107</v>
      </c>
      <c r="S10" s="202">
        <f t="shared" si="7"/>
        <v>37.285714285714285</v>
      </c>
      <c r="T10" s="203">
        <f t="shared" si="8"/>
        <v>110</v>
      </c>
      <c r="U10" s="204">
        <f t="shared" si="9"/>
        <v>0.44</v>
      </c>
      <c r="V10" s="205">
        <f t="shared" si="10"/>
        <v>0.27256940822258136</v>
      </c>
      <c r="W10" s="193">
        <v>166059</v>
      </c>
      <c r="X10" s="193">
        <v>1726</v>
      </c>
      <c r="Y10" s="193">
        <v>140</v>
      </c>
      <c r="Z10" s="206">
        <v>1698.35</v>
      </c>
      <c r="AA10" s="226">
        <v>3468.95</v>
      </c>
      <c r="AB10" s="228" t="s">
        <v>78</v>
      </c>
      <c r="AC10" s="208">
        <f t="shared" si="11"/>
        <v>0.48958618602170684</v>
      </c>
      <c r="AD10" s="209">
        <f t="shared" ref="AD10:AF10" si="29">X10/W10</f>
        <v>1.0393896145345931E-2</v>
      </c>
      <c r="AE10" s="209">
        <f t="shared" si="29"/>
        <v>8.1112398609501743E-2</v>
      </c>
      <c r="AF10" s="202">
        <f t="shared" si="29"/>
        <v>12.131071428571428</v>
      </c>
      <c r="AG10" s="210">
        <v>76</v>
      </c>
      <c r="AH10" s="203">
        <v>160</v>
      </c>
      <c r="AI10" s="211">
        <v>26</v>
      </c>
      <c r="AJ10" s="212">
        <f>AG10*产品成本!$D$2+AH10*产品成本!$D$3+AI10*产品成本!$D$4</f>
        <v>584.64788732394413</v>
      </c>
      <c r="AK10" s="212">
        <f>AG10*产品成本!$E$2+AH10*产品成本!$E$3+AI10*产品成本!$E$4</f>
        <v>49.500557746478798</v>
      </c>
      <c r="AL10" s="212">
        <f>AG10*产品成本!$F$2+AH10*产品成本!$F$3+AI10*产品成本!$F$4</f>
        <v>89.080000000000013</v>
      </c>
      <c r="AM10" s="212">
        <f>AG10*产品成本!$G$2+AH10*产品成本!$G$3+AI10*产品成本!$G$4</f>
        <v>1005.84</v>
      </c>
      <c r="AN10" s="212">
        <f t="shared" si="13"/>
        <v>934.63350000000003</v>
      </c>
      <c r="AO10" s="213">
        <f t="shared" si="14"/>
        <v>2663.7019450704229</v>
      </c>
      <c r="AP10" s="214">
        <v>12</v>
      </c>
      <c r="AQ10" s="214">
        <v>14</v>
      </c>
      <c r="AR10" s="215">
        <v>3</v>
      </c>
      <c r="AS10" s="216">
        <f t="shared" si="15"/>
        <v>666.03409090909088</v>
      </c>
      <c r="AT10" s="216">
        <f>AP10*产品成本!$D$2+AQ10*产品成本!$D$3+AR10*产品成本!$D$4</f>
        <v>64.859154929577514</v>
      </c>
      <c r="AU10" s="220">
        <f>AP10*产品成本!$E$2+AQ10*产品成本!$E$3+AR10*产品成本!$E$4</f>
        <v>5.4123464788732321</v>
      </c>
      <c r="AV10" s="219">
        <f>AP10*产品成本!$F$2+AQ10*产品成本!$F$3+AR10*产品成本!$F$4</f>
        <v>9.86</v>
      </c>
      <c r="AW10" s="218">
        <v>0</v>
      </c>
      <c r="AX10" s="219">
        <f t="shared" si="16"/>
        <v>99.905113636363623</v>
      </c>
      <c r="AY10" s="218">
        <f t="shared" si="17"/>
        <v>-19.981022727272727</v>
      </c>
      <c r="AZ10" s="220">
        <f t="shared" si="18"/>
        <v>160.05559231754165</v>
      </c>
      <c r="BA10" s="221">
        <f t="shared" si="19"/>
        <v>2503.6463527528813</v>
      </c>
      <c r="BB10" s="221">
        <f t="shared" si="20"/>
        <v>6230.89</v>
      </c>
      <c r="BC10" s="221">
        <f t="shared" si="21"/>
        <v>5564.8559090909093</v>
      </c>
      <c r="BD10" s="222">
        <f t="shared" si="22"/>
        <v>1362.8595563380281</v>
      </c>
      <c r="BE10" s="223">
        <f t="shared" si="23"/>
        <v>0.24490473403123006</v>
      </c>
      <c r="BF10" s="229"/>
      <c r="BG10" s="229"/>
      <c r="BH10" s="229"/>
    </row>
    <row r="11" spans="1:61" ht="23.1" customHeight="1" x14ac:dyDescent="0.15">
      <c r="A11" s="191" t="s">
        <v>86</v>
      </c>
      <c r="B11" s="192" t="s">
        <v>87</v>
      </c>
      <c r="C11" s="192">
        <v>305</v>
      </c>
      <c r="D11" s="193">
        <v>290</v>
      </c>
      <c r="E11" s="194">
        <v>6636.34</v>
      </c>
      <c r="F11" s="195"/>
      <c r="G11" s="195"/>
      <c r="H11" s="196"/>
      <c r="I11" s="196"/>
      <c r="J11" s="225">
        <v>18</v>
      </c>
      <c r="K11" s="198">
        <f t="shared" si="0"/>
        <v>5.9016393442622953E-2</v>
      </c>
      <c r="L11" s="199">
        <v>268.60000000000002</v>
      </c>
      <c r="M11" s="200">
        <f t="shared" si="1"/>
        <v>0.16858237547892721</v>
      </c>
      <c r="N11" s="198">
        <f t="shared" si="2"/>
        <v>0.16</v>
      </c>
      <c r="O11" s="198">
        <f t="shared" si="3"/>
        <v>6.5070960970262645E-2</v>
      </c>
      <c r="P11" s="201">
        <f t="shared" si="4"/>
        <v>1.0517241379310345</v>
      </c>
      <c r="Q11" s="202">
        <f t="shared" si="5"/>
        <v>22.88393103448276</v>
      </c>
      <c r="R11" s="202">
        <f t="shared" si="6"/>
        <v>21.758491803278687</v>
      </c>
      <c r="S11" s="202">
        <f t="shared" si="7"/>
        <v>43.571428571428569</v>
      </c>
      <c r="T11" s="203">
        <f t="shared" si="8"/>
        <v>95</v>
      </c>
      <c r="U11" s="204">
        <f t="shared" si="9"/>
        <v>0.32758620689655171</v>
      </c>
      <c r="V11" s="205">
        <f t="shared" si="10"/>
        <v>0.30611150121904546</v>
      </c>
      <c r="W11" s="193">
        <v>175575</v>
      </c>
      <c r="X11" s="193">
        <v>1917</v>
      </c>
      <c r="Y11" s="193">
        <v>195</v>
      </c>
      <c r="Z11" s="206">
        <v>2031.46</v>
      </c>
      <c r="AA11" s="226">
        <v>4467.78</v>
      </c>
      <c r="AB11" s="228" t="s">
        <v>88</v>
      </c>
      <c r="AC11" s="208">
        <f t="shared" si="11"/>
        <v>0.45469114414765277</v>
      </c>
      <c r="AD11" s="209">
        <f t="shared" ref="AD11:AF11" si="30">X11/W11</f>
        <v>1.091841093549765E-2</v>
      </c>
      <c r="AE11" s="209">
        <f t="shared" si="30"/>
        <v>0.10172143974960876</v>
      </c>
      <c r="AF11" s="202">
        <f t="shared" si="30"/>
        <v>10.417743589743591</v>
      </c>
      <c r="AG11" s="210">
        <v>97</v>
      </c>
      <c r="AH11" s="203">
        <v>170</v>
      </c>
      <c r="AI11" s="211">
        <v>38</v>
      </c>
      <c r="AJ11" s="212">
        <f>AG11*产品成本!$D$2+AH11*产品成本!$D$3+AI11*产品成本!$D$4</f>
        <v>689.85915492957793</v>
      </c>
      <c r="AK11" s="212">
        <f>AG11*产品成本!$E$2+AH11*产品成本!$E$3+AI11*产品成本!$E$4</f>
        <v>57.594207042253437</v>
      </c>
      <c r="AL11" s="212">
        <f>AG11*产品成本!$F$2+AH11*产品成本!$F$3+AI11*产品成本!$F$4</f>
        <v>103.7</v>
      </c>
      <c r="AM11" s="212">
        <f>AG11*产品成本!$G$2+AH11*产品成本!$G$3+AI11*产品成本!$G$4</f>
        <v>1169.1300000000001</v>
      </c>
      <c r="AN11" s="212">
        <f t="shared" si="13"/>
        <v>995.45100000000002</v>
      </c>
      <c r="AO11" s="213">
        <f t="shared" si="14"/>
        <v>3015.7343619718313</v>
      </c>
      <c r="AP11" s="214">
        <v>7</v>
      </c>
      <c r="AQ11" s="214">
        <v>11</v>
      </c>
      <c r="AR11" s="215">
        <v>0</v>
      </c>
      <c r="AS11" s="216">
        <f t="shared" si="15"/>
        <v>305.22727272727275</v>
      </c>
      <c r="AT11" s="216">
        <f>AP11*产品成本!$D$2+AQ11*产品成本!$D$3+AR11*产品成本!$D$4</f>
        <v>38.028169014084533</v>
      </c>
      <c r="AU11" s="220">
        <f>AP11*产品成本!$E$2+AQ11*产品成本!$E$3+AR11*产品成本!$E$4</f>
        <v>3.3359408450704171</v>
      </c>
      <c r="AV11" s="219">
        <f>AP11*产品成本!$F$2+AQ11*产品成本!$F$3+AR11*产品成本!$F$4</f>
        <v>6.120000000000001</v>
      </c>
      <c r="AW11" s="218">
        <v>0</v>
      </c>
      <c r="AX11" s="219">
        <f t="shared" si="16"/>
        <v>45.784090909090914</v>
      </c>
      <c r="AY11" s="218">
        <f t="shared" si="17"/>
        <v>-9.1568181818181831</v>
      </c>
      <c r="AZ11" s="220">
        <f t="shared" si="18"/>
        <v>84.111382586427681</v>
      </c>
      <c r="BA11" s="221">
        <f t="shared" si="19"/>
        <v>2931.6229793854036</v>
      </c>
      <c r="BB11" s="221">
        <f t="shared" si="20"/>
        <v>6636.34</v>
      </c>
      <c r="BC11" s="221">
        <f t="shared" si="21"/>
        <v>6331.1127272727272</v>
      </c>
      <c r="BD11" s="222">
        <f t="shared" si="22"/>
        <v>1368.0297478873235</v>
      </c>
      <c r="BE11" s="223">
        <f t="shared" si="23"/>
        <v>0.21608045959981412</v>
      </c>
      <c r="BF11" s="227"/>
      <c r="BG11" s="227"/>
      <c r="BH11" s="227"/>
    </row>
    <row r="12" spans="1:61" ht="23.1" customHeight="1" x14ac:dyDescent="0.15">
      <c r="A12" s="191" t="s">
        <v>89</v>
      </c>
      <c r="B12" s="192" t="s">
        <v>90</v>
      </c>
      <c r="C12" s="192">
        <v>351</v>
      </c>
      <c r="D12" s="193">
        <v>331</v>
      </c>
      <c r="E12" s="194">
        <v>7526.09</v>
      </c>
      <c r="F12" s="195"/>
      <c r="G12" s="195"/>
      <c r="H12" s="196"/>
      <c r="I12" s="196"/>
      <c r="J12" s="225">
        <v>21</v>
      </c>
      <c r="K12" s="198">
        <f t="shared" si="0"/>
        <v>5.9829059829059832E-2</v>
      </c>
      <c r="L12" s="199">
        <v>410.76</v>
      </c>
      <c r="M12" s="200">
        <f t="shared" si="1"/>
        <v>0.15081967213114755</v>
      </c>
      <c r="N12" s="198">
        <f t="shared" si="2"/>
        <v>0.14137931034482759</v>
      </c>
      <c r="O12" s="198">
        <f t="shared" si="3"/>
        <v>0.13407239532633952</v>
      </c>
      <c r="P12" s="201">
        <f t="shared" si="4"/>
        <v>1.0604229607250755</v>
      </c>
      <c r="Q12" s="202">
        <f t="shared" si="5"/>
        <v>22.737432024169184</v>
      </c>
      <c r="R12" s="202">
        <f t="shared" si="6"/>
        <v>21.441851851851851</v>
      </c>
      <c r="S12" s="202">
        <f t="shared" si="7"/>
        <v>50.142857142857146</v>
      </c>
      <c r="T12" s="203">
        <f t="shared" si="8"/>
        <v>139</v>
      </c>
      <c r="U12" s="204">
        <f t="shared" si="9"/>
        <v>0.41993957703927492</v>
      </c>
      <c r="V12" s="205">
        <f t="shared" si="10"/>
        <v>0.26822692792671893</v>
      </c>
      <c r="W12" s="193">
        <v>197397</v>
      </c>
      <c r="X12" s="193">
        <v>2078</v>
      </c>
      <c r="Y12" s="193">
        <v>192</v>
      </c>
      <c r="Z12" s="206">
        <v>2018.7</v>
      </c>
      <c r="AA12" s="226">
        <v>4366.84</v>
      </c>
      <c r="AB12" s="228" t="s">
        <v>83</v>
      </c>
      <c r="AC12" s="208">
        <f t="shared" si="11"/>
        <v>0.46227935990327101</v>
      </c>
      <c r="AD12" s="209">
        <f t="shared" ref="AD12:AF12" si="31">X12/W12</f>
        <v>1.0527009022426885E-2</v>
      </c>
      <c r="AE12" s="209">
        <f t="shared" si="31"/>
        <v>9.2396535129932622E-2</v>
      </c>
      <c r="AF12" s="202">
        <f t="shared" si="31"/>
        <v>10.5140625</v>
      </c>
      <c r="AG12" s="210">
        <v>112</v>
      </c>
      <c r="AH12" s="203">
        <v>212</v>
      </c>
      <c r="AI12" s="211">
        <v>27</v>
      </c>
      <c r="AJ12" s="212">
        <f>AG12*产品成本!$D$2+AH12*产品成本!$D$3+AI12*产品成本!$D$4</f>
        <v>773.87323943662022</v>
      </c>
      <c r="AK12" s="212">
        <f>AG12*产品成本!$E$2+AH12*产品成本!$E$3+AI12*产品成本!$E$4</f>
        <v>65.985498591549188</v>
      </c>
      <c r="AL12" s="212">
        <f>AG12*产品成本!$F$2+AH12*产品成本!$F$3+AI12*产品成本!$F$4</f>
        <v>119.34</v>
      </c>
      <c r="AM12" s="212">
        <f>AG12*产品成本!$G$2+AH12*产品成本!$G$3+AI12*产品成本!$G$4</f>
        <v>1345.3799999999999</v>
      </c>
      <c r="AN12" s="212">
        <f t="shared" si="13"/>
        <v>1128.9134999999999</v>
      </c>
      <c r="AO12" s="213">
        <f t="shared" si="14"/>
        <v>3433.4922380281696</v>
      </c>
      <c r="AP12" s="214">
        <v>5</v>
      </c>
      <c r="AQ12" s="214">
        <v>14</v>
      </c>
      <c r="AR12" s="215">
        <v>2</v>
      </c>
      <c r="AS12" s="216">
        <f t="shared" si="15"/>
        <v>466.77272727272725</v>
      </c>
      <c r="AT12" s="216">
        <f>AP12*产品成本!$D$2+AQ12*产品成本!$D$3+AR12*产品成本!$D$4</f>
        <v>46.760563380281724</v>
      </c>
      <c r="AU12" s="220">
        <f>AP12*产品成本!$E$2+AQ12*产品成本!$E$3+AR12*产品成本!$E$4</f>
        <v>3.9870971830985851</v>
      </c>
      <c r="AV12" s="219">
        <f>AP12*产品成本!$F$2+AQ12*产品成本!$F$3+AR12*产品成本!$F$4</f>
        <v>7.1400000000000006</v>
      </c>
      <c r="AW12" s="218">
        <v>0</v>
      </c>
      <c r="AX12" s="219">
        <f t="shared" si="16"/>
        <v>70.015909090909091</v>
      </c>
      <c r="AY12" s="218">
        <f t="shared" si="17"/>
        <v>-14.003181818181819</v>
      </c>
      <c r="AZ12" s="220">
        <f t="shared" si="18"/>
        <v>113.90038783610758</v>
      </c>
      <c r="BA12" s="221">
        <f t="shared" si="19"/>
        <v>3319.5918501920619</v>
      </c>
      <c r="BB12" s="221">
        <f t="shared" si="20"/>
        <v>7526.09</v>
      </c>
      <c r="BC12" s="221">
        <f t="shared" si="21"/>
        <v>7059.3172727272731</v>
      </c>
      <c r="BD12" s="222">
        <f t="shared" si="22"/>
        <v>1721.0254225352112</v>
      </c>
      <c r="BE12" s="223">
        <f t="shared" si="23"/>
        <v>0.24379488214592115</v>
      </c>
      <c r="BF12" s="229"/>
      <c r="BG12" s="229" t="s">
        <v>91</v>
      </c>
      <c r="BH12" s="229"/>
    </row>
    <row r="13" spans="1:61" ht="23.1" customHeight="1" x14ac:dyDescent="0.15">
      <c r="A13" s="191" t="s">
        <v>92</v>
      </c>
      <c r="B13" s="192" t="s">
        <v>93</v>
      </c>
      <c r="C13" s="192">
        <v>290</v>
      </c>
      <c r="D13" s="193">
        <v>271</v>
      </c>
      <c r="E13" s="194">
        <v>6846.76</v>
      </c>
      <c r="F13" s="195"/>
      <c r="G13" s="195"/>
      <c r="H13" s="196"/>
      <c r="I13" s="196"/>
      <c r="J13" s="225">
        <v>25</v>
      </c>
      <c r="K13" s="198">
        <f t="shared" si="0"/>
        <v>8.6206896551724144E-2</v>
      </c>
      <c r="L13" s="199">
        <v>471.02</v>
      </c>
      <c r="M13" s="200">
        <f t="shared" si="1"/>
        <v>-0.1737891737891738</v>
      </c>
      <c r="N13" s="198">
        <f t="shared" si="2"/>
        <v>-0.18126888217522658</v>
      </c>
      <c r="O13" s="198">
        <f t="shared" si="3"/>
        <v>-9.0263337270747479E-2</v>
      </c>
      <c r="P13" s="201">
        <f t="shared" si="4"/>
        <v>1.070110701107011</v>
      </c>
      <c r="Q13" s="230">
        <f t="shared" si="5"/>
        <v>25.264797047970479</v>
      </c>
      <c r="R13" s="231">
        <f t="shared" si="6"/>
        <v>23.609517241379312</v>
      </c>
      <c r="S13" s="231">
        <f t="shared" si="7"/>
        <v>41.428571428571431</v>
      </c>
      <c r="T13" s="203">
        <f t="shared" si="8"/>
        <v>104</v>
      </c>
      <c r="U13" s="204">
        <f t="shared" si="9"/>
        <v>0.3837638376383764</v>
      </c>
      <c r="V13" s="205">
        <f t="shared" si="10"/>
        <v>0.26372620042180533</v>
      </c>
      <c r="W13" s="193">
        <v>175351</v>
      </c>
      <c r="X13" s="193">
        <v>1841</v>
      </c>
      <c r="Y13" s="193">
        <v>167</v>
      </c>
      <c r="Z13" s="206">
        <v>1805.67</v>
      </c>
      <c r="AA13" s="226">
        <v>4166.7700000000004</v>
      </c>
      <c r="AB13" s="228" t="s">
        <v>78</v>
      </c>
      <c r="AC13" s="208">
        <f t="shared" si="11"/>
        <v>0.43335005291868761</v>
      </c>
      <c r="AD13" s="209">
        <f t="shared" ref="AD13:AF13" si="32">X13/W13</f>
        <v>1.0498942121801415E-2</v>
      </c>
      <c r="AE13" s="209">
        <f t="shared" si="32"/>
        <v>9.0711569799022271E-2</v>
      </c>
      <c r="AF13" s="202">
        <f t="shared" si="32"/>
        <v>10.812395209580838</v>
      </c>
      <c r="AG13" s="210">
        <v>81</v>
      </c>
      <c r="AH13" s="203">
        <v>199</v>
      </c>
      <c r="AI13" s="211">
        <v>10</v>
      </c>
      <c r="AJ13" s="212">
        <f>AG13*产品成本!$D$2+AH13*产品成本!$D$3+AI13*产品成本!$D$4</f>
        <v>624.64788732394413</v>
      </c>
      <c r="AK13" s="212">
        <f>AG13*产品成本!$E$2+AH13*产品成本!$E$3+AI13*产品成本!$E$4</f>
        <v>54.527408450704137</v>
      </c>
      <c r="AL13" s="212">
        <f>AG13*产品成本!$F$2+AH13*产品成本!$F$3+AI13*产品成本!$F$4</f>
        <v>98.600000000000023</v>
      </c>
      <c r="AM13" s="212">
        <f>AG13*产品成本!$G$2+AH13*产品成本!$G$3+AI13*产品成本!$G$4</f>
        <v>1113.99</v>
      </c>
      <c r="AN13" s="212">
        <f t="shared" si="13"/>
        <v>1027.0139999999999</v>
      </c>
      <c r="AO13" s="213">
        <f t="shared" si="14"/>
        <v>2918.7792957746478</v>
      </c>
      <c r="AP13" s="214">
        <v>7</v>
      </c>
      <c r="AQ13" s="214">
        <v>15</v>
      </c>
      <c r="AR13" s="215">
        <v>3</v>
      </c>
      <c r="AS13" s="216">
        <f t="shared" si="15"/>
        <v>535.25</v>
      </c>
      <c r="AT13" s="216">
        <f>AP13*产品成本!$D$2+AQ13*产品成本!$D$3+AR13*产品成本!$D$4</f>
        <v>56.408450704225395</v>
      </c>
      <c r="AU13" s="220">
        <f>AP13*产品成本!$E$2+AQ13*产品成本!$E$3+AR13*产品成本!$E$4</f>
        <v>4.7371014084506973</v>
      </c>
      <c r="AV13" s="219">
        <f>AP13*产品成本!$F$2+AQ13*产品成本!$F$3+AR13*产品成本!$F$4</f>
        <v>8.5</v>
      </c>
      <c r="AW13" s="218">
        <v>0</v>
      </c>
      <c r="AX13" s="219">
        <f t="shared" si="16"/>
        <v>80.287499999999994</v>
      </c>
      <c r="AY13" s="218">
        <f t="shared" si="17"/>
        <v>-16.057500000000001</v>
      </c>
      <c r="AZ13" s="220">
        <f t="shared" si="18"/>
        <v>133.87555211267608</v>
      </c>
      <c r="BA13" s="221">
        <f t="shared" si="19"/>
        <v>2784.9037436619719</v>
      </c>
      <c r="BB13" s="221">
        <f t="shared" si="20"/>
        <v>6846.76</v>
      </c>
      <c r="BC13" s="221">
        <f t="shared" si="21"/>
        <v>6311.51</v>
      </c>
      <c r="BD13" s="222">
        <f t="shared" si="22"/>
        <v>1720.9362563380282</v>
      </c>
      <c r="BE13" s="223">
        <f t="shared" si="23"/>
        <v>0.27266632807965574</v>
      </c>
      <c r="BF13" s="227"/>
      <c r="BG13" s="227" t="s">
        <v>94</v>
      </c>
      <c r="BH13" s="227"/>
    </row>
    <row r="14" spans="1:61" ht="23.1" customHeight="1" x14ac:dyDescent="0.15">
      <c r="A14" s="191" t="s">
        <v>95</v>
      </c>
      <c r="B14" s="192" t="s">
        <v>96</v>
      </c>
      <c r="C14" s="192">
        <v>315</v>
      </c>
      <c r="D14" s="193">
        <v>298</v>
      </c>
      <c r="E14" s="194">
        <v>7220.89</v>
      </c>
      <c r="F14" s="195"/>
      <c r="G14" s="195"/>
      <c r="H14" s="196"/>
      <c r="I14" s="196"/>
      <c r="J14" s="225">
        <v>26</v>
      </c>
      <c r="K14" s="198">
        <f t="shared" si="0"/>
        <v>8.2539682539682538E-2</v>
      </c>
      <c r="L14" s="199">
        <v>508.77</v>
      </c>
      <c r="M14" s="200">
        <f t="shared" si="1"/>
        <v>8.6206896551724144E-2</v>
      </c>
      <c r="N14" s="198">
        <f t="shared" si="2"/>
        <v>9.9630996309963096E-2</v>
      </c>
      <c r="O14" s="198">
        <f t="shared" si="3"/>
        <v>5.464336416056647E-2</v>
      </c>
      <c r="P14" s="201">
        <f t="shared" si="4"/>
        <v>1.0570469798657718</v>
      </c>
      <c r="Q14" s="230">
        <f t="shared" si="5"/>
        <v>24.231174496644297</v>
      </c>
      <c r="R14" s="230">
        <f t="shared" si="6"/>
        <v>22.923460317460318</v>
      </c>
      <c r="S14" s="230">
        <f t="shared" si="7"/>
        <v>45</v>
      </c>
      <c r="T14" s="203">
        <f t="shared" si="8"/>
        <v>105</v>
      </c>
      <c r="U14" s="204">
        <f t="shared" si="9"/>
        <v>0.3523489932885906</v>
      </c>
      <c r="V14" s="205">
        <f t="shared" si="10"/>
        <v>0.28568362071711378</v>
      </c>
      <c r="W14" s="193">
        <v>192908</v>
      </c>
      <c r="X14" s="193">
        <v>2120</v>
      </c>
      <c r="Y14" s="193">
        <v>193</v>
      </c>
      <c r="Z14" s="206">
        <v>2062.89</v>
      </c>
      <c r="AA14" s="226">
        <v>4629.6099999999997</v>
      </c>
      <c r="AB14" s="228" t="s">
        <v>83</v>
      </c>
      <c r="AC14" s="208">
        <f t="shared" si="11"/>
        <v>0.44558612928518815</v>
      </c>
      <c r="AD14" s="209">
        <f t="shared" ref="AD14:AF14" si="33">X14/W14</f>
        <v>1.098969456943206E-2</v>
      </c>
      <c r="AE14" s="209">
        <f t="shared" si="33"/>
        <v>9.1037735849056597E-2</v>
      </c>
      <c r="AF14" s="202">
        <f t="shared" si="33"/>
        <v>10.688549222797926</v>
      </c>
      <c r="AG14" s="210">
        <v>80</v>
      </c>
      <c r="AH14" s="203">
        <v>212</v>
      </c>
      <c r="AI14" s="211">
        <v>23</v>
      </c>
      <c r="AJ14" s="212">
        <f>AG14*产品成本!$D$2+AH14*产品成本!$D$3+AI14*产品成本!$D$4</f>
        <v>693.02816901408505</v>
      </c>
      <c r="AK14" s="212">
        <f>AG14*产品成本!$E$2+AH14*产品成本!$E$3+AI14*产品成本!$E$4</f>
        <v>59.590073239436521</v>
      </c>
      <c r="AL14" s="212">
        <f>AG14*产品成本!$F$2+AH14*产品成本!$F$3+AI14*产品成本!$F$4</f>
        <v>107.1</v>
      </c>
      <c r="AM14" s="212">
        <f>AG14*产品成本!$G$2+AH14*产品成本!$G$3+AI14*产品成本!$G$4</f>
        <v>1211.7</v>
      </c>
      <c r="AN14" s="212">
        <f t="shared" si="13"/>
        <v>1083.1334999999999</v>
      </c>
      <c r="AO14" s="213">
        <f t="shared" si="14"/>
        <v>3154.5517422535213</v>
      </c>
      <c r="AP14" s="214">
        <v>8</v>
      </c>
      <c r="AQ14" s="214">
        <v>16</v>
      </c>
      <c r="AR14" s="215">
        <v>2</v>
      </c>
      <c r="AS14" s="216">
        <f t="shared" si="15"/>
        <v>578.14772727272725</v>
      </c>
      <c r="AT14" s="216">
        <f>AP14*产品成本!$D$2+AQ14*产品成本!$D$3+AR14*产品成本!$D$4</f>
        <v>57.323943661971875</v>
      </c>
      <c r="AU14" s="220">
        <f>AP14*产品成本!$E$2+AQ14*产品成本!$E$3+AR14*产品成本!$E$4</f>
        <v>4.8934985915492879</v>
      </c>
      <c r="AV14" s="219">
        <f>AP14*产品成本!$F$2+AQ14*产品成本!$F$3+AR14*产品成本!$F$4</f>
        <v>8.84</v>
      </c>
      <c r="AW14" s="218">
        <v>0</v>
      </c>
      <c r="AX14" s="219">
        <f t="shared" si="16"/>
        <v>86.722159090909088</v>
      </c>
      <c r="AY14" s="218">
        <f t="shared" si="17"/>
        <v>-17.344431818181818</v>
      </c>
      <c r="AZ14" s="220">
        <f t="shared" si="18"/>
        <v>140.43516952624844</v>
      </c>
      <c r="BA14" s="221">
        <f t="shared" si="19"/>
        <v>3014.1165727272728</v>
      </c>
      <c r="BB14" s="221">
        <f t="shared" si="20"/>
        <v>7220.89</v>
      </c>
      <c r="BC14" s="221">
        <f t="shared" si="21"/>
        <v>6642.7422727272733</v>
      </c>
      <c r="BD14" s="222">
        <f t="shared" si="22"/>
        <v>1565.7357000000006</v>
      </c>
      <c r="BE14" s="223">
        <f t="shared" si="23"/>
        <v>0.23570622428456273</v>
      </c>
      <c r="BF14" s="232"/>
      <c r="BG14" s="232" t="s">
        <v>97</v>
      </c>
      <c r="BH14" s="229"/>
    </row>
    <row r="15" spans="1:61" ht="23.1" customHeight="1" x14ac:dyDescent="0.15">
      <c r="A15" s="191" t="s">
        <v>98</v>
      </c>
      <c r="B15" s="192" t="s">
        <v>99</v>
      </c>
      <c r="C15" s="192">
        <v>278</v>
      </c>
      <c r="D15" s="193">
        <v>269</v>
      </c>
      <c r="E15" s="194">
        <v>6436.56</v>
      </c>
      <c r="F15" s="195"/>
      <c r="G15" s="195"/>
      <c r="H15" s="196"/>
      <c r="I15" s="196"/>
      <c r="J15" s="225">
        <v>23</v>
      </c>
      <c r="K15" s="198">
        <f t="shared" si="0"/>
        <v>8.2733812949640287E-2</v>
      </c>
      <c r="L15" s="199">
        <v>471.54</v>
      </c>
      <c r="M15" s="200">
        <f t="shared" si="1"/>
        <v>-0.11746031746031746</v>
      </c>
      <c r="N15" s="198">
        <f t="shared" si="2"/>
        <v>-9.7315436241610737E-2</v>
      </c>
      <c r="O15" s="198">
        <f t="shared" si="3"/>
        <v>-0.10861957459537534</v>
      </c>
      <c r="P15" s="201">
        <f t="shared" si="4"/>
        <v>1.033457249070632</v>
      </c>
      <c r="Q15" s="230">
        <f t="shared" si="5"/>
        <v>23.927732342007438</v>
      </c>
      <c r="R15" s="230">
        <f t="shared" si="6"/>
        <v>23.153093525179859</v>
      </c>
      <c r="S15" s="230">
        <f t="shared" si="7"/>
        <v>39.714285714285715</v>
      </c>
      <c r="T15" s="203">
        <f t="shared" si="8"/>
        <v>100</v>
      </c>
      <c r="U15" s="204">
        <f t="shared" si="9"/>
        <v>0.37174721189591076</v>
      </c>
      <c r="V15" s="205">
        <f t="shared" si="10"/>
        <v>0.27666486446176214</v>
      </c>
      <c r="W15" s="193">
        <v>167353</v>
      </c>
      <c r="X15" s="193">
        <v>1833</v>
      </c>
      <c r="Y15" s="193">
        <v>169</v>
      </c>
      <c r="Z15" s="206">
        <v>1780.77</v>
      </c>
      <c r="AA15" s="226">
        <v>4021.03</v>
      </c>
      <c r="AB15" s="228" t="s">
        <v>83</v>
      </c>
      <c r="AC15" s="208">
        <f t="shared" si="11"/>
        <v>0.44286414177461991</v>
      </c>
      <c r="AD15" s="209">
        <f t="shared" ref="AD15:AF15" si="34">X15/W15</f>
        <v>1.0952895974377513E-2</v>
      </c>
      <c r="AE15" s="209">
        <f t="shared" si="34"/>
        <v>9.2198581560283682E-2</v>
      </c>
      <c r="AF15" s="202">
        <f t="shared" si="34"/>
        <v>10.537100591715976</v>
      </c>
      <c r="AG15" s="210">
        <v>49</v>
      </c>
      <c r="AH15" s="203">
        <v>177</v>
      </c>
      <c r="AI15" s="211">
        <v>52</v>
      </c>
      <c r="AJ15" s="212">
        <f>AG15*产品成本!$D$2+AH15*产品成本!$D$3+AI15*产品成本!$D$4</f>
        <v>649.57746478873287</v>
      </c>
      <c r="AK15" s="212">
        <f>AG15*产品成本!$E$2+AH15*产品成本!$E$3+AI15*产品成本!$E$4</f>
        <v>53.550599999999918</v>
      </c>
      <c r="AL15" s="212">
        <f>AG15*产品成本!$F$2+AH15*产品成本!$F$3+AI15*产品成本!$F$4</f>
        <v>94.52000000000001</v>
      </c>
      <c r="AM15" s="212">
        <f>AG15*产品成本!$G$2+AH15*产品成本!$G$3+AI15*产品成本!$G$4</f>
        <v>1073.9099999999999</v>
      </c>
      <c r="AN15" s="212">
        <f t="shared" si="13"/>
        <v>965.48400000000004</v>
      </c>
      <c r="AO15" s="213">
        <f t="shared" si="14"/>
        <v>2837.0420647887327</v>
      </c>
      <c r="AP15" s="214">
        <v>10</v>
      </c>
      <c r="AQ15" s="214">
        <v>13</v>
      </c>
      <c r="AR15" s="215">
        <v>1</v>
      </c>
      <c r="AS15" s="216">
        <f t="shared" si="15"/>
        <v>535.84090909090912</v>
      </c>
      <c r="AT15" s="216">
        <f>AP15*产品成本!$D$2+AQ15*产品成本!$D$3+AR15*产品成本!$D$4</f>
        <v>51.901408450704267</v>
      </c>
      <c r="AU15" s="220">
        <f>AP15*产品成本!$E$2+AQ15*产品成本!$E$3+AR15*产品成本!$E$4</f>
        <v>4.4523422535211203</v>
      </c>
      <c r="AV15" s="219">
        <f>AP15*产品成本!$F$2+AQ15*产品成本!$F$3+AR15*产品成本!$F$4</f>
        <v>8.16</v>
      </c>
      <c r="AW15" s="218">
        <v>0</v>
      </c>
      <c r="AX15" s="219">
        <f t="shared" si="16"/>
        <v>80.376136363636363</v>
      </c>
      <c r="AY15" s="218">
        <f t="shared" si="17"/>
        <v>-16.075227272727272</v>
      </c>
      <c r="AZ15" s="220">
        <f t="shared" si="18"/>
        <v>128.8146597951345</v>
      </c>
      <c r="BA15" s="221">
        <f t="shared" si="19"/>
        <v>2708.2274049935982</v>
      </c>
      <c r="BB15" s="221">
        <f t="shared" si="20"/>
        <v>6436.56</v>
      </c>
      <c r="BC15" s="221">
        <f t="shared" si="21"/>
        <v>5900.7190909090914</v>
      </c>
      <c r="BD15" s="222">
        <f t="shared" si="22"/>
        <v>1411.7216859154933</v>
      </c>
      <c r="BE15" s="223">
        <f t="shared" si="23"/>
        <v>0.23924570279755464</v>
      </c>
      <c r="BF15" s="233"/>
      <c r="BG15" s="233" t="s">
        <v>100</v>
      </c>
      <c r="BH15" s="227"/>
    </row>
    <row r="16" spans="1:61" ht="23.1" customHeight="1" x14ac:dyDescent="0.15">
      <c r="A16" s="234" t="s">
        <v>101</v>
      </c>
      <c r="B16" s="235" t="s">
        <v>102</v>
      </c>
      <c r="C16" s="192">
        <v>344</v>
      </c>
      <c r="D16" s="193">
        <v>324</v>
      </c>
      <c r="E16" s="194">
        <v>7634.97</v>
      </c>
      <c r="F16" s="195"/>
      <c r="G16" s="195"/>
      <c r="H16" s="196"/>
      <c r="I16" s="196"/>
      <c r="J16" s="225">
        <v>30</v>
      </c>
      <c r="K16" s="198">
        <f t="shared" si="0"/>
        <v>8.7209302325581398E-2</v>
      </c>
      <c r="L16" s="199">
        <v>583.82000000000005</v>
      </c>
      <c r="M16" s="200">
        <f t="shared" si="1"/>
        <v>0.23741007194244604</v>
      </c>
      <c r="N16" s="198">
        <f t="shared" si="2"/>
        <v>0.20446096654275092</v>
      </c>
      <c r="O16" s="198">
        <f t="shared" si="3"/>
        <v>0.18618796375703789</v>
      </c>
      <c r="P16" s="201">
        <f t="shared" si="4"/>
        <v>1.0617283950617284</v>
      </c>
      <c r="Q16" s="230">
        <f t="shared" si="5"/>
        <v>23.564722222222223</v>
      </c>
      <c r="R16" s="230">
        <f t="shared" si="6"/>
        <v>22.194680232558142</v>
      </c>
      <c r="S16" s="230">
        <f t="shared" si="7"/>
        <v>49.142857142857146</v>
      </c>
      <c r="T16" s="203">
        <f t="shared" si="8"/>
        <v>305</v>
      </c>
      <c r="U16" s="204">
        <f t="shared" si="9"/>
        <v>0.94135802469135799</v>
      </c>
      <c r="V16" s="205">
        <f t="shared" si="10"/>
        <v>0.29573397144978958</v>
      </c>
      <c r="W16" s="193">
        <v>201438</v>
      </c>
      <c r="X16" s="193">
        <v>2316</v>
      </c>
      <c r="Y16" s="193">
        <v>19</v>
      </c>
      <c r="Z16" s="206">
        <v>2257.92</v>
      </c>
      <c r="AA16" s="226">
        <v>4659.38</v>
      </c>
      <c r="AB16" s="193">
        <v>0.97</v>
      </c>
      <c r="AC16" s="208">
        <f t="shared" si="11"/>
        <v>0.48459666307534477</v>
      </c>
      <c r="AD16" s="209">
        <f t="shared" ref="AD16:AF16" si="35">X16/W16</f>
        <v>1.1497334167336849E-2</v>
      </c>
      <c r="AE16" s="209">
        <f t="shared" si="35"/>
        <v>8.2037996545768575E-3</v>
      </c>
      <c r="AF16" s="202">
        <f t="shared" si="35"/>
        <v>118.8378947368421</v>
      </c>
      <c r="AG16" s="210">
        <v>84</v>
      </c>
      <c r="AH16" s="203">
        <v>211</v>
      </c>
      <c r="AI16" s="211">
        <v>49</v>
      </c>
      <c r="AJ16" s="212">
        <f>AG16*产品成本!$D$2+AH16*产品成本!$D$3+AI16*产品成本!$D$4</f>
        <v>785.42253521126827</v>
      </c>
      <c r="AK16" s="212">
        <f>AG16*产品成本!$E$2+AH16*产品成本!$E$3+AI16*产品成本!$E$4</f>
        <v>65.551711267605526</v>
      </c>
      <c r="AL16" s="212">
        <f>AG16*产品成本!$F$2+AH16*产品成本!$F$3+AI16*产品成本!$F$4</f>
        <v>116.96000000000001</v>
      </c>
      <c r="AM16" s="212">
        <f>AG16*产品成本!$G$2+AH16*产品成本!$G$3+AI16*产品成本!$G$4</f>
        <v>1323.9599999999998</v>
      </c>
      <c r="AN16" s="212">
        <f t="shared" si="13"/>
        <v>1145.2455</v>
      </c>
      <c r="AO16" s="213">
        <f t="shared" si="14"/>
        <v>3437.1397464788733</v>
      </c>
      <c r="AP16" s="214">
        <v>13</v>
      </c>
      <c r="AQ16" s="214">
        <v>16</v>
      </c>
      <c r="AR16" s="215">
        <v>1</v>
      </c>
      <c r="AS16" s="216">
        <f t="shared" si="15"/>
        <v>663.43181818181824</v>
      </c>
      <c r="AT16" s="216">
        <f>AP16*产品成本!$D$2+AQ16*产品成本!$D$3+AR16*产品成本!$D$4</f>
        <v>64.577464788732442</v>
      </c>
      <c r="AU16" s="220">
        <f>AP16*产品成本!$E$2+AQ16*产品成本!$E$3+AR16*产品成本!$E$4</f>
        <v>5.551533802816893</v>
      </c>
      <c r="AV16" s="219">
        <f>AP16*产品成本!$F$2+AQ16*产品成本!$F$3+AR16*产品成本!$F$4</f>
        <v>10.199999999999999</v>
      </c>
      <c r="AW16" s="218">
        <v>0</v>
      </c>
      <c r="AX16" s="219">
        <f t="shared" si="16"/>
        <v>99.514772727272728</v>
      </c>
      <c r="AY16" s="218">
        <f t="shared" si="17"/>
        <v>-19.902954545454548</v>
      </c>
      <c r="AZ16" s="220">
        <f t="shared" si="18"/>
        <v>159.94081677336752</v>
      </c>
      <c r="BA16" s="221">
        <f t="shared" si="19"/>
        <v>3277.1989297055056</v>
      </c>
      <c r="BB16" s="221">
        <f t="shared" si="20"/>
        <v>7634.97</v>
      </c>
      <c r="BC16" s="221">
        <f t="shared" si="21"/>
        <v>6971.5381818181822</v>
      </c>
      <c r="BD16" s="222">
        <f t="shared" si="22"/>
        <v>1436.4192521126765</v>
      </c>
      <c r="BE16" s="223">
        <f t="shared" si="23"/>
        <v>0.20604050564606638</v>
      </c>
      <c r="BF16" s="229"/>
      <c r="BG16" s="229" t="s">
        <v>103</v>
      </c>
      <c r="BH16" s="229"/>
    </row>
    <row r="17" spans="1:60" ht="23.1" customHeight="1" x14ac:dyDescent="0.15">
      <c r="A17" s="234" t="s">
        <v>104</v>
      </c>
      <c r="B17" s="235" t="s">
        <v>105</v>
      </c>
      <c r="C17" s="192">
        <v>351</v>
      </c>
      <c r="D17" s="193">
        <v>339</v>
      </c>
      <c r="E17" s="194">
        <v>7769.22</v>
      </c>
      <c r="F17" s="195"/>
      <c r="G17" s="195"/>
      <c r="H17" s="196"/>
      <c r="I17" s="196"/>
      <c r="J17" s="225">
        <v>23</v>
      </c>
      <c r="K17" s="198">
        <f t="shared" si="0"/>
        <v>6.5527065527065526E-2</v>
      </c>
      <c r="L17" s="199">
        <v>440.93</v>
      </c>
      <c r="M17" s="200">
        <f t="shared" si="1"/>
        <v>2.0348837209302327E-2</v>
      </c>
      <c r="N17" s="198">
        <f t="shared" si="2"/>
        <v>4.6296296296296294E-2</v>
      </c>
      <c r="O17" s="198">
        <f t="shared" si="3"/>
        <v>1.7583566143678363E-2</v>
      </c>
      <c r="P17" s="201">
        <f t="shared" si="4"/>
        <v>1.0353982300884956</v>
      </c>
      <c r="Q17" s="230">
        <f t="shared" si="5"/>
        <v>22.918053097345133</v>
      </c>
      <c r="R17" s="230">
        <f t="shared" si="6"/>
        <v>22.134529914529914</v>
      </c>
      <c r="S17" s="230">
        <f t="shared" si="7"/>
        <v>50.142857142857146</v>
      </c>
      <c r="T17" s="203">
        <f t="shared" si="8"/>
        <v>118</v>
      </c>
      <c r="U17" s="204">
        <f t="shared" si="9"/>
        <v>0.34808259587020651</v>
      </c>
      <c r="V17" s="205">
        <f t="shared" si="10"/>
        <v>0.29884853305737258</v>
      </c>
      <c r="W17" s="193">
        <v>243295</v>
      </c>
      <c r="X17" s="193">
        <v>2349</v>
      </c>
      <c r="Y17" s="193">
        <v>221</v>
      </c>
      <c r="Z17" s="206">
        <v>2321.8200000000002</v>
      </c>
      <c r="AA17" s="226">
        <v>5024.08</v>
      </c>
      <c r="AB17" s="193">
        <v>0.99</v>
      </c>
      <c r="AC17" s="208">
        <f t="shared" si="11"/>
        <v>0.46213834174615059</v>
      </c>
      <c r="AD17" s="209">
        <f t="shared" ref="AD17:AF17" si="36">X17/W17</f>
        <v>9.6549456421217046E-3</v>
      </c>
      <c r="AE17" s="209">
        <f t="shared" si="36"/>
        <v>9.4082588335461903E-2</v>
      </c>
      <c r="AF17" s="202">
        <f t="shared" si="36"/>
        <v>10.505972850678734</v>
      </c>
      <c r="AG17" s="210">
        <v>105</v>
      </c>
      <c r="AH17" s="203">
        <v>173</v>
      </c>
      <c r="AI17" s="211">
        <v>73</v>
      </c>
      <c r="AJ17" s="212">
        <f>AG17*产品成本!$D$2+AH17*产品成本!$D$3+AI17*产品成本!$D$4</f>
        <v>828.94366197183172</v>
      </c>
      <c r="AK17" s="212">
        <f>AG17*产品成本!$E$2+AH17*产品成本!$E$3+AI17*产品成本!$E$4</f>
        <v>66.911433802816816</v>
      </c>
      <c r="AL17" s="212">
        <f>AG17*产品成本!$F$2+AH17*产品成本!$F$3+AI17*产品成本!$F$4</f>
        <v>119.34</v>
      </c>
      <c r="AM17" s="212">
        <f>AG17*产品成本!$G$2+AH17*产品成本!$G$3+AI17*产品成本!$G$4</f>
        <v>1346.85</v>
      </c>
      <c r="AN17" s="212">
        <f t="shared" si="13"/>
        <v>1165.383</v>
      </c>
      <c r="AO17" s="213">
        <f t="shared" si="14"/>
        <v>3527.4280957746487</v>
      </c>
      <c r="AP17" s="214">
        <v>7</v>
      </c>
      <c r="AQ17" s="214">
        <v>8</v>
      </c>
      <c r="AR17" s="215">
        <v>8</v>
      </c>
      <c r="AS17" s="216">
        <f t="shared" si="15"/>
        <v>501.05681818181819</v>
      </c>
      <c r="AT17" s="216">
        <f>AP17*产品成本!$D$2+AQ17*产品成本!$D$3+AR17*产品成本!$D$4</f>
        <v>58.169014084507083</v>
      </c>
      <c r="AU17" s="220">
        <f>AP17*产品成本!$E$2+AQ17*产品成本!$E$3+AR17*产品成本!$E$4</f>
        <v>4.4375704225352068</v>
      </c>
      <c r="AV17" s="219">
        <f>AP17*产品成本!$F$2+AQ17*产品成本!$F$3+AR17*产品成本!$F$4</f>
        <v>7.82</v>
      </c>
      <c r="AW17" s="218"/>
      <c r="AX17" s="219">
        <f t="shared" si="16"/>
        <v>75.158522727272725</v>
      </c>
      <c r="AY17" s="218">
        <f t="shared" si="17"/>
        <v>-15.031704545454545</v>
      </c>
      <c r="AZ17" s="220">
        <f t="shared" si="18"/>
        <v>130.55340268886047</v>
      </c>
      <c r="BA17" s="221">
        <f t="shared" si="19"/>
        <v>3396.8746930857883</v>
      </c>
      <c r="BB17" s="221">
        <f t="shared" si="20"/>
        <v>7769.22</v>
      </c>
      <c r="BC17" s="221">
        <f t="shared" si="21"/>
        <v>7268.1631818181822</v>
      </c>
      <c r="BD17" s="222">
        <f t="shared" si="22"/>
        <v>1549.4684887323938</v>
      </c>
      <c r="BE17" s="223">
        <f t="shared" si="23"/>
        <v>0.21318570455441857</v>
      </c>
      <c r="BF17" s="236"/>
      <c r="BG17" s="236" t="s">
        <v>106</v>
      </c>
      <c r="BH17" s="227" t="s">
        <v>94</v>
      </c>
    </row>
    <row r="18" spans="1:60" ht="23.1" customHeight="1" x14ac:dyDescent="0.15">
      <c r="A18" s="234" t="s">
        <v>107</v>
      </c>
      <c r="B18" s="235" t="s">
        <v>108</v>
      </c>
      <c r="C18" s="192">
        <v>399</v>
      </c>
      <c r="D18" s="193">
        <v>357</v>
      </c>
      <c r="E18" s="194">
        <v>9260.61</v>
      </c>
      <c r="F18" s="195"/>
      <c r="G18" s="195"/>
      <c r="H18" s="196"/>
      <c r="I18" s="196"/>
      <c r="J18" s="225">
        <v>29</v>
      </c>
      <c r="K18" s="198">
        <f t="shared" si="0"/>
        <v>7.2681704260651625E-2</v>
      </c>
      <c r="L18" s="199">
        <v>585.79999999999995</v>
      </c>
      <c r="M18" s="200">
        <f t="shared" si="1"/>
        <v>0.13675213675213677</v>
      </c>
      <c r="N18" s="198">
        <f t="shared" si="2"/>
        <v>5.3097345132743362E-2</v>
      </c>
      <c r="O18" s="198">
        <f t="shared" si="3"/>
        <v>0.19196135519395774</v>
      </c>
      <c r="P18" s="201">
        <f t="shared" si="4"/>
        <v>1.1176470588235294</v>
      </c>
      <c r="Q18" s="230">
        <f t="shared" si="5"/>
        <v>25.940084033613449</v>
      </c>
      <c r="R18" s="230">
        <f t="shared" si="6"/>
        <v>23.209548872180452</v>
      </c>
      <c r="S18" s="230">
        <f t="shared" si="7"/>
        <v>57</v>
      </c>
      <c r="T18" s="203">
        <f t="shared" si="8"/>
        <v>138</v>
      </c>
      <c r="U18" s="204">
        <f t="shared" si="9"/>
        <v>0.38655462184873951</v>
      </c>
      <c r="V18" s="205">
        <f t="shared" si="10"/>
        <v>0.22524866072537336</v>
      </c>
      <c r="W18" s="193">
        <v>205810</v>
      </c>
      <c r="X18" s="193">
        <v>2124</v>
      </c>
      <c r="Y18" s="193">
        <v>219</v>
      </c>
      <c r="Z18" s="206">
        <v>2085.94</v>
      </c>
      <c r="AA18" s="226">
        <v>5804.27</v>
      </c>
      <c r="AB18" s="193">
        <v>0.98</v>
      </c>
      <c r="AC18" s="208">
        <f t="shared" si="11"/>
        <v>0.35938024936813756</v>
      </c>
      <c r="AD18" s="209">
        <f t="shared" ref="AD18:AF18" si="37">X18/W18</f>
        <v>1.0320198241096156E-2</v>
      </c>
      <c r="AE18" s="209">
        <f t="shared" si="37"/>
        <v>0.10310734463276836</v>
      </c>
      <c r="AF18" s="202">
        <f t="shared" si="37"/>
        <v>9.5248401826484024</v>
      </c>
      <c r="AG18" s="210">
        <v>139</v>
      </c>
      <c r="AH18" s="203">
        <v>178</v>
      </c>
      <c r="AI18" s="211">
        <v>82</v>
      </c>
      <c r="AJ18" s="212">
        <f>AG18*产品成本!$D$2+AH18*产品成本!$D$3+AI18*产品成本!$D$4</f>
        <v>941.12676056338091</v>
      </c>
      <c r="AK18" s="212">
        <f>AG18*产品成本!$E$2+AH18*产品成本!$E$3+AI18*产品成本!$E$4</f>
        <v>75.668023943661879</v>
      </c>
      <c r="AL18" s="212">
        <f>AG18*产品成本!$F$2+AH18*产品成本!$F$3+AI18*产品成本!$F$4</f>
        <v>135.66</v>
      </c>
      <c r="AM18" s="212">
        <f>AG18*产品成本!$G$2+AH18*产品成本!$G$3+AI18*产品成本!$G$4</f>
        <v>1526.9099999999999</v>
      </c>
      <c r="AN18" s="212">
        <f t="shared" si="13"/>
        <v>1389.0915</v>
      </c>
      <c r="AO18" s="213">
        <f t="shared" si="14"/>
        <v>4068.4562845070427</v>
      </c>
      <c r="AP18" s="214">
        <v>6</v>
      </c>
      <c r="AQ18" s="214">
        <v>14</v>
      </c>
      <c r="AR18" s="215">
        <v>9</v>
      </c>
      <c r="AS18" s="216">
        <f t="shared" si="15"/>
        <v>665.68181818181813</v>
      </c>
      <c r="AT18" s="216">
        <f>AP18*产品成本!$D$2+AQ18*产品成本!$D$3+AR18*产品成本!$D$4</f>
        <v>72.04225352112681</v>
      </c>
      <c r="AU18" s="220">
        <f>AP18*产品成本!$E$2+AQ18*产品成本!$E$3+AR18*产品成本!$E$4</f>
        <v>5.6307042253521056</v>
      </c>
      <c r="AV18" s="219">
        <f>AP18*产品成本!$F$2+AQ18*产品成本!$F$3+AR18*产品成本!$F$4</f>
        <v>9.8600000000000012</v>
      </c>
      <c r="AW18" s="218"/>
      <c r="AX18" s="219">
        <f t="shared" si="16"/>
        <v>99.85227272727272</v>
      </c>
      <c r="AY18" s="218">
        <f t="shared" si="17"/>
        <v>-19.970454545454544</v>
      </c>
      <c r="AZ18" s="220">
        <f t="shared" si="18"/>
        <v>167.41477592829708</v>
      </c>
      <c r="BA18" s="221">
        <f t="shared" si="19"/>
        <v>3901.0415085787458</v>
      </c>
      <c r="BB18" s="221">
        <f t="shared" si="20"/>
        <v>9260.61</v>
      </c>
      <c r="BC18" s="221">
        <f t="shared" si="21"/>
        <v>8594.9281818181826</v>
      </c>
      <c r="BD18" s="222">
        <f t="shared" si="22"/>
        <v>2607.9466732394362</v>
      </c>
      <c r="BE18" s="223">
        <f t="shared" si="23"/>
        <v>0.30342855903744709</v>
      </c>
      <c r="BF18" s="237"/>
      <c r="BG18" s="237" t="s">
        <v>109</v>
      </c>
      <c r="BH18" s="229" t="s">
        <v>94</v>
      </c>
    </row>
    <row r="19" spans="1:60" ht="23.1" customHeight="1" x14ac:dyDescent="0.15">
      <c r="A19" s="234" t="s">
        <v>110</v>
      </c>
      <c r="B19" s="235" t="s">
        <v>111</v>
      </c>
      <c r="C19" s="192">
        <v>379</v>
      </c>
      <c r="D19" s="193">
        <v>357</v>
      </c>
      <c r="E19" s="194">
        <v>9167.51</v>
      </c>
      <c r="F19" s="195"/>
      <c r="G19" s="195"/>
      <c r="H19" s="196"/>
      <c r="I19" s="196"/>
      <c r="J19" s="225">
        <v>19</v>
      </c>
      <c r="K19" s="198">
        <f t="shared" si="0"/>
        <v>5.0131926121372031E-2</v>
      </c>
      <c r="L19" s="199">
        <v>378.87</v>
      </c>
      <c r="M19" s="200">
        <f t="shared" si="1"/>
        <v>-5.0125313283208017E-2</v>
      </c>
      <c r="N19" s="198">
        <f t="shared" si="2"/>
        <v>0</v>
      </c>
      <c r="O19" s="198">
        <f t="shared" si="3"/>
        <v>-1.005333341972077E-2</v>
      </c>
      <c r="P19" s="201">
        <f t="shared" si="4"/>
        <v>1.061624649859944</v>
      </c>
      <c r="Q19" s="230">
        <f t="shared" si="5"/>
        <v>25.679299719887958</v>
      </c>
      <c r="R19" s="230">
        <f t="shared" si="6"/>
        <v>24.188680738786282</v>
      </c>
      <c r="S19" s="230">
        <f t="shared" si="7"/>
        <v>54.142857142857146</v>
      </c>
      <c r="T19" s="203">
        <f t="shared" si="8"/>
        <v>119</v>
      </c>
      <c r="U19" s="204">
        <f t="shared" si="9"/>
        <v>0.33333333333333331</v>
      </c>
      <c r="V19" s="205">
        <f t="shared" si="10"/>
        <v>0.26074255713928862</v>
      </c>
      <c r="W19" s="193">
        <v>237785</v>
      </c>
      <c r="X19" s="193">
        <v>2470</v>
      </c>
      <c r="Y19" s="193">
        <v>238</v>
      </c>
      <c r="Z19" s="206">
        <v>2390.36</v>
      </c>
      <c r="AA19" s="226">
        <v>6061.78</v>
      </c>
      <c r="AB19" s="193">
        <v>0.97</v>
      </c>
      <c r="AC19" s="208">
        <f t="shared" si="11"/>
        <v>0.3943330176944726</v>
      </c>
      <c r="AD19" s="209">
        <f t="shared" ref="AD19:AF19" si="38">X19/W19</f>
        <v>1.0387534958050339E-2</v>
      </c>
      <c r="AE19" s="209">
        <f t="shared" si="38"/>
        <v>9.6356275303643726E-2</v>
      </c>
      <c r="AF19" s="202">
        <f t="shared" si="38"/>
        <v>10.043529411764707</v>
      </c>
      <c r="AG19" s="210">
        <v>111</v>
      </c>
      <c r="AH19" s="203">
        <v>182</v>
      </c>
      <c r="AI19" s="211">
        <v>86</v>
      </c>
      <c r="AJ19" s="212">
        <f>AG19*产品成本!$D$2+AH19*产品成本!$D$3+AI19*产品成本!$D$4</f>
        <v>903.66197183098666</v>
      </c>
      <c r="AK19" s="212">
        <f>AG19*产品成本!$E$2+AH19*产品成本!$E$3+AI19*产品成本!$E$4</f>
        <v>72.41818732394357</v>
      </c>
      <c r="AL19" s="212">
        <f>AG19*产品成本!$F$2+AH19*产品成本!$F$3+AI19*产品成本!$F$4</f>
        <v>128.86000000000001</v>
      </c>
      <c r="AM19" s="212">
        <f>AG19*产品成本!$G$2+AH19*产品成本!$G$3+AI19*产品成本!$G$4</f>
        <v>1454.79</v>
      </c>
      <c r="AN19" s="212">
        <f t="shared" si="13"/>
        <v>1375.1265000000001</v>
      </c>
      <c r="AO19" s="213">
        <f t="shared" si="14"/>
        <v>3934.8566591549306</v>
      </c>
      <c r="AP19" s="214">
        <v>8</v>
      </c>
      <c r="AQ19" s="214">
        <v>9</v>
      </c>
      <c r="AR19" s="215">
        <v>2</v>
      </c>
      <c r="AS19" s="216">
        <f t="shared" si="15"/>
        <v>430.53409090909093</v>
      </c>
      <c r="AT19" s="216">
        <f>AP19*产品成本!$D$2+AQ19*产品成本!$D$3+AR19*产品成本!$D$4</f>
        <v>42.535211267605668</v>
      </c>
      <c r="AU19" s="220">
        <f>AP19*产品成本!$E$2+AQ19*产品成本!$E$3+AR19*产品成本!$E$4</f>
        <v>3.5439676056337981</v>
      </c>
      <c r="AV19" s="219">
        <f>AP19*产品成本!$F$2+AQ19*产品成本!$F$3+AR19*产品成本!$F$4</f>
        <v>6.46</v>
      </c>
      <c r="AW19" s="218"/>
      <c r="AX19" s="219">
        <f t="shared" si="16"/>
        <v>64.580113636363635</v>
      </c>
      <c r="AY19" s="218">
        <f t="shared" si="17"/>
        <v>-12.916022727272727</v>
      </c>
      <c r="AZ19" s="220">
        <f t="shared" si="18"/>
        <v>104.20326978233037</v>
      </c>
      <c r="BA19" s="221">
        <f t="shared" si="19"/>
        <v>3830.6533893726005</v>
      </c>
      <c r="BB19" s="221">
        <f t="shared" si="20"/>
        <v>9167.51</v>
      </c>
      <c r="BC19" s="221">
        <f t="shared" si="21"/>
        <v>8736.9759090909101</v>
      </c>
      <c r="BD19" s="222">
        <f t="shared" si="22"/>
        <v>2515.9625197183091</v>
      </c>
      <c r="BE19" s="223">
        <f t="shared" si="23"/>
        <v>0.28796720351493987</v>
      </c>
      <c r="BF19" s="227"/>
      <c r="BG19" s="227" t="s">
        <v>112</v>
      </c>
      <c r="BH19" s="227" t="s">
        <v>94</v>
      </c>
    </row>
    <row r="20" spans="1:60" ht="23.1" customHeight="1" x14ac:dyDescent="0.15">
      <c r="A20" s="234" t="s">
        <v>113</v>
      </c>
      <c r="B20" s="235" t="s">
        <v>114</v>
      </c>
      <c r="C20" s="192">
        <v>477</v>
      </c>
      <c r="D20" s="193">
        <v>448</v>
      </c>
      <c r="E20" s="194">
        <v>11520.55</v>
      </c>
      <c r="F20" s="195"/>
      <c r="G20" s="195"/>
      <c r="H20" s="196"/>
      <c r="I20" s="196"/>
      <c r="J20" s="225">
        <v>28</v>
      </c>
      <c r="K20" s="198">
        <f t="shared" si="0"/>
        <v>5.8700209643605873E-2</v>
      </c>
      <c r="L20" s="199">
        <v>581.9</v>
      </c>
      <c r="M20" s="200">
        <f t="shared" si="1"/>
        <v>0.25857519788918204</v>
      </c>
      <c r="N20" s="198">
        <f t="shared" si="2"/>
        <v>0.25490196078431371</v>
      </c>
      <c r="O20" s="198">
        <f t="shared" si="3"/>
        <v>0.2566716589346506</v>
      </c>
      <c r="P20" s="201">
        <f t="shared" si="4"/>
        <v>1.0647321428571428</v>
      </c>
      <c r="Q20" s="230">
        <f t="shared" si="5"/>
        <v>25.71551339285714</v>
      </c>
      <c r="R20" s="230">
        <f t="shared" si="6"/>
        <v>24.152096436058699</v>
      </c>
      <c r="S20" s="230">
        <f t="shared" si="7"/>
        <v>68.142857142857139</v>
      </c>
      <c r="T20" s="203">
        <f t="shared" si="8"/>
        <v>203</v>
      </c>
      <c r="U20" s="204">
        <f t="shared" si="9"/>
        <v>0.453125</v>
      </c>
      <c r="V20" s="205">
        <f t="shared" si="10"/>
        <v>0.21871091223943304</v>
      </c>
      <c r="W20" s="193">
        <v>255819</v>
      </c>
      <c r="X20" s="193">
        <v>2600</v>
      </c>
      <c r="Y20" s="193">
        <v>245</v>
      </c>
      <c r="Z20" s="206">
        <v>2519.67</v>
      </c>
      <c r="AA20" s="226">
        <v>6351.18</v>
      </c>
      <c r="AB20" s="193">
        <v>0.97</v>
      </c>
      <c r="AC20" s="208">
        <f t="shared" si="11"/>
        <v>0.39672470312603325</v>
      </c>
      <c r="AD20" s="209">
        <f t="shared" ref="AD20:AF20" si="39">X20/W20</f>
        <v>1.0163435866765174E-2</v>
      </c>
      <c r="AE20" s="209">
        <f t="shared" si="39"/>
        <v>9.4230769230769229E-2</v>
      </c>
      <c r="AF20" s="202">
        <f t="shared" si="39"/>
        <v>10.284367346938776</v>
      </c>
      <c r="AG20" s="210">
        <v>139</v>
      </c>
      <c r="AH20" s="203">
        <v>239</v>
      </c>
      <c r="AI20" s="211">
        <v>99</v>
      </c>
      <c r="AJ20" s="212">
        <f>AG20*产品成本!$D$2+AH20*产品成本!$D$3+AI20*产品成本!$D$4</f>
        <v>1126.2676056338037</v>
      </c>
      <c r="AK20" s="212">
        <f>AG20*产品成本!$E$2+AH20*产品成本!$E$3+AI20*产品成本!$E$4</f>
        <v>90.998222535211141</v>
      </c>
      <c r="AL20" s="212">
        <f>AG20*产品成本!$F$2+AH20*产品成本!$F$3+AI20*产品成本!$F$4</f>
        <v>162.18</v>
      </c>
      <c r="AM20" s="212">
        <f>AG20*产品成本!$G$2+AH20*产品成本!$G$3+AI20*产品成本!$G$4</f>
        <v>1831.11</v>
      </c>
      <c r="AN20" s="212">
        <f t="shared" si="13"/>
        <v>1728.0824999999998</v>
      </c>
      <c r="AO20" s="213">
        <f t="shared" si="14"/>
        <v>4938.6383281690141</v>
      </c>
      <c r="AP20" s="214">
        <v>8</v>
      </c>
      <c r="AQ20" s="214">
        <v>15</v>
      </c>
      <c r="AR20" s="215">
        <v>5</v>
      </c>
      <c r="AS20" s="216">
        <f t="shared" si="15"/>
        <v>661.25</v>
      </c>
      <c r="AT20" s="216">
        <f>AP20*产品成本!$D$2+AQ20*产品成本!$D$3+AR20*产品成本!$D$4</f>
        <v>65.140845070422586</v>
      </c>
      <c r="AU20" s="220">
        <f>AP20*产品成本!$E$2+AQ20*产品成本!$E$3+AR20*产品成本!$E$4</f>
        <v>5.3307084507042184</v>
      </c>
      <c r="AV20" s="219">
        <f>AP20*产品成本!$F$2+AQ20*产品成本!$F$3+AR20*产品成本!$F$4</f>
        <v>9.52</v>
      </c>
      <c r="AW20" s="218"/>
      <c r="AX20" s="219">
        <f t="shared" si="16"/>
        <v>99.1875</v>
      </c>
      <c r="AY20" s="218">
        <f t="shared" si="17"/>
        <v>-19.837500000000002</v>
      </c>
      <c r="AZ20" s="220">
        <f t="shared" si="18"/>
        <v>159.3415535211268</v>
      </c>
      <c r="BA20" s="221">
        <f t="shared" si="19"/>
        <v>4779.2967746478871</v>
      </c>
      <c r="BB20" s="221">
        <f t="shared" si="20"/>
        <v>11520.55</v>
      </c>
      <c r="BC20" s="221">
        <f t="shared" si="21"/>
        <v>10859.3</v>
      </c>
      <c r="BD20" s="222">
        <f t="shared" si="22"/>
        <v>3560.3332253521121</v>
      </c>
      <c r="BE20" s="223">
        <f t="shared" si="23"/>
        <v>0.32786028798837052</v>
      </c>
      <c r="BF20" s="229"/>
      <c r="BG20" s="229"/>
      <c r="BH20" s="229" t="s">
        <v>94</v>
      </c>
    </row>
    <row r="21" spans="1:60" ht="23.1" customHeight="1" x14ac:dyDescent="0.15">
      <c r="A21" s="234" t="s">
        <v>115</v>
      </c>
      <c r="B21" s="235" t="s">
        <v>116</v>
      </c>
      <c r="C21" s="192">
        <v>350</v>
      </c>
      <c r="D21" s="193">
        <v>338</v>
      </c>
      <c r="E21" s="194">
        <v>8390.83</v>
      </c>
      <c r="F21" s="195"/>
      <c r="G21" s="195"/>
      <c r="H21" s="196"/>
      <c r="I21" s="196"/>
      <c r="J21" s="225">
        <v>29</v>
      </c>
      <c r="K21" s="198">
        <f t="shared" si="0"/>
        <v>8.2857142857142851E-2</v>
      </c>
      <c r="L21" s="199">
        <v>604.6</v>
      </c>
      <c r="M21" s="200">
        <f t="shared" si="1"/>
        <v>-0.2662473794549266</v>
      </c>
      <c r="N21" s="198">
        <f t="shared" si="2"/>
        <v>-0.24553571428571427</v>
      </c>
      <c r="O21" s="198">
        <f t="shared" si="3"/>
        <v>-0.27166411325848155</v>
      </c>
      <c r="P21" s="201">
        <f t="shared" si="4"/>
        <v>1.0355029585798816</v>
      </c>
      <c r="Q21" s="230">
        <f t="shared" si="5"/>
        <v>24.824940828402365</v>
      </c>
      <c r="R21" s="230">
        <f t="shared" si="6"/>
        <v>23.973800000000001</v>
      </c>
      <c r="S21" s="230">
        <f t="shared" si="7"/>
        <v>50</v>
      </c>
      <c r="T21" s="203">
        <f t="shared" si="8"/>
        <v>123</v>
      </c>
      <c r="U21" s="204">
        <f t="shared" si="9"/>
        <v>0.36390532544378701</v>
      </c>
      <c r="V21" s="205">
        <f t="shared" si="10"/>
        <v>0.30769661642531193</v>
      </c>
      <c r="W21" s="193">
        <v>261831</v>
      </c>
      <c r="X21" s="193">
        <v>2520</v>
      </c>
      <c r="Y21" s="193">
        <v>215</v>
      </c>
      <c r="Z21" s="206">
        <v>2581.83</v>
      </c>
      <c r="AA21" s="226">
        <v>5283.21</v>
      </c>
      <c r="AB21" s="193">
        <v>1.02</v>
      </c>
      <c r="AC21" s="208">
        <f t="shared" si="11"/>
        <v>0.48868585575814699</v>
      </c>
      <c r="AD21" s="209">
        <f t="shared" ref="AD21:AF21" si="40">X21/W21</f>
        <v>9.6245287991108767E-3</v>
      </c>
      <c r="AE21" s="209">
        <f t="shared" si="40"/>
        <v>8.531746031746032E-2</v>
      </c>
      <c r="AF21" s="202">
        <f t="shared" si="40"/>
        <v>12.008511627906977</v>
      </c>
      <c r="AG21" s="210">
        <v>99</v>
      </c>
      <c r="AH21" s="203">
        <v>207</v>
      </c>
      <c r="AI21" s="211">
        <v>44</v>
      </c>
      <c r="AJ21" s="212">
        <f>AG21*产品成本!$D$2+AH21*产品成本!$D$3+AI21*产品成本!$D$4</f>
        <v>792.11267605633861</v>
      </c>
      <c r="AK21" s="212">
        <f>AG21*产品成本!$E$2+AH21*产品成本!$E$3+AI21*产品成本!$E$4</f>
        <v>66.334656338028068</v>
      </c>
      <c r="AL21" s="212">
        <f>AG21*产品成本!$F$2+AH21*产品成本!$F$3+AI21*产品成本!$F$4</f>
        <v>119.00000000000003</v>
      </c>
      <c r="AM21" s="212">
        <f>AG21*产品成本!$G$2+AH21*产品成本!$G$3+AI21*产品成本!$G$4</f>
        <v>1344.2099999999998</v>
      </c>
      <c r="AN21" s="212">
        <f t="shared" si="13"/>
        <v>1258.6244999999999</v>
      </c>
      <c r="AO21" s="213">
        <f t="shared" si="14"/>
        <v>3580.2818323943666</v>
      </c>
      <c r="AP21" s="214">
        <v>9</v>
      </c>
      <c r="AQ21" s="214">
        <v>15</v>
      </c>
      <c r="AR21" s="215">
        <v>5</v>
      </c>
      <c r="AS21" s="216">
        <f t="shared" si="15"/>
        <v>687.04545454545462</v>
      </c>
      <c r="AT21" s="216">
        <f>AP21*产品成本!$D$2+AQ21*产品成本!$D$3+AR21*产品成本!$D$4</f>
        <v>67.253521126760617</v>
      </c>
      <c r="AU21" s="220">
        <f>AP21*产品成本!$E$2+AQ21*产品成本!$E$3+AR21*产品成本!$E$4</f>
        <v>5.5043154929577396</v>
      </c>
      <c r="AV21" s="219">
        <f>AP21*产品成本!$F$2+AQ21*产品成本!$F$3+AR21*产品成本!$F$4</f>
        <v>9.86</v>
      </c>
      <c r="AW21" s="218"/>
      <c r="AX21" s="219">
        <f t="shared" si="16"/>
        <v>103.05681818181819</v>
      </c>
      <c r="AY21" s="218">
        <f t="shared" si="17"/>
        <v>-20.611363636363638</v>
      </c>
      <c r="AZ21" s="220">
        <f t="shared" si="18"/>
        <v>165.0632911651729</v>
      </c>
      <c r="BA21" s="221">
        <f t="shared" si="19"/>
        <v>3415.2185412291938</v>
      </c>
      <c r="BB21" s="221">
        <f t="shared" si="20"/>
        <v>8390.83</v>
      </c>
      <c r="BC21" s="221">
        <f t="shared" si="21"/>
        <v>7703.784545454545</v>
      </c>
      <c r="BD21" s="222">
        <f t="shared" si="22"/>
        <v>1706.7360042253513</v>
      </c>
      <c r="BE21" s="223">
        <f t="shared" si="23"/>
        <v>0.22154513721861221</v>
      </c>
      <c r="BF21" s="233"/>
      <c r="BG21" s="233" t="s">
        <v>117</v>
      </c>
      <c r="BH21" s="227" t="s">
        <v>94</v>
      </c>
    </row>
    <row r="22" spans="1:60" ht="23.1" customHeight="1" x14ac:dyDescent="0.15">
      <c r="A22" s="234" t="s">
        <v>118</v>
      </c>
      <c r="B22" s="235" t="s">
        <v>119</v>
      </c>
      <c r="C22" s="192">
        <v>390</v>
      </c>
      <c r="D22" s="193">
        <v>376</v>
      </c>
      <c r="E22" s="194">
        <v>9380.31</v>
      </c>
      <c r="F22" s="195"/>
      <c r="G22" s="195"/>
      <c r="H22" s="196"/>
      <c r="I22" s="196"/>
      <c r="J22" s="225">
        <v>24</v>
      </c>
      <c r="K22" s="198">
        <f t="shared" si="0"/>
        <v>6.1538461538461542E-2</v>
      </c>
      <c r="L22" s="199">
        <v>496.01</v>
      </c>
      <c r="M22" s="200">
        <f t="shared" si="1"/>
        <v>0.11428571428571428</v>
      </c>
      <c r="N22" s="198">
        <f t="shared" si="2"/>
        <v>0.11242603550295859</v>
      </c>
      <c r="O22" s="198">
        <f t="shared" si="3"/>
        <v>0.1179239717644142</v>
      </c>
      <c r="P22" s="201">
        <f t="shared" si="4"/>
        <v>1.0372340425531914</v>
      </c>
      <c r="Q22" s="230">
        <f t="shared" si="5"/>
        <v>24.947632978723401</v>
      </c>
      <c r="R22" s="230">
        <f t="shared" si="6"/>
        <v>24.052076923076921</v>
      </c>
      <c r="S22" s="230">
        <f t="shared" si="7"/>
        <v>55.714285714285715</v>
      </c>
      <c r="T22" s="203">
        <f t="shared" si="8"/>
        <v>111</v>
      </c>
      <c r="U22" s="204">
        <f t="shared" si="9"/>
        <v>0.29521276595744683</v>
      </c>
      <c r="V22" s="205">
        <f t="shared" si="10"/>
        <v>0.31517508483195122</v>
      </c>
      <c r="W22" s="193">
        <v>263574</v>
      </c>
      <c r="X22" s="193">
        <v>2836</v>
      </c>
      <c r="Y22" s="193">
        <v>265</v>
      </c>
      <c r="Z22" s="206">
        <v>2956.44</v>
      </c>
      <c r="AA22" s="226">
        <v>6504.79</v>
      </c>
      <c r="AB22" s="193">
        <v>1.04</v>
      </c>
      <c r="AC22" s="208">
        <f t="shared" si="11"/>
        <v>0.45450199007193159</v>
      </c>
      <c r="AD22" s="209">
        <f t="shared" ref="AD22:AF22" si="41">X22/W22</f>
        <v>1.0759786625387936E-2</v>
      </c>
      <c r="AE22" s="209">
        <f t="shared" si="41"/>
        <v>9.3441466854724958E-2</v>
      </c>
      <c r="AF22" s="202">
        <f t="shared" si="41"/>
        <v>11.156377358490566</v>
      </c>
      <c r="AG22" s="210">
        <v>121</v>
      </c>
      <c r="AH22" s="203">
        <v>220</v>
      </c>
      <c r="AI22" s="211">
        <v>49</v>
      </c>
      <c r="AJ22" s="212">
        <f>AG22*产品成本!$D$2+AH22*产品成本!$D$3+AI22*产品成本!$D$4</f>
        <v>882.60563380281758</v>
      </c>
      <c r="AK22" s="212">
        <f>AG22*产品成本!$E$2+AH22*产品成本!$E$3+AI22*产品成本!$E$4</f>
        <v>73.710283098591447</v>
      </c>
      <c r="AL22" s="212">
        <f>AG22*产品成本!$F$2+AH22*产品成本!$F$3+AI22*产品成本!$F$4</f>
        <v>132.60000000000002</v>
      </c>
      <c r="AM22" s="212">
        <f>AG22*产品成本!$G$2+AH22*产品成本!$G$3+AI22*产品成本!$G$4</f>
        <v>1495.59</v>
      </c>
      <c r="AN22" s="212">
        <f t="shared" si="13"/>
        <v>1407.0464999999999</v>
      </c>
      <c r="AO22" s="213">
        <f t="shared" si="14"/>
        <v>3991.5524169014093</v>
      </c>
      <c r="AP22" s="214">
        <v>9</v>
      </c>
      <c r="AQ22" s="214">
        <v>12</v>
      </c>
      <c r="AR22" s="215">
        <v>3</v>
      </c>
      <c r="AS22" s="216">
        <f t="shared" si="15"/>
        <v>563.64772727272725</v>
      </c>
      <c r="AT22" s="216">
        <f>AP22*产品成本!$D$2+AQ22*产品成本!$D$3+AR22*产品成本!$D$4</f>
        <v>54.29577464788737</v>
      </c>
      <c r="AU22" s="220">
        <f>AP22*产品成本!$E$2+AQ22*产品成本!$E$3+AR22*产品成本!$E$4</f>
        <v>4.5059450704225288</v>
      </c>
      <c r="AV22" s="219">
        <f>AP22*产品成本!$F$2+AQ22*产品成本!$F$3+AR22*产品成本!$F$4</f>
        <v>8.16</v>
      </c>
      <c r="AW22" s="218"/>
      <c r="AX22" s="219">
        <f t="shared" si="16"/>
        <v>84.547159090909091</v>
      </c>
      <c r="AY22" s="218">
        <f t="shared" si="17"/>
        <v>-16.909431818181819</v>
      </c>
      <c r="AZ22" s="220">
        <f t="shared" si="18"/>
        <v>134.59944699103715</v>
      </c>
      <c r="BA22" s="221">
        <f t="shared" si="19"/>
        <v>3856.9529699103723</v>
      </c>
      <c r="BB22" s="221">
        <f t="shared" si="20"/>
        <v>9380.31</v>
      </c>
      <c r="BC22" s="221">
        <f t="shared" si="21"/>
        <v>8816.6622727272716</v>
      </c>
      <c r="BD22" s="222">
        <f t="shared" si="22"/>
        <v>2003.2693028168992</v>
      </c>
      <c r="BE22" s="223">
        <f t="shared" si="23"/>
        <v>0.2272140228183227</v>
      </c>
      <c r="BF22" s="232"/>
      <c r="BG22" s="232" t="s">
        <v>120</v>
      </c>
      <c r="BH22" s="229" t="s">
        <v>94</v>
      </c>
    </row>
    <row r="23" spans="1:60" ht="23.1" customHeight="1" x14ac:dyDescent="0.15">
      <c r="A23" s="234" t="s">
        <v>121</v>
      </c>
      <c r="B23" s="235" t="s">
        <v>122</v>
      </c>
      <c r="C23" s="192">
        <v>401</v>
      </c>
      <c r="D23" s="193">
        <v>382</v>
      </c>
      <c r="E23" s="194">
        <v>9704.49</v>
      </c>
      <c r="F23" s="195"/>
      <c r="G23" s="195"/>
      <c r="H23" s="196"/>
      <c r="I23" s="196"/>
      <c r="J23" s="225">
        <v>28</v>
      </c>
      <c r="K23" s="198">
        <f t="shared" si="0"/>
        <v>6.9825436408977551E-2</v>
      </c>
      <c r="L23" s="199">
        <v>594.58000000000004</v>
      </c>
      <c r="M23" s="200">
        <f t="shared" si="1"/>
        <v>2.8205128205128206E-2</v>
      </c>
      <c r="N23" s="198">
        <f t="shared" si="2"/>
        <v>1.5957446808510637E-2</v>
      </c>
      <c r="O23" s="198">
        <f t="shared" si="3"/>
        <v>3.4559625428157527E-2</v>
      </c>
      <c r="P23" s="201">
        <f t="shared" si="4"/>
        <v>1.049738219895288</v>
      </c>
      <c r="Q23" s="230">
        <f t="shared" si="5"/>
        <v>25.404424083769634</v>
      </c>
      <c r="R23" s="230">
        <f t="shared" si="6"/>
        <v>24.20072319201995</v>
      </c>
      <c r="S23" s="230">
        <f t="shared" si="7"/>
        <v>57.285714285714285</v>
      </c>
      <c r="T23" s="203">
        <f t="shared" si="8"/>
        <v>128</v>
      </c>
      <c r="U23" s="204">
        <f t="shared" si="9"/>
        <v>0.33507853403141363</v>
      </c>
      <c r="V23" s="205">
        <f t="shared" si="10"/>
        <v>0.28675901567212703</v>
      </c>
      <c r="W23" s="193">
        <v>278481</v>
      </c>
      <c r="X23" s="193">
        <v>2758</v>
      </c>
      <c r="Y23" s="193">
        <v>254</v>
      </c>
      <c r="Z23" s="206">
        <v>2782.85</v>
      </c>
      <c r="AA23" s="226">
        <v>6199.12</v>
      </c>
      <c r="AB23" s="193">
        <v>1.01</v>
      </c>
      <c r="AC23" s="208">
        <f t="shared" si="11"/>
        <v>0.44891049052123527</v>
      </c>
      <c r="AD23" s="209">
        <f t="shared" ref="AD23:AF23" si="42">X23/W23</f>
        <v>9.903727722896714E-3</v>
      </c>
      <c r="AE23" s="209">
        <f t="shared" si="42"/>
        <v>9.2095721537345909E-2</v>
      </c>
      <c r="AF23" s="202">
        <f t="shared" si="42"/>
        <v>10.956102362204724</v>
      </c>
      <c r="AG23" s="210">
        <v>106</v>
      </c>
      <c r="AH23" s="203">
        <v>264</v>
      </c>
      <c r="AI23" s="211">
        <v>31</v>
      </c>
      <c r="AJ23" s="212">
        <f>AG23*产品成本!$D$2+AH23*产品成本!$D$3+AI23*产品成本!$D$4</f>
        <v>884.29577464788804</v>
      </c>
      <c r="AK23" s="212">
        <f>AG23*产品成本!$E$2+AH23*产品成本!$E$3+AI23*产品成本!$E$4</f>
        <v>75.808943661971725</v>
      </c>
      <c r="AL23" s="212">
        <f>AG23*产品成本!$F$2+AH23*产品成本!$F$3+AI23*产品成本!$F$4</f>
        <v>136.34</v>
      </c>
      <c r="AM23" s="212">
        <f>AG23*产品成本!$G$2+AH23*产品成本!$G$3+AI23*产品成本!$G$4</f>
        <v>1541.6399999999999</v>
      </c>
      <c r="AN23" s="212">
        <f t="shared" si="13"/>
        <v>1455.6734999999999</v>
      </c>
      <c r="AO23" s="213">
        <f t="shared" si="14"/>
        <v>4093.7582183098593</v>
      </c>
      <c r="AP23" s="214">
        <v>8</v>
      </c>
      <c r="AQ23" s="214">
        <v>16</v>
      </c>
      <c r="AR23" s="215">
        <v>4</v>
      </c>
      <c r="AS23" s="216">
        <f t="shared" si="15"/>
        <v>675.65909090909099</v>
      </c>
      <c r="AT23" s="216">
        <f>AP23*产品成本!$D$2+AQ23*产品成本!$D$3+AR23*产品成本!$D$4</f>
        <v>63.943661971831034</v>
      </c>
      <c r="AU23" s="220">
        <f>AP23*产品成本!$E$2+AQ23*产品成本!$E$3+AR23*产品成本!$E$4</f>
        <v>5.3134985915492878</v>
      </c>
      <c r="AV23" s="219">
        <f>AP23*产品成本!$F$2+AQ23*产品成本!$F$3+AR23*产品成本!$F$4</f>
        <v>9.52</v>
      </c>
      <c r="AW23" s="218"/>
      <c r="AX23" s="219">
        <f t="shared" si="16"/>
        <v>101.34886363636365</v>
      </c>
      <c r="AY23" s="218">
        <f t="shared" si="17"/>
        <v>-20.269772727272731</v>
      </c>
      <c r="AZ23" s="220">
        <f t="shared" si="18"/>
        <v>159.85625147247123</v>
      </c>
      <c r="BA23" s="221">
        <f t="shared" si="19"/>
        <v>3933.901966837388</v>
      </c>
      <c r="BB23" s="221">
        <f t="shared" si="20"/>
        <v>9704.49</v>
      </c>
      <c r="BC23" s="221">
        <f t="shared" si="21"/>
        <v>9028.8309090909097</v>
      </c>
      <c r="BD23" s="222">
        <f t="shared" si="22"/>
        <v>2312.0789422535222</v>
      </c>
      <c r="BE23" s="223">
        <f t="shared" si="23"/>
        <v>0.256077333326239</v>
      </c>
      <c r="BF23" s="233"/>
      <c r="BG23" s="233" t="s">
        <v>123</v>
      </c>
      <c r="BH23" s="227" t="s">
        <v>94</v>
      </c>
    </row>
    <row r="24" spans="1:60" ht="23.1" customHeight="1" x14ac:dyDescent="0.15">
      <c r="A24" s="234" t="s">
        <v>124</v>
      </c>
      <c r="B24" s="235" t="s">
        <v>125</v>
      </c>
      <c r="C24" s="192">
        <v>464</v>
      </c>
      <c r="D24" s="193">
        <v>441</v>
      </c>
      <c r="E24" s="194">
        <v>9746.86</v>
      </c>
      <c r="F24" s="195"/>
      <c r="G24" s="195"/>
      <c r="H24" s="196"/>
      <c r="I24" s="196"/>
      <c r="J24" s="225">
        <v>24</v>
      </c>
      <c r="K24" s="198">
        <f t="shared" si="0"/>
        <v>5.1724137931034482E-2</v>
      </c>
      <c r="L24" s="199">
        <v>493.76</v>
      </c>
      <c r="M24" s="200">
        <f t="shared" si="1"/>
        <v>0.15710723192019951</v>
      </c>
      <c r="N24" s="198">
        <f t="shared" si="2"/>
        <v>0.15445026178010471</v>
      </c>
      <c r="O24" s="198">
        <f t="shared" si="3"/>
        <v>4.3660202648465605E-3</v>
      </c>
      <c r="P24" s="201">
        <f t="shared" si="4"/>
        <v>1.0521541950113378</v>
      </c>
      <c r="Q24" s="230">
        <f t="shared" si="5"/>
        <v>22.101723356009071</v>
      </c>
      <c r="R24" s="230">
        <f t="shared" si="6"/>
        <v>21.00616379310345</v>
      </c>
      <c r="S24" s="230">
        <f t="shared" si="7"/>
        <v>66.285714285714292</v>
      </c>
      <c r="T24" s="203">
        <f t="shared" si="8"/>
        <v>164</v>
      </c>
      <c r="U24" s="204">
        <f t="shared" si="9"/>
        <v>0.37188208616780044</v>
      </c>
      <c r="V24" s="205">
        <f t="shared" si="10"/>
        <v>0.30536808777390873</v>
      </c>
      <c r="W24" s="193">
        <v>236690</v>
      </c>
      <c r="X24" s="193">
        <v>2806</v>
      </c>
      <c r="Y24" s="193">
        <v>277</v>
      </c>
      <c r="Z24" s="206">
        <v>2976.38</v>
      </c>
      <c r="AA24" s="226">
        <v>6103.54</v>
      </c>
      <c r="AB24" s="193">
        <v>1.06</v>
      </c>
      <c r="AC24" s="208">
        <f t="shared" si="11"/>
        <v>0.48764815172834131</v>
      </c>
      <c r="AD24" s="209">
        <f t="shared" ref="AD24:AF24" si="43">X24/W24</f>
        <v>1.1855169208669568E-2</v>
      </c>
      <c r="AE24" s="209">
        <f t="shared" si="43"/>
        <v>9.8717034925160374E-2</v>
      </c>
      <c r="AF24" s="202">
        <f t="shared" si="43"/>
        <v>10.745054151624549</v>
      </c>
      <c r="AG24" s="210">
        <v>151</v>
      </c>
      <c r="AH24" s="203">
        <v>257</v>
      </c>
      <c r="AI24" s="211">
        <v>56</v>
      </c>
      <c r="AJ24" s="212">
        <f>AG24*产品成本!$D$2+AH24*产品成本!$D$3+AI24*产品成本!$D$4</f>
        <v>1047.3239436619726</v>
      </c>
      <c r="AK24" s="212">
        <f>AG24*产品成本!$E$2+AH24*产品成本!$E$3+AI24*产品成本!$E$4</f>
        <v>87.521729577464669</v>
      </c>
      <c r="AL24" s="212">
        <f>AG24*产品成本!$F$2+AH24*产品成本!$F$3+AI24*产品成本!$F$4</f>
        <v>157.76000000000002</v>
      </c>
      <c r="AM24" s="212">
        <f>AG24*产品成本!$G$2+AH24*产品成本!$G$3+AI24*产品成本!$G$4</f>
        <v>1777.8899999999999</v>
      </c>
      <c r="AN24" s="212">
        <f t="shared" si="13"/>
        <v>1462.029</v>
      </c>
      <c r="AO24" s="213">
        <f t="shared" si="14"/>
        <v>4532.5246732394371</v>
      </c>
      <c r="AP24" s="214">
        <v>8</v>
      </c>
      <c r="AQ24" s="214">
        <v>14</v>
      </c>
      <c r="AR24" s="215">
        <v>2</v>
      </c>
      <c r="AS24" s="216">
        <f t="shared" si="15"/>
        <v>561.09090909090912</v>
      </c>
      <c r="AT24" s="216">
        <f>AP24*产品成本!$D$2+AQ24*产品成本!$D$3+AR24*产品成本!$D$4</f>
        <v>53.098591549295811</v>
      </c>
      <c r="AU24" s="220">
        <f>AP24*产品成本!$E$2+AQ24*产品成本!$E$3+AR24*产品成本!$E$4</f>
        <v>4.5079183098591482</v>
      </c>
      <c r="AV24" s="219">
        <f>AP24*产品成本!$F$2+AQ24*产品成本!$F$3+AR24*产品成本!$F$4</f>
        <v>8.16</v>
      </c>
      <c r="AW24" s="218"/>
      <c r="AX24" s="219">
        <f t="shared" si="16"/>
        <v>84.163636363636371</v>
      </c>
      <c r="AY24" s="218">
        <f t="shared" si="17"/>
        <v>-16.832727272727276</v>
      </c>
      <c r="AZ24" s="220">
        <f t="shared" si="18"/>
        <v>133.09741895006405</v>
      </c>
      <c r="BA24" s="221">
        <f t="shared" si="19"/>
        <v>4399.4272542893732</v>
      </c>
      <c r="BB24" s="221">
        <f t="shared" si="20"/>
        <v>9746.86</v>
      </c>
      <c r="BC24" s="221">
        <f t="shared" si="21"/>
        <v>9185.7690909090907</v>
      </c>
      <c r="BD24" s="222">
        <f t="shared" si="22"/>
        <v>1809.9618366197174</v>
      </c>
      <c r="BE24" s="223">
        <f t="shared" si="23"/>
        <v>0.19703977083540974</v>
      </c>
      <c r="BF24" s="229"/>
      <c r="BG24" s="229" t="s">
        <v>126</v>
      </c>
      <c r="BH24" s="229" t="s">
        <v>127</v>
      </c>
    </row>
    <row r="25" spans="1:60" ht="23.1" customHeight="1" x14ac:dyDescent="0.15">
      <c r="A25" s="234" t="s">
        <v>128</v>
      </c>
      <c r="B25" s="235" t="s">
        <v>129</v>
      </c>
      <c r="C25" s="192">
        <v>486</v>
      </c>
      <c r="D25" s="193">
        <v>465</v>
      </c>
      <c r="E25" s="194">
        <v>11015.19</v>
      </c>
      <c r="F25" s="195"/>
      <c r="G25" s="195"/>
      <c r="H25" s="196"/>
      <c r="I25" s="196"/>
      <c r="J25" s="225">
        <v>31</v>
      </c>
      <c r="K25" s="198">
        <f t="shared" si="0"/>
        <v>6.3786008230452676E-2</v>
      </c>
      <c r="L25" s="199">
        <v>630.36</v>
      </c>
      <c r="M25" s="200">
        <f t="shared" si="1"/>
        <v>4.7413793103448273E-2</v>
      </c>
      <c r="N25" s="198">
        <f t="shared" si="2"/>
        <v>5.4421768707482991E-2</v>
      </c>
      <c r="O25" s="198">
        <f t="shared" si="3"/>
        <v>0.13012703578383192</v>
      </c>
      <c r="P25" s="201">
        <f t="shared" si="4"/>
        <v>1.0451612903225806</v>
      </c>
      <c r="Q25" s="230">
        <f t="shared" si="5"/>
        <v>23.688580645161291</v>
      </c>
      <c r="R25" s="230">
        <f t="shared" si="6"/>
        <v>22.665000000000003</v>
      </c>
      <c r="S25" s="230">
        <f t="shared" si="7"/>
        <v>69.428571428571431</v>
      </c>
      <c r="T25" s="203">
        <f t="shared" si="8"/>
        <v>154</v>
      </c>
      <c r="U25" s="204">
        <f t="shared" si="9"/>
        <v>0.33118279569892473</v>
      </c>
      <c r="V25" s="205">
        <f t="shared" si="10"/>
        <v>0.28374544606130264</v>
      </c>
      <c r="W25" s="193">
        <v>303852</v>
      </c>
      <c r="X25" s="193">
        <v>2994</v>
      </c>
      <c r="Y25" s="193">
        <v>311</v>
      </c>
      <c r="Z25" s="206">
        <v>3125.51</v>
      </c>
      <c r="AA25" s="226">
        <v>7326.12</v>
      </c>
      <c r="AB25" s="193">
        <v>1.04</v>
      </c>
      <c r="AC25" s="208">
        <f t="shared" si="11"/>
        <v>0.42662555349898723</v>
      </c>
      <c r="AD25" s="209">
        <f t="shared" ref="AD25:AF25" si="44">X25/W25</f>
        <v>9.8534813001066313E-3</v>
      </c>
      <c r="AE25" s="209">
        <f t="shared" si="44"/>
        <v>0.10387441549766199</v>
      </c>
      <c r="AF25" s="202">
        <f t="shared" si="44"/>
        <v>10.049871382636656</v>
      </c>
      <c r="AG25" s="210">
        <v>164</v>
      </c>
      <c r="AH25" s="203">
        <v>249</v>
      </c>
      <c r="AI25" s="211">
        <v>73</v>
      </c>
      <c r="AJ25" s="212">
        <f>AG25*产品成本!$D$2+AH25*产品成本!$D$3+AI25*产品成本!$D$4</f>
        <v>1114.1549295774657</v>
      </c>
      <c r="AK25" s="212">
        <f>AG25*产品成本!$E$2+AH25*产品成本!$E$3+AI25*产品成本!$E$4</f>
        <v>91.806299999999865</v>
      </c>
      <c r="AL25" s="212">
        <f>AG25*产品成本!$F$2+AH25*产品成本!$F$3+AI25*产品成本!$F$4</f>
        <v>165.24</v>
      </c>
      <c r="AM25" s="212">
        <f>AG25*产品成本!$G$2+AH25*产品成本!$G$3+AI25*产品成本!$G$4</f>
        <v>1860.96</v>
      </c>
      <c r="AN25" s="212">
        <f t="shared" si="13"/>
        <v>1652.2785000000001</v>
      </c>
      <c r="AO25" s="213">
        <f t="shared" si="14"/>
        <v>4884.4397295774661</v>
      </c>
      <c r="AP25" s="214">
        <v>9</v>
      </c>
      <c r="AQ25" s="214">
        <v>19</v>
      </c>
      <c r="AR25" s="215">
        <v>3</v>
      </c>
      <c r="AS25" s="216">
        <f t="shared" si="15"/>
        <v>716.31818181818187</v>
      </c>
      <c r="AT25" s="216">
        <f>AP25*产品成本!$D$2+AQ25*产品成本!$D$3+AR25*产品成本!$D$4</f>
        <v>69.084507042253577</v>
      </c>
      <c r="AU25" s="220">
        <f>AP25*产品成本!$E$2+AQ25*产品成本!$E$3+AR25*产品成本!$E$4</f>
        <v>5.855476056338019</v>
      </c>
      <c r="AV25" s="219">
        <f>AP25*产品成本!$F$2+AQ25*产品成本!$F$3+AR25*产品成本!$F$4</f>
        <v>10.540000000000001</v>
      </c>
      <c r="AW25" s="218"/>
      <c r="AX25" s="219">
        <f t="shared" si="16"/>
        <v>107.44772727272728</v>
      </c>
      <c r="AY25" s="218">
        <f t="shared" si="17"/>
        <v>-21.489545454545457</v>
      </c>
      <c r="AZ25" s="220">
        <f t="shared" si="18"/>
        <v>171.43816491677342</v>
      </c>
      <c r="BA25" s="221">
        <f t="shared" si="19"/>
        <v>4713.0015646606926</v>
      </c>
      <c r="BB25" s="221">
        <f t="shared" si="20"/>
        <v>11015.19</v>
      </c>
      <c r="BC25" s="221">
        <f t="shared" si="21"/>
        <v>10298.871818181819</v>
      </c>
      <c r="BD25" s="222">
        <f t="shared" si="22"/>
        <v>2460.3602535211257</v>
      </c>
      <c r="BE25" s="223">
        <f t="shared" si="23"/>
        <v>0.23889609434477671</v>
      </c>
      <c r="BF25" s="227"/>
      <c r="BG25" s="227"/>
      <c r="BH25" s="227" t="s">
        <v>94</v>
      </c>
    </row>
    <row r="26" spans="1:60" ht="23.1" customHeight="1" x14ac:dyDescent="0.15">
      <c r="A26" s="234" t="s">
        <v>130</v>
      </c>
      <c r="B26" s="235" t="s">
        <v>131</v>
      </c>
      <c r="C26" s="192">
        <v>416</v>
      </c>
      <c r="D26" s="193">
        <v>391</v>
      </c>
      <c r="E26" s="194">
        <v>10020.4</v>
      </c>
      <c r="F26" s="195"/>
      <c r="G26" s="195"/>
      <c r="H26" s="196"/>
      <c r="I26" s="196"/>
      <c r="J26" s="225">
        <v>23</v>
      </c>
      <c r="K26" s="198">
        <f t="shared" si="0"/>
        <v>5.5288461538461536E-2</v>
      </c>
      <c r="L26" s="199">
        <v>472.65</v>
      </c>
      <c r="M26" s="200">
        <f t="shared" si="1"/>
        <v>-0.1440329218106996</v>
      </c>
      <c r="N26" s="198">
        <f t="shared" si="2"/>
        <v>-0.15913978494623657</v>
      </c>
      <c r="O26" s="198">
        <f t="shared" si="3"/>
        <v>-9.031074361858496E-2</v>
      </c>
      <c r="P26" s="201">
        <f t="shared" si="4"/>
        <v>1.0639386189258313</v>
      </c>
      <c r="Q26" s="230">
        <f t="shared" si="5"/>
        <v>25.627621483375957</v>
      </c>
      <c r="R26" s="230">
        <f t="shared" si="6"/>
        <v>24.087499999999999</v>
      </c>
      <c r="S26" s="230">
        <f t="shared" si="7"/>
        <v>59.428571428571431</v>
      </c>
      <c r="T26" s="203">
        <f t="shared" si="8"/>
        <v>153</v>
      </c>
      <c r="U26" s="204">
        <f t="shared" si="9"/>
        <v>0.39130434782608697</v>
      </c>
      <c r="V26" s="205">
        <f t="shared" si="10"/>
        <v>0.27636721088978483</v>
      </c>
      <c r="W26" s="193">
        <v>258909</v>
      </c>
      <c r="X26" s="193">
        <v>2637</v>
      </c>
      <c r="Y26" s="193">
        <v>238</v>
      </c>
      <c r="Z26" s="206">
        <v>2769.31</v>
      </c>
      <c r="AA26" s="226">
        <v>5998.55</v>
      </c>
      <c r="AB26" s="193">
        <v>1.05</v>
      </c>
      <c r="AC26" s="208">
        <f t="shared" si="11"/>
        <v>0.46166323528185976</v>
      </c>
      <c r="AD26" s="209">
        <f t="shared" ref="AD26:AF26" si="45">X26/W26</f>
        <v>1.0185045711041332E-2</v>
      </c>
      <c r="AE26" s="209">
        <f t="shared" si="45"/>
        <v>9.0254076602199473E-2</v>
      </c>
      <c r="AF26" s="202">
        <f t="shared" si="45"/>
        <v>11.635756302521008</v>
      </c>
      <c r="AG26" s="210">
        <v>95</v>
      </c>
      <c r="AH26" s="203">
        <v>228</v>
      </c>
      <c r="AI26" s="211">
        <v>93</v>
      </c>
      <c r="AJ26" s="212">
        <f>AG26*产品成本!$D$2+AH26*产品成本!$D$3+AI26*产品成本!$D$4</f>
        <v>990.2112676056347</v>
      </c>
      <c r="AK26" s="212">
        <f>AG26*产品成本!$E$2+AH26*产品成本!$E$3+AI26*产品成本!$E$4</f>
        <v>79.978821126760465</v>
      </c>
      <c r="AL26" s="212">
        <f>AG26*产品成本!$F$2+AH26*产品成本!$F$3+AI26*产品成本!$F$4</f>
        <v>141.44000000000003</v>
      </c>
      <c r="AM26" s="212">
        <f>AG26*产品成本!$G$2+AH26*产品成本!$G$3+AI26*产品成本!$G$4</f>
        <v>1602.45</v>
      </c>
      <c r="AN26" s="212">
        <f t="shared" si="13"/>
        <v>1503.06</v>
      </c>
      <c r="AO26" s="213">
        <f t="shared" si="14"/>
        <v>4317.1400887323953</v>
      </c>
      <c r="AP26" s="214">
        <v>7</v>
      </c>
      <c r="AQ26" s="214">
        <v>14</v>
      </c>
      <c r="AR26" s="215">
        <v>2</v>
      </c>
      <c r="AS26" s="216">
        <f t="shared" si="15"/>
        <v>537.10227272727275</v>
      </c>
      <c r="AT26" s="216">
        <f>AP26*产品成本!$D$2+AQ26*产品成本!$D$3+AR26*产品成本!$D$4</f>
        <v>50.985915492957787</v>
      </c>
      <c r="AU26" s="220">
        <f>AP26*产品成本!$E$2+AQ26*产品成本!$E$3+AR26*产品成本!$E$4</f>
        <v>4.334311267605627</v>
      </c>
      <c r="AV26" s="219">
        <f>AP26*产品成本!$F$2+AQ26*产品成本!$F$3+AR26*产品成本!$F$4</f>
        <v>7.82</v>
      </c>
      <c r="AW26" s="218"/>
      <c r="AX26" s="219">
        <f t="shared" si="16"/>
        <v>80.565340909090907</v>
      </c>
      <c r="AY26" s="218">
        <f t="shared" si="17"/>
        <v>-16.113068181818182</v>
      </c>
      <c r="AZ26" s="220">
        <f t="shared" si="18"/>
        <v>127.59249948783615</v>
      </c>
      <c r="BA26" s="221">
        <f t="shared" si="19"/>
        <v>4189.5475892445593</v>
      </c>
      <c r="BB26" s="221">
        <f t="shared" si="20"/>
        <v>10020.4</v>
      </c>
      <c r="BC26" s="221">
        <f t="shared" si="21"/>
        <v>9483.2977272727276</v>
      </c>
      <c r="BD26" s="222">
        <f t="shared" si="22"/>
        <v>2524.4401380281683</v>
      </c>
      <c r="BE26" s="223">
        <f t="shared" si="23"/>
        <v>0.26619855356520206</v>
      </c>
      <c r="BF26" s="229"/>
      <c r="BG26" s="229" t="s">
        <v>132</v>
      </c>
      <c r="BH26" s="229" t="s">
        <v>94</v>
      </c>
    </row>
    <row r="27" spans="1:60" ht="23.1" customHeight="1" x14ac:dyDescent="0.15">
      <c r="A27" s="234" t="s">
        <v>133</v>
      </c>
      <c r="B27" s="235" t="s">
        <v>134</v>
      </c>
      <c r="C27" s="192">
        <v>348</v>
      </c>
      <c r="D27" s="193">
        <v>338</v>
      </c>
      <c r="E27" s="194">
        <v>8556.44</v>
      </c>
      <c r="F27" s="195"/>
      <c r="G27" s="195"/>
      <c r="H27" s="196"/>
      <c r="I27" s="196"/>
      <c r="J27" s="225">
        <v>28</v>
      </c>
      <c r="K27" s="198">
        <f t="shared" si="0"/>
        <v>8.0459770114942528E-2</v>
      </c>
      <c r="L27" s="199">
        <v>570.04999999999995</v>
      </c>
      <c r="M27" s="200">
        <f t="shared" si="1"/>
        <v>-0.16346153846153846</v>
      </c>
      <c r="N27" s="198">
        <f t="shared" si="2"/>
        <v>-0.13554987212276215</v>
      </c>
      <c r="O27" s="198">
        <f t="shared" si="3"/>
        <v>-0.14609796016127091</v>
      </c>
      <c r="P27" s="201">
        <f t="shared" si="4"/>
        <v>1.029585798816568</v>
      </c>
      <c r="Q27" s="230">
        <f t="shared" si="5"/>
        <v>25.31491124260355</v>
      </c>
      <c r="R27" s="230">
        <f t="shared" si="6"/>
        <v>24.587471264367817</v>
      </c>
      <c r="S27" s="230">
        <f t="shared" si="7"/>
        <v>49.714285714285715</v>
      </c>
      <c r="T27" s="203">
        <f t="shared" si="8"/>
        <v>152</v>
      </c>
      <c r="U27" s="204">
        <f t="shared" si="9"/>
        <v>0.44970414201183434</v>
      </c>
      <c r="V27" s="205">
        <f t="shared" si="10"/>
        <v>0.2754159440140993</v>
      </c>
      <c r="W27" s="193">
        <v>235160</v>
      </c>
      <c r="X27" s="193">
        <v>2259</v>
      </c>
      <c r="Y27" s="193">
        <v>186</v>
      </c>
      <c r="Z27" s="206">
        <v>2356.58</v>
      </c>
      <c r="AA27" s="226">
        <v>4686.72</v>
      </c>
      <c r="AB27" s="193">
        <v>1.04</v>
      </c>
      <c r="AC27" s="208">
        <f t="shared" si="11"/>
        <v>0.50282073603714317</v>
      </c>
      <c r="AD27" s="209">
        <f t="shared" ref="AD27:AF27" si="46">X27/W27</f>
        <v>9.6062255485626809E-3</v>
      </c>
      <c r="AE27" s="209">
        <f t="shared" si="46"/>
        <v>8.233731739707835E-2</v>
      </c>
      <c r="AF27" s="202">
        <f t="shared" si="46"/>
        <v>12.669784946236559</v>
      </c>
      <c r="AG27" s="210">
        <v>56</v>
      </c>
      <c r="AH27" s="203">
        <v>188</v>
      </c>
      <c r="AI27" s="211">
        <v>104</v>
      </c>
      <c r="AJ27" s="212">
        <f>AG27*产品成本!$D$2+AH27*产品成本!$D$3+AI27*产品成本!$D$4</f>
        <v>859.71830985915562</v>
      </c>
      <c r="AK27" s="212">
        <f>AG27*产品成本!$E$2+AH27*产品成本!$E$3+AI27*产品成本!$E$4</f>
        <v>67.806540845070344</v>
      </c>
      <c r="AL27" s="212">
        <f>AG27*产品成本!$F$2+AH27*产品成本!$F$3+AI27*产品成本!$F$4</f>
        <v>118.32000000000001</v>
      </c>
      <c r="AM27" s="212">
        <f>AG27*产品成本!$G$2+AH27*产品成本!$G$3+AI27*产品成本!$G$4</f>
        <v>1345.4399999999998</v>
      </c>
      <c r="AN27" s="212">
        <f t="shared" si="13"/>
        <v>1283.4660000000001</v>
      </c>
      <c r="AO27" s="213">
        <f t="shared" si="14"/>
        <v>3674.7508507042257</v>
      </c>
      <c r="AP27" s="214">
        <v>9</v>
      </c>
      <c r="AQ27" s="214">
        <v>13</v>
      </c>
      <c r="AR27" s="215">
        <v>6</v>
      </c>
      <c r="AS27" s="216">
        <f t="shared" si="15"/>
        <v>647.78409090909088</v>
      </c>
      <c r="AT27" s="216">
        <f>AP27*产品成本!$D$2+AQ27*产品成本!$D$3+AR27*产品成本!$D$4</f>
        <v>66.338028169014137</v>
      </c>
      <c r="AU27" s="220">
        <f>AP27*产品成本!$E$2+AQ27*产品成本!$E$3+AR27*产品成本!$E$4</f>
        <v>5.328735211267599</v>
      </c>
      <c r="AV27" s="219">
        <f>AP27*产品成本!$F$2+AQ27*产品成本!$F$3+AR27*产品成本!$F$4</f>
        <v>9.52</v>
      </c>
      <c r="AW27" s="218"/>
      <c r="AX27" s="219">
        <f t="shared" si="16"/>
        <v>97.167613636363626</v>
      </c>
      <c r="AY27" s="218">
        <f t="shared" si="17"/>
        <v>-19.433522727272727</v>
      </c>
      <c r="AZ27" s="220">
        <f t="shared" si="18"/>
        <v>158.92085428937261</v>
      </c>
      <c r="BA27" s="221">
        <f t="shared" si="19"/>
        <v>3515.8299964148532</v>
      </c>
      <c r="BB27" s="221">
        <f t="shared" si="20"/>
        <v>8556.44</v>
      </c>
      <c r="BC27" s="221">
        <f t="shared" si="21"/>
        <v>7908.6559090909095</v>
      </c>
      <c r="BD27" s="222">
        <f t="shared" si="22"/>
        <v>2036.2459126760568</v>
      </c>
      <c r="BE27" s="223">
        <f t="shared" si="23"/>
        <v>0.25747054064337477</v>
      </c>
      <c r="BF27" s="227"/>
      <c r="BG27" s="227" t="s">
        <v>135</v>
      </c>
      <c r="BH27" s="227" t="s">
        <v>94</v>
      </c>
    </row>
    <row r="28" spans="1:60" ht="23.1" customHeight="1" x14ac:dyDescent="0.15">
      <c r="A28" s="234" t="s">
        <v>136</v>
      </c>
      <c r="B28" s="235" t="s">
        <v>137</v>
      </c>
      <c r="C28" s="192">
        <v>390</v>
      </c>
      <c r="D28" s="193">
        <v>356</v>
      </c>
      <c r="E28" s="194">
        <v>8924.4500000000007</v>
      </c>
      <c r="F28" s="195"/>
      <c r="G28" s="195"/>
      <c r="H28" s="196"/>
      <c r="I28" s="196"/>
      <c r="J28" s="225">
        <v>29</v>
      </c>
      <c r="K28" s="198">
        <f t="shared" si="0"/>
        <v>7.4358974358974358E-2</v>
      </c>
      <c r="L28" s="199">
        <v>602.16</v>
      </c>
      <c r="M28" s="200">
        <f t="shared" si="1"/>
        <v>0.1206896551724138</v>
      </c>
      <c r="N28" s="198">
        <f t="shared" si="2"/>
        <v>5.3254437869822487E-2</v>
      </c>
      <c r="O28" s="198">
        <f t="shared" si="3"/>
        <v>4.3009709645600296E-2</v>
      </c>
      <c r="P28" s="201">
        <f t="shared" si="4"/>
        <v>1.095505617977528</v>
      </c>
      <c r="Q28" s="230">
        <f t="shared" si="5"/>
        <v>25.068679775280902</v>
      </c>
      <c r="R28" s="230">
        <f t="shared" si="6"/>
        <v>22.88320512820513</v>
      </c>
      <c r="S28" s="230">
        <f t="shared" si="7"/>
        <v>55.714285714285715</v>
      </c>
      <c r="T28" s="203">
        <f t="shared" si="8"/>
        <v>156</v>
      </c>
      <c r="U28" s="204">
        <f t="shared" si="9"/>
        <v>0.43820224719101125</v>
      </c>
      <c r="V28" s="205">
        <f t="shared" si="10"/>
        <v>0.28585290970311894</v>
      </c>
      <c r="W28" s="193">
        <v>246122</v>
      </c>
      <c r="X28" s="193">
        <v>2473</v>
      </c>
      <c r="Y28" s="193">
        <v>200</v>
      </c>
      <c r="Z28" s="206">
        <v>2551.08</v>
      </c>
      <c r="AA28" s="226">
        <v>4818.21</v>
      </c>
      <c r="AB28" s="193">
        <v>1.03</v>
      </c>
      <c r="AC28" s="208">
        <f t="shared" si="11"/>
        <v>0.52946633708368873</v>
      </c>
      <c r="AD28" s="209">
        <f t="shared" ref="AD28:AF28" si="47">X28/W28</f>
        <v>1.0047862442203461E-2</v>
      </c>
      <c r="AE28" s="209">
        <f t="shared" si="47"/>
        <v>8.087343307723413E-2</v>
      </c>
      <c r="AF28" s="202">
        <f t="shared" si="47"/>
        <v>12.7554</v>
      </c>
      <c r="AG28" s="210">
        <v>102</v>
      </c>
      <c r="AH28" s="203">
        <v>186</v>
      </c>
      <c r="AI28" s="211">
        <v>102</v>
      </c>
      <c r="AJ28" s="212">
        <f>AG28*产品成本!$D$2+AH28*产品成本!$D$3+AI28*产品成本!$D$4</f>
        <v>946.05633802816988</v>
      </c>
      <c r="AK28" s="212">
        <f>AG28*产品成本!$E$2+AH28*产品成本!$E$3+AI28*产品成本!$E$4</f>
        <v>74.986884507042163</v>
      </c>
      <c r="AL28" s="212">
        <f>AG28*产品成本!$F$2+AH28*产品成本!$F$3+AI28*产品成本!$F$4</f>
        <v>132.6</v>
      </c>
      <c r="AM28" s="212">
        <f>AG28*产品成本!$G$2+AH28*产品成本!$G$3+AI28*产品成本!$G$4</f>
        <v>1499.58</v>
      </c>
      <c r="AN28" s="212">
        <f t="shared" si="13"/>
        <v>1338.6675</v>
      </c>
      <c r="AO28" s="213">
        <f t="shared" si="14"/>
        <v>3991.8907225352118</v>
      </c>
      <c r="AP28" s="214">
        <v>12</v>
      </c>
      <c r="AQ28" s="214">
        <v>9</v>
      </c>
      <c r="AR28" s="215">
        <v>8</v>
      </c>
      <c r="AS28" s="216">
        <f t="shared" si="15"/>
        <v>684.27272727272725</v>
      </c>
      <c r="AT28" s="216">
        <f>AP28*产品成本!$D$2+AQ28*产品成本!$D$3+AR28*产品成本!$D$4</f>
        <v>70.845070422535272</v>
      </c>
      <c r="AU28" s="220">
        <f>AP28*产品成本!$E$2+AQ28*产品成本!$E$3+AR28*产品成本!$E$4</f>
        <v>5.4983957746478822</v>
      </c>
      <c r="AV28" s="219">
        <f>AP28*产品成本!$F$2+AQ28*产品成本!$F$3+AR28*产品成本!$F$4</f>
        <v>9.8600000000000012</v>
      </c>
      <c r="AW28" s="218"/>
      <c r="AX28" s="219">
        <f t="shared" si="16"/>
        <v>102.64090909090909</v>
      </c>
      <c r="AY28" s="218">
        <f t="shared" si="17"/>
        <v>-20.528181818181821</v>
      </c>
      <c r="AZ28" s="220">
        <f t="shared" si="18"/>
        <v>168.31619346991042</v>
      </c>
      <c r="BA28" s="221">
        <f t="shared" si="19"/>
        <v>3823.5745290653012</v>
      </c>
      <c r="BB28" s="221">
        <f t="shared" si="20"/>
        <v>8924.4500000000007</v>
      </c>
      <c r="BC28" s="221">
        <f t="shared" si="21"/>
        <v>8240.1772727272728</v>
      </c>
      <c r="BD28" s="222">
        <f t="shared" si="22"/>
        <v>1865.5227436619716</v>
      </c>
      <c r="BE28" s="223">
        <f t="shared" si="23"/>
        <v>0.22639352066324353</v>
      </c>
      <c r="BF28" s="229"/>
      <c r="BG28" s="229"/>
      <c r="BH28" s="229" t="s">
        <v>138</v>
      </c>
    </row>
    <row r="29" spans="1:60" ht="23.1" customHeight="1" x14ac:dyDescent="0.15">
      <c r="A29" s="234" t="s">
        <v>139</v>
      </c>
      <c r="B29" s="235" t="s">
        <v>140</v>
      </c>
      <c r="C29" s="192">
        <v>414</v>
      </c>
      <c r="D29" s="193">
        <v>390</v>
      </c>
      <c r="E29" s="194">
        <v>9670.56</v>
      </c>
      <c r="F29" s="195"/>
      <c r="G29" s="195"/>
      <c r="H29" s="196"/>
      <c r="I29" s="196"/>
      <c r="J29" s="225">
        <v>34</v>
      </c>
      <c r="K29" s="198">
        <f t="shared" si="0"/>
        <v>8.2125603864734303E-2</v>
      </c>
      <c r="L29" s="199">
        <v>698.13</v>
      </c>
      <c r="M29" s="200">
        <f t="shared" si="1"/>
        <v>6.1538461538461542E-2</v>
      </c>
      <c r="N29" s="198">
        <f t="shared" si="2"/>
        <v>9.5505617977528087E-2</v>
      </c>
      <c r="O29" s="198">
        <f t="shared" si="3"/>
        <v>8.3602911103765359E-2</v>
      </c>
      <c r="P29" s="201">
        <f t="shared" si="4"/>
        <v>1.0615384615384615</v>
      </c>
      <c r="Q29" s="230">
        <f t="shared" si="5"/>
        <v>24.796307692307693</v>
      </c>
      <c r="R29" s="230">
        <f t="shared" si="6"/>
        <v>23.358840579710144</v>
      </c>
      <c r="S29" s="230">
        <f t="shared" si="7"/>
        <v>59.142857142857146</v>
      </c>
      <c r="T29" s="203">
        <f t="shared" si="8"/>
        <v>154</v>
      </c>
      <c r="U29" s="204">
        <f t="shared" si="9"/>
        <v>0.39487179487179486</v>
      </c>
      <c r="V29" s="205">
        <f t="shared" si="10"/>
        <v>0.25833974454426634</v>
      </c>
      <c r="W29" s="193">
        <v>224859</v>
      </c>
      <c r="X29" s="193">
        <v>2444</v>
      </c>
      <c r="Y29" s="193">
        <v>236</v>
      </c>
      <c r="Z29" s="206">
        <v>2498.29</v>
      </c>
      <c r="AA29" s="226">
        <v>5740.71</v>
      </c>
      <c r="AB29" s="193">
        <v>1.02</v>
      </c>
      <c r="AC29" s="208">
        <f t="shared" si="11"/>
        <v>0.43518833036331744</v>
      </c>
      <c r="AD29" s="209">
        <f t="shared" ref="AD29:AF29" si="48">X29/W29</f>
        <v>1.086903348320503E-2</v>
      </c>
      <c r="AE29" s="209">
        <f t="shared" si="48"/>
        <v>9.6563011456628475E-2</v>
      </c>
      <c r="AF29" s="202">
        <f t="shared" si="48"/>
        <v>10.585974576271186</v>
      </c>
      <c r="AG29" s="210">
        <v>110</v>
      </c>
      <c r="AH29" s="203">
        <v>217</v>
      </c>
      <c r="AI29" s="211">
        <v>87</v>
      </c>
      <c r="AJ29" s="212">
        <f>AG29*产品成本!$D$2+AH29*产品成本!$D$3+AI29*产品成本!$D$4</f>
        <v>978.80281690140919</v>
      </c>
      <c r="AK29" s="212">
        <f>AG29*产品成本!$E$2+AH29*产品成本!$E$3+AI29*产品成本!$E$4</f>
        <v>79.202235211267507</v>
      </c>
      <c r="AL29" s="212">
        <f>AG29*产品成本!$F$2+AH29*产品成本!$F$3+AI29*产品成本!$F$4</f>
        <v>140.76000000000002</v>
      </c>
      <c r="AM29" s="212">
        <f>AG29*产品成本!$G$2+AH29*产品成本!$G$3+AI29*产品成本!$G$4</f>
        <v>1591.4999999999998</v>
      </c>
      <c r="AN29" s="212">
        <f t="shared" si="13"/>
        <v>1450.5839999999998</v>
      </c>
      <c r="AO29" s="213">
        <f t="shared" si="14"/>
        <v>4240.849052112676</v>
      </c>
      <c r="AP29" s="214">
        <v>8</v>
      </c>
      <c r="AQ29" s="214">
        <v>17</v>
      </c>
      <c r="AR29" s="215">
        <v>9</v>
      </c>
      <c r="AS29" s="216">
        <f t="shared" si="15"/>
        <v>793.3295454545455</v>
      </c>
      <c r="AT29" s="216">
        <f>AP29*产品成本!$D$2+AQ29*产品成本!$D$3+AR29*产品成本!$D$4</f>
        <v>82.605633802816968</v>
      </c>
      <c r="AU29" s="220">
        <f>AP29*产品成本!$E$2+AQ29*产品成本!$E$3+AR29*产品成本!$E$4</f>
        <v>6.5562887323943579</v>
      </c>
      <c r="AV29" s="219">
        <f>AP29*产品成本!$F$2+AQ29*产品成本!$F$3+AR29*产品成本!$F$4</f>
        <v>11.56</v>
      </c>
      <c r="AW29" s="218"/>
      <c r="AX29" s="219">
        <f t="shared" si="16"/>
        <v>118.99943181818182</v>
      </c>
      <c r="AY29" s="218">
        <f t="shared" si="17"/>
        <v>-23.799886363636364</v>
      </c>
      <c r="AZ29" s="220">
        <f t="shared" si="18"/>
        <v>195.92146798975679</v>
      </c>
      <c r="BA29" s="221">
        <f t="shared" si="19"/>
        <v>4044.9275841229191</v>
      </c>
      <c r="BB29" s="221">
        <f t="shared" si="20"/>
        <v>9670.56</v>
      </c>
      <c r="BC29" s="221">
        <f t="shared" si="21"/>
        <v>8877.2304545454535</v>
      </c>
      <c r="BD29" s="222">
        <f t="shared" si="22"/>
        <v>2334.0128704225344</v>
      </c>
      <c r="BE29" s="223">
        <f t="shared" si="23"/>
        <v>0.26292128861287339</v>
      </c>
      <c r="BF29" s="227"/>
      <c r="BG29" s="227" t="s">
        <v>141</v>
      </c>
      <c r="BH29" s="227" t="s">
        <v>138</v>
      </c>
    </row>
    <row r="30" spans="1:60" ht="23.1" customHeight="1" x14ac:dyDescent="0.15">
      <c r="A30" s="234" t="s">
        <v>142</v>
      </c>
      <c r="B30" s="235" t="s">
        <v>143</v>
      </c>
      <c r="C30" s="192">
        <v>463</v>
      </c>
      <c r="D30" s="193">
        <v>435</v>
      </c>
      <c r="E30" s="194">
        <v>11347.24</v>
      </c>
      <c r="F30" s="195"/>
      <c r="G30" s="195"/>
      <c r="H30" s="196"/>
      <c r="I30" s="196"/>
      <c r="J30" s="225">
        <v>33</v>
      </c>
      <c r="K30" s="198">
        <f t="shared" si="0"/>
        <v>7.1274298056155511E-2</v>
      </c>
      <c r="L30" s="199">
        <v>661.95</v>
      </c>
      <c r="M30" s="200">
        <f t="shared" si="1"/>
        <v>0.11835748792270531</v>
      </c>
      <c r="N30" s="198">
        <f t="shared" si="2"/>
        <v>0.11538461538461539</v>
      </c>
      <c r="O30" s="198">
        <f t="shared" si="3"/>
        <v>0.17337982495326024</v>
      </c>
      <c r="P30" s="201">
        <f t="shared" si="4"/>
        <v>1.0643678160919541</v>
      </c>
      <c r="Q30" s="230">
        <f t="shared" si="5"/>
        <v>26.085609195402299</v>
      </c>
      <c r="R30" s="230">
        <f t="shared" si="6"/>
        <v>24.508077753779698</v>
      </c>
      <c r="S30" s="230">
        <f t="shared" si="7"/>
        <v>66.142857142857139</v>
      </c>
      <c r="T30" s="203">
        <f t="shared" si="8"/>
        <v>151</v>
      </c>
      <c r="U30" s="204">
        <f t="shared" si="9"/>
        <v>0.3471264367816092</v>
      </c>
      <c r="V30" s="205">
        <f t="shared" si="10"/>
        <v>0.24144373433539784</v>
      </c>
      <c r="W30" s="193">
        <v>250034</v>
      </c>
      <c r="X30" s="193">
        <v>2650</v>
      </c>
      <c r="Y30" s="193">
        <v>284</v>
      </c>
      <c r="Z30" s="206">
        <v>2739.72</v>
      </c>
      <c r="AA30" s="226">
        <v>7513.18</v>
      </c>
      <c r="AB30" s="193">
        <v>1.03</v>
      </c>
      <c r="AC30" s="208">
        <f t="shared" si="11"/>
        <v>0.36465517929824653</v>
      </c>
      <c r="AD30" s="209">
        <f t="shared" ref="AD30:AF30" si="49">X30/W30</f>
        <v>1.0598558596030939E-2</v>
      </c>
      <c r="AE30" s="209">
        <f t="shared" si="49"/>
        <v>0.10716981132075472</v>
      </c>
      <c r="AF30" s="202">
        <f t="shared" si="49"/>
        <v>9.6469014084507041</v>
      </c>
      <c r="AG30" s="210">
        <v>125</v>
      </c>
      <c r="AH30" s="203">
        <v>229</v>
      </c>
      <c r="AI30" s="211">
        <v>109</v>
      </c>
      <c r="AJ30" s="212">
        <f>AG30*产品成本!$D$2+AH30*产品成本!$D$3+AI30*产品成本!$D$4</f>
        <v>1108.6619718309867</v>
      </c>
      <c r="AK30" s="212">
        <f>AG30*产品成本!$E$2+AH30*产品成本!$E$3+AI30*产品成本!$E$4</f>
        <v>88.739822535211161</v>
      </c>
      <c r="AL30" s="212">
        <f>AG30*产品成本!$F$2+AH30*产品成本!$F$3+AI30*产品成本!$F$4</f>
        <v>157.42000000000002</v>
      </c>
      <c r="AM30" s="212">
        <f>AG30*产品成本!$G$2+AH30*产品成本!$G$3+AI30*产品成本!$G$4</f>
        <v>1779.4499999999998</v>
      </c>
      <c r="AN30" s="212">
        <f t="shared" si="13"/>
        <v>1702.086</v>
      </c>
      <c r="AO30" s="213">
        <f t="shared" si="14"/>
        <v>4836.3577943661976</v>
      </c>
      <c r="AP30" s="214">
        <v>11</v>
      </c>
      <c r="AQ30" s="214">
        <v>17</v>
      </c>
      <c r="AR30" s="215">
        <v>5</v>
      </c>
      <c r="AS30" s="216">
        <f t="shared" si="15"/>
        <v>752.21590909090912</v>
      </c>
      <c r="AT30" s="216">
        <f>AP30*产品成本!$D$2+AQ30*产品成本!$D$3+AR30*产品成本!$D$4</f>
        <v>75.704225352112729</v>
      </c>
      <c r="AU30" s="220">
        <f>AP30*产品成本!$E$2+AQ30*产品成本!$E$3+AR30*产品成本!$E$4</f>
        <v>6.2371098591549208</v>
      </c>
      <c r="AV30" s="219">
        <f>AP30*产品成本!$F$2+AQ30*产品成本!$F$3+AR30*产品成本!$F$4</f>
        <v>11.219999999999999</v>
      </c>
      <c r="AW30" s="218"/>
      <c r="AX30" s="219">
        <f t="shared" si="16"/>
        <v>112.83238636363636</v>
      </c>
      <c r="AY30" s="218">
        <f t="shared" si="17"/>
        <v>-22.566477272727273</v>
      </c>
      <c r="AZ30" s="220">
        <f t="shared" si="18"/>
        <v>183.42724430217675</v>
      </c>
      <c r="BA30" s="221">
        <f t="shared" si="19"/>
        <v>4652.9305500640212</v>
      </c>
      <c r="BB30" s="221">
        <f t="shared" si="20"/>
        <v>11347.24</v>
      </c>
      <c r="BC30" s="221">
        <f t="shared" si="21"/>
        <v>10595.02409090909</v>
      </c>
      <c r="BD30" s="222">
        <f t="shared" si="22"/>
        <v>3202.3735408450689</v>
      </c>
      <c r="BE30" s="223">
        <f t="shared" si="23"/>
        <v>0.30225259644221292</v>
      </c>
      <c r="BF30" s="229"/>
      <c r="BG30" s="229"/>
      <c r="BH30" s="229"/>
    </row>
    <row r="31" spans="1:60" ht="23.1" customHeight="1" x14ac:dyDescent="0.15">
      <c r="A31" s="234" t="s">
        <v>144</v>
      </c>
      <c r="B31" s="235" t="s">
        <v>145</v>
      </c>
      <c r="C31" s="192">
        <v>373</v>
      </c>
      <c r="D31" s="193">
        <v>360</v>
      </c>
      <c r="E31" s="194">
        <v>9134.48</v>
      </c>
      <c r="F31" s="195">
        <v>29</v>
      </c>
      <c r="G31" s="195">
        <v>29</v>
      </c>
      <c r="H31" s="196">
        <v>721.31</v>
      </c>
      <c r="I31" s="196">
        <v>63.1</v>
      </c>
      <c r="J31" s="225">
        <v>23</v>
      </c>
      <c r="K31" s="198">
        <f t="shared" si="0"/>
        <v>6.1662198391420911E-2</v>
      </c>
      <c r="L31" s="199">
        <v>487.61</v>
      </c>
      <c r="M31" s="200">
        <f t="shared" si="1"/>
        <v>-0.19438444924406048</v>
      </c>
      <c r="N31" s="198">
        <f t="shared" si="2"/>
        <v>-0.17241379310344829</v>
      </c>
      <c r="O31" s="198">
        <f t="shared" si="3"/>
        <v>-0.19500424772896319</v>
      </c>
      <c r="P31" s="201">
        <f t="shared" si="4"/>
        <v>1.0361111111111112</v>
      </c>
      <c r="Q31" s="230">
        <f t="shared" si="5"/>
        <v>25.373555555555555</v>
      </c>
      <c r="R31" s="230">
        <f t="shared" si="6"/>
        <v>24.489222520107237</v>
      </c>
      <c r="S31" s="230">
        <f t="shared" si="7"/>
        <v>53.285714285714285</v>
      </c>
      <c r="T31" s="203">
        <f t="shared" si="8"/>
        <v>147</v>
      </c>
      <c r="U31" s="204">
        <f t="shared" si="9"/>
        <v>0.40833333333333333</v>
      </c>
      <c r="V31" s="205">
        <f t="shared" si="10"/>
        <v>0.27482036911693702</v>
      </c>
      <c r="W31" s="193">
        <v>329751</v>
      </c>
      <c r="X31" s="193">
        <v>2477</v>
      </c>
      <c r="Y31" s="193">
        <v>213</v>
      </c>
      <c r="Z31" s="206">
        <v>2493</v>
      </c>
      <c r="AA31" s="226">
        <v>5394.2</v>
      </c>
      <c r="AB31" s="193">
        <v>1.01</v>
      </c>
      <c r="AC31" s="208">
        <f t="shared" si="11"/>
        <v>0.46216306403173779</v>
      </c>
      <c r="AD31" s="209">
        <f t="shared" ref="AD31:AF31" si="50">X31/W31</f>
        <v>7.5117285466912917E-3</v>
      </c>
      <c r="AE31" s="209">
        <f t="shared" si="50"/>
        <v>8.5991118288251914E-2</v>
      </c>
      <c r="AF31" s="202">
        <f t="shared" si="50"/>
        <v>11.704225352112676</v>
      </c>
      <c r="AG31" s="210">
        <v>84</v>
      </c>
      <c r="AH31" s="203">
        <v>170</v>
      </c>
      <c r="AI31" s="211">
        <v>119</v>
      </c>
      <c r="AJ31" s="212">
        <f>AG31*产品成本!$D$2+AH31*产品成本!$D$3+AI31*产品成本!$D$4</f>
        <v>930.49295774647953</v>
      </c>
      <c r="AK31" s="212">
        <f>AG31*产品成本!$E$2+AH31*产品成本!$E$3+AI31*产品成本!$E$4</f>
        <v>72.347315492957662</v>
      </c>
      <c r="AL31" s="212">
        <f>AG31*产品成本!$F$2+AH31*产品成本!$F$3+AI31*产品成本!$F$4</f>
        <v>126.82000000000002</v>
      </c>
      <c r="AM31" s="212">
        <f>AG31*产品成本!$G$2+AH31*产品成本!$G$3+AI31*产品成本!$G$4</f>
        <v>1437.06</v>
      </c>
      <c r="AN31" s="212">
        <f t="shared" si="13"/>
        <v>1360.7069999999999</v>
      </c>
      <c r="AO31" s="213">
        <f t="shared" si="14"/>
        <v>3927.427273239437</v>
      </c>
      <c r="AP31" s="214">
        <v>5</v>
      </c>
      <c r="AQ31" s="214">
        <v>12</v>
      </c>
      <c r="AR31" s="215">
        <v>6</v>
      </c>
      <c r="AS31" s="216">
        <f t="shared" si="15"/>
        <v>554.10227272727275</v>
      </c>
      <c r="AT31" s="216">
        <f>AP31*产品成本!$D$2+AQ31*产品成本!$D$3+AR31*产品成本!$D$4</f>
        <v>55.774647887323994</v>
      </c>
      <c r="AU31" s="220">
        <f>AP31*产品成本!$E$2+AQ31*产品成本!$E$3+AR31*产品成本!$E$4</f>
        <v>4.4415169014084448</v>
      </c>
      <c r="AV31" s="219">
        <f>AP31*产品成本!$F$2+AQ31*产品成本!$F$3+AR31*产品成本!$F$4</f>
        <v>7.82</v>
      </c>
      <c r="AW31" s="218"/>
      <c r="AX31" s="219">
        <f t="shared" si="16"/>
        <v>83.115340909090904</v>
      </c>
      <c r="AY31" s="218">
        <f t="shared" si="17"/>
        <v>-16.62306818181818</v>
      </c>
      <c r="AZ31" s="220">
        <f t="shared" si="18"/>
        <v>134.52843751600514</v>
      </c>
      <c r="BA31" s="221">
        <f t="shared" si="19"/>
        <v>3792.8988357234321</v>
      </c>
      <c r="BB31" s="221">
        <f t="shared" si="20"/>
        <v>9071.3799999999992</v>
      </c>
      <c r="BC31" s="221">
        <f t="shared" si="21"/>
        <v>8517.2777272727271</v>
      </c>
      <c r="BD31" s="222">
        <f t="shared" si="22"/>
        <v>2231.3788915492951</v>
      </c>
      <c r="BE31" s="223">
        <f t="shared" si="23"/>
        <v>0.26198263846725511</v>
      </c>
      <c r="BF31" s="227"/>
      <c r="BG31" s="227" t="s">
        <v>146</v>
      </c>
      <c r="BH31" s="227" t="s">
        <v>94</v>
      </c>
    </row>
    <row r="32" spans="1:60" ht="23.1" customHeight="1" x14ac:dyDescent="0.15">
      <c r="A32" s="234" t="s">
        <v>147</v>
      </c>
      <c r="B32" s="235" t="s">
        <v>148</v>
      </c>
      <c r="C32" s="192">
        <v>415</v>
      </c>
      <c r="D32" s="193">
        <v>392</v>
      </c>
      <c r="E32" s="194">
        <v>10098.35</v>
      </c>
      <c r="F32" s="195">
        <v>96</v>
      </c>
      <c r="G32" s="195">
        <v>90</v>
      </c>
      <c r="H32" s="196">
        <v>2303.2399999999998</v>
      </c>
      <c r="I32" s="196">
        <v>288.75</v>
      </c>
      <c r="J32" s="225">
        <v>27</v>
      </c>
      <c r="K32" s="198">
        <f t="shared" si="0"/>
        <v>6.5060240963855417E-2</v>
      </c>
      <c r="L32" s="199">
        <v>574.62</v>
      </c>
      <c r="M32" s="200">
        <f t="shared" si="1"/>
        <v>0.1126005361930295</v>
      </c>
      <c r="N32" s="198">
        <f t="shared" si="2"/>
        <v>8.8888888888888892E-2</v>
      </c>
      <c r="O32" s="198">
        <f t="shared" si="3"/>
        <v>0.10551996391693899</v>
      </c>
      <c r="P32" s="201">
        <f t="shared" si="4"/>
        <v>1.0586734693877551</v>
      </c>
      <c r="Q32" s="230">
        <f t="shared" si="5"/>
        <v>25.761096938775513</v>
      </c>
      <c r="R32" s="230">
        <f t="shared" si="6"/>
        <v>24.333373493975905</v>
      </c>
      <c r="S32" s="230">
        <f t="shared" si="7"/>
        <v>59.285714285714285</v>
      </c>
      <c r="T32" s="203">
        <f t="shared" si="8"/>
        <v>150</v>
      </c>
      <c r="U32" s="204">
        <f t="shared" si="9"/>
        <v>0.38265306122448978</v>
      </c>
      <c r="V32" s="205">
        <f t="shared" si="10"/>
        <v>0.28468948784863807</v>
      </c>
      <c r="W32" s="193">
        <v>550872</v>
      </c>
      <c r="X32" s="193">
        <v>2687</v>
      </c>
      <c r="Y32" s="193">
        <v>242</v>
      </c>
      <c r="Z32" s="206">
        <v>2792.69</v>
      </c>
      <c r="AA32" s="226">
        <v>6031.52</v>
      </c>
      <c r="AB32" s="193">
        <v>1.04</v>
      </c>
      <c r="AC32" s="208">
        <f t="shared" si="11"/>
        <v>0.46301595617688407</v>
      </c>
      <c r="AD32" s="209">
        <f t="shared" ref="AD32:AF32" si="51">X32/W32</f>
        <v>4.8777211403011949E-3</v>
      </c>
      <c r="AE32" s="209">
        <f t="shared" si="51"/>
        <v>9.0063267584666915E-2</v>
      </c>
      <c r="AF32" s="202">
        <f t="shared" si="51"/>
        <v>11.54004132231405</v>
      </c>
      <c r="AG32" s="210">
        <v>120</v>
      </c>
      <c r="AH32" s="203">
        <v>178</v>
      </c>
      <c r="AI32" s="211">
        <v>117</v>
      </c>
      <c r="AJ32" s="212">
        <f>AG32*产品成本!$D$2+AH32*产品成本!$D$3+AI32*产品成本!$D$4</f>
        <v>1016.8309859154938</v>
      </c>
      <c r="AK32" s="212">
        <f>AG32*产品成本!$E$2+AH32*产品成本!$E$3+AI32*产品成本!$E$4</f>
        <v>79.719490140844982</v>
      </c>
      <c r="AL32" s="212">
        <f>AG32*产品成本!$F$2+AH32*产品成本!$F$3+AI32*产品成本!$F$4</f>
        <v>141.10000000000002</v>
      </c>
      <c r="AM32" s="212">
        <f>AG32*产品成本!$G$2+AH32*产品成本!$G$3+AI32*产品成本!$G$4</f>
        <v>1593.3</v>
      </c>
      <c r="AN32" s="212">
        <f t="shared" si="13"/>
        <v>1471.44</v>
      </c>
      <c r="AO32" s="213">
        <f t="shared" si="14"/>
        <v>4302.3904760563382</v>
      </c>
      <c r="AP32" s="214">
        <v>5</v>
      </c>
      <c r="AQ32" s="214">
        <v>13</v>
      </c>
      <c r="AR32" s="215">
        <v>9</v>
      </c>
      <c r="AS32" s="216">
        <f t="shared" si="15"/>
        <v>652.97727272727275</v>
      </c>
      <c r="AT32" s="216">
        <f>AP32*产品成本!$D$2+AQ32*产品成本!$D$3+AR32*产品成本!$D$4</f>
        <v>67.816901408450761</v>
      </c>
      <c r="AU32" s="220">
        <f>AP32*产品成本!$E$2+AQ32*产品成本!$E$3+AR32*产品成本!$E$4</f>
        <v>5.264307042253515</v>
      </c>
      <c r="AV32" s="219">
        <f>AP32*产品成本!$F$2+AQ32*产品成本!$F$3+AR32*产品成本!$F$4</f>
        <v>9.18</v>
      </c>
      <c r="AW32" s="218"/>
      <c r="AX32" s="219">
        <f t="shared" si="16"/>
        <v>97.946590909090915</v>
      </c>
      <c r="AY32" s="218">
        <f t="shared" si="17"/>
        <v>-19.589318181818186</v>
      </c>
      <c r="AZ32" s="220">
        <f t="shared" si="18"/>
        <v>160.61848117797703</v>
      </c>
      <c r="BA32" s="221">
        <f t="shared" si="19"/>
        <v>4141.7719948783615</v>
      </c>
      <c r="BB32" s="221">
        <f t="shared" si="20"/>
        <v>9809.6</v>
      </c>
      <c r="BC32" s="221">
        <f t="shared" si="21"/>
        <v>9156.6227272727283</v>
      </c>
      <c r="BD32" s="222">
        <f t="shared" si="22"/>
        <v>2222.1607323943667</v>
      </c>
      <c r="BE32" s="223">
        <f t="shared" si="23"/>
        <v>0.242683443293533</v>
      </c>
      <c r="BF32" s="229"/>
      <c r="BG32" s="229" t="s">
        <v>149</v>
      </c>
      <c r="BH32" s="229"/>
    </row>
    <row r="33" spans="1:60" ht="23.1" customHeight="1" x14ac:dyDescent="0.15">
      <c r="A33" s="234" t="s">
        <v>150</v>
      </c>
      <c r="B33" s="235" t="s">
        <v>151</v>
      </c>
      <c r="C33" s="192">
        <v>400</v>
      </c>
      <c r="D33" s="193">
        <v>382</v>
      </c>
      <c r="E33" s="194">
        <v>9152.4699999999993</v>
      </c>
      <c r="F33" s="195">
        <v>27</v>
      </c>
      <c r="G33" s="195">
        <v>26</v>
      </c>
      <c r="H33" s="196">
        <v>611.41</v>
      </c>
      <c r="I33" s="196">
        <v>57.15</v>
      </c>
      <c r="J33" s="225">
        <v>39</v>
      </c>
      <c r="K33" s="198">
        <f t="shared" si="0"/>
        <v>9.7500000000000003E-2</v>
      </c>
      <c r="L33" s="199">
        <v>806.14</v>
      </c>
      <c r="M33" s="200">
        <f t="shared" si="1"/>
        <v>-3.614457831325301E-2</v>
      </c>
      <c r="N33" s="198">
        <f t="shared" si="2"/>
        <v>-2.5510204081632654E-2</v>
      </c>
      <c r="O33" s="198">
        <f t="shared" si="3"/>
        <v>-9.366678714839563E-2</v>
      </c>
      <c r="P33" s="201">
        <f t="shared" si="4"/>
        <v>1.0471204188481675</v>
      </c>
      <c r="Q33" s="230">
        <f t="shared" si="5"/>
        <v>23.959345549738217</v>
      </c>
      <c r="R33" s="230">
        <f t="shared" si="6"/>
        <v>22.881174999999999</v>
      </c>
      <c r="S33" s="230">
        <f t="shared" si="7"/>
        <v>57.142857142857146</v>
      </c>
      <c r="T33" s="203">
        <f t="shared" si="8"/>
        <v>144</v>
      </c>
      <c r="U33" s="204">
        <f t="shared" si="9"/>
        <v>0.37696335078534032</v>
      </c>
      <c r="V33" s="205">
        <f t="shared" si="10"/>
        <v>0.31048165430133301</v>
      </c>
      <c r="W33" s="193">
        <v>261666</v>
      </c>
      <c r="X33" s="193">
        <v>2721</v>
      </c>
      <c r="Y33" s="193">
        <v>238</v>
      </c>
      <c r="Z33" s="206">
        <v>2823.93</v>
      </c>
      <c r="AA33" s="226">
        <v>5786.5</v>
      </c>
      <c r="AB33" s="193">
        <v>1.04</v>
      </c>
      <c r="AC33" s="208">
        <f t="shared" si="11"/>
        <v>0.48802039229240468</v>
      </c>
      <c r="AD33" s="209">
        <f t="shared" ref="AD33:AF33" si="52">X33/W33</f>
        <v>1.0398752608286901E-2</v>
      </c>
      <c r="AE33" s="209">
        <f t="shared" si="52"/>
        <v>8.7467842704887902E-2</v>
      </c>
      <c r="AF33" s="202">
        <f t="shared" si="52"/>
        <v>11.865252100840335</v>
      </c>
      <c r="AG33" s="210">
        <v>117</v>
      </c>
      <c r="AH33" s="203">
        <v>172</v>
      </c>
      <c r="AI33" s="211">
        <v>111</v>
      </c>
      <c r="AJ33" s="212">
        <f>AG33*产品成本!$D$2+AH33*产品成本!$D$3+AI33*产品成本!$D$4</f>
        <v>977.95774647887401</v>
      </c>
      <c r="AK33" s="212">
        <f>AG33*产品成本!$E$2+AH33*产品成本!$E$3+AI33*产品成本!$E$4</f>
        <v>76.781928169013995</v>
      </c>
      <c r="AL33" s="212">
        <f>AG33*产品成本!$F$2+AH33*产品成本!$F$3+AI33*产品成本!$F$4</f>
        <v>136</v>
      </c>
      <c r="AM33" s="212">
        <f>AG33*产品成本!$G$2+AH33*产品成本!$G$3+AI33*产品成本!$G$4</f>
        <v>1535.4299999999998</v>
      </c>
      <c r="AN33" s="212">
        <f t="shared" si="13"/>
        <v>1364.298</v>
      </c>
      <c r="AO33" s="213">
        <f t="shared" si="14"/>
        <v>4090.4676746478881</v>
      </c>
      <c r="AP33" s="214">
        <v>12</v>
      </c>
      <c r="AQ33" s="214">
        <v>16</v>
      </c>
      <c r="AR33" s="215">
        <v>11</v>
      </c>
      <c r="AS33" s="216">
        <f t="shared" si="15"/>
        <v>916.06818181818176</v>
      </c>
      <c r="AT33" s="216">
        <f>AP33*产品成本!$D$2+AQ33*产品成本!$D$3+AR33*产品成本!$D$4</f>
        <v>95.563380281690215</v>
      </c>
      <c r="AU33" s="220">
        <f>AP33*产品成本!$E$2+AQ33*产品成本!$E$3+AR33*产品成本!$E$4</f>
        <v>7.4779267605633724</v>
      </c>
      <c r="AV33" s="219">
        <f>AP33*产品成本!$F$2+AQ33*产品成本!$F$3+AR33*产品成本!$F$4</f>
        <v>13.26</v>
      </c>
      <c r="AW33" s="218"/>
      <c r="AX33" s="219">
        <f t="shared" si="16"/>
        <v>137.41022727272727</v>
      </c>
      <c r="AY33" s="218">
        <f t="shared" si="17"/>
        <v>-27.482045454545457</v>
      </c>
      <c r="AZ33" s="220">
        <f t="shared" si="18"/>
        <v>226.22948886043542</v>
      </c>
      <c r="BA33" s="221">
        <f t="shared" si="19"/>
        <v>3864.2381857874525</v>
      </c>
      <c r="BB33" s="221">
        <f t="shared" si="20"/>
        <v>9095.32</v>
      </c>
      <c r="BC33" s="221">
        <f t="shared" si="21"/>
        <v>8179.2518181818177</v>
      </c>
      <c r="BD33" s="222">
        <f t="shared" si="22"/>
        <v>1491.0836323943654</v>
      </c>
      <c r="BE33" s="223">
        <f t="shared" si="23"/>
        <v>0.18230073673484495</v>
      </c>
      <c r="BF33" s="227"/>
      <c r="BG33" s="227" t="s">
        <v>152</v>
      </c>
      <c r="BH33" s="227" t="s">
        <v>153</v>
      </c>
    </row>
    <row r="34" spans="1:60" ht="23.1" customHeight="1" x14ac:dyDescent="0.15">
      <c r="A34" s="234" t="s">
        <v>154</v>
      </c>
      <c r="B34" s="235" t="s">
        <v>155</v>
      </c>
      <c r="C34" s="192">
        <v>429</v>
      </c>
      <c r="D34" s="193">
        <v>395</v>
      </c>
      <c r="E34" s="196">
        <v>10442.620000000001</v>
      </c>
      <c r="F34" s="195">
        <v>49</v>
      </c>
      <c r="G34" s="195">
        <v>41</v>
      </c>
      <c r="H34" s="196">
        <v>1233.71</v>
      </c>
      <c r="I34" s="196">
        <v>75.81</v>
      </c>
      <c r="J34" s="225">
        <v>43</v>
      </c>
      <c r="K34" s="198">
        <f t="shared" si="0"/>
        <v>0.10023310023310024</v>
      </c>
      <c r="L34" s="199">
        <v>911.89</v>
      </c>
      <c r="M34" s="200">
        <f t="shared" si="1"/>
        <v>7.2499999999999995E-2</v>
      </c>
      <c r="N34" s="198">
        <f t="shared" si="2"/>
        <v>3.4031413612565446E-2</v>
      </c>
      <c r="O34" s="198">
        <f t="shared" si="3"/>
        <v>0.1409619479768851</v>
      </c>
      <c r="P34" s="201">
        <f t="shared" si="4"/>
        <v>1.0860759493670886</v>
      </c>
      <c r="Q34" s="230">
        <f t="shared" si="5"/>
        <v>26.43701265822785</v>
      </c>
      <c r="R34" s="230">
        <f t="shared" si="6"/>
        <v>24.341771561771562</v>
      </c>
      <c r="S34" s="230">
        <f t="shared" si="7"/>
        <v>61.285714285714285</v>
      </c>
      <c r="T34" s="203">
        <f t="shared" si="8"/>
        <v>141</v>
      </c>
      <c r="U34" s="204">
        <f t="shared" si="9"/>
        <v>0.35696202531645571</v>
      </c>
      <c r="V34" s="205">
        <f t="shared" si="10"/>
        <v>0.25956682914030449</v>
      </c>
      <c r="W34" s="193">
        <v>238222</v>
      </c>
      <c r="X34" s="193">
        <v>2771</v>
      </c>
      <c r="Y34" s="193">
        <v>254</v>
      </c>
      <c r="Z34" s="206">
        <v>2690.88</v>
      </c>
      <c r="AA34" s="226">
        <v>6334.77</v>
      </c>
      <c r="AB34" s="193">
        <v>0.97</v>
      </c>
      <c r="AC34" s="208">
        <f t="shared" si="11"/>
        <v>0.42477943161314458</v>
      </c>
      <c r="AD34" s="209">
        <f t="shared" ref="AD34:AF34" si="53">X34/W34</f>
        <v>1.1632007119409626E-2</v>
      </c>
      <c r="AE34" s="209">
        <f t="shared" si="53"/>
        <v>9.1663659328762179E-2</v>
      </c>
      <c r="AF34" s="202">
        <f t="shared" si="53"/>
        <v>10.594015748031497</v>
      </c>
      <c r="AG34" s="210">
        <v>108</v>
      </c>
      <c r="AH34" s="203">
        <v>221</v>
      </c>
      <c r="AI34" s="211">
        <v>100</v>
      </c>
      <c r="AJ34" s="212">
        <f>AG34*产品成本!$D$2+AH34*产品成本!$D$3+AI34*产品成本!$D$4</f>
        <v>1026.0563380281699</v>
      </c>
      <c r="AK34" s="212">
        <f>AG34*产品成本!$E$2+AH34*产品成本!$E$3+AI34*产品成本!$E$4</f>
        <v>82.356181690140744</v>
      </c>
      <c r="AL34" s="212">
        <f>AG34*产品成本!$F$2+AH34*产品成本!$F$3+AI34*产品成本!$F$4</f>
        <v>145.86000000000001</v>
      </c>
      <c r="AM34" s="212">
        <f>AG34*产品成本!$G$2+AH34*产品成本!$G$3+AI34*产品成本!$G$4</f>
        <v>1650.42</v>
      </c>
      <c r="AN34" s="212">
        <f t="shared" si="13"/>
        <v>1555.0215000000001</v>
      </c>
      <c r="AO34" s="213">
        <f t="shared" si="14"/>
        <v>4459.7140197183107</v>
      </c>
      <c r="AP34" s="214">
        <v>7</v>
      </c>
      <c r="AQ34" s="214">
        <v>20</v>
      </c>
      <c r="AR34" s="215">
        <v>16</v>
      </c>
      <c r="AS34" s="216">
        <f t="shared" si="15"/>
        <v>1036.2386363636363</v>
      </c>
      <c r="AT34" s="216">
        <f>AP34*产品成本!$D$2+AQ34*产品成本!$D$3+AR34*产品成本!$D$4</f>
        <v>110.00000000000009</v>
      </c>
      <c r="AU34" s="220">
        <f>AP34*产品成本!$E$2+AQ34*产品成本!$E$3+AR34*产品成本!$E$4</f>
        <v>8.4310521126760474</v>
      </c>
      <c r="AV34" s="219">
        <f>AP34*产品成本!$F$2+AQ34*产品成本!$F$3+AR34*产品成本!$F$4</f>
        <v>14.620000000000001</v>
      </c>
      <c r="AW34" s="218"/>
      <c r="AX34" s="219">
        <f t="shared" si="16"/>
        <v>155.43579545454543</v>
      </c>
      <c r="AY34" s="218">
        <f t="shared" si="17"/>
        <v>-31.087159090909086</v>
      </c>
      <c r="AZ34" s="220">
        <f t="shared" si="18"/>
        <v>257.39968847631246</v>
      </c>
      <c r="BA34" s="221">
        <f t="shared" si="19"/>
        <v>4202.3143312419979</v>
      </c>
      <c r="BB34" s="221">
        <f t="shared" si="20"/>
        <v>10366.810000000001</v>
      </c>
      <c r="BC34" s="221">
        <f t="shared" si="21"/>
        <v>9330.5713636363653</v>
      </c>
      <c r="BD34" s="222">
        <f t="shared" si="22"/>
        <v>2437.3770323943672</v>
      </c>
      <c r="BE34" s="223">
        <f t="shared" si="23"/>
        <v>0.26122484223136133</v>
      </c>
      <c r="BF34" s="229"/>
      <c r="BG34" s="229"/>
      <c r="BH34" s="229"/>
    </row>
    <row r="35" spans="1:60" ht="23.1" customHeight="1" x14ac:dyDescent="0.15">
      <c r="A35" s="234" t="s">
        <v>156</v>
      </c>
      <c r="B35" s="235" t="s">
        <v>157</v>
      </c>
      <c r="C35" s="192">
        <v>411</v>
      </c>
      <c r="D35" s="193">
        <v>383</v>
      </c>
      <c r="E35" s="196">
        <v>10097.4</v>
      </c>
      <c r="F35" s="195">
        <v>59</v>
      </c>
      <c r="G35" s="195">
        <v>59</v>
      </c>
      <c r="H35" s="196">
        <v>1913.42</v>
      </c>
      <c r="I35" s="196">
        <v>245.79</v>
      </c>
      <c r="J35" s="225">
        <v>16</v>
      </c>
      <c r="K35" s="198">
        <f t="shared" si="0"/>
        <v>3.8929440389294405E-2</v>
      </c>
      <c r="L35" s="199">
        <v>317.88</v>
      </c>
      <c r="M35" s="200">
        <f t="shared" si="1"/>
        <v>-4.195804195804196E-2</v>
      </c>
      <c r="N35" s="198">
        <f t="shared" si="2"/>
        <v>-3.0379746835443037E-2</v>
      </c>
      <c r="O35" s="198">
        <f t="shared" si="3"/>
        <v>-3.3058753454592922E-2</v>
      </c>
      <c r="P35" s="201">
        <f t="shared" si="4"/>
        <v>1.073107049608355</v>
      </c>
      <c r="Q35" s="230">
        <f t="shared" si="5"/>
        <v>26.36396866840731</v>
      </c>
      <c r="R35" s="230">
        <f t="shared" si="6"/>
        <v>24.567883211678833</v>
      </c>
      <c r="S35" s="230">
        <f t="shared" si="7"/>
        <v>58.714285714285715</v>
      </c>
      <c r="T35" s="203">
        <f t="shared" si="8"/>
        <v>143</v>
      </c>
      <c r="U35" s="204">
        <f t="shared" si="9"/>
        <v>0.37336814621409919</v>
      </c>
      <c r="V35" s="205">
        <f t="shared" si="10"/>
        <v>0.29860398452638709</v>
      </c>
      <c r="W35" s="193">
        <v>309763</v>
      </c>
      <c r="X35" s="193">
        <v>3025</v>
      </c>
      <c r="Y35" s="193">
        <v>240</v>
      </c>
      <c r="Z35" s="206">
        <v>2941.73</v>
      </c>
      <c r="AA35" s="226">
        <v>6135.47</v>
      </c>
      <c r="AB35" s="193">
        <v>0.97</v>
      </c>
      <c r="AC35" s="208">
        <f t="shared" si="11"/>
        <v>0.47946286103591085</v>
      </c>
      <c r="AD35" s="209">
        <f t="shared" ref="AD35:AF35" si="54">X35/W35</f>
        <v>9.7655304216449357E-3</v>
      </c>
      <c r="AE35" s="209">
        <f t="shared" si="54"/>
        <v>7.9338842975206617E-2</v>
      </c>
      <c r="AF35" s="202">
        <f t="shared" si="54"/>
        <v>12.257208333333333</v>
      </c>
      <c r="AG35" s="210">
        <v>90</v>
      </c>
      <c r="AH35" s="203">
        <v>194</v>
      </c>
      <c r="AI35" s="211">
        <v>150</v>
      </c>
      <c r="AJ35" s="212">
        <f>AG35*产品成本!$D$2+AH35*产品成本!$D$3+AI35*产品成本!$D$4</f>
        <v>1096.4788732394375</v>
      </c>
      <c r="AK35" s="212">
        <f>AG35*产品成本!$E$2+AH35*产品成本!$E$3+AI35*产品成本!$E$4</f>
        <v>84.525921126760466</v>
      </c>
      <c r="AL35" s="212">
        <f>AG35*产品成本!$F$2+AH35*产品成本!$F$3+AI35*产品成本!$F$4</f>
        <v>147.56</v>
      </c>
      <c r="AM35" s="212">
        <f>AG35*产品成本!$G$2+AH35*产品成本!$G$3+AI35*产品成本!$G$4</f>
        <v>1673.7</v>
      </c>
      <c r="AN35" s="212">
        <f t="shared" si="13"/>
        <v>1477.7414999999999</v>
      </c>
      <c r="AO35" s="213">
        <f t="shared" si="14"/>
        <v>4480.0062943661978</v>
      </c>
      <c r="AP35" s="214">
        <v>9</v>
      </c>
      <c r="AQ35" s="214">
        <v>5</v>
      </c>
      <c r="AR35" s="215">
        <v>2</v>
      </c>
      <c r="AS35" s="216">
        <f t="shared" si="15"/>
        <v>361.22727272727275</v>
      </c>
      <c r="AT35" s="216">
        <f>AP35*产品成本!$D$2+AQ35*产品成本!$D$3+AR35*产品成本!$D$4</f>
        <v>36.19718309859158</v>
      </c>
      <c r="AU35" s="220">
        <f>AP35*产品成本!$E$2+AQ35*产品成本!$E$3+AR35*产品成本!$E$4</f>
        <v>2.946414084507039</v>
      </c>
      <c r="AV35" s="219">
        <f>AP35*产品成本!$F$2+AQ35*产品成本!$F$3+AR35*产品成本!$F$4</f>
        <v>5.4399999999999995</v>
      </c>
      <c r="AW35" s="218"/>
      <c r="AX35" s="219">
        <f t="shared" si="16"/>
        <v>54.184090909090912</v>
      </c>
      <c r="AY35" s="218">
        <f t="shared" si="17"/>
        <v>-10.836818181818183</v>
      </c>
      <c r="AZ35" s="220">
        <f t="shared" si="18"/>
        <v>87.930869910371342</v>
      </c>
      <c r="BA35" s="221">
        <f t="shared" si="19"/>
        <v>4392.0754244558266</v>
      </c>
      <c r="BB35" s="221">
        <f t="shared" si="20"/>
        <v>9851.6099999999988</v>
      </c>
      <c r="BC35" s="221">
        <f t="shared" si="21"/>
        <v>9490.3827272727267</v>
      </c>
      <c r="BD35" s="222">
        <f t="shared" si="22"/>
        <v>2156.5773028169001</v>
      </c>
      <c r="BE35" s="223">
        <f t="shared" si="23"/>
        <v>0.2272381804602564</v>
      </c>
      <c r="BF35" s="227"/>
      <c r="BG35" s="227"/>
      <c r="BH35" s="227"/>
    </row>
    <row r="36" spans="1:60" ht="23.1" customHeight="1" x14ac:dyDescent="0.15">
      <c r="A36" s="234" t="s">
        <v>158</v>
      </c>
      <c r="B36" s="235" t="s">
        <v>159</v>
      </c>
      <c r="C36" s="192">
        <v>403</v>
      </c>
      <c r="D36" s="193">
        <v>379</v>
      </c>
      <c r="E36" s="196">
        <v>9785.09</v>
      </c>
      <c r="F36" s="195">
        <v>41</v>
      </c>
      <c r="G36" s="195">
        <v>39</v>
      </c>
      <c r="H36" s="196">
        <v>1009.39</v>
      </c>
      <c r="I36" s="196">
        <v>91.31</v>
      </c>
      <c r="J36" s="225">
        <v>29</v>
      </c>
      <c r="K36" s="198">
        <f t="shared" si="0"/>
        <v>7.1960297766749379E-2</v>
      </c>
      <c r="L36" s="199">
        <v>595.28</v>
      </c>
      <c r="M36" s="200">
        <f t="shared" si="1"/>
        <v>-1.9464720194647202E-2</v>
      </c>
      <c r="N36" s="198">
        <f t="shared" si="2"/>
        <v>-1.0443864229765013E-2</v>
      </c>
      <c r="O36" s="198">
        <f t="shared" si="3"/>
        <v>-3.0929744290609414E-2</v>
      </c>
      <c r="P36" s="201">
        <f t="shared" si="4"/>
        <v>1.0633245382585752</v>
      </c>
      <c r="Q36" s="230">
        <f t="shared" si="5"/>
        <v>25.818179419525066</v>
      </c>
      <c r="R36" s="230">
        <f t="shared" si="6"/>
        <v>24.280620347394542</v>
      </c>
      <c r="S36" s="230">
        <f t="shared" si="7"/>
        <v>57.571428571428569</v>
      </c>
      <c r="T36" s="203">
        <f t="shared" si="8"/>
        <v>129</v>
      </c>
      <c r="U36" s="204">
        <f t="shared" si="9"/>
        <v>0.34036939313984171</v>
      </c>
      <c r="V36" s="205">
        <f t="shared" si="10"/>
        <v>0.29276298822543939</v>
      </c>
      <c r="W36" s="193">
        <v>259867</v>
      </c>
      <c r="X36" s="193">
        <v>2668</v>
      </c>
      <c r="Y36" s="193">
        <v>250</v>
      </c>
      <c r="Z36" s="206">
        <v>2837.98</v>
      </c>
      <c r="AA36" s="226">
        <v>6226.65</v>
      </c>
      <c r="AB36" s="193">
        <v>1.06</v>
      </c>
      <c r="AC36" s="208">
        <f t="shared" si="11"/>
        <v>0.45577959255779593</v>
      </c>
      <c r="AD36" s="209">
        <f t="shared" ref="AD36:AF36" si="55">X36/W36</f>
        <v>1.0266790319663521E-2</v>
      </c>
      <c r="AE36" s="209">
        <f t="shared" si="55"/>
        <v>9.37031484257871E-2</v>
      </c>
      <c r="AF36" s="202">
        <f t="shared" si="55"/>
        <v>11.35192</v>
      </c>
      <c r="AG36" s="210">
        <v>114</v>
      </c>
      <c r="AH36" s="203">
        <v>160</v>
      </c>
      <c r="AI36" s="211">
        <v>129</v>
      </c>
      <c r="AJ36" s="212">
        <f>AG36*产品成本!$D$2+AH36*产品成本!$D$3+AI36*产品成本!$D$4</f>
        <v>1005.8450704225361</v>
      </c>
      <c r="AK36" s="212">
        <f>AG36*产品成本!$E$2+AH36*产品成本!$E$3+AI36*产品成本!$E$4</f>
        <v>77.727625352112597</v>
      </c>
      <c r="AL36" s="212">
        <f>AG36*产品成本!$F$2+AH36*产品成本!$F$3+AI36*产品成本!$F$4</f>
        <v>137.02000000000001</v>
      </c>
      <c r="AM36" s="212">
        <f>AG36*产品成本!$G$2+AH36*产品成本!$G$3+AI36*产品成本!$G$4</f>
        <v>1547.7599999999998</v>
      </c>
      <c r="AN36" s="212">
        <f t="shared" si="13"/>
        <v>1454.067</v>
      </c>
      <c r="AO36" s="213">
        <f t="shared" si="14"/>
        <v>4222.4196957746481</v>
      </c>
      <c r="AP36" s="214">
        <v>8</v>
      </c>
      <c r="AQ36" s="214">
        <v>16</v>
      </c>
      <c r="AR36" s="215">
        <v>5</v>
      </c>
      <c r="AS36" s="216">
        <f t="shared" si="15"/>
        <v>676.45454545454538</v>
      </c>
      <c r="AT36" s="216">
        <f>AP36*产品成本!$D$2+AQ36*产品成本!$D$3+AR36*产品成本!$D$4</f>
        <v>67.253521126760617</v>
      </c>
      <c r="AU36" s="220">
        <f>AP36*产品成本!$E$2+AQ36*产品成本!$E$3+AR36*产品成本!$E$4</f>
        <v>5.5234985915492878</v>
      </c>
      <c r="AV36" s="219">
        <f>AP36*产品成本!$F$2+AQ36*产品成本!$F$3+AR36*产品成本!$F$4</f>
        <v>9.86</v>
      </c>
      <c r="AW36" s="218"/>
      <c r="AX36" s="219">
        <f t="shared" si="16"/>
        <v>101.4681818181818</v>
      </c>
      <c r="AY36" s="218">
        <f t="shared" si="17"/>
        <v>-20.293636363636363</v>
      </c>
      <c r="AZ36" s="220">
        <f t="shared" si="18"/>
        <v>163.81156517285535</v>
      </c>
      <c r="BA36" s="221">
        <f t="shared" si="19"/>
        <v>4058.6081306017927</v>
      </c>
      <c r="BB36" s="221">
        <f t="shared" si="20"/>
        <v>9693.7800000000007</v>
      </c>
      <c r="BC36" s="221">
        <f t="shared" si="21"/>
        <v>9017.3254545454547</v>
      </c>
      <c r="BD36" s="222">
        <f t="shared" si="22"/>
        <v>2120.7373239436615</v>
      </c>
      <c r="BE36" s="223">
        <f t="shared" si="23"/>
        <v>0.23518473793963374</v>
      </c>
      <c r="BF36" s="229"/>
      <c r="BG36" s="229"/>
      <c r="BH36" s="229"/>
    </row>
    <row r="37" spans="1:60" ht="23.1" customHeight="1" x14ac:dyDescent="0.15">
      <c r="A37" s="234" t="s">
        <v>160</v>
      </c>
      <c r="B37" s="235" t="s">
        <v>161</v>
      </c>
      <c r="C37" s="192">
        <v>419</v>
      </c>
      <c r="D37" s="193">
        <v>402</v>
      </c>
      <c r="E37" s="196">
        <v>9316.5300000000007</v>
      </c>
      <c r="F37" s="195">
        <v>56</v>
      </c>
      <c r="G37" s="195">
        <v>55</v>
      </c>
      <c r="H37" s="196">
        <v>1311.09</v>
      </c>
      <c r="I37" s="196">
        <v>158.54</v>
      </c>
      <c r="J37" s="225">
        <v>21</v>
      </c>
      <c r="K37" s="198">
        <f t="shared" si="0"/>
        <v>5.0119331742243436E-2</v>
      </c>
      <c r="L37" s="199">
        <v>426.53</v>
      </c>
      <c r="M37" s="200">
        <f t="shared" si="1"/>
        <v>3.9702233250620347E-2</v>
      </c>
      <c r="N37" s="198">
        <f t="shared" si="2"/>
        <v>6.0686015831134567E-2</v>
      </c>
      <c r="O37" s="198">
        <f t="shared" si="3"/>
        <v>-4.7885098655198827E-2</v>
      </c>
      <c r="P37" s="201">
        <f t="shared" si="4"/>
        <v>1.0422885572139304</v>
      </c>
      <c r="Q37" s="230">
        <f t="shared" si="5"/>
        <v>23.175447761194032</v>
      </c>
      <c r="R37" s="230">
        <f t="shared" si="6"/>
        <v>22.235155131264918</v>
      </c>
      <c r="S37" s="230">
        <f t="shared" si="7"/>
        <v>59.857142857142854</v>
      </c>
      <c r="T37" s="203">
        <f t="shared" si="8"/>
        <v>139</v>
      </c>
      <c r="U37" s="204">
        <f t="shared" si="9"/>
        <v>0.34577114427860695</v>
      </c>
      <c r="V37" s="205">
        <f t="shared" si="10"/>
        <v>0.30174852778830286</v>
      </c>
      <c r="W37" s="193">
        <v>254466</v>
      </c>
      <c r="X37" s="193">
        <v>2593</v>
      </c>
      <c r="Y37" s="193">
        <v>263</v>
      </c>
      <c r="Z37" s="206">
        <v>2763.41</v>
      </c>
      <c r="AA37" s="226">
        <v>5980.15</v>
      </c>
      <c r="AB37" s="193">
        <v>1.07</v>
      </c>
      <c r="AC37" s="208">
        <f t="shared" si="11"/>
        <v>0.46209710458767755</v>
      </c>
      <c r="AD37" s="209">
        <f t="shared" ref="AD37:AF37" si="56">X37/W37</f>
        <v>1.0189966439524337E-2</v>
      </c>
      <c r="AE37" s="209">
        <f t="shared" si="56"/>
        <v>0.10142691862707288</v>
      </c>
      <c r="AF37" s="202">
        <f t="shared" si="56"/>
        <v>10.507262357414447</v>
      </c>
      <c r="AG37" s="210">
        <v>119</v>
      </c>
      <c r="AH37" s="203">
        <v>144</v>
      </c>
      <c r="AI37" s="211">
        <v>156</v>
      </c>
      <c r="AJ37" s="212">
        <f>AG37*产品成本!$D$2+AH37*产品成本!$D$3+AI37*产品成本!$D$4</f>
        <v>1071.9718309859163</v>
      </c>
      <c r="AK37" s="212">
        <f>AG37*产品成本!$E$2+AH37*产品成本!$E$3+AI37*产品成本!$E$4</f>
        <v>81.18101830985907</v>
      </c>
      <c r="AL37" s="212">
        <f>AG37*产品成本!$F$2+AH37*产品成本!$F$3+AI37*产品成本!$F$4</f>
        <v>142.46</v>
      </c>
      <c r="AM37" s="212">
        <f>AG37*产品成本!$G$2+AH37*产品成本!$G$3+AI37*产品成本!$G$4</f>
        <v>1609.1100000000001</v>
      </c>
      <c r="AN37" s="212">
        <f t="shared" si="13"/>
        <v>1373.6985</v>
      </c>
      <c r="AO37" s="213">
        <f t="shared" si="14"/>
        <v>4278.4213492957751</v>
      </c>
      <c r="AP37" s="214">
        <v>7</v>
      </c>
      <c r="AQ37" s="214">
        <v>7</v>
      </c>
      <c r="AR37" s="215">
        <v>7</v>
      </c>
      <c r="AS37" s="216">
        <f t="shared" si="15"/>
        <v>484.69318181818181</v>
      </c>
      <c r="AT37" s="216">
        <f>AP37*产品成本!$D$2+AQ37*产品成本!$D$3+AR37*产品成本!$D$4</f>
        <v>52.746478873239482</v>
      </c>
      <c r="AU37" s="220">
        <f>AP37*产品成本!$E$2+AQ37*产品成本!$E$3+AR37*产品成本!$E$4</f>
        <v>4.0347802816901366</v>
      </c>
      <c r="AV37" s="219">
        <f>AP37*产品成本!$F$2+AQ37*产品成本!$F$3+AR37*产品成本!$F$4</f>
        <v>7.1400000000000006</v>
      </c>
      <c r="AW37" s="218"/>
      <c r="AX37" s="219">
        <f t="shared" si="16"/>
        <v>72.703977272727272</v>
      </c>
      <c r="AY37" s="218">
        <f t="shared" si="17"/>
        <v>-14.540795454545455</v>
      </c>
      <c r="AZ37" s="220">
        <f t="shared" si="18"/>
        <v>122.08444097311143</v>
      </c>
      <c r="BA37" s="221">
        <f t="shared" si="19"/>
        <v>4156.3369083226635</v>
      </c>
      <c r="BB37" s="221">
        <f t="shared" si="20"/>
        <v>9157.99</v>
      </c>
      <c r="BC37" s="221">
        <f t="shared" si="21"/>
        <v>8673.2968181818178</v>
      </c>
      <c r="BD37" s="222">
        <f t="shared" si="22"/>
        <v>1753.5499098591545</v>
      </c>
      <c r="BE37" s="223">
        <f t="shared" si="23"/>
        <v>0.20217801219291731</v>
      </c>
      <c r="BF37" s="227"/>
      <c r="BG37" s="227"/>
      <c r="BH37" s="227"/>
    </row>
    <row r="38" spans="1:60" ht="23.1" customHeight="1" x14ac:dyDescent="0.15">
      <c r="A38" s="234" t="s">
        <v>162</v>
      </c>
      <c r="B38" s="235" t="s">
        <v>163</v>
      </c>
      <c r="C38" s="192">
        <v>392</v>
      </c>
      <c r="D38" s="193">
        <v>375</v>
      </c>
      <c r="E38" s="196">
        <v>8810.43</v>
      </c>
      <c r="F38" s="195">
        <v>19</v>
      </c>
      <c r="G38" s="195">
        <v>16</v>
      </c>
      <c r="H38" s="196">
        <v>425.76</v>
      </c>
      <c r="I38" s="196">
        <v>36.29</v>
      </c>
      <c r="J38" s="225">
        <v>25</v>
      </c>
      <c r="K38" s="198">
        <f t="shared" si="0"/>
        <v>6.3775510204081634E-2</v>
      </c>
      <c r="L38" s="199">
        <v>431.32</v>
      </c>
      <c r="M38" s="200">
        <f t="shared" si="1"/>
        <v>-6.4439140811455853E-2</v>
      </c>
      <c r="N38" s="198">
        <f t="shared" si="2"/>
        <v>-6.7164179104477612E-2</v>
      </c>
      <c r="O38" s="198">
        <f t="shared" si="3"/>
        <v>-5.4322800441795424E-2</v>
      </c>
      <c r="P38" s="201">
        <f t="shared" si="4"/>
        <v>1.0453333333333332</v>
      </c>
      <c r="Q38" s="230">
        <f t="shared" si="5"/>
        <v>23.494479999999999</v>
      </c>
      <c r="R38" s="230">
        <f t="shared" si="6"/>
        <v>22.475586734693877</v>
      </c>
      <c r="S38" s="230">
        <f t="shared" si="7"/>
        <v>56</v>
      </c>
      <c r="T38" s="203">
        <f t="shared" si="8"/>
        <v>90</v>
      </c>
      <c r="U38" s="204">
        <f t="shared" si="9"/>
        <v>0.24</v>
      </c>
      <c r="V38" s="205">
        <f t="shared" si="10"/>
        <v>0.32948756231379939</v>
      </c>
      <c r="W38" s="193">
        <v>231377</v>
      </c>
      <c r="X38" s="193">
        <v>2629</v>
      </c>
      <c r="Y38" s="193">
        <v>285</v>
      </c>
      <c r="Z38" s="206">
        <v>2890.97</v>
      </c>
      <c r="AA38" s="226">
        <v>6529.11</v>
      </c>
      <c r="AB38" s="193">
        <v>1.1000000000000001</v>
      </c>
      <c r="AC38" s="208">
        <f t="shared" si="11"/>
        <v>0.44278163486294458</v>
      </c>
      <c r="AD38" s="209">
        <f t="shared" ref="AD38:AF38" si="57">X38/W38</f>
        <v>1.1362408536717133E-2</v>
      </c>
      <c r="AE38" s="209">
        <f t="shared" si="57"/>
        <v>0.10840623811335108</v>
      </c>
      <c r="AF38" s="202">
        <f t="shared" si="57"/>
        <v>10.143754385964911</v>
      </c>
      <c r="AG38" s="210">
        <v>106</v>
      </c>
      <c r="AH38" s="203">
        <v>129</v>
      </c>
      <c r="AI38" s="211">
        <v>157</v>
      </c>
      <c r="AJ38" s="212">
        <f>AG38*产品成本!$D$2+AH38*产品成本!$D$3+AI38*产品成本!$D$4</f>
        <v>1016.1267605633811</v>
      </c>
      <c r="AK38" s="212">
        <f>AG38*产品成本!$E$2+AH38*产品成本!$E$3+AI38*产品成本!$E$4</f>
        <v>76.242274647887257</v>
      </c>
      <c r="AL38" s="212">
        <f>AG38*产品成本!$F$2+AH38*产品成本!$F$3+AI38*产品成本!$F$4</f>
        <v>133.28</v>
      </c>
      <c r="AM38" s="212">
        <f>AG38*产品成本!$G$2+AH38*产品成本!$G$3+AI38*产品成本!$G$4</f>
        <v>1506.54</v>
      </c>
      <c r="AN38" s="212">
        <f t="shared" si="13"/>
        <v>1316.1209999999999</v>
      </c>
      <c r="AO38" s="213">
        <f t="shared" si="14"/>
        <v>4048.3100352112688</v>
      </c>
      <c r="AP38" s="214">
        <v>4</v>
      </c>
      <c r="AQ38" s="214">
        <v>8</v>
      </c>
      <c r="AR38" s="215">
        <v>13</v>
      </c>
      <c r="AS38" s="216">
        <f t="shared" si="15"/>
        <v>490.13636363636363</v>
      </c>
      <c r="AT38" s="216">
        <f>AP38*产品成本!$D$2+AQ38*产品成本!$D$3+AR38*产品成本!$D$4</f>
        <v>68.38028169014089</v>
      </c>
      <c r="AU38" s="220">
        <f>AP38*产品成本!$E$2+AQ38*产品成本!$E$3+AR38*产品成本!$E$4</f>
        <v>4.966749295774644</v>
      </c>
      <c r="AV38" s="219">
        <f>AP38*产品成本!$F$2+AQ38*产品成本!$F$3+AR38*产品成本!$F$4</f>
        <v>8.5</v>
      </c>
      <c r="AW38" s="218"/>
      <c r="AX38" s="219">
        <f t="shared" si="16"/>
        <v>73.520454545454541</v>
      </c>
      <c r="AY38" s="218">
        <f t="shared" si="17"/>
        <v>-14.704090909090908</v>
      </c>
      <c r="AZ38" s="220">
        <f t="shared" si="18"/>
        <v>140.66339462227916</v>
      </c>
      <c r="BA38" s="221">
        <f t="shared" si="19"/>
        <v>3907.6466405889896</v>
      </c>
      <c r="BB38" s="221">
        <f t="shared" si="20"/>
        <v>8774.14</v>
      </c>
      <c r="BC38" s="221">
        <f t="shared" si="21"/>
        <v>8284.0036363636355</v>
      </c>
      <c r="BD38" s="222">
        <f t="shared" si="22"/>
        <v>1485.386995774646</v>
      </c>
      <c r="BE38" s="223">
        <f t="shared" si="23"/>
        <v>0.17930786380324126</v>
      </c>
      <c r="BF38" s="229"/>
      <c r="BG38" s="229" t="s">
        <v>164</v>
      </c>
      <c r="BH38" s="229"/>
    </row>
    <row r="39" spans="1:60" ht="23.1" customHeight="1" x14ac:dyDescent="0.15">
      <c r="A39" s="234" t="s">
        <v>165</v>
      </c>
      <c r="B39" s="234" t="s">
        <v>166</v>
      </c>
      <c r="C39" s="192">
        <v>542</v>
      </c>
      <c r="D39" s="193">
        <v>508</v>
      </c>
      <c r="E39" s="196">
        <v>10601.36</v>
      </c>
      <c r="F39" s="195">
        <v>0</v>
      </c>
      <c r="G39" s="195">
        <v>0</v>
      </c>
      <c r="H39" s="196">
        <v>0</v>
      </c>
      <c r="I39" s="196">
        <v>0</v>
      </c>
      <c r="J39" s="225">
        <v>30</v>
      </c>
      <c r="K39" s="198">
        <f t="shared" si="0"/>
        <v>5.5350553505535055E-2</v>
      </c>
      <c r="L39" s="199">
        <v>594.67999999999995</v>
      </c>
      <c r="M39" s="200">
        <f t="shared" si="1"/>
        <v>0.38265306122448978</v>
      </c>
      <c r="N39" s="198">
        <f t="shared" si="2"/>
        <v>0.35466666666666669</v>
      </c>
      <c r="O39" s="198">
        <f t="shared" si="3"/>
        <v>0.20327384701995252</v>
      </c>
      <c r="P39" s="201">
        <f t="shared" si="4"/>
        <v>1.0669291338582678</v>
      </c>
      <c r="Q39" s="230">
        <f t="shared" si="5"/>
        <v>20.868818897637798</v>
      </c>
      <c r="R39" s="230">
        <f t="shared" si="6"/>
        <v>19.559704797047971</v>
      </c>
      <c r="S39" s="230">
        <f>C39/4</f>
        <v>135.5</v>
      </c>
      <c r="T39" s="203">
        <f t="shared" si="8"/>
        <v>211</v>
      </c>
      <c r="U39" s="204">
        <f t="shared" si="9"/>
        <v>0.4153543307086614</v>
      </c>
      <c r="V39" s="205">
        <f t="shared" si="10"/>
        <v>0.25819517495868449</v>
      </c>
      <c r="W39" s="193">
        <v>226717</v>
      </c>
      <c r="X39" s="193">
        <v>2425</v>
      </c>
      <c r="Y39" s="193">
        <v>297</v>
      </c>
      <c r="Z39" s="206">
        <v>2737.22</v>
      </c>
      <c r="AA39" s="226">
        <v>6015.47</v>
      </c>
      <c r="AB39" s="193">
        <v>1.1299999999999999</v>
      </c>
      <c r="AC39" s="208">
        <f t="shared" si="11"/>
        <v>0.45503011402267812</v>
      </c>
      <c r="AD39" s="209">
        <f t="shared" ref="AD39:AF39" si="58">X39/W39</f>
        <v>1.0696154236338695E-2</v>
      </c>
      <c r="AE39" s="209">
        <f t="shared" si="58"/>
        <v>0.12247422680412372</v>
      </c>
      <c r="AF39" s="202">
        <f t="shared" si="58"/>
        <v>9.2162289562289548</v>
      </c>
      <c r="AG39" s="210">
        <v>143</v>
      </c>
      <c r="AH39" s="203">
        <v>187</v>
      </c>
      <c r="AI39" s="211">
        <v>212</v>
      </c>
      <c r="AJ39" s="212">
        <f>AG39*产品成本!$D$2+AH39*产品成本!$D$3+AI39*产品成本!$D$4</f>
        <v>1398.8732394366209</v>
      </c>
      <c r="AK39" s="212">
        <f>AG39*产品成本!$E$2+AH39*产品成本!$E$3+AI39*产品成本!$E$4</f>
        <v>105.39756338028158</v>
      </c>
      <c r="AL39" s="212">
        <f>AG39*产品成本!$F$2+AH39*产品成本!$F$3+AI39*产品成本!$F$4</f>
        <v>184.28000000000003</v>
      </c>
      <c r="AM39" s="212">
        <f>AG39*产品成本!$G$2+AH39*产品成本!$G$3+AI39*产品成本!$G$4</f>
        <v>2083.7699999999995</v>
      </c>
      <c r="AN39" s="212">
        <f t="shared" si="13"/>
        <v>1590.204</v>
      </c>
      <c r="AO39" s="213">
        <f t="shared" si="14"/>
        <v>5362.5248028169017</v>
      </c>
      <c r="AP39" s="214">
        <v>6</v>
      </c>
      <c r="AQ39" s="214">
        <v>13</v>
      </c>
      <c r="AR39" s="215">
        <v>4</v>
      </c>
      <c r="AS39" s="216">
        <f t="shared" si="15"/>
        <v>675.77272727272725</v>
      </c>
      <c r="AT39" s="216">
        <f>AP39*产品成本!$D$2+AQ39*产品成本!$D$3+AR39*产品成本!$D$4</f>
        <v>53.38028169014089</v>
      </c>
      <c r="AU39" s="220">
        <f>AP39*产品成本!$E$2+AQ39*产品成本!$E$3+AR39*产品成本!$E$4</f>
        <v>4.3879140845070363</v>
      </c>
      <c r="AV39" s="219">
        <f>AP39*产品成本!$F$2+AQ39*产品成本!$F$3+AR39*产品成本!$F$4</f>
        <v>7.82</v>
      </c>
      <c r="AW39" s="218"/>
      <c r="AX39" s="219">
        <f t="shared" si="16"/>
        <v>101.36590909090908</v>
      </c>
      <c r="AY39" s="218">
        <f t="shared" si="17"/>
        <v>-20.273181818181818</v>
      </c>
      <c r="AZ39" s="220">
        <f t="shared" si="18"/>
        <v>146.68092304737519</v>
      </c>
      <c r="BA39" s="221">
        <f t="shared" si="19"/>
        <v>5215.8438797695262</v>
      </c>
      <c r="BB39" s="221">
        <f t="shared" si="20"/>
        <v>10601.36</v>
      </c>
      <c r="BC39" s="221">
        <f t="shared" si="21"/>
        <v>9925.5872727272726</v>
      </c>
      <c r="BD39" s="222">
        <f t="shared" si="22"/>
        <v>1972.5233929577466</v>
      </c>
      <c r="BE39" s="223">
        <f t="shared" si="23"/>
        <v>0.19873115199719085</v>
      </c>
      <c r="BF39" s="227"/>
      <c r="BG39" s="227"/>
      <c r="BH39" s="227"/>
    </row>
    <row r="40" spans="1:60" ht="23.1" customHeight="1" x14ac:dyDescent="0.15">
      <c r="A40" s="234" t="s">
        <v>167</v>
      </c>
      <c r="B40" s="234" t="s">
        <v>168</v>
      </c>
      <c r="C40" s="192">
        <v>735</v>
      </c>
      <c r="D40" s="193">
        <v>694</v>
      </c>
      <c r="E40" s="196">
        <v>14720.75</v>
      </c>
      <c r="F40" s="195">
        <v>0</v>
      </c>
      <c r="G40" s="195">
        <v>0</v>
      </c>
      <c r="H40" s="196">
        <v>0</v>
      </c>
      <c r="I40" s="196">
        <v>0</v>
      </c>
      <c r="J40" s="225">
        <v>43</v>
      </c>
      <c r="K40" s="198">
        <f t="shared" si="0"/>
        <v>5.8503401360544216E-2</v>
      </c>
      <c r="L40" s="199">
        <v>855.49</v>
      </c>
      <c r="M40" s="200">
        <f t="shared" si="1"/>
        <v>0.35608856088560886</v>
      </c>
      <c r="N40" s="198">
        <f t="shared" si="2"/>
        <v>0.36614173228346458</v>
      </c>
      <c r="O40" s="198">
        <f t="shared" si="3"/>
        <v>0.38857184361251756</v>
      </c>
      <c r="P40" s="201">
        <f t="shared" si="4"/>
        <v>1.0590778097982709</v>
      </c>
      <c r="Q40" s="230">
        <f t="shared" si="5"/>
        <v>21.211455331412104</v>
      </c>
      <c r="R40" s="230">
        <f t="shared" si="6"/>
        <v>20.028231292517006</v>
      </c>
      <c r="S40" s="230">
        <f t="shared" ref="S40:S78" si="59">C40/7</f>
        <v>105</v>
      </c>
      <c r="T40" s="203">
        <f t="shared" si="8"/>
        <v>229</v>
      </c>
      <c r="U40" s="204">
        <f t="shared" si="9"/>
        <v>0.32997118155619598</v>
      </c>
      <c r="V40" s="205">
        <f t="shared" si="10"/>
        <v>0.27489360256780393</v>
      </c>
      <c r="W40" s="193">
        <v>331218</v>
      </c>
      <c r="X40" s="193">
        <v>3643</v>
      </c>
      <c r="Y40" s="193">
        <v>465</v>
      </c>
      <c r="Z40" s="206">
        <v>4046.64</v>
      </c>
      <c r="AA40" s="226">
        <v>9606.34</v>
      </c>
      <c r="AB40" s="193">
        <v>1.1100000000000001</v>
      </c>
      <c r="AC40" s="208">
        <f t="shared" si="11"/>
        <v>0.42124680159144895</v>
      </c>
      <c r="AD40" s="209">
        <f t="shared" ref="AD40:AF40" si="60">X40/W40</f>
        <v>1.0998798374484479E-2</v>
      </c>
      <c r="AE40" s="209">
        <f t="shared" si="60"/>
        <v>0.12764205325281361</v>
      </c>
      <c r="AF40" s="202">
        <f t="shared" si="60"/>
        <v>8.702451612903225</v>
      </c>
      <c r="AG40" s="210">
        <v>197</v>
      </c>
      <c r="AH40" s="203">
        <v>261</v>
      </c>
      <c r="AI40" s="211">
        <v>277</v>
      </c>
      <c r="AJ40" s="212">
        <f>AG40*产品成本!$D$2+AH40*产品成本!$D$3+AI40*产品成本!$D$4</f>
        <v>1884.4366197183112</v>
      </c>
      <c r="AK40" s="212">
        <f>AG40*产品成本!$E$2+AH40*产品成本!$E$3+AI40*产品成本!$E$4</f>
        <v>142.6888140845069</v>
      </c>
      <c r="AL40" s="212">
        <f>AG40*产品成本!$F$2+AH40*产品成本!$F$3+AI40*产品成本!$F$4</f>
        <v>249.90000000000003</v>
      </c>
      <c r="AM40" s="212">
        <f>AG40*产品成本!$G$2+AH40*产品成本!$G$3+AI40*产品成本!$G$4</f>
        <v>2825.13</v>
      </c>
      <c r="AN40" s="212">
        <f t="shared" si="13"/>
        <v>2208.1124999999997</v>
      </c>
      <c r="AO40" s="213">
        <f t="shared" si="14"/>
        <v>7310.2679338028174</v>
      </c>
      <c r="AP40" s="214">
        <v>10</v>
      </c>
      <c r="AQ40" s="214">
        <v>17</v>
      </c>
      <c r="AR40" s="215">
        <v>16</v>
      </c>
      <c r="AS40" s="216">
        <f t="shared" si="15"/>
        <v>972.14772727272725</v>
      </c>
      <c r="AT40" s="216">
        <f>AP40*产品成本!$D$2+AQ40*产品成本!$D$3+AR40*产品成本!$D$4</f>
        <v>110.00000000000009</v>
      </c>
      <c r="AU40" s="220">
        <f>AP40*产品成本!$E$2+AQ40*产品成本!$E$3+AR40*产品成本!$E$4</f>
        <v>8.3735028169014001</v>
      </c>
      <c r="AV40" s="219">
        <f>AP40*产品成本!$F$2+AQ40*产品成本!$F$3+AR40*产品成本!$F$4</f>
        <v>14.620000000000001</v>
      </c>
      <c r="AW40" s="218"/>
      <c r="AX40" s="219">
        <f t="shared" si="16"/>
        <v>145.82215909090908</v>
      </c>
      <c r="AY40" s="218">
        <f t="shared" si="17"/>
        <v>-29.164431818181818</v>
      </c>
      <c r="AZ40" s="220">
        <f t="shared" si="18"/>
        <v>249.65123008962877</v>
      </c>
      <c r="BA40" s="221">
        <f t="shared" si="19"/>
        <v>7060.6167037131891</v>
      </c>
      <c r="BB40" s="221">
        <f t="shared" si="20"/>
        <v>14720.75</v>
      </c>
      <c r="BC40" s="221">
        <f t="shared" si="21"/>
        <v>13748.602272727272</v>
      </c>
      <c r="BD40" s="222">
        <f t="shared" si="22"/>
        <v>2641.3455690140831</v>
      </c>
      <c r="BE40" s="223">
        <f t="shared" si="23"/>
        <v>0.19211738885294896</v>
      </c>
      <c r="BF40" s="229"/>
      <c r="BG40" s="229"/>
      <c r="BH40" s="229"/>
    </row>
    <row r="41" spans="1:60" ht="23.1" customHeight="1" x14ac:dyDescent="0.15">
      <c r="A41" s="234" t="s">
        <v>169</v>
      </c>
      <c r="B41" s="234" t="s">
        <v>170</v>
      </c>
      <c r="C41" s="192">
        <v>425</v>
      </c>
      <c r="D41" s="193">
        <v>403</v>
      </c>
      <c r="E41" s="196">
        <v>10003.299999999999</v>
      </c>
      <c r="F41" s="195">
        <v>31</v>
      </c>
      <c r="G41" s="195">
        <v>30</v>
      </c>
      <c r="H41" s="196">
        <v>768.09</v>
      </c>
      <c r="I41" s="196">
        <v>69.56</v>
      </c>
      <c r="J41" s="225">
        <v>41</v>
      </c>
      <c r="K41" s="198">
        <f t="shared" si="0"/>
        <v>9.6470588235294114E-2</v>
      </c>
      <c r="L41" s="199">
        <v>753.49</v>
      </c>
      <c r="M41" s="200">
        <f t="shared" si="1"/>
        <v>-0.42176870748299322</v>
      </c>
      <c r="N41" s="198">
        <f t="shared" si="2"/>
        <v>-0.41930835734870314</v>
      </c>
      <c r="O41" s="198">
        <f t="shared" si="3"/>
        <v>-0.32046261229896578</v>
      </c>
      <c r="P41" s="201">
        <f t="shared" si="4"/>
        <v>1.054590570719603</v>
      </c>
      <c r="Q41" s="230">
        <f t="shared" si="5"/>
        <v>24.822084367245655</v>
      </c>
      <c r="R41" s="230">
        <f t="shared" si="6"/>
        <v>23.537176470588232</v>
      </c>
      <c r="S41" s="230">
        <f t="shared" si="59"/>
        <v>60.714285714285715</v>
      </c>
      <c r="T41" s="203">
        <f t="shared" si="8"/>
        <v>152</v>
      </c>
      <c r="U41" s="204">
        <f t="shared" si="9"/>
        <v>0.37717121588089331</v>
      </c>
      <c r="V41" s="205">
        <f t="shared" si="10"/>
        <v>0.24352560062977288</v>
      </c>
      <c r="W41" s="193">
        <v>199964</v>
      </c>
      <c r="X41" s="193">
        <v>2365</v>
      </c>
      <c r="Y41" s="193">
        <v>251</v>
      </c>
      <c r="Z41" s="206">
        <v>2419.12</v>
      </c>
      <c r="AA41" s="226">
        <v>6289.86</v>
      </c>
      <c r="AB41" s="228" t="s">
        <v>171</v>
      </c>
      <c r="AC41" s="208">
        <f t="shared" si="11"/>
        <v>0.38460633464019867</v>
      </c>
      <c r="AD41" s="209">
        <f t="shared" ref="AD41:AF41" si="61">X41/W41</f>
        <v>1.1827128883198975E-2</v>
      </c>
      <c r="AE41" s="209">
        <f t="shared" si="61"/>
        <v>0.10613107822410148</v>
      </c>
      <c r="AF41" s="202">
        <f t="shared" si="61"/>
        <v>9.6379282868525884</v>
      </c>
      <c r="AG41" s="210">
        <v>112</v>
      </c>
      <c r="AH41" s="203">
        <v>184</v>
      </c>
      <c r="AI41" s="211">
        <v>129</v>
      </c>
      <c r="AJ41" s="212">
        <f>AG41*产品成本!$D$2+AH41*产品成本!$D$3+AI41*产品成本!$D$4</f>
        <v>1052.3239436619726</v>
      </c>
      <c r="AK41" s="212">
        <f>AG41*产品成本!$E$2+AH41*产品成本!$E$3+AI41*产品成本!$E$4</f>
        <v>82.007374647887232</v>
      </c>
      <c r="AL41" s="212">
        <f>AG41*产品成本!$F$2+AH41*产品成本!$F$3+AI41*产品成本!$F$4</f>
        <v>144.50000000000003</v>
      </c>
      <c r="AM41" s="212">
        <f>AG41*产品成本!$G$2+AH41*产品成本!$G$3+AI41*产品成本!$G$4</f>
        <v>1633.98</v>
      </c>
      <c r="AN41" s="212">
        <f t="shared" si="13"/>
        <v>1490.0609999999999</v>
      </c>
      <c r="AO41" s="213">
        <f t="shared" si="14"/>
        <v>4402.87231830986</v>
      </c>
      <c r="AP41" s="214">
        <v>15</v>
      </c>
      <c r="AQ41" s="214">
        <v>10</v>
      </c>
      <c r="AR41" s="215">
        <v>16</v>
      </c>
      <c r="AS41" s="216">
        <f t="shared" si="15"/>
        <v>856.23863636363637</v>
      </c>
      <c r="AT41" s="216">
        <f>AP41*产品成本!$D$2+AQ41*产品成本!$D$3+AR41*产品成本!$D$4</f>
        <v>105.77464788732402</v>
      </c>
      <c r="AU41" s="220">
        <f>AP41*产品成本!$E$2+AQ41*产品成本!$E$3+AR41*产品成本!$E$4</f>
        <v>7.892007042253514</v>
      </c>
      <c r="AV41" s="219">
        <f>AP41*产品成本!$F$2+AQ41*产品成本!$F$3+AR41*产品成本!$F$4</f>
        <v>13.940000000000001</v>
      </c>
      <c r="AW41" s="218"/>
      <c r="AX41" s="219">
        <f t="shared" si="16"/>
        <v>128.43579545454546</v>
      </c>
      <c r="AY41" s="218">
        <f t="shared" si="17"/>
        <v>-25.687159090909091</v>
      </c>
      <c r="AZ41" s="220">
        <f t="shared" si="18"/>
        <v>230.35529129321387</v>
      </c>
      <c r="BA41" s="221">
        <f t="shared" si="19"/>
        <v>4172.5170270166464</v>
      </c>
      <c r="BB41" s="221">
        <f t="shared" si="20"/>
        <v>9933.74</v>
      </c>
      <c r="BC41" s="221">
        <f t="shared" si="21"/>
        <v>9077.5013636363637</v>
      </c>
      <c r="BD41" s="222">
        <f t="shared" si="22"/>
        <v>2485.8643366197175</v>
      </c>
      <c r="BE41" s="223">
        <f t="shared" si="23"/>
        <v>0.27384896317150242</v>
      </c>
      <c r="BF41" s="227"/>
      <c r="BG41" s="227"/>
      <c r="BH41" s="227"/>
    </row>
    <row r="42" spans="1:60" ht="23.1" customHeight="1" x14ac:dyDescent="0.15">
      <c r="A42" s="234" t="s">
        <v>172</v>
      </c>
      <c r="B42" s="234" t="s">
        <v>173</v>
      </c>
      <c r="C42" s="192">
        <v>383</v>
      </c>
      <c r="D42" s="193">
        <v>366</v>
      </c>
      <c r="E42" s="196">
        <v>9301.8700000000008</v>
      </c>
      <c r="F42" s="195">
        <v>44</v>
      </c>
      <c r="G42" s="195">
        <v>38</v>
      </c>
      <c r="H42" s="196">
        <v>1056.8599999999999</v>
      </c>
      <c r="I42" s="196">
        <v>87.45</v>
      </c>
      <c r="J42" s="225">
        <v>40</v>
      </c>
      <c r="K42" s="198">
        <f t="shared" si="0"/>
        <v>0.10443864229765012</v>
      </c>
      <c r="L42" s="199">
        <v>720.26</v>
      </c>
      <c r="M42" s="200">
        <f t="shared" si="1"/>
        <v>-9.8823529411764699E-2</v>
      </c>
      <c r="N42" s="198">
        <f t="shared" si="2"/>
        <v>-9.1811414392059559E-2</v>
      </c>
      <c r="O42" s="198">
        <f t="shared" si="3"/>
        <v>-7.0119860446052659E-2</v>
      </c>
      <c r="P42" s="201">
        <f t="shared" si="4"/>
        <v>1.0464480874316939</v>
      </c>
      <c r="Q42" s="230">
        <f t="shared" si="5"/>
        <v>25.414945355191261</v>
      </c>
      <c r="R42" s="230">
        <f t="shared" si="6"/>
        <v>24.286866840731072</v>
      </c>
      <c r="S42" s="230">
        <f t="shared" si="59"/>
        <v>54.714285714285715</v>
      </c>
      <c r="T42" s="203">
        <f t="shared" si="8"/>
        <v>135</v>
      </c>
      <c r="U42" s="204">
        <f t="shared" si="9"/>
        <v>0.36885245901639346</v>
      </c>
      <c r="V42" s="205">
        <f t="shared" si="10"/>
        <v>0.25285693510823254</v>
      </c>
      <c r="W42" s="193">
        <v>200165</v>
      </c>
      <c r="X42" s="193">
        <v>2315</v>
      </c>
      <c r="Y42" s="193">
        <v>231</v>
      </c>
      <c r="Z42" s="206">
        <v>2329.9299999999998</v>
      </c>
      <c r="AA42" s="226">
        <v>5705.61</v>
      </c>
      <c r="AB42" s="193">
        <v>1.01</v>
      </c>
      <c r="AC42" s="208">
        <f t="shared" si="11"/>
        <v>0.40835773913744544</v>
      </c>
      <c r="AD42" s="209">
        <f t="shared" ref="AD42:AF42" si="62">X42/W42</f>
        <v>1.156545849674019E-2</v>
      </c>
      <c r="AE42" s="209">
        <f t="shared" si="62"/>
        <v>9.9784017278617715E-2</v>
      </c>
      <c r="AF42" s="202">
        <f t="shared" si="62"/>
        <v>10.086277056277055</v>
      </c>
      <c r="AG42" s="210">
        <v>110</v>
      </c>
      <c r="AH42" s="203">
        <v>185</v>
      </c>
      <c r="AI42" s="211">
        <v>88</v>
      </c>
      <c r="AJ42" s="212">
        <f>AG42*产品成本!$D$2+AH42*产品成本!$D$3+AI42*产品成本!$D$4</f>
        <v>914.50704225352183</v>
      </c>
      <c r="AK42" s="212">
        <f>AG42*产品成本!$E$2+AH42*产品成本!$E$3+AI42*产品成本!$E$4</f>
        <v>73.242950704225265</v>
      </c>
      <c r="AL42" s="212">
        <f>AG42*产品成本!$F$2+AH42*产品成本!$F$3+AI42*产品成本!$F$4</f>
        <v>130.22000000000003</v>
      </c>
      <c r="AM42" s="212">
        <f>AG42*产品成本!$G$2+AH42*产品成本!$G$3+AI42*产品成本!$G$4</f>
        <v>1470.6000000000001</v>
      </c>
      <c r="AN42" s="212">
        <f t="shared" si="13"/>
        <v>1382.163</v>
      </c>
      <c r="AO42" s="213">
        <f t="shared" si="14"/>
        <v>3970.7329929577472</v>
      </c>
      <c r="AP42" s="214">
        <v>10</v>
      </c>
      <c r="AQ42" s="214">
        <v>11</v>
      </c>
      <c r="AR42" s="215">
        <v>19</v>
      </c>
      <c r="AS42" s="216">
        <f t="shared" si="15"/>
        <v>818.47727272727275</v>
      </c>
      <c r="AT42" s="216">
        <f>AP42*产品成本!$D$2+AQ42*产品成本!$D$3+AR42*产品成本!$D$4</f>
        <v>107.25352112676065</v>
      </c>
      <c r="AU42" s="220">
        <f>AP42*产品成本!$E$2+AQ42*产品成本!$E$3+AR42*产品成本!$E$4</f>
        <v>7.8467619718309791</v>
      </c>
      <c r="AV42" s="219">
        <f>AP42*产品成本!$F$2+AQ42*产品成本!$F$3+AR42*产品成本!$F$4</f>
        <v>13.600000000000001</v>
      </c>
      <c r="AW42" s="218"/>
      <c r="AX42" s="219">
        <f t="shared" si="16"/>
        <v>122.7715909090909</v>
      </c>
      <c r="AY42" s="218">
        <f t="shared" si="17"/>
        <v>-24.554318181818182</v>
      </c>
      <c r="AZ42" s="220">
        <f t="shared" si="18"/>
        <v>226.91755582586433</v>
      </c>
      <c r="BA42" s="221">
        <f t="shared" si="19"/>
        <v>3743.8154371318828</v>
      </c>
      <c r="BB42" s="221">
        <f t="shared" si="20"/>
        <v>9214.42</v>
      </c>
      <c r="BC42" s="221">
        <f t="shared" si="21"/>
        <v>8395.942727272728</v>
      </c>
      <c r="BD42" s="222">
        <f t="shared" si="22"/>
        <v>2322.1972901408449</v>
      </c>
      <c r="BE42" s="223">
        <f t="shared" si="23"/>
        <v>0.27658565161451132</v>
      </c>
      <c r="BF42" s="229"/>
      <c r="BG42" s="229" t="s">
        <v>174</v>
      </c>
      <c r="BH42" s="229"/>
    </row>
    <row r="43" spans="1:60" ht="23.1" customHeight="1" x14ac:dyDescent="0.15">
      <c r="A43" s="234" t="s">
        <v>175</v>
      </c>
      <c r="B43" s="234" t="s">
        <v>176</v>
      </c>
      <c r="C43" s="192">
        <v>434</v>
      </c>
      <c r="D43" s="193">
        <v>403</v>
      </c>
      <c r="E43" s="196">
        <v>10601.18</v>
      </c>
      <c r="F43" s="195">
        <v>44</v>
      </c>
      <c r="G43" s="195">
        <v>43</v>
      </c>
      <c r="H43" s="196">
        <v>1076.26</v>
      </c>
      <c r="I43" s="196">
        <v>98.94</v>
      </c>
      <c r="J43" s="225">
        <v>40</v>
      </c>
      <c r="K43" s="198">
        <f t="shared" si="0"/>
        <v>9.2165898617511524E-2</v>
      </c>
      <c r="L43" s="199">
        <v>675.08</v>
      </c>
      <c r="M43" s="200">
        <f t="shared" si="1"/>
        <v>0.13315926892950392</v>
      </c>
      <c r="N43" s="198">
        <f t="shared" si="2"/>
        <v>0.10109289617486339</v>
      </c>
      <c r="O43" s="198">
        <f t="shared" si="3"/>
        <v>0.13968266595856527</v>
      </c>
      <c r="P43" s="201">
        <f t="shared" si="4"/>
        <v>1.0769230769230769</v>
      </c>
      <c r="Q43" s="230">
        <f t="shared" si="5"/>
        <v>26.305657568238214</v>
      </c>
      <c r="R43" s="230">
        <f t="shared" si="6"/>
        <v>24.426682027649772</v>
      </c>
      <c r="S43" s="230">
        <f t="shared" si="59"/>
        <v>62</v>
      </c>
      <c r="T43" s="203">
        <f t="shared" si="8"/>
        <v>177</v>
      </c>
      <c r="U43" s="204">
        <f t="shared" si="9"/>
        <v>0.43920595533498757</v>
      </c>
      <c r="V43" s="205">
        <f t="shared" si="10"/>
        <v>0.24354137783939428</v>
      </c>
      <c r="W43" s="193">
        <v>212393</v>
      </c>
      <c r="X43" s="193">
        <v>2508</v>
      </c>
      <c r="Y43" s="193">
        <v>226</v>
      </c>
      <c r="Z43" s="206">
        <v>2557.73</v>
      </c>
      <c r="AA43" s="226">
        <v>5663.04</v>
      </c>
      <c r="AB43" s="193">
        <v>1.02</v>
      </c>
      <c r="AC43" s="208">
        <f t="shared" si="11"/>
        <v>0.4516531756794937</v>
      </c>
      <c r="AD43" s="209">
        <f t="shared" ref="AD43:AF43" si="63">X43/W43</f>
        <v>1.1808298766908514E-2</v>
      </c>
      <c r="AE43" s="209">
        <f t="shared" si="63"/>
        <v>9.0111642743221684E-2</v>
      </c>
      <c r="AF43" s="202">
        <f t="shared" si="63"/>
        <v>11.317389380530974</v>
      </c>
      <c r="AG43" s="210">
        <v>95</v>
      </c>
      <c r="AH43" s="203">
        <v>196</v>
      </c>
      <c r="AI43" s="211">
        <v>141</v>
      </c>
      <c r="AJ43" s="212">
        <f>AG43*产品成本!$D$2+AH43*产品成本!$D$3+AI43*产品成本!$D$4</f>
        <v>1081.4788732394375</v>
      </c>
      <c r="AK43" s="212">
        <f>AG43*产品成本!$E$2+AH43*产品成本!$E$3+AI43*产品成本!$E$4</f>
        <v>83.889536619718214</v>
      </c>
      <c r="AL43" s="212">
        <f>AG43*产品成本!$F$2+AH43*产品成本!$F$3+AI43*产品成本!$F$4</f>
        <v>146.88</v>
      </c>
      <c r="AM43" s="212">
        <f>AG43*产品成本!$G$2+AH43*产品成本!$G$3+AI43*产品成本!$G$4</f>
        <v>1664.85</v>
      </c>
      <c r="AN43" s="212">
        <f t="shared" si="13"/>
        <v>1575.336</v>
      </c>
      <c r="AO43" s="213">
        <f t="shared" si="14"/>
        <v>4552.4344098591555</v>
      </c>
      <c r="AP43" s="214">
        <v>10</v>
      </c>
      <c r="AQ43" s="214">
        <v>15</v>
      </c>
      <c r="AR43" s="215">
        <v>15</v>
      </c>
      <c r="AS43" s="216">
        <f t="shared" si="15"/>
        <v>767.13636363636363</v>
      </c>
      <c r="AT43" s="216">
        <f>AP43*产品成本!$D$2+AQ43*产品成本!$D$3+AR43*产品成本!$D$4</f>
        <v>102.46478873239445</v>
      </c>
      <c r="AU43" s="220">
        <f>AP43*产品成本!$E$2+AQ43*产品成本!$E$3+AR43*产品成本!$E$4</f>
        <v>7.7779225352112604</v>
      </c>
      <c r="AV43" s="219">
        <f>AP43*产品成本!$F$2+AQ43*产品成本!$F$3+AR43*产品成本!$F$4</f>
        <v>13.600000000000001</v>
      </c>
      <c r="AW43" s="218"/>
      <c r="AX43" s="219">
        <f t="shared" si="16"/>
        <v>115.07045454545454</v>
      </c>
      <c r="AY43" s="218">
        <f t="shared" si="17"/>
        <v>-23.01409090909091</v>
      </c>
      <c r="AZ43" s="220">
        <f t="shared" si="18"/>
        <v>215.89907490396934</v>
      </c>
      <c r="BA43" s="221">
        <f t="shared" si="19"/>
        <v>4336.535334955186</v>
      </c>
      <c r="BB43" s="221">
        <f t="shared" si="20"/>
        <v>10502.24</v>
      </c>
      <c r="BC43" s="221">
        <f t="shared" si="21"/>
        <v>9735.1036363636358</v>
      </c>
      <c r="BD43" s="222">
        <f t="shared" si="22"/>
        <v>2840.8383014084498</v>
      </c>
      <c r="BE43" s="223">
        <f t="shared" si="23"/>
        <v>0.29181387353669624</v>
      </c>
      <c r="BF43" s="227"/>
      <c r="BG43" s="227"/>
      <c r="BH43" s="227"/>
    </row>
    <row r="44" spans="1:60" ht="23.1" customHeight="1" x14ac:dyDescent="0.15">
      <c r="A44" s="234" t="s">
        <v>177</v>
      </c>
      <c r="B44" s="234" t="s">
        <v>178</v>
      </c>
      <c r="C44" s="192">
        <v>446</v>
      </c>
      <c r="D44" s="193">
        <v>414</v>
      </c>
      <c r="E44" s="196">
        <v>10895.07</v>
      </c>
      <c r="F44" s="195">
        <v>49</v>
      </c>
      <c r="G44" s="195">
        <v>48</v>
      </c>
      <c r="H44" s="196">
        <v>1221.31</v>
      </c>
      <c r="I44" s="196">
        <v>111.02</v>
      </c>
      <c r="J44" s="225">
        <v>34</v>
      </c>
      <c r="K44" s="198">
        <f t="shared" si="0"/>
        <v>7.623318385650224E-2</v>
      </c>
      <c r="L44" s="199">
        <v>684.03</v>
      </c>
      <c r="M44" s="200">
        <f t="shared" si="1"/>
        <v>2.7649769585253458E-2</v>
      </c>
      <c r="N44" s="198">
        <f t="shared" si="2"/>
        <v>2.729528535980149E-2</v>
      </c>
      <c r="O44" s="198">
        <f t="shared" si="3"/>
        <v>2.7722385621223242E-2</v>
      </c>
      <c r="P44" s="201">
        <f t="shared" si="4"/>
        <v>1.0772946859903381</v>
      </c>
      <c r="Q44" s="230">
        <f t="shared" si="5"/>
        <v>26.31659420289855</v>
      </c>
      <c r="R44" s="230">
        <f t="shared" si="6"/>
        <v>24.42840807174888</v>
      </c>
      <c r="S44" s="230">
        <f t="shared" si="59"/>
        <v>63.714285714285715</v>
      </c>
      <c r="T44" s="203">
        <f t="shared" si="8"/>
        <v>142</v>
      </c>
      <c r="U44" s="204">
        <f t="shared" si="9"/>
        <v>0.34299516908212563</v>
      </c>
      <c r="V44" s="205">
        <f t="shared" si="10"/>
        <v>0.24896212461922937</v>
      </c>
      <c r="W44" s="193">
        <v>224947</v>
      </c>
      <c r="X44" s="193">
        <v>2644</v>
      </c>
      <c r="Y44" s="193">
        <v>272</v>
      </c>
      <c r="Z44" s="206">
        <v>2684.82</v>
      </c>
      <c r="AA44" s="226">
        <v>7063.61</v>
      </c>
      <c r="AB44" s="193">
        <v>1.02</v>
      </c>
      <c r="AC44" s="208">
        <f t="shared" si="11"/>
        <v>0.38009176610826478</v>
      </c>
      <c r="AD44" s="209">
        <f t="shared" ref="AD44:AF44" si="64">X44/W44</f>
        <v>1.1753879802797993E-2</v>
      </c>
      <c r="AE44" s="209">
        <f t="shared" si="64"/>
        <v>0.10287443267776097</v>
      </c>
      <c r="AF44" s="202">
        <f t="shared" si="64"/>
        <v>9.8706617647058827</v>
      </c>
      <c r="AG44" s="210">
        <v>87</v>
      </c>
      <c r="AH44" s="203">
        <v>151</v>
      </c>
      <c r="AI44" s="211">
        <v>183</v>
      </c>
      <c r="AJ44" s="212">
        <f>AG44*产品成本!$D$2+AH44*产品成本!$D$3+AI44*产品成本!$D$4</f>
        <v>1108.5211267605644</v>
      </c>
      <c r="AK44" s="212">
        <f>AG44*产品成本!$E$2+AH44*产品成本!$E$3+AI44*产品成本!$E$4</f>
        <v>82.645123943661901</v>
      </c>
      <c r="AL44" s="212">
        <f>AG44*产品成本!$F$2+AH44*产品成本!$F$3+AI44*产品成本!$F$4</f>
        <v>143.14000000000001</v>
      </c>
      <c r="AM44" s="212">
        <f>AG44*产品成本!$G$2+AH44*产品成本!$G$3+AI44*产品成本!$G$4</f>
        <v>1623.6299999999999</v>
      </c>
      <c r="AN44" s="212">
        <f t="shared" si="13"/>
        <v>1617.6074999999998</v>
      </c>
      <c r="AO44" s="213">
        <f t="shared" si="14"/>
        <v>4575.5437507042261</v>
      </c>
      <c r="AP44" s="214">
        <v>7</v>
      </c>
      <c r="AQ44" s="214">
        <v>17</v>
      </c>
      <c r="AR44" s="215">
        <v>10</v>
      </c>
      <c r="AS44" s="216">
        <f t="shared" si="15"/>
        <v>777.30681818181813</v>
      </c>
      <c r="AT44" s="216">
        <f>AP44*产品成本!$D$2+AQ44*产品成本!$D$3+AR44*产品成本!$D$4</f>
        <v>83.802816901408519</v>
      </c>
      <c r="AU44" s="220">
        <f>AP44*产品成本!$E$2+AQ44*产品成本!$E$3+AR44*产品成本!$E$4</f>
        <v>6.5926816901408376</v>
      </c>
      <c r="AV44" s="219">
        <f>AP44*产品成本!$F$2+AQ44*产品成本!$F$3+AR44*产品成本!$F$4</f>
        <v>11.56</v>
      </c>
      <c r="AW44" s="218"/>
      <c r="AX44" s="219">
        <f t="shared" si="16"/>
        <v>116.59602272727271</v>
      </c>
      <c r="AY44" s="218">
        <f t="shared" si="17"/>
        <v>-23.319204545454543</v>
      </c>
      <c r="AZ44" s="220">
        <f t="shared" si="18"/>
        <v>195.23231677336753</v>
      </c>
      <c r="BA44" s="221">
        <f t="shared" si="19"/>
        <v>4380.3114339308586</v>
      </c>
      <c r="BB44" s="221">
        <f t="shared" si="20"/>
        <v>10784.05</v>
      </c>
      <c r="BC44" s="221">
        <f t="shared" si="21"/>
        <v>10006.743181818181</v>
      </c>
      <c r="BD44" s="222">
        <f t="shared" si="22"/>
        <v>2941.6117478873225</v>
      </c>
      <c r="BE44" s="223">
        <f t="shared" si="23"/>
        <v>0.29396295022661356</v>
      </c>
      <c r="BF44" s="229"/>
      <c r="BG44" s="229"/>
      <c r="BH44" s="229"/>
    </row>
    <row r="45" spans="1:60" ht="23.1" customHeight="1" x14ac:dyDescent="0.15">
      <c r="A45" s="234" t="s">
        <v>179</v>
      </c>
      <c r="B45" s="234" t="s">
        <v>180</v>
      </c>
      <c r="C45" s="192">
        <v>495</v>
      </c>
      <c r="D45" s="193">
        <v>453</v>
      </c>
      <c r="E45" s="196">
        <v>12053.79</v>
      </c>
      <c r="F45" s="195">
        <v>42</v>
      </c>
      <c r="G45" s="195">
        <v>41</v>
      </c>
      <c r="H45" s="196">
        <v>1030.48</v>
      </c>
      <c r="I45" s="196">
        <v>24.54</v>
      </c>
      <c r="J45" s="225">
        <v>35</v>
      </c>
      <c r="K45" s="198">
        <f t="shared" si="0"/>
        <v>7.0707070707070704E-2</v>
      </c>
      <c r="L45" s="199">
        <v>718.29</v>
      </c>
      <c r="M45" s="200">
        <f t="shared" si="1"/>
        <v>0.10986547085201794</v>
      </c>
      <c r="N45" s="198">
        <f t="shared" si="2"/>
        <v>9.420289855072464E-2</v>
      </c>
      <c r="O45" s="198">
        <f t="shared" si="3"/>
        <v>0.10635268979455857</v>
      </c>
      <c r="P45" s="201">
        <f t="shared" si="4"/>
        <v>1.0927152317880795</v>
      </c>
      <c r="Q45" s="230">
        <f t="shared" si="5"/>
        <v>26.608807947019869</v>
      </c>
      <c r="R45" s="230">
        <f t="shared" si="6"/>
        <v>24.35109090909091</v>
      </c>
      <c r="S45" s="230">
        <f t="shared" si="59"/>
        <v>70.714285714285708</v>
      </c>
      <c r="T45" s="203">
        <f t="shared" si="8"/>
        <v>160</v>
      </c>
      <c r="U45" s="204">
        <f t="shared" si="9"/>
        <v>0.35320088300220753</v>
      </c>
      <c r="V45" s="205">
        <f t="shared" si="10"/>
        <v>0.22464326537398424</v>
      </c>
      <c r="W45" s="193">
        <v>237482</v>
      </c>
      <c r="X45" s="193">
        <v>2677</v>
      </c>
      <c r="Y45" s="193">
        <v>293</v>
      </c>
      <c r="Z45" s="206">
        <v>2702.29</v>
      </c>
      <c r="AA45" s="226">
        <v>7963.35</v>
      </c>
      <c r="AB45" s="193">
        <v>1.01</v>
      </c>
      <c r="AC45" s="208">
        <f t="shared" si="11"/>
        <v>0.33934085529331248</v>
      </c>
      <c r="AD45" s="209">
        <f t="shared" ref="AD45:AF45" si="65">X45/W45</f>
        <v>1.1272433279153789E-2</v>
      </c>
      <c r="AE45" s="209">
        <f t="shared" si="65"/>
        <v>0.10945087784833769</v>
      </c>
      <c r="AF45" s="202">
        <f t="shared" si="65"/>
        <v>9.2228327645051191</v>
      </c>
      <c r="AG45" s="210">
        <v>120</v>
      </c>
      <c r="AH45" s="203">
        <v>199</v>
      </c>
      <c r="AI45" s="211">
        <v>176</v>
      </c>
      <c r="AJ45" s="212">
        <f>AG45*产品成本!$D$2+AH45*产品成本!$D$3+AI45*产品成本!$D$4</f>
        <v>1256.4788732394377</v>
      </c>
      <c r="AK45" s="212">
        <f>AG45*产品成本!$E$2+AH45*产品成本!$E$3+AI45*产品成本!$E$4</f>
        <v>96.158083098591447</v>
      </c>
      <c r="AL45" s="212">
        <f>AG45*产品成本!$F$2+AH45*产品成本!$F$3+AI45*产品成本!$F$4</f>
        <v>168.3</v>
      </c>
      <c r="AM45" s="212">
        <f>AG45*产品成本!$G$2+AH45*产品成本!$G$3+AI45*产品成本!$G$4</f>
        <v>1905.3000000000002</v>
      </c>
      <c r="AN45" s="212">
        <f t="shared" si="13"/>
        <v>1804.3875</v>
      </c>
      <c r="AO45" s="213">
        <f t="shared" si="14"/>
        <v>5230.6244563380296</v>
      </c>
      <c r="AP45" s="214">
        <v>11</v>
      </c>
      <c r="AQ45" s="214">
        <v>10</v>
      </c>
      <c r="AR45" s="215">
        <v>14</v>
      </c>
      <c r="AS45" s="216">
        <f t="shared" si="15"/>
        <v>816.23863636363637</v>
      </c>
      <c r="AT45" s="216">
        <f>AP45*产品成本!$D$2+AQ45*产品成本!$D$3+AR45*产品成本!$D$4</f>
        <v>90.704225352112744</v>
      </c>
      <c r="AU45" s="220">
        <f>AP45*产品成本!$E$2+AQ45*产品成本!$E$3+AR45*产品成本!$E$4</f>
        <v>6.7775788732394311</v>
      </c>
      <c r="AV45" s="219">
        <f>AP45*产品成本!$F$2+AQ45*产品成本!$F$3+AR45*产品成本!$F$4</f>
        <v>11.900000000000002</v>
      </c>
      <c r="AW45" s="218"/>
      <c r="AX45" s="219">
        <f t="shared" si="16"/>
        <v>122.43579545454546</v>
      </c>
      <c r="AY45" s="218">
        <f t="shared" si="17"/>
        <v>-24.487159090909092</v>
      </c>
      <c r="AZ45" s="220">
        <f t="shared" si="18"/>
        <v>207.33044058898852</v>
      </c>
      <c r="BA45" s="221">
        <f t="shared" si="19"/>
        <v>5023.2940157490411</v>
      </c>
      <c r="BB45" s="221">
        <f t="shared" si="20"/>
        <v>12029.25</v>
      </c>
      <c r="BC45" s="221">
        <f t="shared" si="21"/>
        <v>11213.011363636364</v>
      </c>
      <c r="BD45" s="222">
        <f t="shared" si="22"/>
        <v>3487.4273478873229</v>
      </c>
      <c r="BE45" s="223">
        <f t="shared" si="23"/>
        <v>0.31101612535567386</v>
      </c>
      <c r="BF45" s="227"/>
      <c r="BG45" s="227"/>
      <c r="BH45" s="227"/>
    </row>
    <row r="46" spans="1:60" ht="23.1" customHeight="1" x14ac:dyDescent="0.15">
      <c r="A46" s="234" t="s">
        <v>181</v>
      </c>
      <c r="B46" s="234" t="s">
        <v>182</v>
      </c>
      <c r="C46" s="192">
        <v>534</v>
      </c>
      <c r="D46" s="193">
        <v>510</v>
      </c>
      <c r="E46" s="196">
        <v>13028.96</v>
      </c>
      <c r="F46" s="195">
        <v>34</v>
      </c>
      <c r="G46" s="195">
        <v>30</v>
      </c>
      <c r="H46" s="196">
        <v>835.96</v>
      </c>
      <c r="I46" s="196">
        <v>24.59</v>
      </c>
      <c r="J46" s="225">
        <v>37</v>
      </c>
      <c r="K46" s="198">
        <f t="shared" si="0"/>
        <v>6.9288389513108617E-2</v>
      </c>
      <c r="L46" s="199">
        <v>770.91</v>
      </c>
      <c r="M46" s="200">
        <f t="shared" si="1"/>
        <v>7.8787878787878782E-2</v>
      </c>
      <c r="N46" s="198">
        <f t="shared" si="2"/>
        <v>0.12582781456953643</v>
      </c>
      <c r="O46" s="198">
        <f t="shared" si="3"/>
        <v>8.0901525578261954E-2</v>
      </c>
      <c r="P46" s="201">
        <f t="shared" si="4"/>
        <v>1.0470588235294118</v>
      </c>
      <c r="Q46" s="230">
        <f t="shared" si="5"/>
        <v>25.546980392156861</v>
      </c>
      <c r="R46" s="230">
        <f t="shared" si="6"/>
        <v>24.398801498127341</v>
      </c>
      <c r="S46" s="230">
        <f t="shared" si="59"/>
        <v>76.285714285714292</v>
      </c>
      <c r="T46" s="203">
        <f t="shared" si="8"/>
        <v>206</v>
      </c>
      <c r="U46" s="204">
        <f t="shared" si="9"/>
        <v>0.40392156862745099</v>
      </c>
      <c r="V46" s="205">
        <f t="shared" si="10"/>
        <v>0.22342950869592301</v>
      </c>
      <c r="W46" s="193">
        <v>259814</v>
      </c>
      <c r="X46" s="193">
        <v>3020</v>
      </c>
      <c r="Y46" s="193">
        <v>304</v>
      </c>
      <c r="Z46" s="206">
        <v>2905.56</v>
      </c>
      <c r="AA46" s="226">
        <v>7714.5</v>
      </c>
      <c r="AB46" s="193">
        <v>0.96</v>
      </c>
      <c r="AC46" s="208">
        <f t="shared" si="11"/>
        <v>0.37663620454987362</v>
      </c>
      <c r="AD46" s="209">
        <f t="shared" ref="AD46:AF46" si="66">X46/W46</f>
        <v>1.1623700031561039E-2</v>
      </c>
      <c r="AE46" s="209">
        <f t="shared" si="66"/>
        <v>0.10066225165562914</v>
      </c>
      <c r="AF46" s="202">
        <f t="shared" si="66"/>
        <v>9.5577631578947368</v>
      </c>
      <c r="AG46" s="210">
        <v>136</v>
      </c>
      <c r="AH46" s="203">
        <v>183</v>
      </c>
      <c r="AI46" s="211">
        <v>215</v>
      </c>
      <c r="AJ46" s="212">
        <f>AG46*产品成本!$D$2+AH46*产品成本!$D$3+AI46*产品成本!$D$4</f>
        <v>1385.5633802816913</v>
      </c>
      <c r="AK46" s="212">
        <f>AG46*产品成本!$E$2+AH46*产品成本!$E$3+AI46*产品成本!$E$4</f>
        <v>104.04115352112666</v>
      </c>
      <c r="AL46" s="212">
        <f>AG46*产品成本!$F$2+AH46*产品成本!$F$3+AI46*产品成本!$F$4</f>
        <v>181.56</v>
      </c>
      <c r="AM46" s="212">
        <f>AG46*产品成本!$G$2+AH46*产品成本!$G$3+AI46*产品成本!$G$4</f>
        <v>2054.04</v>
      </c>
      <c r="AN46" s="212">
        <f t="shared" si="13"/>
        <v>1950.6554999999998</v>
      </c>
      <c r="AO46" s="213">
        <f t="shared" si="14"/>
        <v>5675.8600338028173</v>
      </c>
      <c r="AP46" s="214">
        <v>10</v>
      </c>
      <c r="AQ46" s="214">
        <v>10</v>
      </c>
      <c r="AR46" s="215">
        <v>17</v>
      </c>
      <c r="AS46" s="216">
        <f t="shared" si="15"/>
        <v>876.03409090909088</v>
      </c>
      <c r="AT46" s="216">
        <f>AP46*产品成本!$D$2+AQ46*产品成本!$D$3+AR46*产品成本!$D$4</f>
        <v>98.521126760563462</v>
      </c>
      <c r="AU46" s="220">
        <f>AP46*产品成本!$E$2+AQ46*产品成本!$E$3+AR46*产品成本!$E$4</f>
        <v>7.2339718309859098</v>
      </c>
      <c r="AV46" s="219">
        <f>AP46*产品成本!$F$2+AQ46*产品成本!$F$3+AR46*产品成本!$F$4</f>
        <v>12.580000000000002</v>
      </c>
      <c r="AW46" s="218"/>
      <c r="AX46" s="219">
        <f t="shared" si="16"/>
        <v>131.40511363636364</v>
      </c>
      <c r="AY46" s="218">
        <f t="shared" si="17"/>
        <v>-26.281022727272727</v>
      </c>
      <c r="AZ46" s="220">
        <f t="shared" si="18"/>
        <v>223.45918950064026</v>
      </c>
      <c r="BA46" s="221">
        <f t="shared" si="19"/>
        <v>5452.4008443021767</v>
      </c>
      <c r="BB46" s="221">
        <f t="shared" si="20"/>
        <v>13004.369999999999</v>
      </c>
      <c r="BC46" s="221">
        <f t="shared" si="21"/>
        <v>12128.335909090909</v>
      </c>
      <c r="BD46" s="222">
        <f t="shared" si="22"/>
        <v>3770.3750647887323</v>
      </c>
      <c r="BE46" s="223">
        <f t="shared" si="23"/>
        <v>0.31087323875673761</v>
      </c>
      <c r="BF46" s="229"/>
      <c r="BG46" s="229"/>
      <c r="BH46" s="229"/>
    </row>
    <row r="47" spans="1:60" ht="23.1" customHeight="1" x14ac:dyDescent="0.15">
      <c r="A47" s="234" t="s">
        <v>183</v>
      </c>
      <c r="B47" s="234" t="s">
        <v>184</v>
      </c>
      <c r="C47" s="192">
        <v>450</v>
      </c>
      <c r="D47" s="193">
        <v>433</v>
      </c>
      <c r="E47" s="196">
        <v>10903.7</v>
      </c>
      <c r="F47" s="195">
        <v>58</v>
      </c>
      <c r="G47" s="195">
        <v>54</v>
      </c>
      <c r="H47" s="196">
        <v>1418.42</v>
      </c>
      <c r="I47" s="196">
        <v>120.8</v>
      </c>
      <c r="J47" s="225">
        <v>38</v>
      </c>
      <c r="K47" s="198">
        <f t="shared" si="0"/>
        <v>8.4444444444444447E-2</v>
      </c>
      <c r="L47" s="199">
        <v>821.92</v>
      </c>
      <c r="M47" s="200">
        <f t="shared" si="1"/>
        <v>-0.15730337078651685</v>
      </c>
      <c r="N47" s="198">
        <f t="shared" si="2"/>
        <v>-0.15098039215686274</v>
      </c>
      <c r="O47" s="198">
        <f t="shared" si="3"/>
        <v>-0.16311816138816901</v>
      </c>
      <c r="P47" s="201">
        <f t="shared" si="4"/>
        <v>1.0392609699769053</v>
      </c>
      <c r="Q47" s="230">
        <f t="shared" si="5"/>
        <v>25.181755196304852</v>
      </c>
      <c r="R47" s="230">
        <f t="shared" si="6"/>
        <v>24.230444444444448</v>
      </c>
      <c r="S47" s="230">
        <f t="shared" si="59"/>
        <v>64.285714285714292</v>
      </c>
      <c r="T47" s="203">
        <f t="shared" si="8"/>
        <v>189</v>
      </c>
      <c r="U47" s="204">
        <f t="shared" si="9"/>
        <v>0.43648960739030024</v>
      </c>
      <c r="V47" s="205">
        <f t="shared" si="10"/>
        <v>0.25213347058768976</v>
      </c>
      <c r="W47" s="193">
        <v>229696</v>
      </c>
      <c r="X47" s="193">
        <v>2721</v>
      </c>
      <c r="Y47" s="193">
        <v>244</v>
      </c>
      <c r="Z47" s="206">
        <v>2718.73</v>
      </c>
      <c r="AA47" s="226">
        <v>6153.29</v>
      </c>
      <c r="AB47" s="194">
        <v>1</v>
      </c>
      <c r="AC47" s="208">
        <f t="shared" si="11"/>
        <v>0.44183355570759708</v>
      </c>
      <c r="AD47" s="209">
        <f t="shared" ref="AD47:AF47" si="67">X47/W47</f>
        <v>1.1846092226246866E-2</v>
      </c>
      <c r="AE47" s="209">
        <f t="shared" si="67"/>
        <v>8.9672914369717013E-2</v>
      </c>
      <c r="AF47" s="202">
        <f t="shared" si="67"/>
        <v>11.142336065573771</v>
      </c>
      <c r="AG47" s="210">
        <v>112</v>
      </c>
      <c r="AH47" s="203">
        <v>175</v>
      </c>
      <c r="AI47" s="211">
        <v>163</v>
      </c>
      <c r="AJ47" s="212">
        <f>AG47*产品成本!$D$2+AH47*产品成本!$D$3+AI47*产品成本!$D$4</f>
        <v>1145.8450704225361</v>
      </c>
      <c r="AK47" s="212">
        <f>AG47*产品成本!$E$2+AH47*产品成本!$E$3+AI47*产品成本!$E$4</f>
        <v>87.412263380281601</v>
      </c>
      <c r="AL47" s="212">
        <f>AG47*产品成本!$F$2+AH47*产品成本!$F$3+AI47*产品成本!$F$4</f>
        <v>153</v>
      </c>
      <c r="AM47" s="212">
        <f>AG47*产品成本!$G$2+AH47*产品成本!$G$3+AI47*产品成本!$G$4</f>
        <v>1731.48</v>
      </c>
      <c r="AN47" s="212">
        <f t="shared" si="13"/>
        <v>1617.4350000000002</v>
      </c>
      <c r="AO47" s="213">
        <f t="shared" si="14"/>
        <v>4735.1723338028178</v>
      </c>
      <c r="AP47" s="214">
        <v>3</v>
      </c>
      <c r="AQ47" s="214">
        <v>19</v>
      </c>
      <c r="AR47" s="215">
        <v>16</v>
      </c>
      <c r="AS47" s="216">
        <f t="shared" si="15"/>
        <v>934</v>
      </c>
      <c r="AT47" s="216">
        <f>AP47*产品成本!$D$2+AQ47*产品成本!$D$3+AR47*产品成本!$D$4</f>
        <v>99.436619718309942</v>
      </c>
      <c r="AU47" s="220">
        <f>AP47*产品成本!$E$2+AQ47*产品成本!$E$3+AR47*产品成本!$E$4</f>
        <v>7.5438338028168932</v>
      </c>
      <c r="AV47" s="219">
        <f>AP47*产品成本!$F$2+AQ47*产品成本!$F$3+AR47*产品成本!$F$4</f>
        <v>12.920000000000002</v>
      </c>
      <c r="AW47" s="218"/>
      <c r="AX47" s="219">
        <f t="shared" si="16"/>
        <v>140.1</v>
      </c>
      <c r="AY47" s="218">
        <f t="shared" si="17"/>
        <v>-28.02</v>
      </c>
      <c r="AZ47" s="220">
        <f t="shared" si="18"/>
        <v>231.9804535211268</v>
      </c>
      <c r="BA47" s="221">
        <f t="shared" si="19"/>
        <v>4503.1918802816908</v>
      </c>
      <c r="BB47" s="221">
        <f t="shared" si="20"/>
        <v>10782.900000000001</v>
      </c>
      <c r="BC47" s="221">
        <f t="shared" si="21"/>
        <v>9848.9000000000015</v>
      </c>
      <c r="BD47" s="222">
        <f t="shared" si="22"/>
        <v>2626.9781197183106</v>
      </c>
      <c r="BE47" s="223">
        <f t="shared" si="23"/>
        <v>0.26672807315723684</v>
      </c>
      <c r="BF47" s="227"/>
      <c r="BG47" s="227"/>
      <c r="BH47" s="227"/>
    </row>
    <row r="48" spans="1:60" ht="23.1" customHeight="1" x14ac:dyDescent="0.15">
      <c r="A48" s="234" t="s">
        <v>185</v>
      </c>
      <c r="B48" s="234" t="s">
        <v>186</v>
      </c>
      <c r="C48" s="192">
        <v>445</v>
      </c>
      <c r="D48" s="193">
        <v>430</v>
      </c>
      <c r="E48" s="196">
        <v>10693.07</v>
      </c>
      <c r="F48" s="195">
        <v>26</v>
      </c>
      <c r="G48" s="195">
        <v>26</v>
      </c>
      <c r="H48" s="196">
        <v>626.64</v>
      </c>
      <c r="I48" s="196">
        <v>24.1</v>
      </c>
      <c r="J48" s="225">
        <v>36</v>
      </c>
      <c r="K48" s="198">
        <f t="shared" si="0"/>
        <v>8.0898876404494377E-2</v>
      </c>
      <c r="L48" s="199">
        <v>754.65</v>
      </c>
      <c r="M48" s="200">
        <f t="shared" si="1"/>
        <v>-1.1111111111111112E-2</v>
      </c>
      <c r="N48" s="198">
        <f t="shared" si="2"/>
        <v>-6.9284064665127024E-3</v>
      </c>
      <c r="O48" s="198">
        <f t="shared" si="3"/>
        <v>-1.9317295963755515E-2</v>
      </c>
      <c r="P48" s="201">
        <f t="shared" si="4"/>
        <v>1.0348837209302326</v>
      </c>
      <c r="Q48" s="230">
        <f t="shared" si="5"/>
        <v>24.86760465116279</v>
      </c>
      <c r="R48" s="230">
        <f t="shared" si="6"/>
        <v>24.029370786516854</v>
      </c>
      <c r="S48" s="230">
        <f t="shared" si="59"/>
        <v>63.571428571428569</v>
      </c>
      <c r="T48" s="203">
        <f t="shared" si="8"/>
        <v>176</v>
      </c>
      <c r="U48" s="204">
        <f t="shared" si="9"/>
        <v>0.40930232558139534</v>
      </c>
      <c r="V48" s="205">
        <f t="shared" si="10"/>
        <v>0.25087988812415823</v>
      </c>
      <c r="W48" s="193">
        <v>216007</v>
      </c>
      <c r="X48" s="193">
        <v>2646</v>
      </c>
      <c r="Y48" s="193">
        <v>254</v>
      </c>
      <c r="Z48" s="206">
        <v>2676.63</v>
      </c>
      <c r="AA48" s="226">
        <v>6219.58</v>
      </c>
      <c r="AB48" s="194">
        <v>1.01</v>
      </c>
      <c r="AC48" s="208">
        <f t="shared" si="11"/>
        <v>0.43035542592908205</v>
      </c>
      <c r="AD48" s="209">
        <f t="shared" ref="AD48:AF48" si="68">X48/W48</f>
        <v>1.2249603022124283E-2</v>
      </c>
      <c r="AE48" s="209">
        <f t="shared" si="68"/>
        <v>9.5993953136810278E-2</v>
      </c>
      <c r="AF48" s="202">
        <f t="shared" si="68"/>
        <v>10.537913385826773</v>
      </c>
      <c r="AG48" s="210">
        <v>108</v>
      </c>
      <c r="AH48" s="203">
        <v>173</v>
      </c>
      <c r="AI48" s="211">
        <v>164</v>
      </c>
      <c r="AJ48" s="212">
        <f>AG48*产品成本!$D$2+AH48*产品成本!$D$3+AI48*产品成本!$D$4</f>
        <v>1136.4788732394375</v>
      </c>
      <c r="AK48" s="212">
        <f>AG48*产品成本!$E$2+AH48*产品成本!$E$3+AI48*产品成本!$E$4</f>
        <v>86.542254929577382</v>
      </c>
      <c r="AL48" s="212">
        <f>AG48*产品成本!$F$2+AH48*产品成本!$F$3+AI48*产品成本!$F$4</f>
        <v>151.30000000000001</v>
      </c>
      <c r="AM48" s="212">
        <f>AG48*产品成本!$G$2+AH48*产品成本!$G$3+AI48*产品成本!$G$4</f>
        <v>1712.8199999999997</v>
      </c>
      <c r="AN48" s="212">
        <f t="shared" si="13"/>
        <v>1600.3454999999999</v>
      </c>
      <c r="AO48" s="213">
        <f t="shared" si="14"/>
        <v>4687.4866281690138</v>
      </c>
      <c r="AP48" s="214">
        <v>12</v>
      </c>
      <c r="AQ48" s="214">
        <v>11</v>
      </c>
      <c r="AR48" s="215">
        <v>13</v>
      </c>
      <c r="AS48" s="216">
        <f t="shared" si="15"/>
        <v>857.55681818181813</v>
      </c>
      <c r="AT48" s="216">
        <f>AP48*产品成本!$D$2+AQ48*产品成本!$D$3+AR48*产品成本!$D$4</f>
        <v>91.619718309859223</v>
      </c>
      <c r="AU48" s="220">
        <f>AP48*产品成本!$E$2+AQ48*产品成本!$E$3+AR48*产品成本!$E$4</f>
        <v>6.9339760563380217</v>
      </c>
      <c r="AV48" s="219">
        <f>AP48*产品成本!$F$2+AQ48*产品成本!$F$3+AR48*产品成本!$F$4</f>
        <v>12.24</v>
      </c>
      <c r="AW48" s="218"/>
      <c r="AX48" s="219">
        <f t="shared" si="16"/>
        <v>128.63352272727272</v>
      </c>
      <c r="AY48" s="218">
        <f t="shared" si="17"/>
        <v>-25.726704545454545</v>
      </c>
      <c r="AZ48" s="220">
        <f t="shared" si="18"/>
        <v>213.70051254801541</v>
      </c>
      <c r="BA48" s="221">
        <f t="shared" si="19"/>
        <v>4473.7861156209983</v>
      </c>
      <c r="BB48" s="221">
        <f t="shared" si="20"/>
        <v>10668.97</v>
      </c>
      <c r="BC48" s="221">
        <f t="shared" si="21"/>
        <v>9811.4131818181813</v>
      </c>
      <c r="BD48" s="222">
        <f t="shared" si="22"/>
        <v>2660.9970661971829</v>
      </c>
      <c r="BE48" s="223">
        <f t="shared" si="23"/>
        <v>0.2712144537066643</v>
      </c>
      <c r="BF48" s="229"/>
      <c r="BG48" s="229"/>
      <c r="BH48" s="229"/>
    </row>
    <row r="49" spans="1:60" ht="23.1" customHeight="1" x14ac:dyDescent="0.15">
      <c r="A49" s="234" t="s">
        <v>187</v>
      </c>
      <c r="B49" s="234" t="s">
        <v>188</v>
      </c>
      <c r="C49" s="192">
        <v>483</v>
      </c>
      <c r="D49" s="193">
        <v>451</v>
      </c>
      <c r="E49" s="196">
        <v>11272.09</v>
      </c>
      <c r="F49" s="195">
        <v>57</v>
      </c>
      <c r="G49" s="195">
        <v>53</v>
      </c>
      <c r="H49" s="196">
        <v>1364.33</v>
      </c>
      <c r="I49" s="196">
        <v>23.94</v>
      </c>
      <c r="J49" s="225">
        <v>31</v>
      </c>
      <c r="K49" s="198">
        <f t="shared" si="0"/>
        <v>6.4182194616977231E-2</v>
      </c>
      <c r="L49" s="199">
        <v>668.4</v>
      </c>
      <c r="M49" s="200">
        <f t="shared" si="1"/>
        <v>8.5393258426966295E-2</v>
      </c>
      <c r="N49" s="198">
        <f t="shared" si="2"/>
        <v>4.8837209302325581E-2</v>
      </c>
      <c r="O49" s="198">
        <f t="shared" si="3"/>
        <v>5.4149089082929452E-2</v>
      </c>
      <c r="P49" s="201">
        <f t="shared" si="4"/>
        <v>1.0709534368070954</v>
      </c>
      <c r="Q49" s="230">
        <f t="shared" si="5"/>
        <v>24.993547671840354</v>
      </c>
      <c r="R49" s="230">
        <f t="shared" si="6"/>
        <v>23.337660455486542</v>
      </c>
      <c r="S49" s="230">
        <f t="shared" si="59"/>
        <v>69</v>
      </c>
      <c r="T49" s="203">
        <f t="shared" si="8"/>
        <v>178</v>
      </c>
      <c r="U49" s="204">
        <f t="shared" si="9"/>
        <v>0.39467849223946783</v>
      </c>
      <c r="V49" s="205">
        <f t="shared" si="10"/>
        <v>0.23735014202335497</v>
      </c>
      <c r="W49" s="193">
        <v>219327</v>
      </c>
      <c r="X49" s="193">
        <v>2570</v>
      </c>
      <c r="Y49" s="193">
        <v>273</v>
      </c>
      <c r="Z49" s="206">
        <v>2669.75</v>
      </c>
      <c r="AA49" s="226">
        <v>6719.65</v>
      </c>
      <c r="AB49" s="194">
        <v>1.04</v>
      </c>
      <c r="AC49" s="208">
        <f t="shared" si="11"/>
        <v>0.39730491915501553</v>
      </c>
      <c r="AD49" s="209">
        <f t="shared" ref="AD49:AF49" si="69">X49/W49</f>
        <v>1.1717663579951397E-2</v>
      </c>
      <c r="AE49" s="209">
        <f t="shared" si="69"/>
        <v>0.10622568093385214</v>
      </c>
      <c r="AF49" s="202">
        <f t="shared" si="69"/>
        <v>9.7793040293040292</v>
      </c>
      <c r="AG49" s="210">
        <v>120</v>
      </c>
      <c r="AH49" s="203">
        <v>178</v>
      </c>
      <c r="AI49" s="211">
        <v>185</v>
      </c>
      <c r="AJ49" s="212">
        <f>AG49*产品成本!$D$2+AH49*产品成本!$D$3+AI49*产品成本!$D$4</f>
        <v>1241.9014084507053</v>
      </c>
      <c r="AK49" s="212">
        <f>AG49*产品成本!$E$2+AH49*产品成本!$E$3+AI49*产品成本!$E$4</f>
        <v>93.999490140844983</v>
      </c>
      <c r="AL49" s="212">
        <f>AG49*产品成本!$F$2+AH49*产品成本!$F$3+AI49*产品成本!$F$4</f>
        <v>164.22000000000003</v>
      </c>
      <c r="AM49" s="212">
        <f>AG49*产品成本!$G$2+AH49*产品成本!$G$3+AI49*产品成本!$G$4</f>
        <v>1858.5</v>
      </c>
      <c r="AN49" s="212">
        <f t="shared" si="13"/>
        <v>1687.2224999999999</v>
      </c>
      <c r="AO49" s="213">
        <f t="shared" si="14"/>
        <v>5045.8433985915499</v>
      </c>
      <c r="AP49" s="214">
        <v>5</v>
      </c>
      <c r="AQ49" s="214">
        <v>11</v>
      </c>
      <c r="AR49" s="215">
        <v>15</v>
      </c>
      <c r="AS49" s="216">
        <f t="shared" si="15"/>
        <v>759.5454545454545</v>
      </c>
      <c r="AT49" s="216">
        <f>AP49*产品成本!$D$2+AQ49*产品成本!$D$3+AR49*产品成本!$D$4</f>
        <v>83.450704225352183</v>
      </c>
      <c r="AU49" s="220">
        <f>AP49*产品成本!$E$2+AQ49*产品成本!$E$3+AR49*产品成本!$E$4</f>
        <v>6.1387267605633751</v>
      </c>
      <c r="AV49" s="219">
        <f>AP49*产品成本!$F$2+AQ49*产品成本!$F$3+AR49*产品成本!$F$4</f>
        <v>10.540000000000001</v>
      </c>
      <c r="AW49" s="218"/>
      <c r="AX49" s="219">
        <f t="shared" si="16"/>
        <v>113.93181818181817</v>
      </c>
      <c r="AY49" s="218">
        <f t="shared" si="17"/>
        <v>-22.786363636363635</v>
      </c>
      <c r="AZ49" s="220">
        <f t="shared" si="18"/>
        <v>191.2748855313701</v>
      </c>
      <c r="BA49" s="221">
        <f t="shared" si="19"/>
        <v>4854.5685130601796</v>
      </c>
      <c r="BB49" s="221">
        <f t="shared" si="20"/>
        <v>11248.15</v>
      </c>
      <c r="BC49" s="221">
        <f t="shared" si="21"/>
        <v>10488.604545454546</v>
      </c>
      <c r="BD49" s="222">
        <f t="shared" si="22"/>
        <v>2964.286032394366</v>
      </c>
      <c r="BE49" s="223">
        <f t="shared" si="23"/>
        <v>0.28261967734106258</v>
      </c>
      <c r="BF49" s="227"/>
      <c r="BG49" s="227"/>
      <c r="BH49" s="144"/>
    </row>
    <row r="50" spans="1:60" ht="23.1" customHeight="1" x14ac:dyDescent="0.15">
      <c r="A50" s="234" t="s">
        <v>189</v>
      </c>
      <c r="B50" s="234" t="s">
        <v>190</v>
      </c>
      <c r="C50" s="192">
        <v>493</v>
      </c>
      <c r="D50" s="193">
        <v>465</v>
      </c>
      <c r="E50" s="196">
        <v>11222.27</v>
      </c>
      <c r="F50" s="195">
        <v>46</v>
      </c>
      <c r="G50" s="195">
        <v>40</v>
      </c>
      <c r="H50" s="196">
        <v>1046.94</v>
      </c>
      <c r="I50" s="196">
        <v>22.76</v>
      </c>
      <c r="J50" s="225">
        <v>36</v>
      </c>
      <c r="K50" s="198">
        <f t="shared" si="0"/>
        <v>7.3022312373225151E-2</v>
      </c>
      <c r="L50" s="199">
        <v>740.66</v>
      </c>
      <c r="M50" s="200">
        <f t="shared" si="1"/>
        <v>2.0703933747412008E-2</v>
      </c>
      <c r="N50" s="198">
        <f t="shared" si="2"/>
        <v>3.1042128603104215E-2</v>
      </c>
      <c r="O50" s="198">
        <f t="shared" si="3"/>
        <v>-4.4197659883836726E-3</v>
      </c>
      <c r="P50" s="201">
        <f t="shared" si="4"/>
        <v>1.0602150537634409</v>
      </c>
      <c r="Q50" s="230">
        <f t="shared" si="5"/>
        <v>24.133913978494625</v>
      </c>
      <c r="R50" s="230">
        <f t="shared" si="6"/>
        <v>22.763225152129817</v>
      </c>
      <c r="S50" s="230">
        <f t="shared" si="59"/>
        <v>70.428571428571431</v>
      </c>
      <c r="T50" s="203">
        <f t="shared" si="8"/>
        <v>187</v>
      </c>
      <c r="U50" s="204">
        <f t="shared" si="9"/>
        <v>0.40215053763440861</v>
      </c>
      <c r="V50" s="205">
        <f t="shared" si="10"/>
        <v>0.25394057418583493</v>
      </c>
      <c r="W50" s="193">
        <v>231757</v>
      </c>
      <c r="X50" s="193">
        <v>2741</v>
      </c>
      <c r="Y50" s="193">
        <v>278</v>
      </c>
      <c r="Z50" s="206">
        <v>2844.01</v>
      </c>
      <c r="AA50" s="226">
        <v>6674.3</v>
      </c>
      <c r="AB50" s="194">
        <v>1.04</v>
      </c>
      <c r="AC50" s="208">
        <f t="shared" si="11"/>
        <v>0.42611359992808234</v>
      </c>
      <c r="AD50" s="209">
        <f t="shared" ref="AD50:AF50" si="70">X50/W50</f>
        <v>1.1827042980363052E-2</v>
      </c>
      <c r="AE50" s="209">
        <f t="shared" si="70"/>
        <v>0.10142283838015323</v>
      </c>
      <c r="AF50" s="202">
        <f t="shared" si="70"/>
        <v>10.230251798561152</v>
      </c>
      <c r="AG50" s="210">
        <v>108</v>
      </c>
      <c r="AH50" s="203">
        <v>196</v>
      </c>
      <c r="AI50" s="211">
        <v>189</v>
      </c>
      <c r="AJ50" s="212">
        <f>AG50*产品成本!$D$2+AH50*产品成本!$D$3+AI50*产品成本!$D$4</f>
        <v>1267.8169014084517</v>
      </c>
      <c r="AK50" s="212">
        <f>AG50*产品成本!$E$2+AH50*产品成本!$E$3+AI50*产品成本!$E$4</f>
        <v>96.226428169013985</v>
      </c>
      <c r="AL50" s="212">
        <f>AG50*产品成本!$F$2+AH50*产品成本!$F$3+AI50*产品成本!$F$4</f>
        <v>167.62</v>
      </c>
      <c r="AM50" s="212">
        <f>AG50*产品成本!$G$2+AH50*产品成本!$G$3+AI50*产品成本!$G$4</f>
        <v>1900.02</v>
      </c>
      <c r="AN50" s="212">
        <f t="shared" si="13"/>
        <v>1679.9265</v>
      </c>
      <c r="AO50" s="213">
        <f t="shared" si="14"/>
        <v>5111.6098295774664</v>
      </c>
      <c r="AP50" s="214">
        <v>10</v>
      </c>
      <c r="AQ50" s="214">
        <v>11</v>
      </c>
      <c r="AR50" s="215">
        <v>15</v>
      </c>
      <c r="AS50" s="216">
        <f t="shared" si="15"/>
        <v>841.65909090909088</v>
      </c>
      <c r="AT50" s="216">
        <f>AP50*产品成本!$D$2+AQ50*产品成本!$D$3+AR50*产品成本!$D$4</f>
        <v>94.014084507042327</v>
      </c>
      <c r="AU50" s="220">
        <f>AP50*产品成本!$E$2+AQ50*产品成本!$E$3+AR50*产品成本!$E$4</f>
        <v>7.0067619718309793</v>
      </c>
      <c r="AV50" s="219">
        <f>AP50*产品成本!$F$2+AQ50*产品成本!$F$3+AR50*产品成本!$F$4</f>
        <v>12.240000000000002</v>
      </c>
      <c r="AW50" s="218"/>
      <c r="AX50" s="219">
        <f t="shared" si="16"/>
        <v>126.24886363636362</v>
      </c>
      <c r="AY50" s="218">
        <f t="shared" si="17"/>
        <v>-25.249772727272727</v>
      </c>
      <c r="AZ50" s="220">
        <f t="shared" si="18"/>
        <v>214.25993738796421</v>
      </c>
      <c r="BA50" s="221">
        <f t="shared" si="19"/>
        <v>4897.3498921895025</v>
      </c>
      <c r="BB50" s="221">
        <f t="shared" si="20"/>
        <v>11199.51</v>
      </c>
      <c r="BC50" s="221">
        <f t="shared" si="21"/>
        <v>10357.85090909091</v>
      </c>
      <c r="BD50" s="222">
        <f t="shared" si="22"/>
        <v>2616.4910169014074</v>
      </c>
      <c r="BE50" s="223">
        <f t="shared" si="23"/>
        <v>0.25260944957268672</v>
      </c>
      <c r="BF50" s="229"/>
      <c r="BG50" s="229" t="s">
        <v>91</v>
      </c>
      <c r="BH50" s="144"/>
    </row>
    <row r="51" spans="1:60" ht="23.1" customHeight="1" x14ac:dyDescent="0.15">
      <c r="A51" s="234" t="s">
        <v>191</v>
      </c>
      <c r="B51" s="234" t="s">
        <v>192</v>
      </c>
      <c r="C51" s="192">
        <v>389</v>
      </c>
      <c r="D51" s="193">
        <v>372</v>
      </c>
      <c r="E51" s="196">
        <v>9211.49</v>
      </c>
      <c r="F51" s="195">
        <v>43</v>
      </c>
      <c r="G51" s="195">
        <v>37</v>
      </c>
      <c r="H51" s="196">
        <v>1010.09</v>
      </c>
      <c r="I51" s="196">
        <v>90.6</v>
      </c>
      <c r="J51" s="225">
        <v>39</v>
      </c>
      <c r="K51" s="198">
        <f t="shared" si="0"/>
        <v>0.10025706940874037</v>
      </c>
      <c r="L51" s="199">
        <v>745.57</v>
      </c>
      <c r="M51" s="200">
        <f t="shared" si="1"/>
        <v>-0.21095334685598377</v>
      </c>
      <c r="N51" s="198">
        <f t="shared" si="2"/>
        <v>-0.2</v>
      </c>
      <c r="O51" s="198">
        <f t="shared" si="3"/>
        <v>-0.17917765300603181</v>
      </c>
      <c r="P51" s="201">
        <f t="shared" si="4"/>
        <v>1.0456989247311828</v>
      </c>
      <c r="Q51" s="230">
        <f t="shared" si="5"/>
        <v>24.762069892473118</v>
      </c>
      <c r="R51" s="230">
        <f t="shared" si="6"/>
        <v>23.679922879177376</v>
      </c>
      <c r="S51" s="230">
        <f t="shared" si="59"/>
        <v>55.571428571428569</v>
      </c>
      <c r="T51" s="203">
        <f t="shared" si="8"/>
        <v>156</v>
      </c>
      <c r="U51" s="204">
        <f t="shared" si="9"/>
        <v>0.41935483870967744</v>
      </c>
      <c r="V51" s="205">
        <f t="shared" si="10"/>
        <v>0.26663297112452844</v>
      </c>
      <c r="W51" s="193">
        <v>205001</v>
      </c>
      <c r="X51" s="193">
        <v>2296</v>
      </c>
      <c r="Y51" s="193">
        <v>216</v>
      </c>
      <c r="Z51" s="206">
        <v>2431.9299999999998</v>
      </c>
      <c r="AA51" s="226">
        <v>5333.28</v>
      </c>
      <c r="AB51" s="194">
        <v>1.06</v>
      </c>
      <c r="AC51" s="208">
        <f t="shared" si="11"/>
        <v>0.45599143491434913</v>
      </c>
      <c r="AD51" s="209">
        <f t="shared" ref="AD51:AF51" si="71">X51/W51</f>
        <v>1.1199945366120165E-2</v>
      </c>
      <c r="AE51" s="209">
        <f t="shared" si="71"/>
        <v>9.4076655052264813E-2</v>
      </c>
      <c r="AF51" s="202">
        <f t="shared" si="71"/>
        <v>11.258935185185184</v>
      </c>
      <c r="AG51" s="210">
        <v>78</v>
      </c>
      <c r="AH51" s="203">
        <v>139</v>
      </c>
      <c r="AI51" s="211">
        <v>160</v>
      </c>
      <c r="AJ51" s="212">
        <f>AG51*产品成本!$D$2+AH51*产品成本!$D$3+AI51*产品成本!$D$4</f>
        <v>988.02816901408528</v>
      </c>
      <c r="AK51" s="212">
        <f>AG51*产品成本!$E$2+AH51*产品成本!$E$3+AI51*产品成本!$E$4</f>
        <v>73.939178873239371</v>
      </c>
      <c r="AL51" s="212">
        <f>AG51*产品成本!$F$2+AH51*产品成本!$F$3+AI51*产品成本!$F$4</f>
        <v>128.18</v>
      </c>
      <c r="AM51" s="212">
        <f>AG51*产品成本!$G$2+AH51*产品成本!$G$3+AI51*产品成本!$G$4</f>
        <v>1453.92</v>
      </c>
      <c r="AN51" s="212">
        <f t="shared" si="13"/>
        <v>1368.1334999999999</v>
      </c>
      <c r="AO51" s="213">
        <f t="shared" si="14"/>
        <v>4012.2008478873249</v>
      </c>
      <c r="AP51" s="214">
        <v>11</v>
      </c>
      <c r="AQ51" s="214">
        <v>10</v>
      </c>
      <c r="AR51" s="215">
        <v>15</v>
      </c>
      <c r="AS51" s="216">
        <f t="shared" si="15"/>
        <v>847.23863636363637</v>
      </c>
      <c r="AT51" s="216">
        <f>AP51*产品成本!$D$2+AQ51*产品成本!$D$3+AR51*产品成本!$D$4</f>
        <v>94.014084507042327</v>
      </c>
      <c r="AU51" s="220">
        <f>AP51*产品成本!$E$2+AQ51*产品成本!$E$3+AR51*产品成本!$E$4</f>
        <v>6.9875788732394311</v>
      </c>
      <c r="AV51" s="219">
        <f>AP51*产品成本!$F$2+AQ51*产品成本!$F$3+AR51*产品成本!$F$4</f>
        <v>12.240000000000002</v>
      </c>
      <c r="AW51" s="218"/>
      <c r="AX51" s="219">
        <f t="shared" si="16"/>
        <v>127.08579545454545</v>
      </c>
      <c r="AY51" s="218">
        <f t="shared" si="17"/>
        <v>-25.417159090909092</v>
      </c>
      <c r="AZ51" s="220">
        <f t="shared" si="18"/>
        <v>214.91029974391813</v>
      </c>
      <c r="BA51" s="221">
        <f t="shared" si="19"/>
        <v>3797.2905481434068</v>
      </c>
      <c r="BB51" s="221">
        <f t="shared" si="20"/>
        <v>9120.89</v>
      </c>
      <c r="BC51" s="221">
        <f t="shared" si="21"/>
        <v>8273.6513636363634</v>
      </c>
      <c r="BD51" s="222">
        <f t="shared" si="22"/>
        <v>2044.4308154929572</v>
      </c>
      <c r="BE51" s="223">
        <f t="shared" si="23"/>
        <v>0.24710139763423711</v>
      </c>
      <c r="BF51" s="227"/>
      <c r="BG51" s="227"/>
      <c r="BH51" s="144"/>
    </row>
    <row r="52" spans="1:60" ht="23.1" customHeight="1" x14ac:dyDescent="0.15">
      <c r="A52" s="234" t="s">
        <v>193</v>
      </c>
      <c r="B52" s="234" t="s">
        <v>194</v>
      </c>
      <c r="C52" s="192">
        <v>488</v>
      </c>
      <c r="D52" s="193">
        <v>459</v>
      </c>
      <c r="E52" s="196">
        <v>10739.43</v>
      </c>
      <c r="F52" s="195">
        <v>73</v>
      </c>
      <c r="G52" s="195">
        <v>59</v>
      </c>
      <c r="H52" s="196">
        <v>1600.47</v>
      </c>
      <c r="I52" s="196">
        <v>149.07</v>
      </c>
      <c r="J52" s="225">
        <v>30</v>
      </c>
      <c r="K52" s="198">
        <f t="shared" si="0"/>
        <v>6.1475409836065573E-2</v>
      </c>
      <c r="L52" s="199">
        <v>606.91</v>
      </c>
      <c r="M52" s="200">
        <f t="shared" si="1"/>
        <v>0.25449871465295631</v>
      </c>
      <c r="N52" s="198">
        <f t="shared" si="2"/>
        <v>0.23387096774193547</v>
      </c>
      <c r="O52" s="198">
        <f t="shared" si="3"/>
        <v>0.16587327348778541</v>
      </c>
      <c r="P52" s="201">
        <f t="shared" si="4"/>
        <v>1.0631808278867103</v>
      </c>
      <c r="Q52" s="230">
        <f t="shared" si="5"/>
        <v>23.397450980392158</v>
      </c>
      <c r="R52" s="230">
        <f t="shared" si="6"/>
        <v>22.007028688524592</v>
      </c>
      <c r="S52" s="230">
        <f t="shared" si="59"/>
        <v>69.714285714285708</v>
      </c>
      <c r="T52" s="203">
        <f t="shared" si="8"/>
        <v>159</v>
      </c>
      <c r="U52" s="204">
        <f t="shared" si="9"/>
        <v>0.34640522875816993</v>
      </c>
      <c r="V52" s="205">
        <f t="shared" si="10"/>
        <v>0.27900940100242105</v>
      </c>
      <c r="W52" s="193">
        <v>215670</v>
      </c>
      <c r="X52" s="193">
        <v>2743</v>
      </c>
      <c r="Y52" s="193">
        <v>300</v>
      </c>
      <c r="Z52" s="206">
        <v>2954.81</v>
      </c>
      <c r="AA52" s="226">
        <v>6866.78</v>
      </c>
      <c r="AB52" s="194">
        <v>1.08</v>
      </c>
      <c r="AC52" s="208">
        <f t="shared" si="11"/>
        <v>0.43030503380041302</v>
      </c>
      <c r="AD52" s="209">
        <f t="shared" ref="AD52:AF52" si="72">X52/W52</f>
        <v>1.2718505123568414E-2</v>
      </c>
      <c r="AE52" s="209">
        <f t="shared" si="72"/>
        <v>0.10936930368209989</v>
      </c>
      <c r="AF52" s="202">
        <f t="shared" si="72"/>
        <v>9.8493666666666666</v>
      </c>
      <c r="AG52" s="210">
        <v>120</v>
      </c>
      <c r="AH52" s="203">
        <v>207</v>
      </c>
      <c r="AI52" s="211">
        <v>161</v>
      </c>
      <c r="AJ52" s="212">
        <f>AG52*产品成本!$D$2+AH52*产品成本!$D$3+AI52*产品成本!$D$4</f>
        <v>1223.7323943661982</v>
      </c>
      <c r="AK52" s="212">
        <f>AG52*产品成本!$E$2+AH52*产品成本!$E$3+AI52*产品成本!$E$4</f>
        <v>94.550404225352011</v>
      </c>
      <c r="AL52" s="212">
        <f>AG52*产品成本!$F$2+AH52*产品成本!$F$3+AI52*产品成本!$F$4</f>
        <v>165.92000000000002</v>
      </c>
      <c r="AM52" s="212">
        <f>AG52*产品成本!$G$2+AH52*产品成本!$G$3+AI52*产品成本!$G$4</f>
        <v>1878</v>
      </c>
      <c r="AN52" s="212">
        <f t="shared" si="13"/>
        <v>1588.5540000000001</v>
      </c>
      <c r="AO52" s="213">
        <f t="shared" si="14"/>
        <v>4950.7567985915503</v>
      </c>
      <c r="AP52" s="214">
        <v>8</v>
      </c>
      <c r="AQ52" s="214">
        <v>11</v>
      </c>
      <c r="AR52" s="215">
        <v>11</v>
      </c>
      <c r="AS52" s="216">
        <f t="shared" si="15"/>
        <v>689.6704545454545</v>
      </c>
      <c r="AT52" s="216">
        <f>AP52*产品成本!$D$2+AQ52*产品成本!$D$3+AR52*产品成本!$D$4</f>
        <v>76.549295774647945</v>
      </c>
      <c r="AU52" s="220">
        <f>AP52*产品成本!$E$2+AQ52*产品成本!$E$3+AR52*产品成本!$E$4</f>
        <v>5.8195478873239388</v>
      </c>
      <c r="AV52" s="219">
        <f>AP52*产品成本!$F$2+AQ52*产品成本!$F$3+AR52*产品成本!$F$4</f>
        <v>10.200000000000001</v>
      </c>
      <c r="AW52" s="218"/>
      <c r="AX52" s="219">
        <f t="shared" si="16"/>
        <v>103.45056818181817</v>
      </c>
      <c r="AY52" s="218">
        <f t="shared" si="17"/>
        <v>-20.690113636363634</v>
      </c>
      <c r="AZ52" s="220">
        <f t="shared" si="18"/>
        <v>175.32929820742643</v>
      </c>
      <c r="BA52" s="221">
        <f t="shared" si="19"/>
        <v>4775.427500384124</v>
      </c>
      <c r="BB52" s="221">
        <f t="shared" si="20"/>
        <v>10590.36</v>
      </c>
      <c r="BC52" s="221">
        <f t="shared" si="21"/>
        <v>9900.6895454545465</v>
      </c>
      <c r="BD52" s="222">
        <f t="shared" si="22"/>
        <v>2170.4520450704226</v>
      </c>
      <c r="BE52" s="223">
        <f t="shared" si="23"/>
        <v>0.21922231124466351</v>
      </c>
      <c r="BF52" s="229"/>
      <c r="BG52" s="229"/>
      <c r="BH52" s="144"/>
    </row>
    <row r="53" spans="1:60" ht="23.1" customHeight="1" x14ac:dyDescent="0.15">
      <c r="A53" s="234" t="s">
        <v>195</v>
      </c>
      <c r="B53" s="234" t="s">
        <v>196</v>
      </c>
      <c r="C53" s="192">
        <v>620</v>
      </c>
      <c r="D53" s="193">
        <v>584</v>
      </c>
      <c r="E53" s="196">
        <v>12681.75</v>
      </c>
      <c r="F53" s="195">
        <v>32</v>
      </c>
      <c r="G53" s="195">
        <v>21</v>
      </c>
      <c r="H53" s="196">
        <v>750.03</v>
      </c>
      <c r="I53" s="196">
        <v>55.44</v>
      </c>
      <c r="J53" s="225">
        <v>31</v>
      </c>
      <c r="K53" s="198">
        <f t="shared" si="0"/>
        <v>0.05</v>
      </c>
      <c r="L53" s="199">
        <v>592.98</v>
      </c>
      <c r="M53" s="200">
        <f t="shared" si="1"/>
        <v>0.27049180327868855</v>
      </c>
      <c r="N53" s="198">
        <f t="shared" si="2"/>
        <v>0.27233115468409586</v>
      </c>
      <c r="O53" s="198">
        <f t="shared" si="3"/>
        <v>0.18085876066048195</v>
      </c>
      <c r="P53" s="201">
        <f t="shared" si="4"/>
        <v>1.0616438356164384</v>
      </c>
      <c r="Q53" s="230">
        <f t="shared" si="5"/>
        <v>21.715325342465754</v>
      </c>
      <c r="R53" s="230">
        <f t="shared" si="6"/>
        <v>20.454435483870967</v>
      </c>
      <c r="S53" s="230">
        <f t="shared" si="59"/>
        <v>88.571428571428569</v>
      </c>
      <c r="T53" s="203">
        <f t="shared" si="8"/>
        <v>193</v>
      </c>
      <c r="U53" s="204">
        <f t="shared" si="9"/>
        <v>0.33047945205479451</v>
      </c>
      <c r="V53" s="205">
        <f t="shared" si="10"/>
        <v>0.25549665737654154</v>
      </c>
      <c r="W53" s="193">
        <v>245287</v>
      </c>
      <c r="X53" s="193">
        <v>2996</v>
      </c>
      <c r="Y53" s="193">
        <v>391</v>
      </c>
      <c r="Z53" s="206">
        <v>3225.98</v>
      </c>
      <c r="AA53" s="226">
        <v>8335.08</v>
      </c>
      <c r="AB53" s="194">
        <v>1.08</v>
      </c>
      <c r="AC53" s="208">
        <f t="shared" si="11"/>
        <v>0.38703647715438844</v>
      </c>
      <c r="AD53" s="209">
        <f t="shared" ref="AD53:AF53" si="73">X53/W53</f>
        <v>1.2214263291572729E-2</v>
      </c>
      <c r="AE53" s="209">
        <f t="shared" si="73"/>
        <v>0.13050734312416556</v>
      </c>
      <c r="AF53" s="202">
        <f t="shared" si="73"/>
        <v>8.2505882352941171</v>
      </c>
      <c r="AG53" s="210">
        <v>155</v>
      </c>
      <c r="AH53" s="203">
        <v>221</v>
      </c>
      <c r="AI53" s="211">
        <v>244</v>
      </c>
      <c r="AJ53" s="212">
        <f>AG53*产品成本!$D$2+AH53*产品成本!$D$3+AI53*产品成本!$D$4</f>
        <v>1601.9718309859168</v>
      </c>
      <c r="AK53" s="212">
        <f>AG53*产品成本!$E$2+AH53*产品成本!$E$3+AI53*产品成本!$E$4</f>
        <v>120.75571267605622</v>
      </c>
      <c r="AL53" s="212">
        <f>AG53*产品成本!$F$2+AH53*产品成本!$F$3+AI53*产品成本!$F$4</f>
        <v>210.8</v>
      </c>
      <c r="AM53" s="212">
        <f>AG53*产品成本!$G$2+AH53*产品成本!$G$3+AI53*产品成本!$G$4</f>
        <v>2385.4499999999998</v>
      </c>
      <c r="AN53" s="212">
        <f t="shared" si="13"/>
        <v>1893.9464999999998</v>
      </c>
      <c r="AO53" s="213">
        <f t="shared" si="14"/>
        <v>6212.924043661973</v>
      </c>
      <c r="AP53" s="214">
        <v>10</v>
      </c>
      <c r="AQ53" s="214">
        <v>9</v>
      </c>
      <c r="AR53" s="215">
        <v>12</v>
      </c>
      <c r="AS53" s="216">
        <f t="shared" si="15"/>
        <v>673.84090909090912</v>
      </c>
      <c r="AT53" s="216">
        <f>AP53*产品成本!$D$2+AQ53*产品成本!$D$3+AR53*产品成本!$D$4</f>
        <v>79.859154929577528</v>
      </c>
      <c r="AU53" s="220">
        <f>AP53*产品成本!$E$2+AQ53*产品成本!$E$3+AR53*产品成本!$E$4</f>
        <v>5.9911816901408397</v>
      </c>
      <c r="AV53" s="219">
        <f>AP53*产品成本!$F$2+AQ53*产品成本!$F$3+AR53*产品成本!$F$4</f>
        <v>10.540000000000001</v>
      </c>
      <c r="AW53" s="218"/>
      <c r="AX53" s="219">
        <f t="shared" si="16"/>
        <v>101.07613636363637</v>
      </c>
      <c r="AY53" s="218">
        <f t="shared" si="17"/>
        <v>-20.215227272727276</v>
      </c>
      <c r="AZ53" s="220">
        <f t="shared" si="18"/>
        <v>177.25124571062744</v>
      </c>
      <c r="BA53" s="221">
        <f t="shared" si="19"/>
        <v>6035.6727979513453</v>
      </c>
      <c r="BB53" s="221">
        <f t="shared" si="20"/>
        <v>12626.31</v>
      </c>
      <c r="BC53" s="221">
        <f t="shared" si="21"/>
        <v>11952.46909090909</v>
      </c>
      <c r="BD53" s="222">
        <f t="shared" si="22"/>
        <v>2690.8162929577443</v>
      </c>
      <c r="BE53" s="223">
        <f t="shared" si="23"/>
        <v>0.22512639626939912</v>
      </c>
      <c r="BF53" s="227"/>
      <c r="BG53" s="227" t="s">
        <v>197</v>
      </c>
      <c r="BH53" s="144"/>
    </row>
    <row r="54" spans="1:60" ht="23.1" customHeight="1" x14ac:dyDescent="0.15">
      <c r="A54" s="234" t="s">
        <v>198</v>
      </c>
      <c r="B54" s="234" t="s">
        <v>199</v>
      </c>
      <c r="C54" s="192">
        <v>436</v>
      </c>
      <c r="D54" s="193">
        <v>415</v>
      </c>
      <c r="E54" s="196">
        <v>9798.42</v>
      </c>
      <c r="F54" s="195">
        <v>54</v>
      </c>
      <c r="G54" s="195">
        <v>47</v>
      </c>
      <c r="H54" s="196">
        <v>1197.4100000000001</v>
      </c>
      <c r="I54" s="196">
        <v>108.15</v>
      </c>
      <c r="J54" s="238">
        <v>56</v>
      </c>
      <c r="K54" s="239">
        <f t="shared" si="0"/>
        <v>0.12844036697247707</v>
      </c>
      <c r="L54" s="240">
        <v>906.05</v>
      </c>
      <c r="M54" s="200">
        <f t="shared" si="1"/>
        <v>-0.29677419354838708</v>
      </c>
      <c r="N54" s="198">
        <f t="shared" si="2"/>
        <v>-0.28938356164383561</v>
      </c>
      <c r="O54" s="198">
        <f t="shared" si="3"/>
        <v>-0.22736057720740432</v>
      </c>
      <c r="P54" s="201">
        <f t="shared" si="4"/>
        <v>1.0506024096385542</v>
      </c>
      <c r="Q54" s="230">
        <f t="shared" si="5"/>
        <v>23.610650602409638</v>
      </c>
      <c r="R54" s="230">
        <f t="shared" si="6"/>
        <v>22.473440366972476</v>
      </c>
      <c r="S54" s="230">
        <f t="shared" si="59"/>
        <v>62.285714285714285</v>
      </c>
      <c r="T54" s="203">
        <f t="shared" si="8"/>
        <v>146</v>
      </c>
      <c r="U54" s="204">
        <f t="shared" si="9"/>
        <v>0.35180722891566263</v>
      </c>
      <c r="V54" s="205">
        <f t="shared" si="10"/>
        <v>0.24867831340096819</v>
      </c>
      <c r="W54" s="193">
        <v>221059</v>
      </c>
      <c r="X54" s="193">
        <v>2304</v>
      </c>
      <c r="Y54" s="193">
        <v>269</v>
      </c>
      <c r="Z54" s="206">
        <v>2409.7600000000002</v>
      </c>
      <c r="AA54" s="226">
        <v>6239.78</v>
      </c>
      <c r="AB54" s="194">
        <v>1.05</v>
      </c>
      <c r="AC54" s="208">
        <f t="shared" si="11"/>
        <v>0.38619310296196346</v>
      </c>
      <c r="AD54" s="209">
        <f t="shared" ref="AD54:AF54" si="74">X54/W54</f>
        <v>1.0422556873956726E-2</v>
      </c>
      <c r="AE54" s="209">
        <f t="shared" si="74"/>
        <v>0.11675347222222222</v>
      </c>
      <c r="AF54" s="202">
        <f t="shared" si="74"/>
        <v>8.958215613382901</v>
      </c>
      <c r="AG54" s="210">
        <v>130</v>
      </c>
      <c r="AH54" s="203">
        <v>145</v>
      </c>
      <c r="AI54" s="211">
        <v>161</v>
      </c>
      <c r="AJ54" s="212">
        <f>AG54*产品成本!$D$2+AH54*产品成本!$D$3+AI54*产品成本!$D$4</f>
        <v>1113.8732394366207</v>
      </c>
      <c r="AK54" s="212">
        <f>AG54*产品成本!$E$2+AH54*产品成本!$E$3+AI54*产品成本!$E$4</f>
        <v>84.333485915492886</v>
      </c>
      <c r="AL54" s="212">
        <f>AG54*产品成本!$F$2+AH54*产品成本!$F$3+AI54*产品成本!$F$4</f>
        <v>148.24</v>
      </c>
      <c r="AM54" s="212">
        <f>AG54*产品成本!$G$2+AH54*产品成本!$G$3+AI54*产品成本!$G$4</f>
        <v>1673.1</v>
      </c>
      <c r="AN54" s="212">
        <f t="shared" si="13"/>
        <v>1453.5405000000001</v>
      </c>
      <c r="AO54" s="213">
        <f t="shared" si="14"/>
        <v>4473.0872253521138</v>
      </c>
      <c r="AP54" s="214">
        <v>16</v>
      </c>
      <c r="AQ54" s="214">
        <v>17</v>
      </c>
      <c r="AR54" s="215">
        <v>23</v>
      </c>
      <c r="AS54" s="216">
        <f t="shared" si="15"/>
        <v>1029.6022727272727</v>
      </c>
      <c r="AT54" s="216">
        <f>AP54*产品成本!$D$2+AQ54*产品成本!$D$3+AR54*产品成本!$D$4</f>
        <v>145.84507042253534</v>
      </c>
      <c r="AU54" s="220">
        <f>AP54*产品成本!$E$2+AQ54*产品成本!$E$3+AR54*产品成本!$E$4</f>
        <v>10.885145070422526</v>
      </c>
      <c r="AV54" s="219">
        <f>AP54*产品成本!$F$2+AQ54*产品成本!$F$3+AR54*产品成本!$F$4</f>
        <v>19.04</v>
      </c>
      <c r="AW54" s="218"/>
      <c r="AX54" s="219">
        <f t="shared" si="16"/>
        <v>154.44034090909091</v>
      </c>
      <c r="AY54" s="218">
        <f t="shared" si="17"/>
        <v>-30.888068181818184</v>
      </c>
      <c r="AZ54" s="220">
        <f t="shared" si="18"/>
        <v>299.32248822023058</v>
      </c>
      <c r="BA54" s="221">
        <f t="shared" si="19"/>
        <v>4173.7647371318835</v>
      </c>
      <c r="BB54" s="221">
        <f t="shared" si="20"/>
        <v>9690.27</v>
      </c>
      <c r="BC54" s="221">
        <f t="shared" si="21"/>
        <v>8660.6677272727284</v>
      </c>
      <c r="BD54" s="222">
        <f t="shared" si="22"/>
        <v>2077.1429901408446</v>
      </c>
      <c r="BE54" s="223">
        <f t="shared" si="23"/>
        <v>0.23983635621995436</v>
      </c>
      <c r="BF54" s="229"/>
      <c r="BG54" s="229"/>
      <c r="BH54" s="144"/>
    </row>
    <row r="55" spans="1:60" ht="23.1" customHeight="1" x14ac:dyDescent="0.15">
      <c r="A55" s="234" t="s">
        <v>200</v>
      </c>
      <c r="B55" s="234" t="s">
        <v>201</v>
      </c>
      <c r="C55" s="192">
        <v>424</v>
      </c>
      <c r="D55" s="193">
        <v>408</v>
      </c>
      <c r="E55" s="196">
        <v>9547.58</v>
      </c>
      <c r="F55" s="195">
        <v>35</v>
      </c>
      <c r="G55" s="195">
        <v>33</v>
      </c>
      <c r="H55" s="196">
        <v>804.25</v>
      </c>
      <c r="I55" s="196">
        <v>78.540000000000006</v>
      </c>
      <c r="J55" s="238">
        <v>30</v>
      </c>
      <c r="K55" s="239">
        <f t="shared" si="0"/>
        <v>7.0754716981132074E-2</v>
      </c>
      <c r="L55" s="240">
        <v>583.25</v>
      </c>
      <c r="M55" s="200">
        <f t="shared" si="1"/>
        <v>-2.7522935779816515E-2</v>
      </c>
      <c r="N55" s="198">
        <f t="shared" si="2"/>
        <v>-1.6867469879518072E-2</v>
      </c>
      <c r="O55" s="198">
        <f t="shared" si="3"/>
        <v>-2.560004572165718E-2</v>
      </c>
      <c r="P55" s="201">
        <f t="shared" si="4"/>
        <v>1.0392156862745099</v>
      </c>
      <c r="Q55" s="230">
        <f t="shared" si="5"/>
        <v>23.400931372549021</v>
      </c>
      <c r="R55" s="230">
        <f t="shared" si="6"/>
        <v>22.517877358490566</v>
      </c>
      <c r="S55" s="230">
        <f t="shared" si="59"/>
        <v>60.571428571428569</v>
      </c>
      <c r="T55" s="203">
        <f t="shared" si="8"/>
        <v>159</v>
      </c>
      <c r="U55" s="204">
        <f t="shared" si="9"/>
        <v>0.38970588235294118</v>
      </c>
      <c r="V55" s="205">
        <f t="shared" si="10"/>
        <v>0.26102962919155481</v>
      </c>
      <c r="W55" s="193">
        <v>224559</v>
      </c>
      <c r="X55" s="193">
        <v>2317</v>
      </c>
      <c r="Y55" s="193">
        <v>249</v>
      </c>
      <c r="Z55" s="206">
        <v>2471.6999999999998</v>
      </c>
      <c r="AA55" s="226">
        <v>5757.73</v>
      </c>
      <c r="AB55" s="194">
        <v>1.07</v>
      </c>
      <c r="AC55" s="208">
        <f t="shared" si="11"/>
        <v>0.42928376287182624</v>
      </c>
      <c r="AD55" s="209">
        <f t="shared" ref="AD55:AF55" si="75">X55/W55</f>
        <v>1.0318001059855093E-2</v>
      </c>
      <c r="AE55" s="209">
        <f t="shared" si="75"/>
        <v>0.1074665515753129</v>
      </c>
      <c r="AF55" s="202">
        <f t="shared" si="75"/>
        <v>9.9265060240963852</v>
      </c>
      <c r="AG55" s="210">
        <v>107</v>
      </c>
      <c r="AH55" s="203">
        <v>150</v>
      </c>
      <c r="AI55" s="211">
        <v>155</v>
      </c>
      <c r="AJ55" s="212">
        <f>AG55*产品成本!$D$2+AH55*产品成本!$D$3+AI55*产品成本!$D$4</f>
        <v>1055.9859154929586</v>
      </c>
      <c r="AK55" s="212">
        <f>AG55*产品成本!$E$2+AH55*产品成本!$E$3+AI55*产品成本!$E$4</f>
        <v>80.044474647887242</v>
      </c>
      <c r="AL55" s="212">
        <f>AG55*产品成本!$F$2+AH55*产品成本!$F$3+AI55*产品成本!$F$4</f>
        <v>140.08000000000001</v>
      </c>
      <c r="AM55" s="212">
        <f>AG55*产品成本!$G$2+AH55*产品成本!$G$3+AI55*产品成本!$G$4</f>
        <v>1584.33</v>
      </c>
      <c r="AN55" s="212">
        <f t="shared" si="13"/>
        <v>1420.3559999999998</v>
      </c>
      <c r="AO55" s="213">
        <f t="shared" si="14"/>
        <v>4280.7963901408457</v>
      </c>
      <c r="AP55" s="214">
        <v>8</v>
      </c>
      <c r="AQ55" s="214">
        <v>9</v>
      </c>
      <c r="AR55" s="215">
        <v>13</v>
      </c>
      <c r="AS55" s="216">
        <f t="shared" si="15"/>
        <v>662.78409090909088</v>
      </c>
      <c r="AT55" s="216">
        <f>AP55*产品成本!$D$2+AQ55*产品成本!$D$3+AR55*产品成本!$D$4</f>
        <v>78.943661971831048</v>
      </c>
      <c r="AU55" s="220">
        <f>AP55*产品成本!$E$2+AQ55*产品成本!$E$3+AR55*产品成本!$E$4</f>
        <v>5.8539676056337981</v>
      </c>
      <c r="AV55" s="219">
        <f>AP55*产品成本!$F$2+AQ55*产品成本!$F$3+AR55*产品成本!$F$4</f>
        <v>10.199999999999999</v>
      </c>
      <c r="AW55" s="218"/>
      <c r="AX55" s="219">
        <f t="shared" si="16"/>
        <v>99.417613636363626</v>
      </c>
      <c r="AY55" s="218">
        <f t="shared" si="17"/>
        <v>-19.883522727272727</v>
      </c>
      <c r="AZ55" s="220">
        <f t="shared" si="18"/>
        <v>174.53172048655577</v>
      </c>
      <c r="BA55" s="221">
        <f t="shared" si="19"/>
        <v>4106.2646696542897</v>
      </c>
      <c r="BB55" s="221">
        <f t="shared" si="20"/>
        <v>9469.0399999999991</v>
      </c>
      <c r="BC55" s="221">
        <f t="shared" si="21"/>
        <v>8806.255909090909</v>
      </c>
      <c r="BD55" s="222">
        <f t="shared" si="22"/>
        <v>2228.2912394366194</v>
      </c>
      <c r="BE55" s="223">
        <f t="shared" si="23"/>
        <v>0.25303503128228433</v>
      </c>
      <c r="BF55" s="227"/>
      <c r="BG55" s="227"/>
      <c r="BH55" s="144"/>
    </row>
    <row r="56" spans="1:60" ht="23.1" customHeight="1" x14ac:dyDescent="0.15">
      <c r="A56" s="234" t="s">
        <v>202</v>
      </c>
      <c r="B56" s="234" t="s">
        <v>203</v>
      </c>
      <c r="C56" s="192">
        <v>469</v>
      </c>
      <c r="D56" s="193">
        <v>450</v>
      </c>
      <c r="E56" s="196">
        <v>10255.030000000001</v>
      </c>
      <c r="F56" s="195">
        <v>63</v>
      </c>
      <c r="G56" s="195">
        <v>59</v>
      </c>
      <c r="H56" s="196">
        <v>1388.87</v>
      </c>
      <c r="I56" s="196">
        <v>134.71</v>
      </c>
      <c r="J56" s="238">
        <v>39</v>
      </c>
      <c r="K56" s="239">
        <f t="shared" si="0"/>
        <v>8.3155650319829424E-2</v>
      </c>
      <c r="L56" s="240">
        <v>750.42</v>
      </c>
      <c r="M56" s="200">
        <f t="shared" si="1"/>
        <v>0.10613207547169812</v>
      </c>
      <c r="N56" s="198">
        <f t="shared" si="2"/>
        <v>0.10294117647058823</v>
      </c>
      <c r="O56" s="198">
        <f t="shared" si="3"/>
        <v>7.4097310522666548E-2</v>
      </c>
      <c r="P56" s="201">
        <f t="shared" si="4"/>
        <v>1.0422222222222222</v>
      </c>
      <c r="Q56" s="230">
        <f t="shared" si="5"/>
        <v>22.788955555555557</v>
      </c>
      <c r="R56" s="230">
        <f t="shared" si="6"/>
        <v>21.865735607675909</v>
      </c>
      <c r="S56" s="230">
        <f t="shared" si="59"/>
        <v>67</v>
      </c>
      <c r="T56" s="203">
        <f t="shared" si="8"/>
        <v>185</v>
      </c>
      <c r="U56" s="204">
        <f t="shared" si="9"/>
        <v>0.41111111111111109</v>
      </c>
      <c r="V56" s="205">
        <f t="shared" si="10"/>
        <v>0.24850202365142601</v>
      </c>
      <c r="W56" s="193">
        <v>211588</v>
      </c>
      <c r="X56" s="193">
        <v>2321</v>
      </c>
      <c r="Y56" s="193">
        <v>265</v>
      </c>
      <c r="Z56" s="206">
        <v>2514.92</v>
      </c>
      <c r="AA56" s="226">
        <v>5934.57</v>
      </c>
      <c r="AB56" s="194">
        <v>1.08</v>
      </c>
      <c r="AC56" s="208">
        <f t="shared" si="11"/>
        <v>0.42377459529502565</v>
      </c>
      <c r="AD56" s="209">
        <f t="shared" ref="AD56:AF56" si="76">X56/W56</f>
        <v>1.0969431158666844E-2</v>
      </c>
      <c r="AE56" s="209">
        <f t="shared" si="76"/>
        <v>0.11417492460146489</v>
      </c>
      <c r="AF56" s="202">
        <f t="shared" si="76"/>
        <v>9.4902641509433963</v>
      </c>
      <c r="AG56" s="210">
        <v>140</v>
      </c>
      <c r="AH56" s="203">
        <v>146</v>
      </c>
      <c r="AI56" s="211">
        <v>183</v>
      </c>
      <c r="AJ56" s="212">
        <f>AG56*产品成本!$D$2+AH56*产品成本!$D$3+AI56*产品成本!$D$4</f>
        <v>1209.9295774647899</v>
      </c>
      <c r="AK56" s="212">
        <f>AG56*产品成本!$E$2+AH56*产品成本!$E$3+AI56*产品成本!$E$4</f>
        <v>90.88234647887316</v>
      </c>
      <c r="AL56" s="212">
        <f>AG56*产品成本!$F$2+AH56*产品成本!$F$3+AI56*产品成本!$F$4</f>
        <v>159.46</v>
      </c>
      <c r="AM56" s="212">
        <f>AG56*产品成本!$G$2+AH56*产品成本!$G$3+AI56*产品成本!$G$4</f>
        <v>1799.6999999999998</v>
      </c>
      <c r="AN56" s="212">
        <f t="shared" si="13"/>
        <v>1518.0480000000002</v>
      </c>
      <c r="AO56" s="213">
        <f t="shared" si="14"/>
        <v>4778.0199239436624</v>
      </c>
      <c r="AP56" s="214">
        <v>11</v>
      </c>
      <c r="AQ56" s="214">
        <v>13</v>
      </c>
      <c r="AR56" s="215">
        <v>15</v>
      </c>
      <c r="AS56" s="216">
        <f t="shared" si="15"/>
        <v>852.75</v>
      </c>
      <c r="AT56" s="216">
        <f>AP56*产品成本!$D$2+AQ56*产品成本!$D$3+AR56*产品成本!$D$4</f>
        <v>100.35211267605641</v>
      </c>
      <c r="AU56" s="220">
        <f>AP56*产品成本!$E$2+AQ56*产品成本!$E$3+AR56*产品成本!$E$4</f>
        <v>7.5659492957746419</v>
      </c>
      <c r="AV56" s="219">
        <f>AP56*产品成本!$F$2+AQ56*产品成本!$F$3+AR56*产品成本!$F$4</f>
        <v>13.260000000000002</v>
      </c>
      <c r="AW56" s="218"/>
      <c r="AX56" s="219">
        <f t="shared" si="16"/>
        <v>127.91249999999999</v>
      </c>
      <c r="AY56" s="218">
        <f t="shared" si="17"/>
        <v>-25.5825</v>
      </c>
      <c r="AZ56" s="220">
        <f t="shared" si="18"/>
        <v>223.50806197183104</v>
      </c>
      <c r="BA56" s="221">
        <f t="shared" si="19"/>
        <v>4554.5118619718314</v>
      </c>
      <c r="BB56" s="221">
        <f t="shared" si="20"/>
        <v>10120.320000000002</v>
      </c>
      <c r="BC56" s="221">
        <f t="shared" si="21"/>
        <v>9267.5700000000015</v>
      </c>
      <c r="BD56" s="222">
        <f t="shared" si="22"/>
        <v>2198.13813802817</v>
      </c>
      <c r="BE56" s="223">
        <f t="shared" si="23"/>
        <v>0.23718603021376367</v>
      </c>
      <c r="BF56" s="229"/>
      <c r="BG56" s="229" t="s">
        <v>204</v>
      </c>
      <c r="BH56" s="144"/>
    </row>
    <row r="57" spans="1:60" ht="23.1" customHeight="1" x14ac:dyDescent="0.15">
      <c r="A57" s="234" t="s">
        <v>205</v>
      </c>
      <c r="B57" s="234" t="s">
        <v>206</v>
      </c>
      <c r="C57" s="192">
        <v>427</v>
      </c>
      <c r="D57" s="193">
        <v>397</v>
      </c>
      <c r="E57" s="196">
        <v>9395.43</v>
      </c>
      <c r="F57" s="195">
        <v>63</v>
      </c>
      <c r="G57" s="195">
        <v>44</v>
      </c>
      <c r="H57" s="196">
        <v>1363.57</v>
      </c>
      <c r="I57" s="196">
        <v>137.13999999999999</v>
      </c>
      <c r="J57" s="238">
        <v>41</v>
      </c>
      <c r="K57" s="239">
        <f t="shared" si="0"/>
        <v>9.6018735362997654E-2</v>
      </c>
      <c r="L57" s="240">
        <v>781.55</v>
      </c>
      <c r="M57" s="200">
        <f t="shared" si="1"/>
        <v>-8.9552238805970144E-2</v>
      </c>
      <c r="N57" s="198">
        <f t="shared" si="2"/>
        <v>-0.11777777777777777</v>
      </c>
      <c r="O57" s="198">
        <f t="shared" si="3"/>
        <v>-8.382228038338263E-2</v>
      </c>
      <c r="P57" s="201">
        <f t="shared" si="4"/>
        <v>1.0755667506297228</v>
      </c>
      <c r="Q57" s="230">
        <f t="shared" si="5"/>
        <v>23.666070528967253</v>
      </c>
      <c r="R57" s="230">
        <f t="shared" si="6"/>
        <v>22.003348946135834</v>
      </c>
      <c r="S57" s="230">
        <f t="shared" si="59"/>
        <v>61</v>
      </c>
      <c r="T57" s="203">
        <f t="shared" si="8"/>
        <v>92</v>
      </c>
      <c r="U57" s="204">
        <f t="shared" si="9"/>
        <v>0.23173803526448364</v>
      </c>
      <c r="V57" s="205">
        <f t="shared" si="10"/>
        <v>0.32092427435303927</v>
      </c>
      <c r="W57" s="193">
        <v>247317</v>
      </c>
      <c r="X57" s="193">
        <v>2759</v>
      </c>
      <c r="Y57" s="193">
        <v>305</v>
      </c>
      <c r="Z57" s="206">
        <v>2971.21</v>
      </c>
      <c r="AA57" s="226">
        <v>6972.09</v>
      </c>
      <c r="AB57" s="194">
        <v>1.08</v>
      </c>
      <c r="AC57" s="208">
        <f t="shared" si="11"/>
        <v>0.42615772315044698</v>
      </c>
      <c r="AD57" s="209">
        <f t="shared" ref="AD57:AF57" si="77">X57/W57</f>
        <v>1.1155723221614365E-2</v>
      </c>
      <c r="AE57" s="209">
        <f t="shared" si="77"/>
        <v>0.11054729974628488</v>
      </c>
      <c r="AF57" s="202">
        <f t="shared" si="77"/>
        <v>9.7416721311475403</v>
      </c>
      <c r="AG57" s="210">
        <v>117</v>
      </c>
      <c r="AH57" s="203">
        <v>107</v>
      </c>
      <c r="AI57" s="211">
        <v>203</v>
      </c>
      <c r="AJ57" s="212">
        <f>AG57*产品成本!$D$2+AH57*产品成本!$D$3+AI57*产品成本!$D$4</f>
        <v>1145.1408450704234</v>
      </c>
      <c r="AK57" s="212">
        <f>AG57*产品成本!$E$2+AH57*产品成本!$E$3+AI57*产品成本!$E$4</f>
        <v>83.570569014084441</v>
      </c>
      <c r="AL57" s="212">
        <f>AG57*产品成本!$F$2+AH57*产品成本!$F$3+AI57*产品成本!$F$4</f>
        <v>145.18</v>
      </c>
      <c r="AM57" s="212">
        <f>AG57*产品成本!$G$2+AH57*产品成本!$G$3+AI57*产品成本!$G$4</f>
        <v>1640.73</v>
      </c>
      <c r="AN57" s="212">
        <f t="shared" si="13"/>
        <v>1388.7435</v>
      </c>
      <c r="AO57" s="213">
        <f t="shared" si="14"/>
        <v>4403.3649140845082</v>
      </c>
      <c r="AP57" s="214">
        <v>11</v>
      </c>
      <c r="AQ57" s="214">
        <v>14</v>
      </c>
      <c r="AR57" s="215">
        <v>16</v>
      </c>
      <c r="AS57" s="216">
        <f t="shared" si="15"/>
        <v>888.125</v>
      </c>
      <c r="AT57" s="216">
        <f>AP57*产品成本!$D$2+AQ57*产品成本!$D$3+AR57*产品成本!$D$4</f>
        <v>105.77464788732402</v>
      </c>
      <c r="AU57" s="220">
        <f>AP57*产品成本!$E$2+AQ57*产品成本!$E$3+AR57*产品成本!$E$4</f>
        <v>7.9687394366197104</v>
      </c>
      <c r="AV57" s="219">
        <f>AP57*产品成本!$F$2+AQ57*产品成本!$F$3+AR57*产品成本!$F$4</f>
        <v>13.940000000000001</v>
      </c>
      <c r="AW57" s="218"/>
      <c r="AX57" s="219">
        <f t="shared" si="16"/>
        <v>133.21875</v>
      </c>
      <c r="AY57" s="218">
        <f t="shared" si="17"/>
        <v>-26.643750000000001</v>
      </c>
      <c r="AZ57" s="220">
        <f t="shared" si="18"/>
        <v>234.25838732394374</v>
      </c>
      <c r="BA57" s="221">
        <f t="shared" si="19"/>
        <v>4169.1065267605645</v>
      </c>
      <c r="BB57" s="221">
        <f t="shared" si="20"/>
        <v>9258.2900000000009</v>
      </c>
      <c r="BC57" s="221">
        <f t="shared" si="21"/>
        <v>8370.1650000000009</v>
      </c>
      <c r="BD57" s="222">
        <f t="shared" si="22"/>
        <v>1229.8484732394363</v>
      </c>
      <c r="BE57" s="223">
        <f t="shared" si="23"/>
        <v>0.14693240494535487</v>
      </c>
      <c r="BF57" s="227"/>
      <c r="BG57" s="227" t="s">
        <v>207</v>
      </c>
      <c r="BH57" s="144"/>
    </row>
    <row r="58" spans="1:60" ht="23.1" customHeight="1" x14ac:dyDescent="0.15">
      <c r="A58" s="234" t="s">
        <v>208</v>
      </c>
      <c r="B58" s="234" t="s">
        <v>209</v>
      </c>
      <c r="C58" s="192">
        <v>446</v>
      </c>
      <c r="D58" s="193">
        <v>427</v>
      </c>
      <c r="E58" s="196">
        <v>9900.9500000000007</v>
      </c>
      <c r="F58" s="195">
        <v>54</v>
      </c>
      <c r="G58" s="195">
        <v>47</v>
      </c>
      <c r="H58" s="196">
        <v>1202.06</v>
      </c>
      <c r="I58" s="196">
        <v>107.8</v>
      </c>
      <c r="J58" s="238">
        <v>35</v>
      </c>
      <c r="K58" s="239">
        <f t="shared" si="0"/>
        <v>7.847533632286996E-2</v>
      </c>
      <c r="L58" s="240">
        <v>672.99</v>
      </c>
      <c r="M58" s="200">
        <f t="shared" si="1"/>
        <v>4.449648711943794E-2</v>
      </c>
      <c r="N58" s="198">
        <f t="shared" si="2"/>
        <v>7.5566750629722929E-2</v>
      </c>
      <c r="O58" s="198">
        <f t="shared" si="3"/>
        <v>5.3804881735056341E-2</v>
      </c>
      <c r="P58" s="201">
        <f t="shared" si="4"/>
        <v>1.044496487119438</v>
      </c>
      <c r="Q58" s="230">
        <f t="shared" si="5"/>
        <v>23.187236533957847</v>
      </c>
      <c r="R58" s="230">
        <f t="shared" si="6"/>
        <v>22.199439461883411</v>
      </c>
      <c r="S58" s="230">
        <f t="shared" si="59"/>
        <v>63.714285714285715</v>
      </c>
      <c r="T58" s="203">
        <f t="shared" si="8"/>
        <v>158</v>
      </c>
      <c r="U58" s="204">
        <f t="shared" si="9"/>
        <v>0.37002341920374709</v>
      </c>
      <c r="V58" s="205">
        <f t="shared" si="10"/>
        <v>0.27954948101479093</v>
      </c>
      <c r="W58" s="193">
        <v>199927</v>
      </c>
      <c r="X58" s="193">
        <v>2528</v>
      </c>
      <c r="Y58" s="193">
        <v>269</v>
      </c>
      <c r="Z58" s="206">
        <v>2737.67</v>
      </c>
      <c r="AA58" s="226">
        <v>6107.72</v>
      </c>
      <c r="AB58" s="194">
        <v>1.08</v>
      </c>
      <c r="AC58" s="208">
        <f t="shared" si="11"/>
        <v>0.44823109114366733</v>
      </c>
      <c r="AD58" s="209">
        <f t="shared" ref="AD58:AF58" si="78">X58/W58</f>
        <v>1.2644615284578871E-2</v>
      </c>
      <c r="AE58" s="209">
        <f t="shared" si="78"/>
        <v>0.10640822784810126</v>
      </c>
      <c r="AF58" s="202">
        <f t="shared" si="78"/>
        <v>10.177211895910782</v>
      </c>
      <c r="AG58" s="210">
        <v>103</v>
      </c>
      <c r="AH58" s="203">
        <v>115</v>
      </c>
      <c r="AI58" s="211">
        <v>228</v>
      </c>
      <c r="AJ58" s="212">
        <f>AG58*产品成本!$D$2+AH58*产品成本!$D$3+AI58*产品成本!$D$4</f>
        <v>1215.2112676056347</v>
      </c>
      <c r="AK58" s="212">
        <f>AG58*产品成本!$E$2+AH58*产品成本!$E$3+AI58*产品成本!$E$4</f>
        <v>87.932391549295716</v>
      </c>
      <c r="AL58" s="212">
        <f>AG58*产品成本!$F$2+AH58*产品成本!$F$3+AI58*产品成本!$F$4</f>
        <v>151.64000000000001</v>
      </c>
      <c r="AM58" s="212">
        <f>AG58*产品成本!$G$2+AH58*产品成本!$G$3+AI58*产品成本!$G$4</f>
        <v>1717.77</v>
      </c>
      <c r="AN58" s="212">
        <f t="shared" si="13"/>
        <v>1468.9725000000001</v>
      </c>
      <c r="AO58" s="213">
        <f t="shared" si="14"/>
        <v>4641.5261591549306</v>
      </c>
      <c r="AP58" s="214">
        <v>11</v>
      </c>
      <c r="AQ58" s="214">
        <v>12</v>
      </c>
      <c r="AR58" s="215">
        <v>12</v>
      </c>
      <c r="AS58" s="216">
        <f t="shared" si="15"/>
        <v>764.76136363636363</v>
      </c>
      <c r="AT58" s="216">
        <f>AP58*产品成本!$D$2+AQ58*产品成本!$D$3+AR58*产品成本!$D$4</f>
        <v>88.309859154929654</v>
      </c>
      <c r="AU58" s="220">
        <f>AP58*产品成本!$E$2+AQ58*产品成本!$E$3+AR58*产品成本!$E$4</f>
        <v>6.74315915492957</v>
      </c>
      <c r="AV58" s="219">
        <f>AP58*产品成本!$F$2+AQ58*产品成本!$F$3+AR58*产品成本!$F$4</f>
        <v>11.9</v>
      </c>
      <c r="AW58" s="218"/>
      <c r="AX58" s="219">
        <f t="shared" si="16"/>
        <v>114.71420454545454</v>
      </c>
      <c r="AY58" s="218">
        <f t="shared" si="17"/>
        <v>-22.942840909090908</v>
      </c>
      <c r="AZ58" s="220">
        <f t="shared" si="18"/>
        <v>198.72438194622285</v>
      </c>
      <c r="BA58" s="221">
        <f t="shared" si="19"/>
        <v>4442.8017772087078</v>
      </c>
      <c r="BB58" s="221">
        <f t="shared" si="20"/>
        <v>9793.1500000000015</v>
      </c>
      <c r="BC58" s="221">
        <f t="shared" si="21"/>
        <v>9028.3886363636375</v>
      </c>
      <c r="BD58" s="222">
        <f t="shared" si="22"/>
        <v>1847.9168591549296</v>
      </c>
      <c r="BE58" s="223">
        <f t="shared" si="23"/>
        <v>0.20467847958073887</v>
      </c>
      <c r="BF58" s="229"/>
      <c r="BG58" s="229"/>
      <c r="BH58" s="144"/>
    </row>
    <row r="59" spans="1:60" ht="23.1" customHeight="1" x14ac:dyDescent="0.15">
      <c r="A59" s="234" t="s">
        <v>210</v>
      </c>
      <c r="B59" s="234" t="s">
        <v>211</v>
      </c>
      <c r="C59" s="192">
        <v>513</v>
      </c>
      <c r="D59" s="193">
        <v>470</v>
      </c>
      <c r="E59" s="196">
        <v>9750.77</v>
      </c>
      <c r="F59" s="195">
        <v>86</v>
      </c>
      <c r="G59" s="195">
        <v>63</v>
      </c>
      <c r="H59" s="196">
        <v>1649.66</v>
      </c>
      <c r="I59" s="196">
        <v>170.13</v>
      </c>
      <c r="J59" s="238">
        <v>33</v>
      </c>
      <c r="K59" s="239">
        <f t="shared" si="0"/>
        <v>6.4327485380116955E-2</v>
      </c>
      <c r="L59" s="240">
        <v>620.88</v>
      </c>
      <c r="M59" s="200">
        <f t="shared" si="1"/>
        <v>0.15022421524663676</v>
      </c>
      <c r="N59" s="198">
        <f t="shared" si="2"/>
        <v>0.10070257611241218</v>
      </c>
      <c r="O59" s="198">
        <f t="shared" si="3"/>
        <v>-1.5168241431377825E-2</v>
      </c>
      <c r="P59" s="201">
        <f t="shared" si="4"/>
        <v>1.0914893617021277</v>
      </c>
      <c r="Q59" s="230">
        <f t="shared" si="5"/>
        <v>20.74631914893617</v>
      </c>
      <c r="R59" s="230">
        <f t="shared" si="6"/>
        <v>19.007348927875245</v>
      </c>
      <c r="S59" s="230">
        <f t="shared" si="59"/>
        <v>73.285714285714292</v>
      </c>
      <c r="T59" s="203">
        <f t="shared" si="8"/>
        <v>182</v>
      </c>
      <c r="U59" s="204">
        <f t="shared" si="9"/>
        <v>0.38723404255319149</v>
      </c>
      <c r="V59" s="205">
        <f t="shared" si="10"/>
        <v>0.28510621419863386</v>
      </c>
      <c r="W59" s="193">
        <v>204331</v>
      </c>
      <c r="X59" s="193">
        <v>2582</v>
      </c>
      <c r="Y59" s="193">
        <v>288</v>
      </c>
      <c r="Z59" s="206">
        <v>2731.5</v>
      </c>
      <c r="AA59" s="226">
        <v>6068.95</v>
      </c>
      <c r="AB59" s="194">
        <v>1.06</v>
      </c>
      <c r="AC59" s="208">
        <f t="shared" si="11"/>
        <v>0.45007785531269828</v>
      </c>
      <c r="AD59" s="209">
        <f t="shared" ref="AD59:AF59" si="79">X59/W59</f>
        <v>1.2636359632165457E-2</v>
      </c>
      <c r="AE59" s="209">
        <f t="shared" si="79"/>
        <v>0.11154144074360961</v>
      </c>
      <c r="AF59" s="202">
        <f t="shared" si="79"/>
        <v>9.484375</v>
      </c>
      <c r="AG59" s="210">
        <v>131</v>
      </c>
      <c r="AH59" s="203">
        <v>171</v>
      </c>
      <c r="AI59" s="211">
        <v>211</v>
      </c>
      <c r="AJ59" s="212">
        <f>AG59*产品成本!$D$2+AH59*产品成本!$D$3+AI59*产品成本!$D$4</f>
        <v>1336.4084507042264</v>
      </c>
      <c r="AK59" s="212">
        <f>AG59*产品成本!$E$2+AH59*产品成本!$E$3+AI59*产品成本!$E$4</f>
        <v>100.01963661971823</v>
      </c>
      <c r="AL59" s="212">
        <f>AG59*产品成本!$F$2+AH59*产品成本!$F$3+AI59*产品成本!$F$4</f>
        <v>174.42000000000002</v>
      </c>
      <c r="AM59" s="212">
        <f>AG59*产品成本!$G$2+AH59*产品成本!$G$3+AI59*产品成本!$G$4</f>
        <v>1973.19</v>
      </c>
      <c r="AN59" s="212">
        <f t="shared" si="13"/>
        <v>1437.0960000000002</v>
      </c>
      <c r="AO59" s="213">
        <f t="shared" si="14"/>
        <v>5021.1340873239451</v>
      </c>
      <c r="AP59" s="214">
        <v>11</v>
      </c>
      <c r="AQ59" s="214">
        <v>5</v>
      </c>
      <c r="AR59" s="215">
        <v>17</v>
      </c>
      <c r="AS59" s="216">
        <f t="shared" si="15"/>
        <v>705.5454545454545</v>
      </c>
      <c r="AT59" s="216">
        <f>AP59*产品成本!$D$2+AQ59*产品成本!$D$3+AR59*产品成本!$D$4</f>
        <v>90.07042253521135</v>
      </c>
      <c r="AU59" s="220">
        <f>AP59*产品成本!$E$2+AQ59*产品成本!$E$3+AR59*产品成本!$E$4</f>
        <v>6.4436281690140813</v>
      </c>
      <c r="AV59" s="219">
        <f>AP59*产品成本!$F$2+AQ59*产品成本!$F$3+AR59*产品成本!$F$4</f>
        <v>11.22</v>
      </c>
      <c r="AW59" s="218"/>
      <c r="AX59" s="219">
        <f t="shared" si="16"/>
        <v>105.83181818181818</v>
      </c>
      <c r="AY59" s="218">
        <f t="shared" si="17"/>
        <v>-21.166363636363638</v>
      </c>
      <c r="AZ59" s="220">
        <f t="shared" si="18"/>
        <v>192.39950524967998</v>
      </c>
      <c r="BA59" s="221">
        <f t="shared" si="19"/>
        <v>4828.7345820742648</v>
      </c>
      <c r="BB59" s="221">
        <f t="shared" si="20"/>
        <v>9580.6400000000012</v>
      </c>
      <c r="BC59" s="221">
        <f t="shared" si="21"/>
        <v>8875.0945454545472</v>
      </c>
      <c r="BD59" s="222">
        <f t="shared" si="22"/>
        <v>1314.8599633802824</v>
      </c>
      <c r="BE59" s="223">
        <f t="shared" si="23"/>
        <v>0.1481516570495239</v>
      </c>
      <c r="BF59" s="227"/>
      <c r="BG59" s="227" t="s">
        <v>212</v>
      </c>
      <c r="BH59" s="144"/>
    </row>
    <row r="60" spans="1:60" ht="23.1" customHeight="1" x14ac:dyDescent="0.15">
      <c r="A60" s="234" t="s">
        <v>213</v>
      </c>
      <c r="B60" s="234" t="s">
        <v>214</v>
      </c>
      <c r="C60" s="192">
        <v>657</v>
      </c>
      <c r="D60" s="193">
        <v>602</v>
      </c>
      <c r="E60" s="196">
        <v>11504.01</v>
      </c>
      <c r="F60" s="195">
        <v>112</v>
      </c>
      <c r="G60" s="195">
        <v>86</v>
      </c>
      <c r="H60" s="196">
        <v>1976.52</v>
      </c>
      <c r="I60" s="196">
        <v>167.86</v>
      </c>
      <c r="J60" s="238">
        <v>23</v>
      </c>
      <c r="K60" s="239">
        <f t="shared" si="0"/>
        <v>3.5007610350076102E-2</v>
      </c>
      <c r="L60" s="240">
        <v>422.16</v>
      </c>
      <c r="M60" s="200">
        <f t="shared" si="1"/>
        <v>0.2807017543859649</v>
      </c>
      <c r="N60" s="198">
        <f t="shared" si="2"/>
        <v>0.28085106382978725</v>
      </c>
      <c r="O60" s="198">
        <f t="shared" si="3"/>
        <v>0.17980528717219252</v>
      </c>
      <c r="P60" s="201">
        <f t="shared" si="4"/>
        <v>1.0913621262458473</v>
      </c>
      <c r="Q60" s="230">
        <f t="shared" si="5"/>
        <v>19.109651162790698</v>
      </c>
      <c r="R60" s="230">
        <f t="shared" si="6"/>
        <v>17.509908675799085</v>
      </c>
      <c r="S60" s="230">
        <f t="shared" si="59"/>
        <v>93.857142857142861</v>
      </c>
      <c r="T60" s="203">
        <f t="shared" si="8"/>
        <v>252</v>
      </c>
      <c r="U60" s="204">
        <f t="shared" si="9"/>
        <v>0.41860465116279072</v>
      </c>
      <c r="V60" s="205">
        <f t="shared" si="10"/>
        <v>0.25151484410492098</v>
      </c>
      <c r="W60" s="193">
        <v>282183</v>
      </c>
      <c r="X60" s="193">
        <v>2800</v>
      </c>
      <c r="Y60" s="193">
        <v>350</v>
      </c>
      <c r="Z60" s="206">
        <v>2851.21</v>
      </c>
      <c r="AA60" s="226">
        <v>6592.86</v>
      </c>
      <c r="AB60" s="194">
        <v>1.02</v>
      </c>
      <c r="AC60" s="208">
        <f t="shared" si="11"/>
        <v>0.43246936837730515</v>
      </c>
      <c r="AD60" s="209">
        <f t="shared" ref="AD60:AF60" si="80">X60/W60</f>
        <v>9.9226388549274753E-3</v>
      </c>
      <c r="AE60" s="209">
        <f t="shared" si="80"/>
        <v>0.125</v>
      </c>
      <c r="AF60" s="202">
        <f t="shared" si="80"/>
        <v>8.1463142857142863</v>
      </c>
      <c r="AG60" s="210">
        <v>204</v>
      </c>
      <c r="AH60" s="203">
        <v>201</v>
      </c>
      <c r="AI60" s="211">
        <v>252</v>
      </c>
      <c r="AJ60" s="212">
        <f>AG60*产品成本!$D$2+AH60*产品成本!$D$3+AI60*产品成本!$D$4</f>
        <v>1689.7183098591563</v>
      </c>
      <c r="AK60" s="212">
        <f>AG60*产品成本!$E$2+AH60*产品成本!$E$3+AI60*产品成本!$E$4</f>
        <v>127.08665492957735</v>
      </c>
      <c r="AL60" s="212">
        <f>AG60*产品成本!$F$2+AH60*产品成本!$F$3+AI60*产品成本!$F$4</f>
        <v>223.38</v>
      </c>
      <c r="AM60" s="212">
        <f>AG60*产品成本!$G$2+AH60*产品成本!$G$3+AI60*产品成本!$G$4</f>
        <v>2519.46</v>
      </c>
      <c r="AN60" s="212">
        <f t="shared" si="13"/>
        <v>1700.4224999999999</v>
      </c>
      <c r="AO60" s="213">
        <f t="shared" si="14"/>
        <v>6260.0674647887336</v>
      </c>
      <c r="AP60" s="214">
        <v>7</v>
      </c>
      <c r="AQ60" s="214">
        <v>5</v>
      </c>
      <c r="AR60" s="215">
        <v>11</v>
      </c>
      <c r="AS60" s="216">
        <f t="shared" si="15"/>
        <v>479.72727272727275</v>
      </c>
      <c r="AT60" s="216">
        <f>AP60*产品成本!$D$2+AQ60*产品成本!$D$3+AR60*产品成本!$D$4</f>
        <v>61.760563380281738</v>
      </c>
      <c r="AU60" s="220">
        <f>AP60*产品成本!$E$2+AQ60*产品成本!$E$3+AR60*产品成本!$E$4</f>
        <v>4.4891999999999967</v>
      </c>
      <c r="AV60" s="219">
        <f>AP60*产品成本!$F$2+AQ60*产品成本!$F$3+AR60*产品成本!$F$4</f>
        <v>7.82</v>
      </c>
      <c r="AW60" s="218"/>
      <c r="AX60" s="219">
        <f t="shared" si="16"/>
        <v>71.959090909090904</v>
      </c>
      <c r="AY60" s="218">
        <f t="shared" si="17"/>
        <v>-14.391818181818181</v>
      </c>
      <c r="AZ60" s="220">
        <f t="shared" si="18"/>
        <v>131.63703610755448</v>
      </c>
      <c r="BA60" s="221">
        <f t="shared" si="19"/>
        <v>6128.4304286811794</v>
      </c>
      <c r="BB60" s="221">
        <f t="shared" si="20"/>
        <v>11336.15</v>
      </c>
      <c r="BC60" s="221">
        <f t="shared" si="21"/>
        <v>10856.422727272728</v>
      </c>
      <c r="BD60" s="222">
        <f t="shared" si="22"/>
        <v>1876.7822985915482</v>
      </c>
      <c r="BE60" s="223">
        <f t="shared" si="23"/>
        <v>0.17287299377877302</v>
      </c>
      <c r="BF60" s="229"/>
      <c r="BG60" s="229" t="s">
        <v>215</v>
      </c>
      <c r="BH60" s="144"/>
    </row>
    <row r="61" spans="1:60" ht="23.1" customHeight="1" x14ac:dyDescent="0.15">
      <c r="A61" s="234" t="s">
        <v>216</v>
      </c>
      <c r="B61" s="234" t="s">
        <v>217</v>
      </c>
      <c r="C61" s="192">
        <v>465</v>
      </c>
      <c r="D61" s="193">
        <v>434</v>
      </c>
      <c r="E61" s="196">
        <v>9735.19</v>
      </c>
      <c r="F61" s="195">
        <v>43</v>
      </c>
      <c r="G61" s="195">
        <v>32</v>
      </c>
      <c r="H61" s="196">
        <v>940.85</v>
      </c>
      <c r="I61" s="196">
        <v>119.3</v>
      </c>
      <c r="J61" s="238">
        <v>31</v>
      </c>
      <c r="K61" s="239">
        <f t="shared" si="0"/>
        <v>6.6666666666666666E-2</v>
      </c>
      <c r="L61" s="240">
        <v>508.78</v>
      </c>
      <c r="M61" s="200">
        <f t="shared" si="1"/>
        <v>-0.29223744292237441</v>
      </c>
      <c r="N61" s="198">
        <f t="shared" si="2"/>
        <v>-0.27906976744186046</v>
      </c>
      <c r="O61" s="198">
        <f t="shared" si="3"/>
        <v>-0.15375682044782643</v>
      </c>
      <c r="P61" s="201">
        <f t="shared" si="4"/>
        <v>1.0714285714285714</v>
      </c>
      <c r="Q61" s="230">
        <f t="shared" si="5"/>
        <v>22.431313364055299</v>
      </c>
      <c r="R61" s="230">
        <f t="shared" si="6"/>
        <v>20.93589247311828</v>
      </c>
      <c r="S61" s="230">
        <f t="shared" si="59"/>
        <v>66.428571428571431</v>
      </c>
      <c r="T61" s="203">
        <f t="shared" si="8"/>
        <v>176</v>
      </c>
      <c r="U61" s="204">
        <f t="shared" si="9"/>
        <v>0.40552995391705071</v>
      </c>
      <c r="V61" s="205">
        <f t="shared" si="10"/>
        <v>0.23691826757585616</v>
      </c>
      <c r="W61" s="193">
        <v>256847</v>
      </c>
      <c r="X61" s="193">
        <v>2300</v>
      </c>
      <c r="Y61" s="193">
        <v>258</v>
      </c>
      <c r="Z61" s="206">
        <v>2278.1799999999998</v>
      </c>
      <c r="AA61" s="226">
        <v>5682.17</v>
      </c>
      <c r="AB61" s="194">
        <v>0.99</v>
      </c>
      <c r="AC61" s="208">
        <f t="shared" si="11"/>
        <v>0.40093485411383323</v>
      </c>
      <c r="AD61" s="209">
        <f t="shared" ref="AD61:AF61" si="81">X61/W61</f>
        <v>8.9547473787897069E-3</v>
      </c>
      <c r="AE61" s="209">
        <f t="shared" si="81"/>
        <v>0.11217391304347826</v>
      </c>
      <c r="AF61" s="202">
        <f t="shared" si="81"/>
        <v>8.8301550387596901</v>
      </c>
      <c r="AG61" s="210">
        <v>120</v>
      </c>
      <c r="AH61" s="203">
        <v>166</v>
      </c>
      <c r="AI61" s="211">
        <v>179</v>
      </c>
      <c r="AJ61" s="212">
        <f>AG61*产品成本!$D$2+AH61*产品成本!$D$3+AI61*产品成本!$D$4</f>
        <v>1196.6901408450713</v>
      </c>
      <c r="AK61" s="212">
        <f>AG61*产品成本!$E$2+AH61*产品成本!$E$3+AI61*产品成本!$E$4</f>
        <v>90.426008450704131</v>
      </c>
      <c r="AL61" s="212">
        <f>AG61*产品成本!$F$2+AH61*产品成本!$F$3+AI61*产品成本!$F$4</f>
        <v>158.10000000000002</v>
      </c>
      <c r="AM61" s="212">
        <f>AG61*产品成本!$G$2+AH61*产品成本!$G$3+AI61*产品成本!$G$4</f>
        <v>1788.3000000000002</v>
      </c>
      <c r="AN61" s="212">
        <f t="shared" si="13"/>
        <v>1442.3835000000001</v>
      </c>
      <c r="AO61" s="213">
        <f t="shared" si="14"/>
        <v>4675.8996492957758</v>
      </c>
      <c r="AP61" s="214">
        <v>13</v>
      </c>
      <c r="AQ61" s="214">
        <v>7</v>
      </c>
      <c r="AR61" s="215">
        <v>11</v>
      </c>
      <c r="AS61" s="216">
        <f t="shared" si="15"/>
        <v>578.15909090909088</v>
      </c>
      <c r="AT61" s="216">
        <f>AP61*产品成本!$D$2+AQ61*产品成本!$D$3+AR61*产品成本!$D$4</f>
        <v>78.661971830985976</v>
      </c>
      <c r="AU61" s="220">
        <f>AP61*产品成本!$E$2+AQ61*产品成本!$E$3+AR61*产品成本!$E$4</f>
        <v>5.9164225352112627</v>
      </c>
      <c r="AV61" s="219">
        <f>AP61*产品成本!$F$2+AQ61*产品成本!$F$3+AR61*产品成本!$F$4</f>
        <v>10.540000000000001</v>
      </c>
      <c r="AW61" s="218"/>
      <c r="AX61" s="219">
        <f t="shared" si="16"/>
        <v>86.723863636363632</v>
      </c>
      <c r="AY61" s="218">
        <f t="shared" si="17"/>
        <v>-17.344772727272726</v>
      </c>
      <c r="AZ61" s="220">
        <f t="shared" si="18"/>
        <v>164.49748527528814</v>
      </c>
      <c r="BA61" s="221">
        <f t="shared" si="19"/>
        <v>4511.4021640204874</v>
      </c>
      <c r="BB61" s="221">
        <f t="shared" si="20"/>
        <v>9615.8900000000012</v>
      </c>
      <c r="BC61" s="221">
        <f t="shared" si="21"/>
        <v>9037.7309090909112</v>
      </c>
      <c r="BD61" s="222">
        <f t="shared" si="22"/>
        <v>2248.148745070424</v>
      </c>
      <c r="BE61" s="223">
        <f t="shared" si="23"/>
        <v>0.24875145848932573</v>
      </c>
      <c r="BF61" s="227"/>
      <c r="BG61" s="227" t="s">
        <v>218</v>
      </c>
      <c r="BH61" s="144"/>
    </row>
    <row r="62" spans="1:60" ht="23.1" customHeight="1" x14ac:dyDescent="0.15">
      <c r="A62" s="234" t="s">
        <v>219</v>
      </c>
      <c r="B62" s="234" t="s">
        <v>220</v>
      </c>
      <c r="C62" s="192">
        <v>424</v>
      </c>
      <c r="D62" s="193">
        <v>407</v>
      </c>
      <c r="E62" s="196">
        <v>9207.3700000000008</v>
      </c>
      <c r="F62" s="195">
        <v>181</v>
      </c>
      <c r="G62" s="195">
        <v>168</v>
      </c>
      <c r="H62" s="196">
        <v>3981.19</v>
      </c>
      <c r="I62" s="196">
        <v>226.22</v>
      </c>
      <c r="J62" s="238">
        <v>29</v>
      </c>
      <c r="K62" s="239">
        <f t="shared" si="0"/>
        <v>6.8396226415094338E-2</v>
      </c>
      <c r="L62" s="240">
        <v>512.41</v>
      </c>
      <c r="M62" s="200">
        <f t="shared" si="1"/>
        <v>-8.8172043010752682E-2</v>
      </c>
      <c r="N62" s="198">
        <f t="shared" si="2"/>
        <v>-6.2211981566820278E-2</v>
      </c>
      <c r="O62" s="198">
        <f t="shared" si="3"/>
        <v>-5.4217739972203902E-2</v>
      </c>
      <c r="P62" s="201">
        <f t="shared" si="4"/>
        <v>1.0417690417690417</v>
      </c>
      <c r="Q62" s="230">
        <f t="shared" si="5"/>
        <v>22.622530712530715</v>
      </c>
      <c r="R62" s="230">
        <f t="shared" si="6"/>
        <v>21.715495283018871</v>
      </c>
      <c r="S62" s="230">
        <f t="shared" si="59"/>
        <v>60.571428571428569</v>
      </c>
      <c r="T62" s="203">
        <f t="shared" si="8"/>
        <v>183</v>
      </c>
      <c r="U62" s="204">
        <f t="shared" si="9"/>
        <v>0.44963144963144963</v>
      </c>
      <c r="V62" s="205">
        <f t="shared" si="10"/>
        <v>0.23408472188973567</v>
      </c>
      <c r="W62" s="193">
        <v>220903</v>
      </c>
      <c r="X62" s="193">
        <v>2078</v>
      </c>
      <c r="Y62" s="193">
        <v>224</v>
      </c>
      <c r="Z62" s="206">
        <v>2102.35</v>
      </c>
      <c r="AA62" s="226">
        <v>5024.18</v>
      </c>
      <c r="AB62" s="194">
        <v>1.01</v>
      </c>
      <c r="AC62" s="208">
        <f t="shared" si="11"/>
        <v>0.41844639324228028</v>
      </c>
      <c r="AD62" s="209">
        <f t="shared" ref="AD62:AF62" si="82">X62/W62</f>
        <v>9.406843727790026E-3</v>
      </c>
      <c r="AE62" s="209">
        <f t="shared" si="82"/>
        <v>0.10779595765158806</v>
      </c>
      <c r="AF62" s="202">
        <f t="shared" si="82"/>
        <v>9.3854910714285715</v>
      </c>
      <c r="AG62" s="210">
        <v>118</v>
      </c>
      <c r="AH62" s="203">
        <v>139</v>
      </c>
      <c r="AI62" s="211">
        <v>167</v>
      </c>
      <c r="AJ62" s="212">
        <f>AG62*产品成本!$D$2+AH62*产品成本!$D$3+AI62*产品成本!$D$4</f>
        <v>1095.7042253521136</v>
      </c>
      <c r="AK62" s="212">
        <f>AG62*产品成本!$E$2+AH62*产品成本!$E$3+AI62*产品成本!$E$4</f>
        <v>82.35346056338021</v>
      </c>
      <c r="AL62" s="212">
        <f>AG62*产品成本!$F$2+AH62*产品成本!$F$3+AI62*产品成本!$F$4</f>
        <v>144.16000000000003</v>
      </c>
      <c r="AM62" s="212">
        <f>AG62*产品成本!$G$2+AH62*产品成本!$G$3+AI62*产品成本!$G$4</f>
        <v>1628.82</v>
      </c>
      <c r="AN62" s="212">
        <f t="shared" si="13"/>
        <v>1347.1725000000001</v>
      </c>
      <c r="AO62" s="213">
        <f t="shared" si="14"/>
        <v>4298.2101859154936</v>
      </c>
      <c r="AP62" s="214">
        <v>7</v>
      </c>
      <c r="AQ62" s="214">
        <v>10</v>
      </c>
      <c r="AR62" s="215">
        <v>12</v>
      </c>
      <c r="AS62" s="216">
        <f t="shared" si="15"/>
        <v>582.28409090909088</v>
      </c>
      <c r="AT62" s="216">
        <f>AP62*产品成本!$D$2+AQ62*产品成本!$D$3+AR62*产品成本!$D$4</f>
        <v>75.633802816901465</v>
      </c>
      <c r="AU62" s="220">
        <f>AP62*产品成本!$E$2+AQ62*产品成本!$E$3+AR62*产品成本!$E$4</f>
        <v>5.6631507042253473</v>
      </c>
      <c r="AV62" s="219">
        <f>AP62*产品成本!$F$2+AQ62*产品成本!$F$3+AR62*产品成本!$F$4</f>
        <v>9.8600000000000012</v>
      </c>
      <c r="AW62" s="218"/>
      <c r="AX62" s="219">
        <f t="shared" si="16"/>
        <v>87.342613636363623</v>
      </c>
      <c r="AY62" s="218">
        <f t="shared" si="17"/>
        <v>-17.468522727272724</v>
      </c>
      <c r="AZ62" s="220">
        <f t="shared" si="18"/>
        <v>161.03104443021772</v>
      </c>
      <c r="BA62" s="221">
        <f t="shared" si="19"/>
        <v>4137.179141485276</v>
      </c>
      <c r="BB62" s="221">
        <f t="shared" si="20"/>
        <v>8981.1500000000015</v>
      </c>
      <c r="BC62" s="221">
        <f t="shared" si="21"/>
        <v>8398.8659090909114</v>
      </c>
      <c r="BD62" s="222">
        <f t="shared" si="22"/>
        <v>2159.3367676056355</v>
      </c>
      <c r="BE62" s="223">
        <f t="shared" si="23"/>
        <v>0.25709861200050532</v>
      </c>
      <c r="BF62" s="229"/>
      <c r="BG62" s="229"/>
      <c r="BH62" s="144"/>
    </row>
    <row r="63" spans="1:60" ht="23.1" customHeight="1" x14ac:dyDescent="0.15">
      <c r="A63" s="234" t="s">
        <v>221</v>
      </c>
      <c r="B63" s="234" t="s">
        <v>222</v>
      </c>
      <c r="C63" s="192">
        <v>436</v>
      </c>
      <c r="D63" s="193">
        <v>423</v>
      </c>
      <c r="E63" s="196">
        <v>9711.06</v>
      </c>
      <c r="F63" s="195">
        <v>228</v>
      </c>
      <c r="G63" s="195">
        <v>219</v>
      </c>
      <c r="H63" s="196">
        <v>5094.12</v>
      </c>
      <c r="I63" s="196">
        <v>260.04000000000002</v>
      </c>
      <c r="J63" s="238">
        <v>26</v>
      </c>
      <c r="K63" s="239">
        <f t="shared" si="0"/>
        <v>5.9633027522935783E-2</v>
      </c>
      <c r="L63" s="240">
        <v>512.4</v>
      </c>
      <c r="M63" s="200">
        <f t="shared" si="1"/>
        <v>2.8301886792452831E-2</v>
      </c>
      <c r="N63" s="198">
        <f t="shared" si="2"/>
        <v>3.9312039312039311E-2</v>
      </c>
      <c r="O63" s="198">
        <f t="shared" si="3"/>
        <v>5.4705089509816444E-2</v>
      </c>
      <c r="P63" s="201">
        <f t="shared" si="4"/>
        <v>1.0307328605200945</v>
      </c>
      <c r="Q63" s="230">
        <f t="shared" si="5"/>
        <v>22.957588652482269</v>
      </c>
      <c r="R63" s="230">
        <f t="shared" si="6"/>
        <v>22.273073394495412</v>
      </c>
      <c r="S63" s="230">
        <f t="shared" si="59"/>
        <v>62.285714285714285</v>
      </c>
      <c r="T63" s="203">
        <f t="shared" si="8"/>
        <v>192</v>
      </c>
      <c r="U63" s="204">
        <f t="shared" si="9"/>
        <v>0.45390070921985815</v>
      </c>
      <c r="V63" s="205">
        <f t="shared" si="10"/>
        <v>0.20859335817721267</v>
      </c>
      <c r="W63" s="193">
        <v>216381</v>
      </c>
      <c r="X63" s="193">
        <v>1885</v>
      </c>
      <c r="Y63" s="193">
        <v>231</v>
      </c>
      <c r="Z63" s="206">
        <v>1971.42</v>
      </c>
      <c r="AA63" s="226">
        <v>5377.07</v>
      </c>
      <c r="AB63" s="194">
        <v>1.05</v>
      </c>
      <c r="AC63" s="208">
        <f t="shared" si="11"/>
        <v>0.36663461699401351</v>
      </c>
      <c r="AD63" s="209">
        <f t="shared" ref="AD63:AF63" si="83">X63/W63</f>
        <v>8.7114857589159853E-3</v>
      </c>
      <c r="AE63" s="209">
        <f t="shared" si="83"/>
        <v>0.12254641909814323</v>
      </c>
      <c r="AF63" s="202">
        <f t="shared" si="83"/>
        <v>8.5342857142857138</v>
      </c>
      <c r="AG63" s="210">
        <v>105</v>
      </c>
      <c r="AH63" s="203">
        <v>183</v>
      </c>
      <c r="AI63" s="211">
        <v>148</v>
      </c>
      <c r="AJ63" s="212">
        <f>AG63*产品成本!$D$2+AH63*产品成本!$D$3+AI63*产品成本!$D$4</f>
        <v>1098.3098591549306</v>
      </c>
      <c r="AK63" s="212">
        <f>AG63*产品成本!$E$2+AH63*产品成本!$E$3+AI63*产品成本!$E$4</f>
        <v>84.589335211267525</v>
      </c>
      <c r="AL63" s="212">
        <f>AG63*产品成本!$F$2+AH63*产品成本!$F$3+AI63*产品成本!$F$4</f>
        <v>148.24</v>
      </c>
      <c r="AM63" s="212">
        <f>AG63*产品成本!$G$2+AH63*产品成本!$G$3+AI63*产品成本!$G$4</f>
        <v>1678.35</v>
      </c>
      <c r="AN63" s="212">
        <f t="shared" si="13"/>
        <v>1417.6529999999998</v>
      </c>
      <c r="AO63" s="213">
        <f t="shared" si="14"/>
        <v>4427.1421943661971</v>
      </c>
      <c r="AP63" s="214">
        <v>7</v>
      </c>
      <c r="AQ63" s="214">
        <v>10</v>
      </c>
      <c r="AR63" s="215">
        <v>9</v>
      </c>
      <c r="AS63" s="216">
        <f t="shared" si="15"/>
        <v>582.27272727272725</v>
      </c>
      <c r="AT63" s="216">
        <f>AP63*产品成本!$D$2+AQ63*产品成本!$D$3+AR63*产品成本!$D$4</f>
        <v>65.704225352112729</v>
      </c>
      <c r="AU63" s="220">
        <f>AP63*产品成本!$E$2+AQ63*产品成本!$E$3+AR63*产品成本!$E$4</f>
        <v>5.0331507042253474</v>
      </c>
      <c r="AV63" s="219">
        <f>AP63*产品成本!$F$2+AQ63*产品成本!$F$3+AR63*产品成本!$F$4</f>
        <v>8.8400000000000016</v>
      </c>
      <c r="AW63" s="218"/>
      <c r="AX63" s="219">
        <f t="shared" si="16"/>
        <v>87.340909090909079</v>
      </c>
      <c r="AY63" s="218">
        <f t="shared" si="17"/>
        <v>-17.468181818181815</v>
      </c>
      <c r="AZ63" s="220">
        <f t="shared" si="18"/>
        <v>149.45010332906534</v>
      </c>
      <c r="BA63" s="221">
        <f t="shared" si="19"/>
        <v>4277.6920910371318</v>
      </c>
      <c r="BB63" s="221">
        <f t="shared" si="20"/>
        <v>9451.0199999999986</v>
      </c>
      <c r="BC63" s="221">
        <f t="shared" si="21"/>
        <v>8868.7472727272707</v>
      </c>
      <c r="BD63" s="222">
        <f t="shared" si="22"/>
        <v>2619.6351816901388</v>
      </c>
      <c r="BE63" s="223">
        <f t="shared" si="23"/>
        <v>0.29537826494908814</v>
      </c>
      <c r="BF63" s="227"/>
      <c r="BG63" s="227"/>
      <c r="BH63" s="144"/>
    </row>
    <row r="64" spans="1:60" ht="23.1" customHeight="1" x14ac:dyDescent="0.15">
      <c r="A64" s="234" t="s">
        <v>223</v>
      </c>
      <c r="B64" s="234" t="s">
        <v>224</v>
      </c>
      <c r="C64" s="192">
        <v>323</v>
      </c>
      <c r="D64" s="193">
        <v>303</v>
      </c>
      <c r="E64" s="196">
        <v>7223.97</v>
      </c>
      <c r="F64" s="195">
        <v>102</v>
      </c>
      <c r="G64" s="195">
        <v>93</v>
      </c>
      <c r="H64" s="196">
        <v>2283.88</v>
      </c>
      <c r="I64" s="196">
        <v>139.88999999999999</v>
      </c>
      <c r="J64" s="238">
        <v>19</v>
      </c>
      <c r="K64" s="239">
        <f t="shared" si="0"/>
        <v>5.8823529411764705E-2</v>
      </c>
      <c r="L64" s="240">
        <v>350.68</v>
      </c>
      <c r="M64" s="200">
        <f t="shared" si="1"/>
        <v>-0.25917431192660551</v>
      </c>
      <c r="N64" s="198">
        <f t="shared" si="2"/>
        <v>-0.28368794326241137</v>
      </c>
      <c r="O64" s="198">
        <f t="shared" si="3"/>
        <v>-0.25610901384606821</v>
      </c>
      <c r="P64" s="201">
        <f t="shared" si="4"/>
        <v>1.0660066006600659</v>
      </c>
      <c r="Q64" s="230">
        <f t="shared" si="5"/>
        <v>23.841485148514852</v>
      </c>
      <c r="R64" s="230">
        <f t="shared" si="6"/>
        <v>22.365232198142415</v>
      </c>
      <c r="S64" s="230">
        <f t="shared" si="59"/>
        <v>46.142857142857146</v>
      </c>
      <c r="T64" s="203">
        <f t="shared" si="8"/>
        <v>143</v>
      </c>
      <c r="U64" s="204">
        <f t="shared" si="9"/>
        <v>0.47194719471947194</v>
      </c>
      <c r="V64" s="205">
        <f t="shared" si="10"/>
        <v>0.23570456573048301</v>
      </c>
      <c r="W64" s="193">
        <v>180451</v>
      </c>
      <c r="X64" s="193">
        <v>1670</v>
      </c>
      <c r="Y64" s="193">
        <v>160</v>
      </c>
      <c r="Z64" s="206">
        <v>1669.75</v>
      </c>
      <c r="AA64" s="226">
        <v>3746.85</v>
      </c>
      <c r="AB64" s="194">
        <v>1</v>
      </c>
      <c r="AC64" s="208">
        <f t="shared" si="11"/>
        <v>0.44564100511095989</v>
      </c>
      <c r="AD64" s="209">
        <f t="shared" ref="AD64:AF64" si="84">X64/W64</f>
        <v>9.2545898886678378E-3</v>
      </c>
      <c r="AE64" s="209">
        <f t="shared" si="84"/>
        <v>9.580838323353294E-2</v>
      </c>
      <c r="AF64" s="202">
        <f t="shared" si="84"/>
        <v>10.4359375</v>
      </c>
      <c r="AG64" s="210">
        <v>89</v>
      </c>
      <c r="AH64" s="203">
        <v>102</v>
      </c>
      <c r="AI64" s="211">
        <v>132</v>
      </c>
      <c r="AJ64" s="212">
        <f>AG64*产品成本!$D$2+AH64*产品成本!$D$3+AI64*产品成本!$D$4</f>
        <v>840.42253521126827</v>
      </c>
      <c r="AK64" s="212">
        <f>AG64*产品成本!$E$2+AH64*产品成本!$E$3+AI64*产品成本!$E$4</f>
        <v>62.835621126760515</v>
      </c>
      <c r="AL64" s="212">
        <f>AG64*产品成本!$F$2+AH64*产品成本!$F$3+AI64*产品成本!$F$4</f>
        <v>109.82</v>
      </c>
      <c r="AM64" s="212">
        <f>AG64*产品成本!$G$2+AH64*产品成本!$G$3+AI64*产品成本!$G$4</f>
        <v>1241.01</v>
      </c>
      <c r="AN64" s="212">
        <f t="shared" si="13"/>
        <v>1062.6119999999999</v>
      </c>
      <c r="AO64" s="213">
        <f t="shared" si="14"/>
        <v>3316.700156338029</v>
      </c>
      <c r="AP64" s="214">
        <v>4</v>
      </c>
      <c r="AQ64" s="214">
        <v>4</v>
      </c>
      <c r="AR64" s="215">
        <v>11</v>
      </c>
      <c r="AS64" s="216">
        <f t="shared" si="15"/>
        <v>398.5</v>
      </c>
      <c r="AT64" s="216">
        <f>AP64*产品成本!$D$2+AQ64*产品成本!$D$3+AR64*产品成本!$D$4</f>
        <v>53.309859154929619</v>
      </c>
      <c r="AU64" s="220">
        <f>AP64*产品成本!$E$2+AQ64*产品成本!$E$3+AR64*产品成本!$E$4</f>
        <v>3.7755887323943642</v>
      </c>
      <c r="AV64" s="219">
        <f>AP64*产品成本!$F$2+AQ64*产品成本!$F$3+AR64*产品成本!$F$4</f>
        <v>6.4600000000000009</v>
      </c>
      <c r="AW64" s="218"/>
      <c r="AX64" s="219">
        <f t="shared" si="16"/>
        <v>59.774999999999999</v>
      </c>
      <c r="AY64" s="218">
        <f t="shared" si="17"/>
        <v>-11.955</v>
      </c>
      <c r="AZ64" s="220">
        <f t="shared" si="18"/>
        <v>111.36544788732398</v>
      </c>
      <c r="BA64" s="221">
        <f t="shared" si="19"/>
        <v>3205.334708450705</v>
      </c>
      <c r="BB64" s="221">
        <f t="shared" si="20"/>
        <v>7084.08</v>
      </c>
      <c r="BC64" s="221">
        <f t="shared" si="21"/>
        <v>6685.58</v>
      </c>
      <c r="BD64" s="222">
        <f t="shared" si="22"/>
        <v>1810.495291549295</v>
      </c>
      <c r="BE64" s="223">
        <f t="shared" si="23"/>
        <v>0.27080601706198937</v>
      </c>
      <c r="BF64" s="229"/>
      <c r="BG64" s="229" t="s">
        <v>225</v>
      </c>
      <c r="BH64" s="144"/>
    </row>
    <row r="65" spans="1:61" ht="23.1" customHeight="1" x14ac:dyDescent="0.15">
      <c r="A65" s="234" t="s">
        <v>226</v>
      </c>
      <c r="B65" s="234" t="s">
        <v>227</v>
      </c>
      <c r="C65" s="192">
        <v>434</v>
      </c>
      <c r="D65" s="193">
        <v>393</v>
      </c>
      <c r="E65" s="196">
        <v>10244.5</v>
      </c>
      <c r="F65" s="195">
        <v>114</v>
      </c>
      <c r="G65" s="195">
        <v>94</v>
      </c>
      <c r="H65" s="196">
        <v>2600.36</v>
      </c>
      <c r="I65" s="196">
        <v>161.25</v>
      </c>
      <c r="J65" s="238">
        <v>29</v>
      </c>
      <c r="K65" s="239">
        <f t="shared" si="0"/>
        <v>6.6820276497695855E-2</v>
      </c>
      <c r="L65" s="240">
        <v>477.59</v>
      </c>
      <c r="M65" s="200">
        <f t="shared" si="1"/>
        <v>0.34365325077399383</v>
      </c>
      <c r="N65" s="198">
        <f t="shared" si="2"/>
        <v>0.29702970297029702</v>
      </c>
      <c r="O65" s="198">
        <f t="shared" si="3"/>
        <v>0.41812604426651823</v>
      </c>
      <c r="P65" s="201">
        <f t="shared" si="4"/>
        <v>1.1043256997455471</v>
      </c>
      <c r="Q65" s="230">
        <f t="shared" si="5"/>
        <v>26.067430025445294</v>
      </c>
      <c r="R65" s="230">
        <f t="shared" si="6"/>
        <v>23.60483870967742</v>
      </c>
      <c r="S65" s="230">
        <f t="shared" si="59"/>
        <v>62</v>
      </c>
      <c r="T65" s="203">
        <f t="shared" si="8"/>
        <v>165</v>
      </c>
      <c r="U65" s="204">
        <f t="shared" si="9"/>
        <v>0.41984732824427479</v>
      </c>
      <c r="V65" s="205">
        <f t="shared" si="10"/>
        <v>0.20220365457565764</v>
      </c>
      <c r="W65" s="193">
        <v>229389</v>
      </c>
      <c r="X65" s="193">
        <v>2108</v>
      </c>
      <c r="Y65" s="193">
        <v>228</v>
      </c>
      <c r="Z65" s="206">
        <v>2038.87</v>
      </c>
      <c r="AA65" s="226">
        <v>5774.96</v>
      </c>
      <c r="AB65" s="194">
        <v>0.97</v>
      </c>
      <c r="AC65" s="208">
        <f t="shared" si="11"/>
        <v>0.35305352764348147</v>
      </c>
      <c r="AD65" s="209">
        <f t="shared" ref="AD65:AF65" si="85">X65/W65</f>
        <v>9.1896298427561907E-3</v>
      </c>
      <c r="AE65" s="209">
        <f t="shared" si="85"/>
        <v>0.10815939278937381</v>
      </c>
      <c r="AF65" s="202">
        <f t="shared" si="85"/>
        <v>8.9424122807017543</v>
      </c>
      <c r="AG65" s="210">
        <v>123</v>
      </c>
      <c r="AH65" s="203">
        <v>112</v>
      </c>
      <c r="AI65" s="211">
        <v>199</v>
      </c>
      <c r="AJ65" s="212">
        <f>AG65*产品成本!$D$2+AH65*产品成本!$D$3+AI65*产品成本!$D$4</f>
        <v>1155.1408450704234</v>
      </c>
      <c r="AK65" s="212">
        <f>AG65*产品成本!$E$2+AH65*产品成本!$E$3+AI65*产品成本!$E$4</f>
        <v>84.736161971830924</v>
      </c>
      <c r="AL65" s="212">
        <f>AG65*产品成本!$F$2+AH65*产品成本!$F$3+AI65*产品成本!$F$4</f>
        <v>147.56</v>
      </c>
      <c r="AM65" s="212">
        <f>AG65*产品成本!$G$2+AH65*产品成本!$G$3+AI65*产品成本!$G$4</f>
        <v>1666.77</v>
      </c>
      <c r="AN65" s="212">
        <f t="shared" si="13"/>
        <v>1512.4875</v>
      </c>
      <c r="AO65" s="213">
        <f t="shared" si="14"/>
        <v>4566.6945070422544</v>
      </c>
      <c r="AP65" s="214">
        <v>8</v>
      </c>
      <c r="AQ65" s="214">
        <v>11</v>
      </c>
      <c r="AR65" s="215">
        <v>10</v>
      </c>
      <c r="AS65" s="216">
        <f t="shared" si="15"/>
        <v>542.71590909090901</v>
      </c>
      <c r="AT65" s="216">
        <f>AP65*产品成本!$D$2+AQ65*产品成本!$D$3+AR65*产品成本!$D$4</f>
        <v>73.239436619718361</v>
      </c>
      <c r="AU65" s="220">
        <f>AP65*产品成本!$E$2+AQ65*产品成本!$E$3+AR65*产品成本!$E$4</f>
        <v>5.6095478873239379</v>
      </c>
      <c r="AV65" s="219">
        <f>AP65*产品成本!$F$2+AQ65*产品成本!$F$3+AR65*产品成本!$F$4</f>
        <v>9.8600000000000012</v>
      </c>
      <c r="AW65" s="218"/>
      <c r="AX65" s="219">
        <f t="shared" si="16"/>
        <v>81.407386363636348</v>
      </c>
      <c r="AY65" s="218">
        <f t="shared" si="17"/>
        <v>-16.281477272727269</v>
      </c>
      <c r="AZ65" s="220">
        <f t="shared" si="18"/>
        <v>153.83489359795138</v>
      </c>
      <c r="BA65" s="221">
        <f t="shared" si="19"/>
        <v>4412.8596134443032</v>
      </c>
      <c r="BB65" s="221">
        <f t="shared" si="20"/>
        <v>10083.25</v>
      </c>
      <c r="BC65" s="221">
        <f t="shared" si="21"/>
        <v>9540.5340909090919</v>
      </c>
      <c r="BD65" s="222">
        <f t="shared" si="22"/>
        <v>3088.8044774647888</v>
      </c>
      <c r="BE65" s="223">
        <f t="shared" si="23"/>
        <v>0.32375592896922029</v>
      </c>
      <c r="BF65" s="227"/>
      <c r="BG65" s="227" t="s">
        <v>94</v>
      </c>
      <c r="BH65" s="144"/>
    </row>
    <row r="66" spans="1:61" ht="23.1" customHeight="1" x14ac:dyDescent="0.15">
      <c r="A66" s="234" t="s">
        <v>228</v>
      </c>
      <c r="B66" s="234" t="s">
        <v>229</v>
      </c>
      <c r="C66" s="192">
        <v>444</v>
      </c>
      <c r="D66" s="193">
        <v>417</v>
      </c>
      <c r="E66" s="196">
        <v>10786.89</v>
      </c>
      <c r="F66" s="195">
        <v>58</v>
      </c>
      <c r="G66" s="195">
        <v>47</v>
      </c>
      <c r="H66" s="196">
        <v>1403.82</v>
      </c>
      <c r="I66" s="196">
        <v>152.15</v>
      </c>
      <c r="J66" s="238">
        <v>39</v>
      </c>
      <c r="K66" s="239">
        <f t="shared" si="0"/>
        <v>8.7837837837837843E-2</v>
      </c>
      <c r="L66" s="240">
        <v>764.9</v>
      </c>
      <c r="M66" s="200">
        <f t="shared" si="1"/>
        <v>2.3041474654377881E-2</v>
      </c>
      <c r="N66" s="198">
        <f t="shared" si="2"/>
        <v>6.1068702290076333E-2</v>
      </c>
      <c r="O66" s="198">
        <f t="shared" si="3"/>
        <v>5.2944506808531348E-2</v>
      </c>
      <c r="P66" s="201">
        <f t="shared" si="4"/>
        <v>1.064748201438849</v>
      </c>
      <c r="Q66" s="230">
        <f t="shared" si="5"/>
        <v>25.867841726618703</v>
      </c>
      <c r="R66" s="230">
        <f t="shared" si="6"/>
        <v>24.294797297297297</v>
      </c>
      <c r="S66" s="230">
        <f t="shared" si="59"/>
        <v>63.428571428571431</v>
      </c>
      <c r="T66" s="203">
        <f t="shared" si="8"/>
        <v>164</v>
      </c>
      <c r="U66" s="204">
        <f t="shared" si="9"/>
        <v>0.39328537170263789</v>
      </c>
      <c r="V66" s="205">
        <f t="shared" si="10"/>
        <v>0.2165722904368137</v>
      </c>
      <c r="W66" s="193">
        <v>215591</v>
      </c>
      <c r="X66" s="193">
        <v>2375</v>
      </c>
      <c r="Y66" s="193">
        <v>253</v>
      </c>
      <c r="Z66" s="206">
        <v>2303.19</v>
      </c>
      <c r="AA66" s="226">
        <v>6318.58</v>
      </c>
      <c r="AB66" s="194">
        <v>0.97</v>
      </c>
      <c r="AC66" s="208">
        <f t="shared" si="11"/>
        <v>0.36451069702369837</v>
      </c>
      <c r="AD66" s="209">
        <f t="shared" ref="AD66:AF66" si="86">X66/W66</f>
        <v>1.1016229805511361E-2</v>
      </c>
      <c r="AE66" s="209">
        <f t="shared" si="86"/>
        <v>0.10652631578947368</v>
      </c>
      <c r="AF66" s="202">
        <f t="shared" si="86"/>
        <v>9.1035177865612642</v>
      </c>
      <c r="AG66" s="210">
        <v>135</v>
      </c>
      <c r="AH66" s="203">
        <v>108</v>
      </c>
      <c r="AI66" s="211">
        <v>201</v>
      </c>
      <c r="AJ66" s="212">
        <f>AG66*产品成本!$D$2+AH66*产品成本!$D$3+AI66*产品成本!$D$4</f>
        <v>1178.6619718309869</v>
      </c>
      <c r="AK66" s="212">
        <f>AG66*产品成本!$E$2+AH66*产品成本!$E$3+AI66*产品成本!$E$4</f>
        <v>86.468285915492899</v>
      </c>
      <c r="AL66" s="212">
        <f>AG66*产品成本!$F$2+AH66*产品成本!$F$3+AI66*产品成本!$F$4</f>
        <v>150.96</v>
      </c>
      <c r="AM66" s="212">
        <f>AG66*产品成本!$G$2+AH66*产品成本!$G$3+AI66*产品成本!$G$4</f>
        <v>1703.25</v>
      </c>
      <c r="AN66" s="212">
        <f t="shared" si="13"/>
        <v>1595.211</v>
      </c>
      <c r="AO66" s="213">
        <f t="shared" si="14"/>
        <v>4714.5512577464797</v>
      </c>
      <c r="AP66" s="214">
        <v>14</v>
      </c>
      <c r="AQ66" s="214">
        <v>8</v>
      </c>
      <c r="AR66" s="215">
        <v>17</v>
      </c>
      <c r="AS66" s="216">
        <f t="shared" si="15"/>
        <v>869.20454545454538</v>
      </c>
      <c r="AT66" s="216">
        <f>AP66*产品成本!$D$2+AQ66*产品成本!$D$3+AR66*产品成本!$D$4</f>
        <v>102.74647887323951</v>
      </c>
      <c r="AU66" s="220">
        <f>AP66*产品成本!$E$2+AQ66*产品成本!$E$3+AR66*产品成本!$E$4</f>
        <v>7.542819718309854</v>
      </c>
      <c r="AV66" s="219">
        <f>AP66*产品成本!$F$2+AQ66*产品成本!$F$3+AR66*产品成本!$F$4</f>
        <v>13.260000000000002</v>
      </c>
      <c r="AW66" s="218"/>
      <c r="AX66" s="219">
        <f t="shared" si="16"/>
        <v>130.38068181818181</v>
      </c>
      <c r="AY66" s="218">
        <f t="shared" si="17"/>
        <v>-26.076136363636365</v>
      </c>
      <c r="AZ66" s="220">
        <f t="shared" si="18"/>
        <v>227.85384404609482</v>
      </c>
      <c r="BA66" s="221">
        <f t="shared" si="19"/>
        <v>4486.6974137003845</v>
      </c>
      <c r="BB66" s="221">
        <f t="shared" si="20"/>
        <v>10634.74</v>
      </c>
      <c r="BC66" s="221">
        <f t="shared" si="21"/>
        <v>9765.5354545454538</v>
      </c>
      <c r="BD66" s="222">
        <f t="shared" si="22"/>
        <v>2975.6480408450693</v>
      </c>
      <c r="BE66" s="223">
        <f t="shared" si="23"/>
        <v>0.3047091533992668</v>
      </c>
      <c r="BF66" s="229"/>
      <c r="BG66" s="229" t="s">
        <v>94</v>
      </c>
      <c r="BH66" s="144"/>
    </row>
    <row r="67" spans="1:61" ht="23.1" customHeight="1" x14ac:dyDescent="0.15">
      <c r="A67" s="234" t="s">
        <v>230</v>
      </c>
      <c r="B67" s="234" t="s">
        <v>231</v>
      </c>
      <c r="C67" s="192">
        <v>429</v>
      </c>
      <c r="D67" s="193">
        <v>419</v>
      </c>
      <c r="E67" s="196">
        <v>10511.13</v>
      </c>
      <c r="F67" s="195">
        <v>51</v>
      </c>
      <c r="G67" s="195">
        <v>48</v>
      </c>
      <c r="H67" s="196">
        <v>1261.5899999999999</v>
      </c>
      <c r="I67" s="196">
        <v>138.22999999999999</v>
      </c>
      <c r="J67" s="238">
        <v>43</v>
      </c>
      <c r="K67" s="239">
        <f t="shared" si="0"/>
        <v>0.10023310023310024</v>
      </c>
      <c r="L67" s="240">
        <v>860.16</v>
      </c>
      <c r="M67" s="200">
        <f t="shared" si="1"/>
        <v>-3.3783783783783786E-2</v>
      </c>
      <c r="N67" s="198">
        <f t="shared" si="2"/>
        <v>4.7961630695443642E-3</v>
      </c>
      <c r="O67" s="198">
        <f t="shared" si="3"/>
        <v>-2.5564365632726415E-2</v>
      </c>
      <c r="P67" s="201">
        <f t="shared" si="4"/>
        <v>1.0238663484486874</v>
      </c>
      <c r="Q67" s="230">
        <f t="shared" si="5"/>
        <v>25.086229116945105</v>
      </c>
      <c r="R67" s="230">
        <f t="shared" si="6"/>
        <v>24.501468531468529</v>
      </c>
      <c r="S67" s="230">
        <f t="shared" si="59"/>
        <v>61.285714285714285</v>
      </c>
      <c r="T67" s="203">
        <f t="shared" si="8"/>
        <v>142</v>
      </c>
      <c r="U67" s="204">
        <f t="shared" si="9"/>
        <v>0.33890214797136037</v>
      </c>
      <c r="V67" s="205">
        <f t="shared" si="10"/>
        <v>0.20764010064687793</v>
      </c>
      <c r="W67" s="193">
        <v>185443</v>
      </c>
      <c r="X67" s="193">
        <v>2245</v>
      </c>
      <c r="Y67" s="193">
        <v>277</v>
      </c>
      <c r="Z67" s="206">
        <v>2153.83</v>
      </c>
      <c r="AA67" s="226">
        <v>6835.68</v>
      </c>
      <c r="AB67" s="194">
        <v>0.96</v>
      </c>
      <c r="AC67" s="208">
        <f t="shared" si="11"/>
        <v>0.31508642885565152</v>
      </c>
      <c r="AD67" s="209">
        <f t="shared" ref="AD67:AF67" si="87">X67/W67</f>
        <v>1.2106145823784128E-2</v>
      </c>
      <c r="AE67" s="209">
        <f t="shared" si="87"/>
        <v>0.12338530066815145</v>
      </c>
      <c r="AF67" s="202">
        <f t="shared" si="87"/>
        <v>7.7755595667870034</v>
      </c>
      <c r="AG67" s="210">
        <v>111</v>
      </c>
      <c r="AH67" s="203">
        <v>113</v>
      </c>
      <c r="AI67" s="211">
        <v>205</v>
      </c>
      <c r="AJ67" s="212">
        <f>AG67*产品成本!$D$2+AH67*产品成本!$D$3+AI67*产品成本!$D$4</f>
        <v>1151.7605633802825</v>
      </c>
      <c r="AK67" s="212">
        <f>AG67*产品成本!$E$2+AH67*产品成本!$E$3+AI67*产品成本!$E$4</f>
        <v>84.105667605633741</v>
      </c>
      <c r="AL67" s="212">
        <f>AG67*产品成本!$F$2+AH67*产品成本!$F$3+AI67*产品成本!$F$4</f>
        <v>145.86000000000001</v>
      </c>
      <c r="AM67" s="212">
        <f>AG67*产品成本!$G$2+AH67*产品成本!$G$3+AI67*产品成本!$G$4</f>
        <v>1649.79</v>
      </c>
      <c r="AN67" s="212">
        <f t="shared" si="13"/>
        <v>1555.9349999999999</v>
      </c>
      <c r="AO67" s="213">
        <f t="shared" si="14"/>
        <v>4587.4512309859165</v>
      </c>
      <c r="AP67" s="214">
        <v>15</v>
      </c>
      <c r="AQ67" s="214">
        <v>5</v>
      </c>
      <c r="AR67" s="215">
        <v>23</v>
      </c>
      <c r="AS67" s="216">
        <f t="shared" si="15"/>
        <v>977.45454545454538</v>
      </c>
      <c r="AT67" s="216">
        <f>AP67*产品成本!$D$2+AQ67*产品成本!$D$3+AR67*产品成本!$D$4</f>
        <v>118.38028169014095</v>
      </c>
      <c r="AU67" s="220">
        <f>AP67*产品成本!$E$2+AQ67*产品成本!$E$3+AR67*产品成本!$E$4</f>
        <v>8.3980563380281659</v>
      </c>
      <c r="AV67" s="219">
        <f>AP67*产品成本!$F$2+AQ67*产品成本!$F$3+AR67*产品成本!$F$4</f>
        <v>14.620000000000001</v>
      </c>
      <c r="AW67" s="218"/>
      <c r="AX67" s="219">
        <f t="shared" si="16"/>
        <v>146.6181818181818</v>
      </c>
      <c r="AY67" s="218">
        <f t="shared" si="17"/>
        <v>-29.323636363636361</v>
      </c>
      <c r="AZ67" s="220">
        <f t="shared" si="18"/>
        <v>258.69288348271454</v>
      </c>
      <c r="BA67" s="221">
        <f t="shared" si="19"/>
        <v>4328.7583475032015</v>
      </c>
      <c r="BB67" s="221">
        <f t="shared" si="20"/>
        <v>10372.9</v>
      </c>
      <c r="BC67" s="221">
        <f t="shared" si="21"/>
        <v>9395.4454545454537</v>
      </c>
      <c r="BD67" s="222">
        <f t="shared" si="22"/>
        <v>2912.8571070422522</v>
      </c>
      <c r="BE67" s="223">
        <f t="shared" si="23"/>
        <v>0.31002863261081798</v>
      </c>
      <c r="BF67" s="227"/>
      <c r="BG67" s="227" t="s">
        <v>94</v>
      </c>
      <c r="BH67" s="144"/>
    </row>
    <row r="68" spans="1:61" ht="23.1" customHeight="1" x14ac:dyDescent="0.15">
      <c r="A68" s="234" t="s">
        <v>232</v>
      </c>
      <c r="B68" s="234" t="s">
        <v>233</v>
      </c>
      <c r="C68" s="192">
        <v>401</v>
      </c>
      <c r="D68" s="193">
        <v>371</v>
      </c>
      <c r="E68" s="196">
        <v>8847.5499999999993</v>
      </c>
      <c r="F68" s="195">
        <v>33</v>
      </c>
      <c r="G68" s="195">
        <v>31</v>
      </c>
      <c r="H68" s="196">
        <v>742.44</v>
      </c>
      <c r="I68" s="196">
        <v>87.77</v>
      </c>
      <c r="J68" s="238">
        <v>43</v>
      </c>
      <c r="K68" s="239">
        <f t="shared" ref="K68:K78" si="88">J68/C68</f>
        <v>0.10723192019950124</v>
      </c>
      <c r="L68" s="240">
        <v>854.28</v>
      </c>
      <c r="M68" s="200">
        <f t="shared" ref="M68:M74" si="89">(C68-C67)/C67</f>
        <v>-6.5268065268065265E-2</v>
      </c>
      <c r="N68" s="198">
        <f t="shared" ref="N68:N74" si="90">(D68-D67)/D67</f>
        <v>-0.11455847255369929</v>
      </c>
      <c r="O68" s="198">
        <f t="shared" ref="O68:O74" si="91">(E68-E67)/E67</f>
        <v>-0.15826842594468912</v>
      </c>
      <c r="P68" s="201">
        <f t="shared" ref="P68:P78" si="92">C68/D68</f>
        <v>1.0808625336927224</v>
      </c>
      <c r="Q68" s="230">
        <f t="shared" ref="Q68:Q78" si="93">E68/D68</f>
        <v>23.847843665768192</v>
      </c>
      <c r="R68" s="230">
        <f t="shared" ref="R68:R78" si="94">E68/C68</f>
        <v>22.063715710723191</v>
      </c>
      <c r="S68" s="230">
        <f t="shared" si="59"/>
        <v>57.285714285714285</v>
      </c>
      <c r="T68" s="203">
        <f t="shared" ref="T68:T78" si="95">D68-Y68</f>
        <v>161</v>
      </c>
      <c r="U68" s="204">
        <f t="shared" ref="U68:U78" si="96">T68/D68</f>
        <v>0.43396226415094341</v>
      </c>
      <c r="V68" s="205">
        <f t="shared" ref="V68:V78" si="97">Z68/(E68-I68)</f>
        <v>0.22967357627702983</v>
      </c>
      <c r="W68" s="193">
        <v>281209</v>
      </c>
      <c r="X68" s="193">
        <v>2093</v>
      </c>
      <c r="Y68" s="193">
        <v>210</v>
      </c>
      <c r="Z68" s="206">
        <v>2011.89</v>
      </c>
      <c r="AA68" s="226">
        <v>5176.6899999999996</v>
      </c>
      <c r="AB68" s="194">
        <v>0.96</v>
      </c>
      <c r="AC68" s="208">
        <f t="shared" ref="AC68:AC78" si="98">Z68/AA68</f>
        <v>0.38864409497188362</v>
      </c>
      <c r="AD68" s="209">
        <f t="shared" ref="AD68:AF68" si="99">X68/W68</f>
        <v>7.4428627817744097E-3</v>
      </c>
      <c r="AE68" s="209">
        <f t="shared" si="99"/>
        <v>0.10033444816053512</v>
      </c>
      <c r="AF68" s="202">
        <f t="shared" si="99"/>
        <v>9.5804285714285715</v>
      </c>
      <c r="AG68" s="210">
        <v>88</v>
      </c>
      <c r="AH68" s="203">
        <v>118</v>
      </c>
      <c r="AI68" s="211">
        <v>195</v>
      </c>
      <c r="AJ68" s="212">
        <f>AG68*产品成本!$D$2+AH68*产品成本!$D$3+AI68*产品成本!$D$4</f>
        <v>1080.6338028169023</v>
      </c>
      <c r="AK68" s="212">
        <f>AG68*产品成本!$E$2+AH68*产品成本!$E$3+AI68*产品成本!$E$4</f>
        <v>78.976656338028107</v>
      </c>
      <c r="AL68" s="212">
        <f>AG68*产品成本!$F$2+AH68*产品成本!$F$3+AI68*产品成本!$F$4</f>
        <v>136.34000000000003</v>
      </c>
      <c r="AM68" s="212">
        <f>AG68*产品成本!$G$2+AH68*产品成本!$G$3+AI68*产品成本!$G$4</f>
        <v>1545.42</v>
      </c>
      <c r="AN68" s="212">
        <f t="shared" ref="AN68:AN74" si="100">(E68-I68)*0.15</f>
        <v>1313.9669999999999</v>
      </c>
      <c r="AO68" s="213">
        <f t="shared" ref="AO68:AO74" si="101">SUM(AJ68:AN68)</f>
        <v>4155.33745915493</v>
      </c>
      <c r="AP68" s="214">
        <v>15</v>
      </c>
      <c r="AQ68" s="214">
        <v>10</v>
      </c>
      <c r="AR68" s="215">
        <v>18</v>
      </c>
      <c r="AS68" s="216">
        <f t="shared" ref="AS68:AS74" si="102">L68/(1-0.15+0.15*0.2)</f>
        <v>970.77272727272725</v>
      </c>
      <c r="AT68" s="216">
        <f>AP68*产品成本!$D$2+AQ68*产品成本!$D$3+AR68*产品成本!$D$4</f>
        <v>112.39436619718319</v>
      </c>
      <c r="AU68" s="220">
        <f>AP68*产品成本!$E$2+AQ68*产品成本!$E$3+AR68*产品成本!$E$4</f>
        <v>8.3120070422535139</v>
      </c>
      <c r="AV68" s="219">
        <f>AP68*产品成本!$F$2+AQ68*产品成本!$F$3+AR68*产品成本!$F$4</f>
        <v>14.620000000000001</v>
      </c>
      <c r="AW68" s="218"/>
      <c r="AX68" s="219">
        <f t="shared" ref="AX68:AX74" si="103">AS68*0.15</f>
        <v>145.61590909090907</v>
      </c>
      <c r="AY68" s="218">
        <f t="shared" ref="AY68:AY74" si="104">-AX68*0.2</f>
        <v>-29.123181818181816</v>
      </c>
      <c r="AZ68" s="220">
        <f t="shared" ref="AZ68:AZ74" si="105">SUM(AT68:AY68)</f>
        <v>251.81910051216391</v>
      </c>
      <c r="BA68" s="221">
        <f t="shared" ref="BA68:BA74" si="106">AO68-AZ68</f>
        <v>3903.5183586427661</v>
      </c>
      <c r="BB68" s="221">
        <f t="shared" ref="BB68:BB74" si="107">E68-I68</f>
        <v>8759.7799999999988</v>
      </c>
      <c r="BC68" s="221">
        <f t="shared" ref="BC68:BC74" si="108">E68-AS68-I68</f>
        <v>7789.0072727272718</v>
      </c>
      <c r="BD68" s="222">
        <f t="shared" ref="BD68:BD75" si="109">BC68-BA68-Z68</f>
        <v>1873.5989140845056</v>
      </c>
      <c r="BE68" s="223">
        <f t="shared" ref="BE68:BE78" si="110">BD68/BC68</f>
        <v>0.24054399341040503</v>
      </c>
      <c r="BF68" s="229" t="s">
        <v>234</v>
      </c>
      <c r="BG68" s="229" t="s">
        <v>235</v>
      </c>
      <c r="BH68" s="144"/>
    </row>
    <row r="69" spans="1:61" ht="23.1" customHeight="1" x14ac:dyDescent="0.15">
      <c r="A69" s="234" t="s">
        <v>236</v>
      </c>
      <c r="B69" s="234" t="s">
        <v>237</v>
      </c>
      <c r="C69" s="192">
        <v>524</v>
      </c>
      <c r="D69" s="193">
        <v>498</v>
      </c>
      <c r="E69" s="196">
        <v>11077.72</v>
      </c>
      <c r="F69" s="195">
        <v>54</v>
      </c>
      <c r="G69" s="195">
        <v>41</v>
      </c>
      <c r="H69" s="196">
        <v>1165.01</v>
      </c>
      <c r="I69" s="196">
        <v>96.42</v>
      </c>
      <c r="J69" s="238">
        <v>33</v>
      </c>
      <c r="K69" s="239">
        <f t="shared" si="88"/>
        <v>6.2977099236641215E-2</v>
      </c>
      <c r="L69" s="240">
        <v>645.55999999999995</v>
      </c>
      <c r="M69" s="200">
        <f t="shared" si="89"/>
        <v>0.30673316708229426</v>
      </c>
      <c r="N69" s="198">
        <f t="shared" si="90"/>
        <v>0.3423180592991914</v>
      </c>
      <c r="O69" s="198">
        <f t="shared" si="91"/>
        <v>0.25206639126085756</v>
      </c>
      <c r="P69" s="201">
        <f t="shared" si="92"/>
        <v>1.0522088353413654</v>
      </c>
      <c r="Q69" s="230">
        <f t="shared" si="93"/>
        <v>22.244417670682729</v>
      </c>
      <c r="R69" s="230">
        <f t="shared" si="94"/>
        <v>21.140687022900764</v>
      </c>
      <c r="S69" s="230">
        <f t="shared" si="59"/>
        <v>74.857142857142861</v>
      </c>
      <c r="T69" s="203">
        <f t="shared" si="95"/>
        <v>198</v>
      </c>
      <c r="U69" s="204">
        <f t="shared" si="96"/>
        <v>0.39759036144578314</v>
      </c>
      <c r="V69" s="205">
        <f t="shared" si="97"/>
        <v>0.20394853068398094</v>
      </c>
      <c r="W69" s="193">
        <v>320616</v>
      </c>
      <c r="X69" s="193">
        <v>2314</v>
      </c>
      <c r="Y69" s="193">
        <v>300</v>
      </c>
      <c r="Z69" s="206">
        <v>2239.62</v>
      </c>
      <c r="AA69" s="226">
        <v>6515.16</v>
      </c>
      <c r="AB69" s="194">
        <v>0.97</v>
      </c>
      <c r="AC69" s="208">
        <f t="shared" si="98"/>
        <v>0.34375518022581181</v>
      </c>
      <c r="AD69" s="209">
        <f t="shared" ref="AD69:AF69" si="111">X69/W69</f>
        <v>7.2173565885670088E-3</v>
      </c>
      <c r="AE69" s="209">
        <f t="shared" si="111"/>
        <v>0.12964563526361278</v>
      </c>
      <c r="AF69" s="202">
        <f t="shared" si="111"/>
        <v>7.4653999999999998</v>
      </c>
      <c r="AG69" s="210">
        <v>148</v>
      </c>
      <c r="AH69" s="203">
        <v>136</v>
      </c>
      <c r="AI69" s="211">
        <v>240</v>
      </c>
      <c r="AJ69" s="212">
        <f>AG69*产品成本!$D$2+AH69*产品成本!$D$3+AI69*产品成本!$D$4</f>
        <v>1394.3661971830998</v>
      </c>
      <c r="AK69" s="212">
        <f>AG69*产品成本!$E$2+AH69*产品成本!$E$3+AI69*产品成本!$E$4</f>
        <v>102.31330140845063</v>
      </c>
      <c r="AL69" s="212">
        <f>AG69*产品成本!$F$2+AH69*产品成本!$F$3+AI69*产品成本!$F$4</f>
        <v>178.16000000000003</v>
      </c>
      <c r="AM69" s="212">
        <f>AG69*产品成本!$G$2+AH69*产品成本!$G$3+AI69*产品成本!$G$4</f>
        <v>2012.52</v>
      </c>
      <c r="AN69" s="212">
        <f t="shared" si="100"/>
        <v>1647.1949999999999</v>
      </c>
      <c r="AO69" s="213">
        <f t="shared" si="101"/>
        <v>5334.5544985915503</v>
      </c>
      <c r="AP69" s="214">
        <v>7</v>
      </c>
      <c r="AQ69" s="214">
        <v>8</v>
      </c>
      <c r="AR69" s="215">
        <v>18</v>
      </c>
      <c r="AS69" s="216">
        <f t="shared" si="102"/>
        <v>733.59090909090901</v>
      </c>
      <c r="AT69" s="216">
        <f>AP69*产品成本!$D$2+AQ69*产品成本!$D$3+AR69*产品成本!$D$4</f>
        <v>91.267605633802887</v>
      </c>
      <c r="AU69" s="220">
        <f>AP69*产品成本!$E$2+AQ69*产品成本!$E$3+AR69*产品成本!$E$4</f>
        <v>6.5375704225352074</v>
      </c>
      <c r="AV69" s="219">
        <f>AP69*产品成本!$F$2+AQ69*产品成本!$F$3+AR69*产品成本!$F$4</f>
        <v>11.22</v>
      </c>
      <c r="AW69" s="218"/>
      <c r="AX69" s="219">
        <f t="shared" si="103"/>
        <v>110.03863636363634</v>
      </c>
      <c r="AY69" s="218">
        <f t="shared" si="104"/>
        <v>-22.007727272727269</v>
      </c>
      <c r="AZ69" s="220">
        <f t="shared" si="105"/>
        <v>197.05608514724719</v>
      </c>
      <c r="BA69" s="221">
        <f t="shared" si="106"/>
        <v>5137.498413444303</v>
      </c>
      <c r="BB69" s="221">
        <f t="shared" si="107"/>
        <v>10981.3</v>
      </c>
      <c r="BC69" s="221">
        <f t="shared" si="108"/>
        <v>10247.709090909089</v>
      </c>
      <c r="BD69" s="222">
        <f t="shared" si="109"/>
        <v>2870.5906774647865</v>
      </c>
      <c r="BE69" s="223">
        <f t="shared" si="110"/>
        <v>0.28012023487389337</v>
      </c>
      <c r="BF69" s="227" t="s">
        <v>238</v>
      </c>
      <c r="BG69" s="227" t="s">
        <v>239</v>
      </c>
      <c r="BH69" s="144"/>
    </row>
    <row r="70" spans="1:61" ht="23.1" customHeight="1" x14ac:dyDescent="0.15">
      <c r="A70" s="234" t="s">
        <v>240</v>
      </c>
      <c r="B70" s="234" t="s">
        <v>241</v>
      </c>
      <c r="C70" s="192">
        <v>486</v>
      </c>
      <c r="D70" s="193">
        <v>450</v>
      </c>
      <c r="E70" s="196">
        <v>10769.75</v>
      </c>
      <c r="F70" s="195">
        <v>50</v>
      </c>
      <c r="G70" s="195">
        <v>30</v>
      </c>
      <c r="H70" s="196">
        <v>1102.6300000000001</v>
      </c>
      <c r="I70" s="196">
        <v>119.81</v>
      </c>
      <c r="J70" s="238">
        <v>34</v>
      </c>
      <c r="K70" s="239">
        <f t="shared" si="88"/>
        <v>6.9958847736625515E-2</v>
      </c>
      <c r="L70" s="240">
        <v>647.63</v>
      </c>
      <c r="M70" s="200">
        <f t="shared" si="89"/>
        <v>-7.2519083969465645E-2</v>
      </c>
      <c r="N70" s="198">
        <f t="shared" si="90"/>
        <v>-9.6385542168674704E-2</v>
      </c>
      <c r="O70" s="198">
        <f t="shared" si="91"/>
        <v>-2.780084710572206E-2</v>
      </c>
      <c r="P70" s="201">
        <f t="shared" si="92"/>
        <v>1.08</v>
      </c>
      <c r="Q70" s="230">
        <f t="shared" si="93"/>
        <v>23.932777777777776</v>
      </c>
      <c r="R70" s="230">
        <f t="shared" si="94"/>
        <v>22.159979423868311</v>
      </c>
      <c r="S70" s="230">
        <f t="shared" si="59"/>
        <v>69.428571428571431</v>
      </c>
      <c r="T70" s="203">
        <f t="shared" si="95"/>
        <v>189</v>
      </c>
      <c r="U70" s="204">
        <f t="shared" si="96"/>
        <v>0.42</v>
      </c>
      <c r="V70" s="205">
        <f t="shared" si="97"/>
        <v>0.22871396458571597</v>
      </c>
      <c r="W70" s="193">
        <v>224056</v>
      </c>
      <c r="X70" s="193">
        <v>2432</v>
      </c>
      <c r="Y70" s="193">
        <v>261</v>
      </c>
      <c r="Z70" s="206">
        <v>2435.79</v>
      </c>
      <c r="AA70" s="226">
        <v>6049.84</v>
      </c>
      <c r="AB70" s="194">
        <v>1</v>
      </c>
      <c r="AC70" s="208">
        <f t="shared" si="98"/>
        <v>0.40262056517197148</v>
      </c>
      <c r="AD70" s="209">
        <f t="shared" ref="AD70:AF70" si="112">X70/W70</f>
        <v>1.08544292498304E-2</v>
      </c>
      <c r="AE70" s="209">
        <f t="shared" si="112"/>
        <v>0.10731907894736842</v>
      </c>
      <c r="AF70" s="202">
        <f t="shared" si="112"/>
        <v>9.3325287356321844</v>
      </c>
      <c r="AG70" s="210">
        <v>110</v>
      </c>
      <c r="AH70" s="203">
        <v>141</v>
      </c>
      <c r="AI70" s="211">
        <v>235</v>
      </c>
      <c r="AJ70" s="212">
        <f>AG70*产品成本!$D$2+AH70*产品成本!$D$3+AI70*产品成本!$D$4</f>
        <v>1308.098591549297</v>
      </c>
      <c r="AK70" s="212">
        <f>AG70*产品成本!$E$2+AH70*产品成本!$E$3+AI70*产品成本!$E$4</f>
        <v>95.630184507042173</v>
      </c>
      <c r="AL70" s="212">
        <f>AG70*产品成本!$F$2+AH70*产品成本!$F$3+AI70*产品成本!$F$4</f>
        <v>165.24</v>
      </c>
      <c r="AM70" s="212">
        <f>AG70*产品成本!$G$2+AH70*产品成本!$G$3+AI70*产品成本!$G$4</f>
        <v>1872.3</v>
      </c>
      <c r="AN70" s="212">
        <f t="shared" si="100"/>
        <v>1597.491</v>
      </c>
      <c r="AO70" s="213">
        <f t="shared" si="101"/>
        <v>5038.7597760563394</v>
      </c>
      <c r="AP70" s="214">
        <v>8</v>
      </c>
      <c r="AQ70" s="214">
        <v>15</v>
      </c>
      <c r="AR70" s="215">
        <v>11</v>
      </c>
      <c r="AS70" s="216">
        <f t="shared" si="102"/>
        <v>735.94318181818176</v>
      </c>
      <c r="AT70" s="216">
        <f>AP70*产品成本!$D$2+AQ70*产品成本!$D$3+AR70*产品成本!$D$4</f>
        <v>85.000000000000057</v>
      </c>
      <c r="AU70" s="220">
        <f>AP70*产品成本!$E$2+AQ70*产品成本!$E$3+AR70*产品成本!$E$4</f>
        <v>6.5907084507042182</v>
      </c>
      <c r="AV70" s="219">
        <f>AP70*产品成本!$F$2+AQ70*产品成本!$F$3+AR70*产品成本!$F$4</f>
        <v>11.56</v>
      </c>
      <c r="AW70" s="218"/>
      <c r="AX70" s="219">
        <f t="shared" si="103"/>
        <v>110.39147727272726</v>
      </c>
      <c r="AY70" s="218">
        <f t="shared" si="104"/>
        <v>-22.078295454545454</v>
      </c>
      <c r="AZ70" s="220">
        <f t="shared" si="105"/>
        <v>191.46389026888608</v>
      </c>
      <c r="BA70" s="221">
        <f t="shared" si="106"/>
        <v>4847.2958857874537</v>
      </c>
      <c r="BB70" s="221">
        <f t="shared" si="107"/>
        <v>10649.94</v>
      </c>
      <c r="BC70" s="221">
        <f t="shared" si="108"/>
        <v>9913.9968181818185</v>
      </c>
      <c r="BD70" s="222">
        <f t="shared" si="109"/>
        <v>2630.9109323943649</v>
      </c>
      <c r="BE70" s="223">
        <f t="shared" si="110"/>
        <v>0.26537338882027822</v>
      </c>
      <c r="BF70" s="229" t="s">
        <v>242</v>
      </c>
      <c r="BG70" s="229" t="s">
        <v>243</v>
      </c>
      <c r="BH70" s="144"/>
    </row>
    <row r="71" spans="1:61" ht="23.1" customHeight="1" x14ac:dyDescent="0.15">
      <c r="A71" s="234" t="s">
        <v>244</v>
      </c>
      <c r="B71" s="234" t="s">
        <v>245</v>
      </c>
      <c r="C71" s="192">
        <v>495</v>
      </c>
      <c r="D71" s="193">
        <v>481</v>
      </c>
      <c r="E71" s="196">
        <v>10972.88</v>
      </c>
      <c r="F71" s="195">
        <v>54</v>
      </c>
      <c r="G71" s="195">
        <v>48</v>
      </c>
      <c r="H71" s="196">
        <v>1187.26</v>
      </c>
      <c r="I71" s="196">
        <v>139.54</v>
      </c>
      <c r="J71" s="238">
        <v>43</v>
      </c>
      <c r="K71" s="239">
        <f t="shared" si="88"/>
        <v>8.6868686868686873E-2</v>
      </c>
      <c r="L71" s="240">
        <v>835.32</v>
      </c>
      <c r="M71" s="200">
        <f t="shared" si="89"/>
        <v>1.8518518518518517E-2</v>
      </c>
      <c r="N71" s="198">
        <f t="shared" si="90"/>
        <v>6.8888888888888888E-2</v>
      </c>
      <c r="O71" s="198">
        <f t="shared" si="91"/>
        <v>1.8861162051115318E-2</v>
      </c>
      <c r="P71" s="201">
        <f t="shared" si="92"/>
        <v>1.029106029106029</v>
      </c>
      <c r="Q71" s="230">
        <f t="shared" si="93"/>
        <v>22.812640332640331</v>
      </c>
      <c r="R71" s="230">
        <f t="shared" si="94"/>
        <v>22.167434343434341</v>
      </c>
      <c r="S71" s="230">
        <f t="shared" si="59"/>
        <v>70.714285714285708</v>
      </c>
      <c r="T71" s="203">
        <f t="shared" si="95"/>
        <v>148</v>
      </c>
      <c r="U71" s="204">
        <f t="shared" si="96"/>
        <v>0.30769230769230771</v>
      </c>
      <c r="V71" s="205">
        <f t="shared" si="97"/>
        <v>0.23087062715653717</v>
      </c>
      <c r="W71" s="193">
        <v>192638</v>
      </c>
      <c r="X71" s="193">
        <v>2449</v>
      </c>
      <c r="Y71" s="193">
        <v>333</v>
      </c>
      <c r="Z71" s="206">
        <v>2501.1</v>
      </c>
      <c r="AA71" s="226">
        <v>7556.87</v>
      </c>
      <c r="AB71" s="194">
        <v>1.02</v>
      </c>
      <c r="AC71" s="208">
        <f t="shared" si="98"/>
        <v>0.33097036206789321</v>
      </c>
      <c r="AD71" s="209">
        <f t="shared" ref="AD71:AF71" si="113">X71/W71</f>
        <v>1.2712964212668321E-2</v>
      </c>
      <c r="AE71" s="209">
        <f t="shared" si="113"/>
        <v>0.13597386688444263</v>
      </c>
      <c r="AF71" s="202">
        <f t="shared" si="113"/>
        <v>7.5108108108108107</v>
      </c>
      <c r="AG71" s="210">
        <v>101</v>
      </c>
      <c r="AH71" s="203">
        <v>148</v>
      </c>
      <c r="AI71" s="211">
        <v>246</v>
      </c>
      <c r="AJ71" s="212">
        <f>AG71*产品成本!$D$2+AH71*产品成本!$D$3+AI71*产品成本!$D$4</f>
        <v>1340.2816901408462</v>
      </c>
      <c r="AK71" s="212">
        <f>AG71*产品成本!$E$2+AH71*产品成本!$E$3+AI71*产品成本!$E$4</f>
        <v>97.727252112675984</v>
      </c>
      <c r="AL71" s="212">
        <f>AG71*产品成本!$F$2+AH71*产品成本!$F$3+AI71*产品成本!$F$4</f>
        <v>168.3</v>
      </c>
      <c r="AM71" s="212">
        <f>AG71*产品成本!$G$2+AH71*产品成本!$G$3+AI71*产品成本!$G$4</f>
        <v>1909.29</v>
      </c>
      <c r="AN71" s="212">
        <f t="shared" si="100"/>
        <v>1625.0009999999997</v>
      </c>
      <c r="AO71" s="213">
        <f t="shared" si="101"/>
        <v>5140.5999422535224</v>
      </c>
      <c r="AP71" s="214">
        <v>9</v>
      </c>
      <c r="AQ71" s="214">
        <v>14</v>
      </c>
      <c r="AR71" s="215">
        <v>20</v>
      </c>
      <c r="AS71" s="216">
        <f t="shared" si="102"/>
        <v>949.22727272727275</v>
      </c>
      <c r="AT71" s="216">
        <f>AP71*产品成本!$D$2+AQ71*产品成本!$D$3+AR71*产品成本!$D$4</f>
        <v>114.78873239436629</v>
      </c>
      <c r="AU71" s="220">
        <f>AP71*产品成本!$E$2+AQ71*产品成本!$E$3+AR71*产品成本!$E$4</f>
        <v>8.4615253521126697</v>
      </c>
      <c r="AV71" s="219">
        <f>AP71*产品成本!$F$2+AQ71*产品成本!$F$3+AR71*产品成本!$F$4</f>
        <v>14.620000000000001</v>
      </c>
      <c r="AW71" s="218"/>
      <c r="AX71" s="219">
        <f t="shared" si="103"/>
        <v>142.3840909090909</v>
      </c>
      <c r="AY71" s="218">
        <f t="shared" si="104"/>
        <v>-28.476818181818182</v>
      </c>
      <c r="AZ71" s="220">
        <f t="shared" si="105"/>
        <v>251.77753047375168</v>
      </c>
      <c r="BA71" s="221">
        <f t="shared" si="106"/>
        <v>4888.8224117797708</v>
      </c>
      <c r="BB71" s="221">
        <f t="shared" si="107"/>
        <v>10833.339999999998</v>
      </c>
      <c r="BC71" s="221">
        <f t="shared" si="108"/>
        <v>9884.1127272727263</v>
      </c>
      <c r="BD71" s="222">
        <f t="shared" si="109"/>
        <v>2494.1903154929555</v>
      </c>
      <c r="BE71" s="223">
        <f t="shared" si="110"/>
        <v>0.25234337004381424</v>
      </c>
      <c r="BF71" s="227" t="s">
        <v>246</v>
      </c>
      <c r="BG71" s="227" t="s">
        <v>243</v>
      </c>
      <c r="BH71" s="144"/>
    </row>
    <row r="72" spans="1:61" ht="23.1" customHeight="1" x14ac:dyDescent="0.15">
      <c r="A72" s="234" t="s">
        <v>247</v>
      </c>
      <c r="B72" s="234" t="s">
        <v>248</v>
      </c>
      <c r="C72" s="192">
        <v>580</v>
      </c>
      <c r="D72" s="193">
        <v>546</v>
      </c>
      <c r="E72" s="196">
        <v>12876</v>
      </c>
      <c r="F72" s="195">
        <v>65</v>
      </c>
      <c r="G72" s="195">
        <v>50</v>
      </c>
      <c r="H72" s="196">
        <v>1445.95</v>
      </c>
      <c r="I72" s="196">
        <v>138.16</v>
      </c>
      <c r="J72" s="238">
        <v>37</v>
      </c>
      <c r="K72" s="239">
        <f t="shared" si="88"/>
        <v>6.3793103448275865E-2</v>
      </c>
      <c r="L72" s="240">
        <v>708.67</v>
      </c>
      <c r="M72" s="200">
        <f t="shared" si="89"/>
        <v>0.17171717171717171</v>
      </c>
      <c r="N72" s="198">
        <f t="shared" si="90"/>
        <v>0.13513513513513514</v>
      </c>
      <c r="O72" s="198">
        <f t="shared" si="91"/>
        <v>0.17343851386327025</v>
      </c>
      <c r="P72" s="201">
        <f t="shared" si="92"/>
        <v>1.0622710622710623</v>
      </c>
      <c r="Q72" s="230">
        <f t="shared" si="93"/>
        <v>23.582417582417584</v>
      </c>
      <c r="R72" s="230">
        <f t="shared" si="94"/>
        <v>22.2</v>
      </c>
      <c r="S72" s="230">
        <f t="shared" si="59"/>
        <v>82.857142857142861</v>
      </c>
      <c r="T72" s="203">
        <f t="shared" si="95"/>
        <v>204</v>
      </c>
      <c r="U72" s="204">
        <f t="shared" si="96"/>
        <v>0.37362637362637363</v>
      </c>
      <c r="V72" s="205">
        <f t="shared" si="97"/>
        <v>0.23482631278144486</v>
      </c>
      <c r="W72" s="193">
        <v>222786</v>
      </c>
      <c r="X72" s="193">
        <v>2899</v>
      </c>
      <c r="Y72" s="193">
        <v>342</v>
      </c>
      <c r="Z72" s="206">
        <v>2991.18</v>
      </c>
      <c r="AA72" s="226">
        <v>7818.94</v>
      </c>
      <c r="AB72" s="194">
        <v>1.03</v>
      </c>
      <c r="AC72" s="208">
        <f t="shared" si="98"/>
        <v>0.38255569169222425</v>
      </c>
      <c r="AD72" s="209">
        <f t="shared" ref="AD72:AF72" si="114">X72/W72</f>
        <v>1.3012487319669997E-2</v>
      </c>
      <c r="AE72" s="209">
        <f t="shared" si="114"/>
        <v>0.11797171438427044</v>
      </c>
      <c r="AF72" s="202">
        <f t="shared" si="114"/>
        <v>8.7461403508771927</v>
      </c>
      <c r="AG72" s="210">
        <v>140</v>
      </c>
      <c r="AH72" s="203">
        <v>158</v>
      </c>
      <c r="AI72" s="211">
        <v>282</v>
      </c>
      <c r="AJ72" s="212">
        <f>AG72*产品成本!$D$2+AH72*产品成本!$D$3+AI72*产品成本!$D$4</f>
        <v>1562.9577464788745</v>
      </c>
      <c r="AK72" s="212">
        <f>AG72*产品成本!$E$2+AH72*产品成本!$E$3+AI72*产品成本!$E$4</f>
        <v>113.985828169014</v>
      </c>
      <c r="AL72" s="212">
        <f>AG72*产品成本!$F$2+AH72*产品成本!$F$3+AI72*产品成本!$F$4</f>
        <v>197.20000000000002</v>
      </c>
      <c r="AM72" s="212">
        <f>AG72*产品成本!$G$2+AH72*产品成本!$G$3+AI72*产品成本!$G$4</f>
        <v>2232.6</v>
      </c>
      <c r="AN72" s="212">
        <f t="shared" si="100"/>
        <v>1910.6759999999999</v>
      </c>
      <c r="AO72" s="213">
        <f t="shared" si="101"/>
        <v>6017.419574647889</v>
      </c>
      <c r="AP72" s="214">
        <v>8</v>
      </c>
      <c r="AQ72" s="214">
        <v>13</v>
      </c>
      <c r="AR72" s="215">
        <v>16</v>
      </c>
      <c r="AS72" s="216">
        <f t="shared" si="102"/>
        <v>805.30681818181813</v>
      </c>
      <c r="AT72" s="216">
        <f>AP72*产品成本!$D$2+AQ72*产品成本!$D$3+AR72*产品成本!$D$4</f>
        <v>97.32394366197191</v>
      </c>
      <c r="AU72" s="220">
        <f>AP72*产品成本!$E$2+AQ72*产品成本!$E$3+AR72*产品成本!$E$4</f>
        <v>7.2551281690140783</v>
      </c>
      <c r="AV72" s="219">
        <f>AP72*产品成本!$F$2+AQ72*产品成本!$F$3+AR72*产品成本!$F$4</f>
        <v>12.580000000000002</v>
      </c>
      <c r="AW72" s="218"/>
      <c r="AX72" s="219">
        <f t="shared" si="103"/>
        <v>120.79602272727271</v>
      </c>
      <c r="AY72" s="218">
        <f t="shared" si="104"/>
        <v>-24.159204545454543</v>
      </c>
      <c r="AZ72" s="220">
        <f t="shared" si="105"/>
        <v>213.79589001280414</v>
      </c>
      <c r="BA72" s="221">
        <f t="shared" si="106"/>
        <v>5803.6236846350848</v>
      </c>
      <c r="BB72" s="221">
        <f t="shared" si="107"/>
        <v>12737.84</v>
      </c>
      <c r="BC72" s="221">
        <f t="shared" si="108"/>
        <v>11932.533181818182</v>
      </c>
      <c r="BD72" s="222">
        <f t="shared" si="109"/>
        <v>3137.7294971830975</v>
      </c>
      <c r="BE72" s="223">
        <f t="shared" si="110"/>
        <v>0.26295585768528285</v>
      </c>
      <c r="BF72" s="229" t="s">
        <v>249</v>
      </c>
      <c r="BG72" s="229" t="s">
        <v>243</v>
      </c>
      <c r="BH72" s="144"/>
    </row>
    <row r="73" spans="1:61" ht="23.1" customHeight="1" x14ac:dyDescent="0.15">
      <c r="A73" s="234" t="s">
        <v>250</v>
      </c>
      <c r="B73" s="234" t="s">
        <v>251</v>
      </c>
      <c r="C73" s="192">
        <v>596</v>
      </c>
      <c r="D73" s="193">
        <v>558</v>
      </c>
      <c r="E73" s="196">
        <v>13082.03</v>
      </c>
      <c r="F73" s="195">
        <v>90</v>
      </c>
      <c r="G73" s="195">
        <v>71</v>
      </c>
      <c r="H73" s="196">
        <v>1977.05</v>
      </c>
      <c r="I73" s="196">
        <v>183.86</v>
      </c>
      <c r="J73" s="238">
        <v>43</v>
      </c>
      <c r="K73" s="239">
        <f t="shared" si="88"/>
        <v>7.2147651006711416E-2</v>
      </c>
      <c r="L73" s="240">
        <v>832.44</v>
      </c>
      <c r="M73" s="200">
        <f t="shared" si="89"/>
        <v>2.7586206896551724E-2</v>
      </c>
      <c r="N73" s="198">
        <f t="shared" si="90"/>
        <v>2.197802197802198E-2</v>
      </c>
      <c r="O73" s="198">
        <f t="shared" si="91"/>
        <v>1.6001087294190794E-2</v>
      </c>
      <c r="P73" s="201">
        <f t="shared" si="92"/>
        <v>1.0681003584229392</v>
      </c>
      <c r="Q73" s="230">
        <f t="shared" si="93"/>
        <v>23.444498207885307</v>
      </c>
      <c r="R73" s="230">
        <f t="shared" si="94"/>
        <v>21.949714765100673</v>
      </c>
      <c r="S73" s="230">
        <f t="shared" si="59"/>
        <v>85.142857142857139</v>
      </c>
      <c r="T73" s="203">
        <f t="shared" si="95"/>
        <v>220</v>
      </c>
      <c r="U73" s="204">
        <f t="shared" si="96"/>
        <v>0.3942652329749104</v>
      </c>
      <c r="V73" s="205">
        <f t="shared" si="97"/>
        <v>0.19628831066732724</v>
      </c>
      <c r="W73" s="193">
        <v>211323</v>
      </c>
      <c r="X73" s="193">
        <v>2479</v>
      </c>
      <c r="Y73" s="193">
        <v>338</v>
      </c>
      <c r="Z73" s="206">
        <v>2531.7600000000002</v>
      </c>
      <c r="AA73" s="226">
        <v>7647</v>
      </c>
      <c r="AB73" s="194">
        <v>1.02</v>
      </c>
      <c r="AC73" s="208">
        <f t="shared" si="98"/>
        <v>0.33107885445272661</v>
      </c>
      <c r="AD73" s="209">
        <f t="shared" ref="AD73:AF73" si="115">X73/W73</f>
        <v>1.1730857502496179E-2</v>
      </c>
      <c r="AE73" s="209">
        <f t="shared" si="115"/>
        <v>0.13634530052440499</v>
      </c>
      <c r="AF73" s="202">
        <f t="shared" si="115"/>
        <v>7.4904142011834329</v>
      </c>
      <c r="AG73" s="210">
        <v>157</v>
      </c>
      <c r="AH73" s="203">
        <v>176</v>
      </c>
      <c r="AI73" s="211">
        <v>263</v>
      </c>
      <c r="AJ73" s="212">
        <f>AG73*产品成本!$D$2+AH73*产品成本!$D$3+AI73*产品成本!$D$4</f>
        <v>1574.0140845070434</v>
      </c>
      <c r="AK73" s="212">
        <f>AG73*产品成本!$E$2+AH73*产品成本!$E$3+AI73*产品成本!$E$4</f>
        <v>116.41737042253511</v>
      </c>
      <c r="AL73" s="212">
        <f>AG73*产品成本!$F$2+AH73*产品成本!$F$3+AI73*产品成本!$F$4</f>
        <v>202.64</v>
      </c>
      <c r="AM73" s="212">
        <f>AG73*产品成本!$G$2+AH73*产品成本!$G$3+AI73*产品成本!$G$4</f>
        <v>2291.4300000000003</v>
      </c>
      <c r="AN73" s="212">
        <f t="shared" si="100"/>
        <v>1934.7255</v>
      </c>
      <c r="AO73" s="213">
        <f t="shared" si="101"/>
        <v>6119.2269549295797</v>
      </c>
      <c r="AP73" s="214">
        <v>8</v>
      </c>
      <c r="AQ73" s="214">
        <v>15</v>
      </c>
      <c r="AR73" s="215">
        <v>20</v>
      </c>
      <c r="AS73" s="216">
        <f t="shared" si="102"/>
        <v>945.9545454545455</v>
      </c>
      <c r="AT73" s="216">
        <f>AP73*产品成本!$D$2+AQ73*产品成本!$D$3+AR73*产品成本!$D$4</f>
        <v>114.78873239436629</v>
      </c>
      <c r="AU73" s="220">
        <f>AP73*产品成本!$E$2+AQ73*产品成本!$E$3+AR73*产品成本!$E$4</f>
        <v>8.4807084507042187</v>
      </c>
      <c r="AV73" s="219">
        <f>AP73*产品成本!$F$2+AQ73*产品成本!$F$3+AR73*产品成本!$F$4</f>
        <v>14.620000000000001</v>
      </c>
      <c r="AW73" s="218"/>
      <c r="AX73" s="219">
        <f t="shared" si="103"/>
        <v>141.89318181818183</v>
      </c>
      <c r="AY73" s="218">
        <f t="shared" si="104"/>
        <v>-28.378636363636367</v>
      </c>
      <c r="AZ73" s="220">
        <f t="shared" si="105"/>
        <v>251.40398629961601</v>
      </c>
      <c r="BA73" s="221">
        <f t="shared" si="106"/>
        <v>5867.8229686299637</v>
      </c>
      <c r="BB73" s="221">
        <f t="shared" si="107"/>
        <v>12898.17</v>
      </c>
      <c r="BC73" s="221">
        <f t="shared" si="108"/>
        <v>11952.215454545454</v>
      </c>
      <c r="BD73" s="222">
        <f t="shared" si="109"/>
        <v>3552.6324859154902</v>
      </c>
      <c r="BE73" s="223">
        <f t="shared" si="110"/>
        <v>0.29723631567940118</v>
      </c>
      <c r="BF73" s="227" t="s">
        <v>252</v>
      </c>
      <c r="BG73" s="227" t="s">
        <v>253</v>
      </c>
      <c r="BH73" s="144"/>
    </row>
    <row r="74" spans="1:61" ht="23.1" customHeight="1" x14ac:dyDescent="0.15">
      <c r="A74" s="234" t="s">
        <v>254</v>
      </c>
      <c r="B74" s="234" t="s">
        <v>255</v>
      </c>
      <c r="C74" s="192">
        <v>489</v>
      </c>
      <c r="D74" s="193">
        <v>463</v>
      </c>
      <c r="E74" s="196">
        <v>10803.14</v>
      </c>
      <c r="F74" s="195">
        <v>54</v>
      </c>
      <c r="G74" s="195">
        <v>44</v>
      </c>
      <c r="H74" s="196">
        <v>1212.76</v>
      </c>
      <c r="I74" s="196">
        <v>146.83000000000001</v>
      </c>
      <c r="J74" s="238">
        <v>42</v>
      </c>
      <c r="K74" s="239">
        <f t="shared" si="88"/>
        <v>8.5889570552147243E-2</v>
      </c>
      <c r="L74" s="240">
        <v>812.8</v>
      </c>
      <c r="M74" s="200">
        <f t="shared" si="89"/>
        <v>-0.17953020134228187</v>
      </c>
      <c r="N74" s="198">
        <f t="shared" si="90"/>
        <v>-0.17025089605734767</v>
      </c>
      <c r="O74" s="198">
        <f t="shared" si="91"/>
        <v>-0.17420002858883529</v>
      </c>
      <c r="P74" s="201">
        <f t="shared" si="92"/>
        <v>1.0561555075593954</v>
      </c>
      <c r="Q74" s="230">
        <f t="shared" si="93"/>
        <v>23.332915766738658</v>
      </c>
      <c r="R74" s="230">
        <f t="shared" si="94"/>
        <v>22.092310838445808</v>
      </c>
      <c r="S74" s="230">
        <f t="shared" si="59"/>
        <v>69.857142857142861</v>
      </c>
      <c r="T74" s="203">
        <f t="shared" si="95"/>
        <v>179</v>
      </c>
      <c r="U74" s="204">
        <f t="shared" si="96"/>
        <v>0.38660907127429806</v>
      </c>
      <c r="V74" s="205">
        <f t="shared" si="97"/>
        <v>0.22458149209247855</v>
      </c>
      <c r="W74" s="193">
        <v>191264</v>
      </c>
      <c r="X74" s="193">
        <v>2364</v>
      </c>
      <c r="Y74" s="193">
        <v>284</v>
      </c>
      <c r="Z74" s="206">
        <v>2393.21</v>
      </c>
      <c r="AA74" s="226">
        <v>6412.56</v>
      </c>
      <c r="AB74" s="194">
        <v>1.01</v>
      </c>
      <c r="AC74" s="208">
        <f t="shared" si="98"/>
        <v>0.37320664446024676</v>
      </c>
      <c r="AD74" s="209">
        <f t="shared" ref="AD74:AF74" si="116">X74/W74</f>
        <v>1.2359879538229882E-2</v>
      </c>
      <c r="AE74" s="209">
        <f t="shared" si="116"/>
        <v>0.12013536379018612</v>
      </c>
      <c r="AF74" s="202">
        <f t="shared" si="116"/>
        <v>8.4267957746478874</v>
      </c>
      <c r="AG74" s="210">
        <v>107</v>
      </c>
      <c r="AH74" s="203">
        <v>158</v>
      </c>
      <c r="AI74" s="211">
        <v>224</v>
      </c>
      <c r="AJ74" s="212">
        <f>AG74*产品成本!$D$2+AH74*产品成本!$D$3+AI74*产品成本!$D$4</f>
        <v>1301.2676056338039</v>
      </c>
      <c r="AK74" s="212">
        <f>AG74*产品成本!$E$2+AH74*产品成本!$E$3+AI74*产品成本!$E$4</f>
        <v>96.076795774647806</v>
      </c>
      <c r="AL74" s="212">
        <f>AG74*产品成本!$F$2+AH74*产品成本!$F$3+AI74*产品成本!$F$4</f>
        <v>166.26000000000002</v>
      </c>
      <c r="AM74" s="212">
        <f>AG74*产品成本!$G$2+AH74*产品成本!$G$3+AI74*产品成本!$G$4</f>
        <v>1884.63</v>
      </c>
      <c r="AN74" s="212">
        <f t="shared" si="100"/>
        <v>1598.4464999999998</v>
      </c>
      <c r="AO74" s="213">
        <f t="shared" si="101"/>
        <v>5046.680901408452</v>
      </c>
      <c r="AP74" s="214">
        <v>8</v>
      </c>
      <c r="AQ74" s="214">
        <v>13</v>
      </c>
      <c r="AR74" s="215">
        <v>21</v>
      </c>
      <c r="AS74" s="216">
        <f t="shared" si="102"/>
        <v>923.63636363636363</v>
      </c>
      <c r="AT74" s="216">
        <f>AP74*产品成本!$D$2+AQ74*产品成本!$D$3+AR74*产品成本!$D$4</f>
        <v>113.8732394366198</v>
      </c>
      <c r="AU74" s="220">
        <f>AP74*产品成本!$E$2+AQ74*产品成本!$E$3+AR74*产品成本!$E$4</f>
        <v>8.305128169014079</v>
      </c>
      <c r="AV74" s="219">
        <f>AP74*产品成本!$F$2+AQ74*产品成本!$F$3+AR74*产品成本!$F$4</f>
        <v>14.280000000000001</v>
      </c>
      <c r="AW74" s="218"/>
      <c r="AX74" s="219">
        <f t="shared" si="103"/>
        <v>138.54545454545453</v>
      </c>
      <c r="AY74" s="218">
        <f t="shared" si="104"/>
        <v>-27.709090909090907</v>
      </c>
      <c r="AZ74" s="220">
        <f t="shared" si="105"/>
        <v>247.29473124199754</v>
      </c>
      <c r="BA74" s="221">
        <f t="shared" si="106"/>
        <v>4799.3861701664546</v>
      </c>
      <c r="BB74" s="221">
        <f t="shared" si="107"/>
        <v>10656.31</v>
      </c>
      <c r="BC74" s="221">
        <f t="shared" si="108"/>
        <v>9732.6736363636355</v>
      </c>
      <c r="BD74" s="222">
        <f t="shared" si="109"/>
        <v>2540.0774661971809</v>
      </c>
      <c r="BE74" s="223">
        <f t="shared" si="110"/>
        <v>0.26098455173785279</v>
      </c>
      <c r="BF74" s="229" t="s">
        <v>256</v>
      </c>
      <c r="BG74" s="229" t="s">
        <v>257</v>
      </c>
      <c r="BH74" s="144"/>
    </row>
    <row r="75" spans="1:61" ht="23.1" customHeight="1" x14ac:dyDescent="0.15">
      <c r="A75" s="234" t="s">
        <v>258</v>
      </c>
      <c r="B75" s="234" t="s">
        <v>259</v>
      </c>
      <c r="C75" s="192">
        <v>516</v>
      </c>
      <c r="D75" s="193">
        <v>494</v>
      </c>
      <c r="E75" s="196">
        <v>11340.07</v>
      </c>
      <c r="F75" s="195">
        <v>59</v>
      </c>
      <c r="G75" s="195">
        <v>50</v>
      </c>
      <c r="H75" s="196">
        <v>1294.81</v>
      </c>
      <c r="I75" s="196">
        <v>21.95</v>
      </c>
      <c r="J75" s="238">
        <v>28</v>
      </c>
      <c r="K75" s="239">
        <f t="shared" ref="K75" si="117">J75/C75</f>
        <v>5.4263565891472867E-2</v>
      </c>
      <c r="L75" s="240">
        <v>557.36</v>
      </c>
      <c r="M75" s="200">
        <f t="shared" ref="M75" si="118">(C75-C74)/C74</f>
        <v>5.5214723926380369E-2</v>
      </c>
      <c r="N75" s="198">
        <f t="shared" ref="N75" si="119">(D75-D74)/D74</f>
        <v>6.6954643628509725E-2</v>
      </c>
      <c r="O75" s="198">
        <f t="shared" ref="O75" si="120">(E75-E74)/E74</f>
        <v>4.9701290550710285E-2</v>
      </c>
      <c r="P75" s="201">
        <f t="shared" ref="P75" si="121">C75/D75</f>
        <v>1.0445344129554657</v>
      </c>
      <c r="Q75" s="230">
        <f t="shared" ref="Q75" si="122">E75/D75</f>
        <v>22.955607287449393</v>
      </c>
      <c r="R75" s="230">
        <f t="shared" ref="R75" si="123">E75/C75</f>
        <v>21.976879844961239</v>
      </c>
      <c r="S75" s="230">
        <f t="shared" ref="S75" si="124">C75/7</f>
        <v>73.714285714285708</v>
      </c>
      <c r="T75" s="203">
        <f t="shared" ref="T75" si="125">D75-Y75</f>
        <v>192</v>
      </c>
      <c r="U75" s="204">
        <f t="shared" ref="U75" si="126">T75/D75</f>
        <v>0.38866396761133604</v>
      </c>
      <c r="V75" s="205">
        <f t="shared" ref="V75" si="127">Z75/(E75-I75)</f>
        <v>0.19503680823316946</v>
      </c>
      <c r="W75" s="193">
        <v>176307</v>
      </c>
      <c r="X75" s="193">
        <v>2202</v>
      </c>
      <c r="Y75" s="193">
        <v>302</v>
      </c>
      <c r="Z75" s="206">
        <v>2207.4499999999998</v>
      </c>
      <c r="AA75" s="226">
        <v>6324.06</v>
      </c>
      <c r="AB75" s="194">
        <v>1</v>
      </c>
      <c r="AC75" s="208">
        <f t="shared" ref="AC75" si="128">Z75/AA75</f>
        <v>0.34905582805982227</v>
      </c>
      <c r="AD75" s="209">
        <f t="shared" ref="AD75:AE75" si="129">X75/W75</f>
        <v>1.2489577838656434E-2</v>
      </c>
      <c r="AE75" s="209">
        <f t="shared" si="129"/>
        <v>0.1371480472297911</v>
      </c>
      <c r="AF75" s="202">
        <f t="shared" ref="AF75" si="130">Z75/Y75</f>
        <v>7.3094370860927143</v>
      </c>
      <c r="AG75" s="210">
        <v>126</v>
      </c>
      <c r="AH75" s="203">
        <v>194</v>
      </c>
      <c r="AI75" s="211">
        <v>196</v>
      </c>
      <c r="AJ75" s="212">
        <f>AG75*产品成本!$D$2+AH75*产品成本!$D$3+AI75*产品成本!$D$4</f>
        <v>1324.7887323943673</v>
      </c>
      <c r="AK75" s="212">
        <f>AG75*产品成本!$E$2+AH75*产品成本!$E$3+AI75*产品成本!$E$4</f>
        <v>100.43577464788723</v>
      </c>
      <c r="AL75" s="212">
        <f>AG75*产品成本!$F$2+AH75*产品成本!$F$3+AI75*产品成本!$F$4</f>
        <v>175.44</v>
      </c>
      <c r="AM75" s="212">
        <f>AG75*产品成本!$G$2+AH75*产品成本!$G$3+AI75*产品成本!$G$4</f>
        <v>1985.94</v>
      </c>
      <c r="AN75" s="212">
        <f t="shared" ref="AN75" si="131">(E75-I75)*0.15</f>
        <v>1697.7179999999998</v>
      </c>
      <c r="AO75" s="213">
        <f t="shared" ref="AO75" si="132">SUM(AJ75:AN75)</f>
        <v>5284.3225070422541</v>
      </c>
      <c r="AP75" s="214">
        <v>3</v>
      </c>
      <c r="AQ75" s="214">
        <v>7</v>
      </c>
      <c r="AR75" s="215">
        <v>18</v>
      </c>
      <c r="AS75" s="216">
        <f t="shared" ref="AS75" si="133">L75/(1-0.15+0.15*0.2)</f>
        <v>633.36363636363637</v>
      </c>
      <c r="AT75" s="216">
        <f>AP75*产品成本!$D$2+AQ75*产品成本!$D$3+AR75*产品成本!$D$4</f>
        <v>80.704225352112744</v>
      </c>
      <c r="AU75" s="220">
        <f>AP75*产品成本!$E$2+AQ75*产品成本!$E$3+AR75*产品成本!$E$4</f>
        <v>5.6503521126760532</v>
      </c>
      <c r="AV75" s="219">
        <f>AP75*产品成本!$F$2+AQ75*产品成本!$F$3+AR75*产品成本!$F$4</f>
        <v>9.52</v>
      </c>
      <c r="AW75" s="218"/>
      <c r="AX75" s="219">
        <f t="shared" ref="AX75" si="134">AS75*0.15</f>
        <v>95.00454545454545</v>
      </c>
      <c r="AY75" s="218">
        <f t="shared" ref="AY75" si="135">-AX75*0.2</f>
        <v>-19.00090909090909</v>
      </c>
      <c r="AZ75" s="220">
        <f t="shared" ref="AZ75" si="136">SUM(AT75:AY75)</f>
        <v>171.87821382842515</v>
      </c>
      <c r="BA75" s="221">
        <f t="shared" ref="BA75" si="137">AO75-AZ75</f>
        <v>5112.444293213829</v>
      </c>
      <c r="BB75" s="221">
        <f t="shared" ref="BB75" si="138">E75-I75</f>
        <v>11318.119999999999</v>
      </c>
      <c r="BC75" s="221">
        <f t="shared" ref="BC75" si="139">E75-AS75-I75</f>
        <v>10684.756363636363</v>
      </c>
      <c r="BD75" s="222">
        <f t="shared" si="109"/>
        <v>3364.8620704225341</v>
      </c>
      <c r="BE75" s="223">
        <f t="shared" ref="BE75" si="140">BD75/BC75</f>
        <v>0.31492174045954235</v>
      </c>
      <c r="BF75" s="229" t="s">
        <v>260</v>
      </c>
      <c r="BG75" s="229" t="s">
        <v>261</v>
      </c>
      <c r="BH75" s="144"/>
    </row>
    <row r="76" spans="1:61" ht="23.1" customHeight="1" x14ac:dyDescent="0.15">
      <c r="A76" s="234" t="s">
        <v>262</v>
      </c>
      <c r="B76" s="234" t="s">
        <v>263</v>
      </c>
      <c r="C76" s="192">
        <v>607</v>
      </c>
      <c r="D76" s="193">
        <v>578</v>
      </c>
      <c r="E76" s="196">
        <v>13284.45</v>
      </c>
      <c r="F76" s="195">
        <v>96</v>
      </c>
      <c r="G76" s="195">
        <v>83</v>
      </c>
      <c r="H76" s="196">
        <v>2106.88</v>
      </c>
      <c r="I76" s="196">
        <v>21.95</v>
      </c>
      <c r="J76" s="238">
        <v>42</v>
      </c>
      <c r="K76" s="239">
        <f t="shared" ref="K76" si="141">J76/C76</f>
        <v>6.919275123558484E-2</v>
      </c>
      <c r="L76" s="240">
        <v>790.8</v>
      </c>
      <c r="M76" s="200">
        <f t="shared" ref="M76" si="142">(C76-C75)/C75</f>
        <v>0.17635658914728683</v>
      </c>
      <c r="N76" s="198">
        <f t="shared" ref="N76" si="143">(D76-D75)/D75</f>
        <v>0.17004048582995951</v>
      </c>
      <c r="O76" s="198">
        <f t="shared" ref="O76" si="144">(E76-E75)/E75</f>
        <v>0.17146102272737304</v>
      </c>
      <c r="P76" s="201">
        <f t="shared" ref="P76" si="145">C76/D76</f>
        <v>1.0501730103806228</v>
      </c>
      <c r="Q76" s="230">
        <f t="shared" ref="Q76" si="146">E76/D76</f>
        <v>22.98347750865052</v>
      </c>
      <c r="R76" s="230">
        <f t="shared" ref="R76" si="147">E76/C76</f>
        <v>21.88542009884679</v>
      </c>
      <c r="S76" s="230">
        <f t="shared" ref="S76" si="148">C76/7</f>
        <v>86.714285714285708</v>
      </c>
      <c r="T76" s="203">
        <f t="shared" ref="T76" si="149">D76-Y76</f>
        <v>188</v>
      </c>
      <c r="U76" s="204">
        <f t="shared" ref="U76" si="150">T76/D76</f>
        <v>0.32525951557093424</v>
      </c>
      <c r="V76" s="205">
        <f t="shared" ref="V76" si="151">Z76/(E76-I76)</f>
        <v>0.22812893496701225</v>
      </c>
      <c r="W76" s="193">
        <v>538423</v>
      </c>
      <c r="X76" s="193">
        <v>2869</v>
      </c>
      <c r="Y76" s="193">
        <v>390</v>
      </c>
      <c r="Z76" s="206">
        <v>3025.56</v>
      </c>
      <c r="AA76" s="226">
        <v>8041.88</v>
      </c>
      <c r="AB76" s="194">
        <v>1.05</v>
      </c>
      <c r="AC76" s="208">
        <f t="shared" ref="AC76" si="152">Z76/AA76</f>
        <v>0.37622545971837429</v>
      </c>
      <c r="AD76" s="209">
        <f t="shared" ref="AD76:AE76" si="153">X76/W76</f>
        <v>5.3285242272339776E-3</v>
      </c>
      <c r="AE76" s="209">
        <f t="shared" si="153"/>
        <v>0.13593586615545486</v>
      </c>
      <c r="AF76" s="202">
        <f t="shared" ref="AF76" si="154">Z76/Y76</f>
        <v>7.7578461538461534</v>
      </c>
      <c r="AG76" s="210">
        <v>173</v>
      </c>
      <c r="AH76" s="203">
        <v>180</v>
      </c>
      <c r="AI76" s="211">
        <v>254</v>
      </c>
      <c r="AJ76" s="212">
        <f>AG76*产品成本!$D$2+AH76*产品成本!$D$3+AI76*产品成本!$D$4</f>
        <v>1586.4788732394377</v>
      </c>
      <c r="AK76" s="212">
        <f>AG76*产品成本!$E$2+AH76*产品成本!$E$3+AI76*产品成本!$E$4</f>
        <v>118.07624366197172</v>
      </c>
      <c r="AL76" s="212">
        <f>AG76*产品成本!$F$2+AH76*产品成本!$F$3+AI76*产品成本!$F$4</f>
        <v>206.38</v>
      </c>
      <c r="AM76" s="212">
        <f>AG76*产品成本!$G$2+AH76*产品成本!$G$3+AI76*产品成本!$G$4</f>
        <v>2330.9699999999998</v>
      </c>
      <c r="AN76" s="212">
        <f t="shared" ref="AN76" si="155">(E76-I76)*0.15</f>
        <v>1989.375</v>
      </c>
      <c r="AO76" s="213">
        <f t="shared" ref="AO76" si="156">SUM(AJ76:AN76)</f>
        <v>6231.2801169014092</v>
      </c>
      <c r="AP76" s="214">
        <v>16</v>
      </c>
      <c r="AQ76" s="214">
        <v>11</v>
      </c>
      <c r="AR76" s="215">
        <v>15</v>
      </c>
      <c r="AS76" s="216">
        <f t="shared" ref="AS76" si="157">L76/(1-0.15+0.15*0.2)</f>
        <v>898.63636363636363</v>
      </c>
      <c r="AT76" s="216">
        <f>AP76*产品成本!$D$2+AQ76*产品成本!$D$3+AR76*产品成本!$D$4</f>
        <v>106.6901408450705</v>
      </c>
      <c r="AU76" s="220">
        <f>AP76*产品成本!$E$2+AQ76*产品成本!$E$3+AR76*产品成本!$E$4</f>
        <v>8.0484042253521064</v>
      </c>
      <c r="AV76" s="219">
        <f>AP76*产品成本!$F$2+AQ76*产品成本!$F$3+AR76*产品成本!$F$4</f>
        <v>14.280000000000001</v>
      </c>
      <c r="AW76" s="218"/>
      <c r="AX76" s="219">
        <f t="shared" ref="AX76" si="158">AS76*0.15</f>
        <v>134.79545454545453</v>
      </c>
      <c r="AY76" s="218">
        <f t="shared" ref="AY76" si="159">-AX76*0.2</f>
        <v>-26.959090909090907</v>
      </c>
      <c r="AZ76" s="220">
        <f t="shared" ref="AZ76" si="160">SUM(AT76:AY76)</f>
        <v>236.85490870678623</v>
      </c>
      <c r="BA76" s="221">
        <f t="shared" ref="BA76" si="161">AO76-AZ76</f>
        <v>5994.4252081946233</v>
      </c>
      <c r="BB76" s="221">
        <f t="shared" ref="BB76" si="162">E76-I76</f>
        <v>13262.5</v>
      </c>
      <c r="BC76" s="221">
        <f t="shared" ref="BC76" si="163">E76-AS76-I76</f>
        <v>12363.863636363636</v>
      </c>
      <c r="BD76" s="222">
        <f t="shared" ref="BD76" si="164">BC76-BA76-Z76</f>
        <v>3343.8784281690128</v>
      </c>
      <c r="BE76" s="223">
        <f t="shared" ref="BE76" si="165">BD76/BC76</f>
        <v>0.27045578360588329</v>
      </c>
      <c r="BF76" s="229" t="s">
        <v>264</v>
      </c>
      <c r="BG76" s="229" t="s">
        <v>265</v>
      </c>
      <c r="BH76" s="144"/>
    </row>
    <row r="77" spans="1:61" ht="23.1" customHeight="1" x14ac:dyDescent="0.15">
      <c r="A77" s="234" t="s">
        <v>458</v>
      </c>
      <c r="B77" s="234" t="s">
        <v>459</v>
      </c>
      <c r="C77" s="192">
        <v>543</v>
      </c>
      <c r="D77" s="193">
        <v>510</v>
      </c>
      <c r="E77" s="196">
        <v>11886.82</v>
      </c>
      <c r="F77" s="195">
        <v>258</v>
      </c>
      <c r="G77" s="195">
        <v>234</v>
      </c>
      <c r="H77" s="196">
        <v>5716.1</v>
      </c>
      <c r="I77" s="196">
        <v>22.16</v>
      </c>
      <c r="J77" s="238">
        <v>48</v>
      </c>
      <c r="K77" s="239">
        <f t="shared" ref="K77" si="166">J77/C77</f>
        <v>8.8397790055248615E-2</v>
      </c>
      <c r="L77" s="240">
        <v>914.55</v>
      </c>
      <c r="M77" s="200">
        <f t="shared" ref="M77" si="167">(C77-C76)/C76</f>
        <v>-0.10543657331136738</v>
      </c>
      <c r="N77" s="198">
        <f t="shared" ref="N77" si="168">(D77-D76)/D76</f>
        <v>-0.11764705882352941</v>
      </c>
      <c r="O77" s="198">
        <f t="shared" ref="O77" si="169">(E77-E76)/E76</f>
        <v>-0.10520796871530255</v>
      </c>
      <c r="P77" s="201">
        <f t="shared" ref="P77" si="170">C77/D77</f>
        <v>1.0647058823529412</v>
      </c>
      <c r="Q77" s="230">
        <f t="shared" ref="Q77" si="171">E77/D77</f>
        <v>23.30749019607843</v>
      </c>
      <c r="R77" s="230">
        <f t="shared" ref="R77" si="172">E77/C77</f>
        <v>21.891012891344381</v>
      </c>
      <c r="S77" s="230">
        <f t="shared" ref="S77" si="173">C77/7</f>
        <v>77.571428571428569</v>
      </c>
      <c r="T77" s="203">
        <f t="shared" ref="T77" si="174">D77-Y77</f>
        <v>156</v>
      </c>
      <c r="U77" s="204">
        <f t="shared" ref="U77" si="175">T77/D77</f>
        <v>0.30588235294117649</v>
      </c>
      <c r="V77" s="205">
        <f t="shared" ref="V77" si="176">Z77/(E77-I77)</f>
        <v>0.23895501430298044</v>
      </c>
      <c r="W77" s="193">
        <v>315938</v>
      </c>
      <c r="X77" s="193">
        <v>2679</v>
      </c>
      <c r="Y77" s="193">
        <v>354</v>
      </c>
      <c r="Z77" s="206">
        <v>2835.12</v>
      </c>
      <c r="AA77" s="226">
        <v>7310.63</v>
      </c>
      <c r="AB77" s="194">
        <v>1.06</v>
      </c>
      <c r="AC77" s="208">
        <f t="shared" ref="AC77" si="177">Z77/AA77</f>
        <v>0.38780789070162214</v>
      </c>
      <c r="AD77" s="209">
        <f t="shared" ref="AD77" si="178">X77/W77</f>
        <v>8.4795118029486801E-3</v>
      </c>
      <c r="AE77" s="209">
        <f t="shared" ref="AE77" si="179">Y77/X77</f>
        <v>0.13213885778275475</v>
      </c>
      <c r="AF77" s="202">
        <f t="shared" ref="AF77" si="180">Z77/Y77</f>
        <v>8.008813559322034</v>
      </c>
      <c r="AG77" s="210">
        <v>133</v>
      </c>
      <c r="AH77" s="203">
        <v>214</v>
      </c>
      <c r="AI77" s="211">
        <v>196</v>
      </c>
      <c r="AJ77" s="212">
        <f>AG77*产品成本!$D$2+AH77*产品成本!$D$3+AI77*产品成本!$D$4</f>
        <v>1381.830985915494</v>
      </c>
      <c r="AK77" s="212">
        <f>AG77*产品成本!$E$2+AH77*产品成本!$E$3+AI77*产品成本!$E$4</f>
        <v>105.50682676056327</v>
      </c>
      <c r="AL77" s="212">
        <f>AG77*产品成本!$F$2+AH77*产品成本!$F$3+AI77*产品成本!$F$4</f>
        <v>184.62</v>
      </c>
      <c r="AM77" s="212">
        <f>AG77*产品成本!$G$2+AH77*产品成本!$G$3+AI77*产品成本!$G$4</f>
        <v>2089.77</v>
      </c>
      <c r="AN77" s="212">
        <f t="shared" ref="AN77" si="181">(E77-I77)*0.15</f>
        <v>1779.6989999999998</v>
      </c>
      <c r="AO77" s="213">
        <f t="shared" ref="AO77" si="182">SUM(AJ77:AN77)</f>
        <v>5541.4268126760571</v>
      </c>
      <c r="AP77" s="214">
        <v>12</v>
      </c>
      <c r="AQ77" s="214">
        <v>15</v>
      </c>
      <c r="AR77" s="215">
        <v>21</v>
      </c>
      <c r="AS77" s="216">
        <f t="shared" ref="AS77" si="183">L77/(1-0.15+0.15*0.2)</f>
        <v>1039.2613636363635</v>
      </c>
      <c r="AT77" s="216">
        <f>AP77*产品成本!$D$2+AQ77*产品成本!$D$3+AR77*产品成本!$D$4</f>
        <v>126.54929577464799</v>
      </c>
      <c r="AU77" s="220">
        <f>AP77*产品成本!$E$2+AQ77*产品成本!$E$3+AR77*产品成本!$E$4</f>
        <v>9.3851366197183026</v>
      </c>
      <c r="AV77" s="219">
        <f>AP77*产品成本!$F$2+AQ77*产品成本!$F$3+AR77*产品成本!$F$4</f>
        <v>16.32</v>
      </c>
      <c r="AW77" s="218"/>
      <c r="AX77" s="219">
        <f t="shared" ref="AX77" si="184">AS77*0.15</f>
        <v>155.88920454545453</v>
      </c>
      <c r="AY77" s="218">
        <f t="shared" ref="AY77" si="185">-AX77*0.2</f>
        <v>-31.177840909090907</v>
      </c>
      <c r="AZ77" s="220">
        <f t="shared" ref="AZ77" si="186">SUM(AT77:AY77)</f>
        <v>276.9657960307299</v>
      </c>
      <c r="BA77" s="221">
        <f t="shared" ref="BA77" si="187">AO77-AZ77</f>
        <v>5264.4610166453276</v>
      </c>
      <c r="BB77" s="221">
        <f t="shared" ref="BB77" si="188">E77-I77</f>
        <v>11864.66</v>
      </c>
      <c r="BC77" s="221">
        <f t="shared" ref="BC77" si="189">E77-AS77-I77</f>
        <v>10825.398636363636</v>
      </c>
      <c r="BD77" s="222">
        <f t="shared" ref="BD77" si="190">BC77-BA77-Z77</f>
        <v>2725.8176197183084</v>
      </c>
      <c r="BE77" s="223">
        <f t="shared" ref="BE77" si="191">BD77/BC77</f>
        <v>0.25179835969845993</v>
      </c>
      <c r="BF77" s="229" t="s">
        <v>264</v>
      </c>
      <c r="BG77" s="229" t="s">
        <v>265</v>
      </c>
      <c r="BH77" s="144"/>
    </row>
    <row r="78" spans="1:61" s="166" customFormat="1" ht="24" customHeight="1" x14ac:dyDescent="0.15">
      <c r="A78" s="166" t="s">
        <v>266</v>
      </c>
      <c r="C78" s="241">
        <f>SUBTOTAL(109,表22[销量])</f>
        <v>31980</v>
      </c>
      <c r="D78" s="242">
        <f>SUBTOTAL(109,表22[订单量])</f>
        <v>30212</v>
      </c>
      <c r="E78" s="242">
        <f>SUBTOTAL(109,表22[销售额])</f>
        <v>720639.24</v>
      </c>
      <c r="F78" s="242">
        <f>SUBTOTAL(109,表22[促销销量])</f>
        <v>3012</v>
      </c>
      <c r="G78" s="242">
        <f>SUBTOTAL(109,表22[促销订单量])</f>
        <v>2637</v>
      </c>
      <c r="H78" s="242">
        <f>SUBTOTAL(109,表22[促销销售额])</f>
        <v>68434.25</v>
      </c>
      <c r="I78" s="242">
        <f>SUBTOTAL(109,表22[促销折扣])</f>
        <v>4999.41</v>
      </c>
      <c r="J78" s="243">
        <f>SUBTOTAL(109,表22[退款量])</f>
        <v>2290</v>
      </c>
      <c r="K78" s="244">
        <f t="shared" si="88"/>
        <v>7.16072545340838E-2</v>
      </c>
      <c r="L78" s="245">
        <f>SUBTOTAL(109,表22[退款金额])</f>
        <v>44715.040000000008</v>
      </c>
      <c r="M78" s="241"/>
      <c r="N78" s="242"/>
      <c r="O78" s="246"/>
      <c r="P78" s="247">
        <f t="shared" si="92"/>
        <v>1.0585197934595525</v>
      </c>
      <c r="Q78" s="248">
        <f t="shared" si="93"/>
        <v>23.85274857672448</v>
      </c>
      <c r="R78" s="248">
        <f t="shared" si="94"/>
        <v>22.534060037523453</v>
      </c>
      <c r="S78" s="248">
        <f t="shared" si="59"/>
        <v>4568.5714285714284</v>
      </c>
      <c r="T78" s="249">
        <f t="shared" si="95"/>
        <v>11553</v>
      </c>
      <c r="U78" s="250">
        <f t="shared" si="96"/>
        <v>0.38239772275916856</v>
      </c>
      <c r="V78" s="251">
        <f t="shared" si="97"/>
        <v>0.2581633557204327</v>
      </c>
      <c r="W78" s="252">
        <f>SUBTOTAL(109,表22[展示])</f>
        <v>17535500</v>
      </c>
      <c r="X78" s="242">
        <f>SUBTOTAL(109,表22[点击])</f>
        <v>180797</v>
      </c>
      <c r="Y78" s="242">
        <f>SUBTOTAL(109,表22[广告订单量])</f>
        <v>18659</v>
      </c>
      <c r="Z78" s="242">
        <f>SUBTOTAL(109,表22[广告花费])</f>
        <v>184751.97999999998</v>
      </c>
      <c r="AA78" s="242">
        <f>SUBTOTAL(109,表22[广告销售额])</f>
        <v>440942.91000000003</v>
      </c>
      <c r="AB78" s="253">
        <f>SUBTOTAL(101,表22[CPC])</f>
        <v>1.024285714285714</v>
      </c>
      <c r="AC78" s="254">
        <f t="shared" si="98"/>
        <v>0.41899297122160317</v>
      </c>
      <c r="AD78" s="255">
        <f t="shared" ref="AD78:AF78" si="192">X78/W78</f>
        <v>1.0310341877904822E-2</v>
      </c>
      <c r="AE78" s="255">
        <f t="shared" si="192"/>
        <v>0.10320414608649479</v>
      </c>
      <c r="AF78" s="256">
        <f t="shared" si="192"/>
        <v>9.9014941851117406</v>
      </c>
      <c r="AG78" s="241">
        <f>SUBTOTAL(109,表22[3.6FT])</f>
        <v>8465</v>
      </c>
      <c r="AH78" s="242">
        <f>SUBTOTAL(109,表22[5.0FT])</f>
        <v>13412</v>
      </c>
      <c r="AI78" s="245">
        <f>SUBTOTAL(109,表22[5.5FT])</f>
        <v>10076</v>
      </c>
      <c r="AJ78" s="257">
        <f>SUBTOTAL(109,表22[产品成本])</f>
        <v>79569.154929577548</v>
      </c>
      <c r="AK78" s="258">
        <f>SUBTOTAL(109,表22[头程])</f>
        <v>6171.2449816901326</v>
      </c>
      <c r="AL78" s="258">
        <f>SUBTOTAL(109,表22[入仓费])</f>
        <v>10864.020000000002</v>
      </c>
      <c r="AM78" s="258">
        <f>SUBTOTAL(109,表22[FBA物流])</f>
        <v>122839.05000000003</v>
      </c>
      <c r="AN78" s="258">
        <f>SUBTOTAL(109,表22[佣金])</f>
        <v>107345.97450000003</v>
      </c>
      <c r="AO78" s="259">
        <f>SUBTOTAL(109,表22[成本小结])</f>
        <v>326789.4444112677</v>
      </c>
      <c r="AP78" s="260">
        <f>SUBTOTAL(109,表22[退款3.6FT])</f>
        <v>643</v>
      </c>
      <c r="AQ78" s="261">
        <f>SUBTOTAL(109,表22[退款5.0FT])</f>
        <v>900</v>
      </c>
      <c r="AR78" s="262">
        <f>SUBTOTAL(109,表22[退款5.5FT])</f>
        <v>743</v>
      </c>
      <c r="AS78" s="257">
        <f>SUBTOTAL(109,表22[退款
销售金额])</f>
        <v>50812.545454545441</v>
      </c>
      <c r="AT78" s="258">
        <f>SUBTOTAL(109,表22[退款
产品成本])</f>
        <v>5719.0845070422574</v>
      </c>
      <c r="AU78" s="258">
        <f>SUBTOTAL(109,表22[退款头程])</f>
        <v>441.17045492957703</v>
      </c>
      <c r="AV78" s="258">
        <f>SUBTOTAL(109,表22[退款
入仓费])</f>
        <v>777.24000000000024</v>
      </c>
      <c r="AW78" s="258"/>
      <c r="AX78" s="258">
        <f>SUBTOTAL(109,表22[退款佣金])</f>
        <v>7621.8818181818187</v>
      </c>
      <c r="AY78" s="263">
        <f>SUBTOTAL(109,表22[退款
管理费用
佣金的20%])</f>
        <v>-1524.3763636363637</v>
      </c>
      <c r="AZ78" s="259">
        <f>SUBTOTAL(109,表22[退款
成本小结])</f>
        <v>13035.00041651729</v>
      </c>
      <c r="BA78" s="257">
        <f>SUBTOTAL(109,表22[净成本])</f>
        <v>313754.44399475039</v>
      </c>
      <c r="BB78" s="258">
        <f>SUBTOTAL(109,表22[净销售额])</f>
        <v>715639.83000000007</v>
      </c>
      <c r="BC78" s="258">
        <f>SUBTOTAL(109,表22[净销售额
(-退款金额)])</f>
        <v>664827.28454545455</v>
      </c>
      <c r="BD78" s="258">
        <f>SUBTOTAL(109,表22[毛利])</f>
        <v>166320.86055070415</v>
      </c>
      <c r="BE78" s="264">
        <f t="shared" si="110"/>
        <v>0.25017153239193318</v>
      </c>
      <c r="BI78" s="166">
        <f>SUBTOTAL(103,表22[备用])</f>
        <v>0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conditionalFormatting sqref="J4">
    <cfRule type="cellIs" dxfId="734" priority="41" operator="notEqual">
      <formula>AP4+AQ4+AR4</formula>
    </cfRule>
    <cfRule type="cellIs" dxfId="733" priority="42" operator="notEqual">
      <formula>SUM($AP$4:$AR$4)</formula>
    </cfRule>
  </conditionalFormatting>
  <conditionalFormatting sqref="C57">
    <cfRule type="cellIs" dxfId="732" priority="34" operator="notEqual">
      <formula>$AG57+$AH57+$AI57</formula>
    </cfRule>
  </conditionalFormatting>
  <conditionalFormatting sqref="J57">
    <cfRule type="cellIs" dxfId="731" priority="33" operator="notEqual">
      <formula>$AP57+$AQ57+$AR57</formula>
    </cfRule>
  </conditionalFormatting>
  <conditionalFormatting sqref="C58">
    <cfRule type="cellIs" dxfId="730" priority="36" operator="notEqual">
      <formula>$AG58+$AH58+$AI58</formula>
    </cfRule>
  </conditionalFormatting>
  <conditionalFormatting sqref="J58">
    <cfRule type="cellIs" dxfId="729" priority="35" operator="notEqual">
      <formula>$AP58+$AQ58+$AR58</formula>
    </cfRule>
  </conditionalFormatting>
  <conditionalFormatting sqref="C59">
    <cfRule type="cellIs" dxfId="728" priority="38" operator="notEqual">
      <formula>$AG59+$AH59+$AI59</formula>
    </cfRule>
  </conditionalFormatting>
  <conditionalFormatting sqref="J59">
    <cfRule type="cellIs" dxfId="727" priority="37" operator="notEqual">
      <formula>$AP59+$AQ59+$AR59</formula>
    </cfRule>
  </conditionalFormatting>
  <conditionalFormatting sqref="C62">
    <cfRule type="cellIs" dxfId="726" priority="32" operator="notEqual">
      <formula>$AG62+$AH62+$AI62</formula>
    </cfRule>
  </conditionalFormatting>
  <conditionalFormatting sqref="J62">
    <cfRule type="cellIs" dxfId="725" priority="31" operator="notEqual">
      <formula>$AP62+$AQ62+$AR62</formula>
    </cfRule>
  </conditionalFormatting>
  <conditionalFormatting sqref="C63">
    <cfRule type="cellIs" dxfId="724" priority="30" operator="notEqual">
      <formula>$AG63+$AH63+$AI63</formula>
    </cfRule>
  </conditionalFormatting>
  <conditionalFormatting sqref="J63">
    <cfRule type="cellIs" dxfId="723" priority="29" operator="notEqual">
      <formula>$AP63+$AQ63+$AR63</formula>
    </cfRule>
  </conditionalFormatting>
  <conditionalFormatting sqref="C64">
    <cfRule type="cellIs" dxfId="722" priority="28" operator="notEqual">
      <formula>$AG64+$AH64+$AI64</formula>
    </cfRule>
  </conditionalFormatting>
  <conditionalFormatting sqref="J64">
    <cfRule type="cellIs" dxfId="721" priority="27" operator="notEqual">
      <formula>$AP64+$AQ64+$AR64</formula>
    </cfRule>
  </conditionalFormatting>
  <conditionalFormatting sqref="C65">
    <cfRule type="cellIs" dxfId="720" priority="26" operator="notEqual">
      <formula>$AG65+$AH65+$AI65</formula>
    </cfRule>
  </conditionalFormatting>
  <conditionalFormatting sqref="J65">
    <cfRule type="cellIs" dxfId="719" priority="25" operator="notEqual">
      <formula>$AP65+$AQ65+$AR65</formula>
    </cfRule>
  </conditionalFormatting>
  <conditionalFormatting sqref="C66">
    <cfRule type="cellIs" dxfId="718" priority="24" operator="notEqual">
      <formula>$AG66+$AH66+$AI66</formula>
    </cfRule>
  </conditionalFormatting>
  <conditionalFormatting sqref="J66">
    <cfRule type="cellIs" dxfId="717" priority="23" operator="notEqual">
      <formula>$AP66+$AQ66+$AR66</formula>
    </cfRule>
  </conditionalFormatting>
  <conditionalFormatting sqref="C67">
    <cfRule type="cellIs" dxfId="716" priority="22" operator="notEqual">
      <formula>$AG67+$AH67+$AI67</formula>
    </cfRule>
  </conditionalFormatting>
  <conditionalFormatting sqref="J67">
    <cfRule type="cellIs" dxfId="715" priority="21" operator="notEqual">
      <formula>$AP67+$AQ67+$AR67</formula>
    </cfRule>
  </conditionalFormatting>
  <conditionalFormatting sqref="C68">
    <cfRule type="cellIs" dxfId="714" priority="20" operator="notEqual">
      <formula>$AG68+$AH68+$AI68</formula>
    </cfRule>
  </conditionalFormatting>
  <conditionalFormatting sqref="J68">
    <cfRule type="cellIs" dxfId="713" priority="19" operator="notEqual">
      <formula>$AP68+$AQ68+$AR68</formula>
    </cfRule>
  </conditionalFormatting>
  <conditionalFormatting sqref="C69">
    <cfRule type="cellIs" dxfId="712" priority="18" operator="notEqual">
      <formula>$AG69+$AH69+$AI69</formula>
    </cfRule>
  </conditionalFormatting>
  <conditionalFormatting sqref="J69">
    <cfRule type="cellIs" dxfId="711" priority="17" operator="notEqual">
      <formula>$AP69+$AQ69+$AR69</formula>
    </cfRule>
  </conditionalFormatting>
  <conditionalFormatting sqref="C70">
    <cfRule type="cellIs" dxfId="710" priority="16" operator="notEqual">
      <formula>$AG70+$AH70+$AI70</formula>
    </cfRule>
  </conditionalFormatting>
  <conditionalFormatting sqref="J70">
    <cfRule type="cellIs" dxfId="709" priority="15" operator="notEqual">
      <formula>$AP70+$AQ70+$AR70</formula>
    </cfRule>
  </conditionalFormatting>
  <conditionalFormatting sqref="C71">
    <cfRule type="cellIs" dxfId="708" priority="14" operator="notEqual">
      <formula>$AG71+$AH71+$AI71</formula>
    </cfRule>
  </conditionalFormatting>
  <conditionalFormatting sqref="J71">
    <cfRule type="cellIs" dxfId="707" priority="13" operator="notEqual">
      <formula>$AP71+$AQ71+$AR71</formula>
    </cfRule>
  </conditionalFormatting>
  <conditionalFormatting sqref="C72">
    <cfRule type="cellIs" dxfId="706" priority="12" operator="notEqual">
      <formula>$AG72+$AH72+$AI72</formula>
    </cfRule>
  </conditionalFormatting>
  <conditionalFormatting sqref="J72">
    <cfRule type="cellIs" dxfId="705" priority="11" operator="notEqual">
      <formula>$AP72+$AQ72+$AR72</formula>
    </cfRule>
  </conditionalFormatting>
  <conditionalFormatting sqref="C73">
    <cfRule type="cellIs" dxfId="704" priority="10" operator="notEqual">
      <formula>$AG73+$AH73+$AI73</formula>
    </cfRule>
  </conditionalFormatting>
  <conditionalFormatting sqref="J73">
    <cfRule type="cellIs" dxfId="703" priority="9" operator="notEqual">
      <formula>$AP73+$AQ73+$AR73</formula>
    </cfRule>
  </conditionalFormatting>
  <conditionalFormatting sqref="C74">
    <cfRule type="cellIs" dxfId="702" priority="8" operator="notEqual">
      <formula>$AG74+$AH74+$AI74</formula>
    </cfRule>
  </conditionalFormatting>
  <conditionalFormatting sqref="J74">
    <cfRule type="cellIs" dxfId="701" priority="7" operator="notEqual">
      <formula>$AP74+$AQ74+$AR74</formula>
    </cfRule>
  </conditionalFormatting>
  <conditionalFormatting sqref="C75">
    <cfRule type="cellIs" dxfId="700" priority="6" operator="notEqual">
      <formula>$AG75+$AH75+$AI75</formula>
    </cfRule>
  </conditionalFormatting>
  <conditionalFormatting sqref="J75">
    <cfRule type="cellIs" dxfId="699" priority="5" operator="notEqual">
      <formula>$AP75+$AQ75+$AR75</formula>
    </cfRule>
  </conditionalFormatting>
  <conditionalFormatting sqref="C76">
    <cfRule type="cellIs" dxfId="698" priority="4" operator="notEqual">
      <formula>$AG76+$AH76+$AI76</formula>
    </cfRule>
  </conditionalFormatting>
  <conditionalFormatting sqref="J76">
    <cfRule type="cellIs" dxfId="697" priority="3" operator="notEqual">
      <formula>$AP76+$AQ76+$AR76</formula>
    </cfRule>
  </conditionalFormatting>
  <conditionalFormatting sqref="C56 C60:C61">
    <cfRule type="cellIs" dxfId="696" priority="40" operator="notEqual">
      <formula>$AG56+$AH56+$AI56</formula>
    </cfRule>
  </conditionalFormatting>
  <conditionalFormatting sqref="J56 J60:J61">
    <cfRule type="cellIs" dxfId="695" priority="39" operator="notEqual">
      <formula>$AP56+$AQ56+$AR56</formula>
    </cfRule>
  </conditionalFormatting>
  <conditionalFormatting sqref="C77">
    <cfRule type="cellIs" dxfId="694" priority="2" operator="notEqual">
      <formula>$AG77+$AH77+$AI77</formula>
    </cfRule>
  </conditionalFormatting>
  <conditionalFormatting sqref="J77">
    <cfRule type="cellIs" dxfId="693" priority="1" operator="notEqual">
      <formula>$AP77+$AQ77+$AR77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8"/>
  </sheetPr>
  <dimension ref="A1:BK78"/>
  <sheetViews>
    <sheetView workbookViewId="0">
      <pane xSplit="12" ySplit="3" topLeftCell="BG65" activePane="bottomRight" state="frozen"/>
      <selection pane="topRight"/>
      <selection pane="bottomLeft"/>
      <selection pane="bottomRight" activeCell="A77" sqref="A77:XFD7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875" customWidth="1"/>
    <col min="4" max="4" width="7.375" customWidth="1"/>
    <col min="5" max="6" width="9.375" customWidth="1"/>
    <col min="7" max="7" width="5.875" customWidth="1"/>
    <col min="8" max="8" width="8.375" customWidth="1"/>
    <col min="9" max="9" width="9.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6.5" customWidth="1"/>
    <col min="34" max="34" width="6.375" customWidth="1"/>
    <col min="35" max="35" width="5.875" customWidth="1"/>
    <col min="36" max="36" width="7.5" customWidth="1"/>
    <col min="37" max="39" width="10.375" customWidth="1"/>
    <col min="40" max="42" width="11.5" customWidth="1"/>
    <col min="43" max="45" width="7.375" customWidth="1"/>
    <col min="46" max="46" width="7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6" width="11.5" customWidth="1"/>
    <col min="57" max="57" width="12" customWidth="1"/>
    <col min="58" max="58" width="10.375" customWidth="1"/>
    <col min="59" max="59" width="9.25" customWidth="1"/>
    <col min="60" max="60" width="9.375" customWidth="1"/>
    <col min="61" max="61" width="40.5" customWidth="1"/>
    <col min="62" max="62" width="21.5" customWidth="1"/>
    <col min="63" max="63" width="12.75" customWidth="1"/>
  </cols>
  <sheetData>
    <row r="1" spans="1:63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99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3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300" t="s">
        <v>7</v>
      </c>
      <c r="AL2" s="300"/>
      <c r="AM2" s="300"/>
      <c r="AN2" s="300"/>
      <c r="AO2" s="300"/>
      <c r="AP2" s="300"/>
      <c r="AQ2" s="301" t="s">
        <v>6</v>
      </c>
      <c r="AR2" s="302"/>
      <c r="AS2" s="302"/>
      <c r="AT2" s="302"/>
      <c r="AU2" s="303" t="s">
        <v>7</v>
      </c>
      <c r="AV2" s="303"/>
      <c r="AW2" s="303"/>
      <c r="AX2" s="303"/>
      <c r="AY2" s="303"/>
      <c r="AZ2" s="303"/>
      <c r="BA2" s="303"/>
      <c r="BB2" s="303"/>
      <c r="BC2" s="269"/>
      <c r="BD2" s="270"/>
      <c r="BE2" s="270"/>
      <c r="BF2" s="270"/>
      <c r="BG2" s="270"/>
    </row>
    <row r="3" spans="1:6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267</v>
      </c>
      <c r="AH3" s="90" t="s">
        <v>268</v>
      </c>
      <c r="AI3" s="90" t="s">
        <v>269</v>
      </c>
      <c r="AJ3" s="150" t="s">
        <v>270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271</v>
      </c>
      <c r="AR3" s="96" t="s">
        <v>272</v>
      </c>
      <c r="AS3" s="96" t="s">
        <v>273</v>
      </c>
      <c r="AT3" s="96" t="s">
        <v>274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  <c r="BJ3" s="1" t="s">
        <v>67</v>
      </c>
      <c r="BK3" t="s">
        <v>275</v>
      </c>
    </row>
    <row r="4" spans="1:6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101"/>
      <c r="G4" s="101"/>
      <c r="H4" s="41"/>
      <c r="I4" s="41"/>
      <c r="J4" s="156">
        <v>0</v>
      </c>
      <c r="K4" s="157">
        <f t="shared" ref="K4:K35" si="0">J4/C4</f>
        <v>0</v>
      </c>
      <c r="L4" s="158">
        <v>0</v>
      </c>
      <c r="M4" s="159" t="e">
        <f t="shared" ref="M4:M35" si="1">(C4-C3)/C3</f>
        <v>#VALUE!</v>
      </c>
      <c r="N4" s="157" t="e">
        <f t="shared" ref="N4:N35" si="2">(D4-D3)/D3</f>
        <v>#VALUE!</v>
      </c>
      <c r="O4" s="157" t="e">
        <f t="shared" ref="O4:O35" si="3">(E4-E3)/E3</f>
        <v>#VALUE!</v>
      </c>
      <c r="P4" s="106">
        <f t="shared" ref="P4:P35" si="4">C4/D4</f>
        <v>1.0810810810810811</v>
      </c>
      <c r="Q4" s="107">
        <f t="shared" ref="Q4:Q35" si="5">E4/D4</f>
        <v>25.664864864864864</v>
      </c>
      <c r="R4" s="107">
        <f t="shared" ref="R4:R35" si="6">E4/C4</f>
        <v>23.740000000000002</v>
      </c>
      <c r="S4" s="107">
        <f t="shared" ref="S4:S13" si="7">C4/7</f>
        <v>5.7142857142857144</v>
      </c>
      <c r="T4" s="146">
        <f t="shared" ref="T4:T35" si="8">D4-Y4</f>
        <v>8</v>
      </c>
      <c r="U4" s="110">
        <f t="shared" ref="U4:U35" si="9">T4/D4</f>
        <v>0.21621621621621623</v>
      </c>
      <c r="V4" s="71">
        <f t="shared" ref="V4:V35" si="10">Z4/(E4-I4)</f>
        <v>0.34419755686604886</v>
      </c>
      <c r="W4" s="68">
        <v>54006</v>
      </c>
      <c r="X4" s="68">
        <v>248</v>
      </c>
      <c r="Y4" s="68">
        <v>29</v>
      </c>
      <c r="Z4" s="68">
        <v>326.85000000000002</v>
      </c>
      <c r="AA4" s="69">
        <v>710.7</v>
      </c>
      <c r="AB4" s="68">
        <v>1.32</v>
      </c>
      <c r="AC4" s="48">
        <f t="shared" ref="AC4:AC35" si="11">Z4/AA4</f>
        <v>0.45989869143098355</v>
      </c>
      <c r="AD4" s="49">
        <f t="shared" ref="AD4:AD35" si="12">X4/W4</f>
        <v>4.592082361219124E-3</v>
      </c>
      <c r="AE4" s="49">
        <f t="shared" ref="AE4:AE35" si="13">Y4/X4</f>
        <v>0.11693548387096774</v>
      </c>
      <c r="AF4" s="107">
        <f t="shared" ref="AF4:AF35" si="14">Z4/Y4</f>
        <v>11.270689655172415</v>
      </c>
      <c r="AG4" s="113">
        <v>10</v>
      </c>
      <c r="AH4" s="114">
        <v>10</v>
      </c>
      <c r="AI4" s="114">
        <v>20</v>
      </c>
      <c r="AJ4" s="117">
        <v>0</v>
      </c>
      <c r="AK4" s="116">
        <f>AG4*产品成本!$D$5+AH4*产品成本!$D$6+AI4*产品成本!$D$7+AJ4*产品成本!$D$8</f>
        <v>128.1690140845071</v>
      </c>
      <c r="AL4" s="116">
        <f>AG4*产品成本!$E$5+AH4*产品成本!$E$6+AI4*产品成本!$E$7+AJ4*产品成本!$E$8</f>
        <v>13.9</v>
      </c>
      <c r="AM4" s="116">
        <f>AG4*产品成本!$F$5+AH4*产品成本!$F$6+AI4*产品成本!$F$7+AJ4*产品成本!$F$8</f>
        <v>15.7</v>
      </c>
      <c r="AN4" s="116">
        <f>AG4*产品成本!$G$5+AH4*产品成本!$G$6+AI4*产品成本!$G$7+AJ4*产品成本!$G$8</f>
        <v>195.4</v>
      </c>
      <c r="AO4" s="116">
        <f t="shared" ref="AO4:AO35" si="15">(E4-I4)*0.15</f>
        <v>142.44</v>
      </c>
      <c r="AP4" s="117">
        <f t="shared" ref="AP4:AP35" si="16">SUM(AK4:AO4)</f>
        <v>495.60901408450712</v>
      </c>
      <c r="AQ4" s="118">
        <v>0</v>
      </c>
      <c r="AR4" s="118">
        <v>0</v>
      </c>
      <c r="AS4" s="118">
        <v>0</v>
      </c>
      <c r="AT4" s="160">
        <v>0</v>
      </c>
      <c r="AU4" s="161">
        <f t="shared" ref="AU4:AU35" si="17">L4/(1-0.15-0.15*0.2)</f>
        <v>0</v>
      </c>
      <c r="AV4" s="116">
        <f>AQ4*产品成本!$D$5+AR4*产品成本!$D$6+AS4*产品成本!$D$7+AT4*产品成本!D8</f>
        <v>0</v>
      </c>
      <c r="AW4" s="116">
        <f>AQ4*产品成本!$E$5+AR4*产品成本!$E$6+AS4*产品成本!$E$7+AT4*产品成本!E8</f>
        <v>0</v>
      </c>
      <c r="AX4" s="116">
        <f>AQ4*产品成本!$F$5+AR4*产品成本!$F$6+AS4*产品成本!$F$7+AT4*产品成本!F8</f>
        <v>0</v>
      </c>
      <c r="AY4" s="116">
        <v>0</v>
      </c>
      <c r="AZ4" s="116">
        <f t="shared" ref="AZ4:AZ35" si="18">AU4*0.15</f>
        <v>0</v>
      </c>
      <c r="BA4" s="116">
        <f t="shared" ref="BA4:BA35" si="19">-AZ4*0.2</f>
        <v>0</v>
      </c>
      <c r="BB4" s="117">
        <f t="shared" ref="BB4:BB35" si="20">SUM(AV4:BA4)</f>
        <v>0</v>
      </c>
      <c r="BC4" s="122">
        <f t="shared" ref="BC4:BC35" si="21">AP4-BB4</f>
        <v>495.60901408450712</v>
      </c>
      <c r="BD4" s="122">
        <f t="shared" ref="BD4:BD35" si="22">E4-I4</f>
        <v>949.6</v>
      </c>
      <c r="BE4" s="122">
        <f t="shared" ref="BE4:BE35" si="23">E4-AU4-I4</f>
        <v>949.6</v>
      </c>
      <c r="BF4" s="121">
        <f t="shared" ref="BF4:BF35" si="24">BE4-BC4-Z4</f>
        <v>127.14098591549288</v>
      </c>
      <c r="BG4" s="162">
        <f t="shared" ref="BG4:BG35" si="25">BF4/BE4</f>
        <v>0.13388899106517785</v>
      </c>
    </row>
    <row r="5" spans="1:6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101"/>
      <c r="G5" s="101"/>
      <c r="H5" s="41"/>
      <c r="I5" s="41"/>
      <c r="J5" s="156">
        <v>1</v>
      </c>
      <c r="K5" s="157">
        <f t="shared" si="0"/>
        <v>1.7241379310344827E-2</v>
      </c>
      <c r="L5" s="158">
        <v>20.23</v>
      </c>
      <c r="M5" s="159">
        <f t="shared" si="1"/>
        <v>0.45</v>
      </c>
      <c r="N5" s="157">
        <f t="shared" si="2"/>
        <v>0.48648648648648651</v>
      </c>
      <c r="O5" s="157">
        <f t="shared" si="3"/>
        <v>0.4442080876158383</v>
      </c>
      <c r="P5" s="106">
        <f t="shared" si="4"/>
        <v>1.0545454545454545</v>
      </c>
      <c r="Q5" s="107">
        <f t="shared" si="5"/>
        <v>24.934909090909091</v>
      </c>
      <c r="R5" s="107">
        <f t="shared" si="6"/>
        <v>23.645172413793105</v>
      </c>
      <c r="S5" s="107">
        <f t="shared" si="7"/>
        <v>8.2857142857142865</v>
      </c>
      <c r="T5" s="146">
        <f t="shared" si="8"/>
        <v>22</v>
      </c>
      <c r="U5" s="110">
        <f t="shared" si="9"/>
        <v>0.4</v>
      </c>
      <c r="V5" s="71">
        <f t="shared" si="10"/>
        <v>0.2245628618512199</v>
      </c>
      <c r="W5" s="68">
        <v>55780</v>
      </c>
      <c r="X5" s="68">
        <v>231</v>
      </c>
      <c r="Y5" s="68">
        <v>33</v>
      </c>
      <c r="Z5" s="68">
        <v>307.97000000000003</v>
      </c>
      <c r="AA5" s="69">
        <v>819.65</v>
      </c>
      <c r="AB5" s="68">
        <v>1.33</v>
      </c>
      <c r="AC5" s="48">
        <f t="shared" si="11"/>
        <v>0.37573354480570981</v>
      </c>
      <c r="AD5" s="49">
        <f t="shared" si="12"/>
        <v>4.1412692721405518E-3</v>
      </c>
      <c r="AE5" s="49">
        <f t="shared" si="13"/>
        <v>0.14285714285714285</v>
      </c>
      <c r="AF5" s="107">
        <f t="shared" si="14"/>
        <v>9.3324242424242438</v>
      </c>
      <c r="AG5" s="113">
        <v>20</v>
      </c>
      <c r="AH5" s="114">
        <v>19</v>
      </c>
      <c r="AI5" s="114">
        <v>19</v>
      </c>
      <c r="AJ5" s="117">
        <v>0</v>
      </c>
      <c r="AK5" s="116">
        <f>AG5*产品成本!$D$5+AH5*产品成本!$D$6+AI5*产品成本!$D$7+AJ5*产品成本!$D$8</f>
        <v>176.61971830985919</v>
      </c>
      <c r="AL5" s="116">
        <f>AG5*产品成本!$E$5+AH5*产品成本!$E$6+AI5*产品成本!$E$7+AJ5*产品成本!$E$8</f>
        <v>19.080000000000002</v>
      </c>
      <c r="AM5" s="116">
        <f>AG5*产品成本!$F$5+AH5*产品成本!$F$6+AI5*产品成本!$F$7+AJ5*产品成本!$F$8</f>
        <v>22.45</v>
      </c>
      <c r="AN5" s="116">
        <f>AG5*产品成本!$G$5+AH5*产品成本!$G$6+AI5*产品成本!$G$7+AJ5*产品成本!$G$8</f>
        <v>275.83999999999997</v>
      </c>
      <c r="AO5" s="116">
        <f t="shared" si="15"/>
        <v>205.71299999999999</v>
      </c>
      <c r="AP5" s="117">
        <f t="shared" si="16"/>
        <v>699.70271830985916</v>
      </c>
      <c r="AQ5" s="118">
        <v>1</v>
      </c>
      <c r="AR5" s="118">
        <v>0</v>
      </c>
      <c r="AS5" s="118">
        <v>0</v>
      </c>
      <c r="AT5" s="160">
        <v>0</v>
      </c>
      <c r="AU5" s="161">
        <f t="shared" si="17"/>
        <v>24.670731707317074</v>
      </c>
      <c r="AV5" s="116">
        <f>AQ5*产品成本!$D$5+AR5*产品成本!$D$6+AS5*产品成本!$D$7+AT5*产品成本!D11</f>
        <v>2.6760563380281699</v>
      </c>
      <c r="AW5" s="116">
        <f>AQ5*产品成本!$E$5+AR5*产品成本!$E$6+AS5*产品成本!$E$7+AT5*产品成本!E11</f>
        <v>0.27</v>
      </c>
      <c r="AX5" s="116">
        <f>AQ5*产品成本!$F$5+AR5*产品成本!$F$6+AS5*产品成本!$F$7+AT5*产品成本!F11</f>
        <v>0.41</v>
      </c>
      <c r="AY5" s="116">
        <v>0</v>
      </c>
      <c r="AZ5" s="116">
        <f t="shared" si="18"/>
        <v>3.700609756097561</v>
      </c>
      <c r="BA5" s="116">
        <f t="shared" si="19"/>
        <v>-0.7401219512195123</v>
      </c>
      <c r="BB5" s="117">
        <f t="shared" si="20"/>
        <v>6.3165441429062188</v>
      </c>
      <c r="BC5" s="122">
        <f t="shared" si="21"/>
        <v>693.38617416695297</v>
      </c>
      <c r="BD5" s="122">
        <f t="shared" si="22"/>
        <v>1371.42</v>
      </c>
      <c r="BE5" s="122">
        <f t="shared" si="23"/>
        <v>1346.7492682926829</v>
      </c>
      <c r="BF5" s="121">
        <f t="shared" si="24"/>
        <v>345.39309412572993</v>
      </c>
      <c r="BG5" s="162">
        <f t="shared" si="25"/>
        <v>0.25646428942456068</v>
      </c>
    </row>
    <row r="6" spans="1:6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101"/>
      <c r="G6" s="101"/>
      <c r="H6" s="41"/>
      <c r="I6" s="41"/>
      <c r="J6" s="156">
        <v>0</v>
      </c>
      <c r="K6" s="157">
        <f t="shared" si="0"/>
        <v>0</v>
      </c>
      <c r="L6" s="158">
        <v>0</v>
      </c>
      <c r="M6" s="159">
        <f t="shared" si="1"/>
        <v>-0.2413793103448276</v>
      </c>
      <c r="N6" s="157">
        <f t="shared" si="2"/>
        <v>-0.23636363636363636</v>
      </c>
      <c r="O6" s="157">
        <f t="shared" si="3"/>
        <v>-0.23833690627233095</v>
      </c>
      <c r="P6" s="106">
        <f t="shared" si="4"/>
        <v>1.0476190476190477</v>
      </c>
      <c r="Q6" s="107">
        <f t="shared" si="5"/>
        <v>24.87047619047619</v>
      </c>
      <c r="R6" s="107">
        <f t="shared" si="6"/>
        <v>23.74</v>
      </c>
      <c r="S6" s="107">
        <f t="shared" si="7"/>
        <v>6.2857142857142856</v>
      </c>
      <c r="T6" s="146">
        <f t="shared" si="8"/>
        <v>12</v>
      </c>
      <c r="U6" s="110">
        <f t="shared" si="9"/>
        <v>0.2857142857142857</v>
      </c>
      <c r="V6" s="71">
        <f t="shared" si="10"/>
        <v>0.44654208470552198</v>
      </c>
      <c r="W6" s="68">
        <v>80855</v>
      </c>
      <c r="X6" s="68">
        <v>306</v>
      </c>
      <c r="Y6" s="68">
        <v>30</v>
      </c>
      <c r="Z6" s="68">
        <v>466.44</v>
      </c>
      <c r="AA6" s="69">
        <v>708.7</v>
      </c>
      <c r="AB6" s="68">
        <v>1.52</v>
      </c>
      <c r="AC6" s="48">
        <f t="shared" si="11"/>
        <v>0.65816283335685055</v>
      </c>
      <c r="AD6" s="49">
        <f t="shared" si="12"/>
        <v>3.7845525941500218E-3</v>
      </c>
      <c r="AE6" s="49">
        <f t="shared" si="13"/>
        <v>9.8039215686274508E-2</v>
      </c>
      <c r="AF6" s="107">
        <f t="shared" si="14"/>
        <v>15.548</v>
      </c>
      <c r="AG6" s="113">
        <v>11</v>
      </c>
      <c r="AH6" s="114">
        <v>17</v>
      </c>
      <c r="AI6" s="114">
        <v>16</v>
      </c>
      <c r="AJ6" s="117">
        <v>0</v>
      </c>
      <c r="AK6" s="116">
        <f>AG6*产品成本!$D$5+AH6*产品成本!$D$6+AI6*产品成本!$D$7+AJ6*产品成本!$D$8</f>
        <v>135.91549295774649</v>
      </c>
      <c r="AL6" s="116">
        <f>AG6*产品成本!$E$5+AH6*产品成本!$E$6+AI6*产品成本!$E$7+AJ6*产品成本!$E$8</f>
        <v>14.81</v>
      </c>
      <c r="AM6" s="116">
        <f>AG6*产品成本!$F$5+AH6*产品成本!$F$6+AI6*产品成本!$F$7+AJ6*产品成本!$F$8</f>
        <v>16.849999999999998</v>
      </c>
      <c r="AN6" s="116">
        <f>AG6*产品成本!$G$5+AH6*产品成本!$G$6+AI6*产品成本!$G$7+AJ6*产品成本!$G$8</f>
        <v>207.74</v>
      </c>
      <c r="AO6" s="116">
        <f t="shared" si="15"/>
        <v>156.684</v>
      </c>
      <c r="AP6" s="117">
        <f t="shared" si="16"/>
        <v>531.9994929577465</v>
      </c>
      <c r="AQ6" s="118">
        <v>0</v>
      </c>
      <c r="AR6" s="118">
        <v>0</v>
      </c>
      <c r="AS6" s="118">
        <v>0</v>
      </c>
      <c r="AT6" s="160">
        <v>0</v>
      </c>
      <c r="AU6" s="161">
        <f t="shared" si="17"/>
        <v>0</v>
      </c>
      <c r="AV6" s="116">
        <f>AQ6*产品成本!$D$5+AR6*产品成本!$D$6+AS6*产品成本!$D$7+AT6*产品成本!D12</f>
        <v>0</v>
      </c>
      <c r="AW6" s="116">
        <f>AQ6*产品成本!$E$5+AR6*产品成本!$E$6+AS6*产品成本!$E$7+AT6*产品成本!E12</f>
        <v>0</v>
      </c>
      <c r="AX6" s="116">
        <f>AQ6*产品成本!$F$5+AR6*产品成本!$F$6+AS6*产品成本!$F$7+AT6*产品成本!F12</f>
        <v>0</v>
      </c>
      <c r="AY6" s="116">
        <v>0</v>
      </c>
      <c r="AZ6" s="116">
        <f t="shared" si="18"/>
        <v>0</v>
      </c>
      <c r="BA6" s="116">
        <f t="shared" si="19"/>
        <v>0</v>
      </c>
      <c r="BB6" s="117">
        <f t="shared" si="20"/>
        <v>0</v>
      </c>
      <c r="BC6" s="122">
        <f t="shared" si="21"/>
        <v>531.9994929577465</v>
      </c>
      <c r="BD6" s="122">
        <f t="shared" si="22"/>
        <v>1044.56</v>
      </c>
      <c r="BE6" s="122">
        <f t="shared" si="23"/>
        <v>1044.56</v>
      </c>
      <c r="BF6" s="121">
        <f t="shared" si="24"/>
        <v>46.12050704225345</v>
      </c>
      <c r="BG6" s="162">
        <f t="shared" si="25"/>
        <v>4.4153047256503652E-2</v>
      </c>
    </row>
    <row r="7" spans="1:6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101"/>
      <c r="G7" s="101"/>
      <c r="H7" s="41"/>
      <c r="I7" s="41"/>
      <c r="J7" s="156">
        <v>0</v>
      </c>
      <c r="K7" s="157">
        <f t="shared" si="0"/>
        <v>0</v>
      </c>
      <c r="L7" s="158">
        <v>0</v>
      </c>
      <c r="M7" s="159">
        <f t="shared" si="1"/>
        <v>0.29545454545454547</v>
      </c>
      <c r="N7" s="157">
        <f t="shared" si="2"/>
        <v>0.30952380952380953</v>
      </c>
      <c r="O7" s="157">
        <f t="shared" si="3"/>
        <v>0.2861204717775907</v>
      </c>
      <c r="P7" s="106">
        <f t="shared" si="4"/>
        <v>1.0363636363636364</v>
      </c>
      <c r="Q7" s="107">
        <f t="shared" si="5"/>
        <v>24.426000000000002</v>
      </c>
      <c r="R7" s="107">
        <f t="shared" si="6"/>
        <v>23.568947368421053</v>
      </c>
      <c r="S7" s="107">
        <f t="shared" si="7"/>
        <v>8.1428571428571423</v>
      </c>
      <c r="T7" s="146">
        <f t="shared" si="8"/>
        <v>20</v>
      </c>
      <c r="U7" s="110">
        <f t="shared" si="9"/>
        <v>0.36363636363636365</v>
      </c>
      <c r="V7" s="71">
        <f t="shared" si="10"/>
        <v>0.3861905718943302</v>
      </c>
      <c r="W7" s="68">
        <v>107755</v>
      </c>
      <c r="X7" s="68">
        <v>336</v>
      </c>
      <c r="Y7" s="68">
        <v>35</v>
      </c>
      <c r="Z7" s="68">
        <v>518.82000000000005</v>
      </c>
      <c r="AA7" s="69">
        <v>815.65</v>
      </c>
      <c r="AB7" s="68">
        <v>1.54</v>
      </c>
      <c r="AC7" s="48">
        <f t="shared" si="11"/>
        <v>0.63608165266965</v>
      </c>
      <c r="AD7" s="49">
        <f t="shared" si="12"/>
        <v>3.1181847710083058E-3</v>
      </c>
      <c r="AE7" s="49">
        <f t="shared" si="13"/>
        <v>0.10416666666666667</v>
      </c>
      <c r="AF7" s="107">
        <f t="shared" si="14"/>
        <v>14.823428571428574</v>
      </c>
      <c r="AG7" s="113">
        <v>24</v>
      </c>
      <c r="AH7" s="114">
        <v>22</v>
      </c>
      <c r="AI7" s="114">
        <v>11</v>
      </c>
      <c r="AJ7" s="117">
        <v>0</v>
      </c>
      <c r="AK7" s="116">
        <f>AG7*产品成本!$D$5+AH7*产品成本!$D$6+AI7*产品成本!$D$7+AJ7*产品成本!$D$8</f>
        <v>166.47887323943661</v>
      </c>
      <c r="AL7" s="116">
        <f>AG7*产品成本!$E$5+AH7*产品成本!$E$6+AI7*产品成本!$E$7+AJ7*产品成本!$E$8</f>
        <v>17.920000000000002</v>
      </c>
      <c r="AM7" s="116">
        <f>AG7*产品成本!$F$5+AH7*产品成本!$F$6+AI7*产品成本!$F$7+AJ7*产品成本!$F$8</f>
        <v>21.83</v>
      </c>
      <c r="AN7" s="116">
        <f>AG7*产品成本!$G$5+AH7*产品成本!$G$6+AI7*产品成本!$G$7+AJ7*产品成本!$G$8</f>
        <v>265.44</v>
      </c>
      <c r="AO7" s="116">
        <f t="shared" si="15"/>
        <v>201.5145</v>
      </c>
      <c r="AP7" s="117">
        <f t="shared" si="16"/>
        <v>673.18337323943661</v>
      </c>
      <c r="AQ7" s="118">
        <v>0</v>
      </c>
      <c r="AR7" s="118">
        <v>0</v>
      </c>
      <c r="AS7" s="118">
        <v>0</v>
      </c>
      <c r="AT7" s="160">
        <v>0</v>
      </c>
      <c r="AU7" s="161">
        <f t="shared" si="17"/>
        <v>0</v>
      </c>
      <c r="AV7" s="116">
        <f>AQ7*产品成本!$D$5+AR7*产品成本!$D$6+AS7*产品成本!$D$7+AT7*产品成本!D15</f>
        <v>0</v>
      </c>
      <c r="AW7" s="116">
        <f>AQ7*产品成本!$E$5+AR7*产品成本!$E$6+AS7*产品成本!$E$7+AT7*产品成本!E15</f>
        <v>0</v>
      </c>
      <c r="AX7" s="116">
        <f>AQ7*产品成本!$F$5+AR7*产品成本!$F$6+AS7*产品成本!$F$7+AT7*产品成本!F15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673.18337323943661</v>
      </c>
      <c r="BD7" s="122">
        <f t="shared" si="22"/>
        <v>1343.43</v>
      </c>
      <c r="BE7" s="122">
        <f t="shared" si="23"/>
        <v>1343.43</v>
      </c>
      <c r="BF7" s="121">
        <f t="shared" si="24"/>
        <v>151.42662676056341</v>
      </c>
      <c r="BG7" s="162">
        <f t="shared" si="25"/>
        <v>0.11271642494254513</v>
      </c>
    </row>
    <row r="8" spans="1:6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101"/>
      <c r="G8" s="101"/>
      <c r="H8" s="41"/>
      <c r="I8" s="41"/>
      <c r="J8" s="156">
        <v>1</v>
      </c>
      <c r="K8" s="157">
        <f t="shared" si="0"/>
        <v>2.1276595744680851E-2</v>
      </c>
      <c r="L8" s="158">
        <v>21.11</v>
      </c>
      <c r="M8" s="159">
        <f t="shared" si="1"/>
        <v>-0.17543859649122806</v>
      </c>
      <c r="N8" s="157">
        <f t="shared" si="2"/>
        <v>-0.16363636363636364</v>
      </c>
      <c r="O8" s="157">
        <f t="shared" si="3"/>
        <v>-0.17559530455624786</v>
      </c>
      <c r="P8" s="106">
        <f t="shared" si="4"/>
        <v>1.0217391304347827</v>
      </c>
      <c r="Q8" s="107">
        <f t="shared" si="5"/>
        <v>24.076739130434781</v>
      </c>
      <c r="R8" s="107">
        <f t="shared" si="6"/>
        <v>23.564468085106384</v>
      </c>
      <c r="S8" s="107">
        <f t="shared" si="7"/>
        <v>6.7142857142857144</v>
      </c>
      <c r="T8" s="146">
        <f t="shared" si="8"/>
        <v>21</v>
      </c>
      <c r="U8" s="110">
        <f t="shared" si="9"/>
        <v>0.45652173913043476</v>
      </c>
      <c r="V8" s="71">
        <f t="shared" si="10"/>
        <v>0.34545339629626287</v>
      </c>
      <c r="W8" s="68">
        <v>70831</v>
      </c>
      <c r="X8" s="68">
        <v>276</v>
      </c>
      <c r="Y8" s="68">
        <v>25</v>
      </c>
      <c r="Z8" s="68">
        <v>382.6</v>
      </c>
      <c r="AA8" s="69">
        <v>591.75</v>
      </c>
      <c r="AB8" s="68">
        <v>1.39</v>
      </c>
      <c r="AC8" s="48">
        <f t="shared" si="11"/>
        <v>0.64655682298267858</v>
      </c>
      <c r="AD8" s="49">
        <f t="shared" si="12"/>
        <v>3.8965989467888355E-3</v>
      </c>
      <c r="AE8" s="49">
        <f t="shared" si="13"/>
        <v>9.0579710144927536E-2</v>
      </c>
      <c r="AF8" s="107">
        <f t="shared" si="14"/>
        <v>15.304</v>
      </c>
      <c r="AG8" s="113">
        <v>20</v>
      </c>
      <c r="AH8" s="114">
        <v>14</v>
      </c>
      <c r="AI8" s="114">
        <v>13</v>
      </c>
      <c r="AJ8" s="117">
        <v>0</v>
      </c>
      <c r="AK8" s="116">
        <f>AG8*产品成本!$D$5+AH8*产品成本!$D$6+AI8*产品成本!$D$7+AJ8*产品成本!$D$8</f>
        <v>140.56338028169014</v>
      </c>
      <c r="AL8" s="116">
        <f>AG8*产品成本!$E$5+AH8*产品成本!$E$6+AI8*产品成本!$E$7+AJ8*产品成本!$E$8</f>
        <v>15.080000000000002</v>
      </c>
      <c r="AM8" s="116">
        <f>AG8*产品成本!$F$5+AH8*产品成本!$F$6+AI8*产品成本!$F$7+AJ8*产品成本!$F$8</f>
        <v>18.29</v>
      </c>
      <c r="AN8" s="116">
        <f>AG8*产品成本!$G$5+AH8*产品成本!$G$6+AI8*产品成本!$G$7+AJ8*产品成本!$G$8</f>
        <v>223.76</v>
      </c>
      <c r="AO8" s="116">
        <f t="shared" si="15"/>
        <v>166.12949999999998</v>
      </c>
      <c r="AP8" s="117">
        <f t="shared" si="16"/>
        <v>563.82288028169012</v>
      </c>
      <c r="AQ8" s="147">
        <v>0</v>
      </c>
      <c r="AR8" s="118">
        <v>1</v>
      </c>
      <c r="AS8" s="118">
        <v>0</v>
      </c>
      <c r="AT8" s="160">
        <v>0</v>
      </c>
      <c r="AU8" s="161">
        <f t="shared" si="17"/>
        <v>25.743902439024392</v>
      </c>
      <c r="AV8" s="116">
        <f>AQ8*产品成本!$D$5+AR8*产品成本!$D$6+AS8*产品成本!$D$7+AT8*产品成本!D16</f>
        <v>2.8169014084507</v>
      </c>
      <c r="AW8" s="116">
        <f>AQ8*产品成本!$E$5+AR8*产品成本!$E$6+AS8*产品成本!$E$7+AT8*产品成本!E16</f>
        <v>0.32</v>
      </c>
      <c r="AX8" s="116">
        <f>AQ8*产品成本!$F$5+AR8*产品成本!$F$6+AS8*产品成本!$F$7+AT8*产品成本!F16</f>
        <v>0.34</v>
      </c>
      <c r="AY8" s="116">
        <v>0</v>
      </c>
      <c r="AZ8" s="116">
        <f t="shared" si="18"/>
        <v>3.8615853658536587</v>
      </c>
      <c r="BA8" s="116">
        <f t="shared" si="19"/>
        <v>-0.77231707317073184</v>
      </c>
      <c r="BB8" s="117">
        <f t="shared" si="20"/>
        <v>6.5661697011336271</v>
      </c>
      <c r="BC8" s="122">
        <f t="shared" si="21"/>
        <v>557.2567105805565</v>
      </c>
      <c r="BD8" s="122">
        <f t="shared" si="22"/>
        <v>1107.53</v>
      </c>
      <c r="BE8" s="122">
        <f t="shared" si="23"/>
        <v>1081.7860975609756</v>
      </c>
      <c r="BF8" s="121">
        <f t="shared" si="24"/>
        <v>141.92938698041905</v>
      </c>
      <c r="BG8" s="162">
        <f t="shared" si="25"/>
        <v>0.13119912272899137</v>
      </c>
    </row>
    <row r="9" spans="1:6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101"/>
      <c r="G9" s="101"/>
      <c r="H9" s="41"/>
      <c r="I9" s="41"/>
      <c r="J9" s="156">
        <v>4</v>
      </c>
      <c r="K9" s="157">
        <f t="shared" si="0"/>
        <v>5.7971014492753624E-2</v>
      </c>
      <c r="L9" s="158">
        <v>64.72</v>
      </c>
      <c r="M9" s="159">
        <f t="shared" si="1"/>
        <v>0.46808510638297873</v>
      </c>
      <c r="N9" s="157">
        <f t="shared" si="2"/>
        <v>0.43478260869565216</v>
      </c>
      <c r="O9" s="157">
        <f t="shared" si="3"/>
        <v>0.47563497151318701</v>
      </c>
      <c r="P9" s="106">
        <f t="shared" si="4"/>
        <v>1.0454545454545454</v>
      </c>
      <c r="Q9" s="107">
        <f t="shared" si="5"/>
        <v>24.762272727272727</v>
      </c>
      <c r="R9" s="107">
        <f t="shared" si="6"/>
        <v>23.685652173913041</v>
      </c>
      <c r="S9" s="107">
        <f t="shared" si="7"/>
        <v>9.8571428571428577</v>
      </c>
      <c r="T9" s="146">
        <f t="shared" si="8"/>
        <v>30</v>
      </c>
      <c r="U9" s="110">
        <f t="shared" si="9"/>
        <v>0.45454545454545453</v>
      </c>
      <c r="V9" s="71">
        <f t="shared" si="10"/>
        <v>0.24864927706493872</v>
      </c>
      <c r="W9" s="68">
        <v>76019</v>
      </c>
      <c r="X9" s="68">
        <v>284</v>
      </c>
      <c r="Y9" s="68">
        <v>36</v>
      </c>
      <c r="Z9" s="68">
        <v>406.37</v>
      </c>
      <c r="AA9" s="69">
        <v>847.84</v>
      </c>
      <c r="AB9" s="68">
        <v>1.43</v>
      </c>
      <c r="AC9" s="48">
        <f t="shared" si="11"/>
        <v>0.47930033968673336</v>
      </c>
      <c r="AD9" s="49">
        <f t="shared" si="12"/>
        <v>3.7359081282311002E-3</v>
      </c>
      <c r="AE9" s="49">
        <f t="shared" si="13"/>
        <v>0.12676056338028169</v>
      </c>
      <c r="AF9" s="107">
        <f t="shared" si="14"/>
        <v>11.288055555555555</v>
      </c>
      <c r="AG9" s="113">
        <v>21</v>
      </c>
      <c r="AH9" s="114">
        <v>24</v>
      </c>
      <c r="AI9" s="114">
        <v>24</v>
      </c>
      <c r="AJ9" s="117">
        <v>0</v>
      </c>
      <c r="AK9" s="116">
        <f>AG9*产品成本!$D$5+AH9*产品成本!$D$6+AI9*产品成本!$D$7+AJ9*产品成本!$D$8</f>
        <v>211.69014084507046</v>
      </c>
      <c r="AL9" s="116">
        <f>AG9*产品成本!$E$5+AH9*产品成本!$E$6+AI9*产品成本!$E$7+AJ9*产品成本!$E$8</f>
        <v>22.950000000000003</v>
      </c>
      <c r="AM9" s="116">
        <f>AG9*产品成本!$F$5+AH9*产品成本!$F$6+AI9*产品成本!$F$7+AJ9*产品成本!$F$8</f>
        <v>26.61</v>
      </c>
      <c r="AN9" s="116">
        <f>AG9*产品成本!$G$5+AH9*产品成本!$G$6+AI9*产品成本!$G$7+AJ9*产品成本!$G$8</f>
        <v>327.53999999999996</v>
      </c>
      <c r="AO9" s="116">
        <f t="shared" si="15"/>
        <v>245.14649999999997</v>
      </c>
      <c r="AP9" s="117">
        <f t="shared" si="16"/>
        <v>833.93664084507043</v>
      </c>
      <c r="AQ9" s="118">
        <v>4</v>
      </c>
      <c r="AR9" s="118">
        <v>0</v>
      </c>
      <c r="AS9" s="118">
        <v>0</v>
      </c>
      <c r="AT9" s="160">
        <v>0</v>
      </c>
      <c r="AU9" s="161">
        <f t="shared" si="17"/>
        <v>78.926829268292693</v>
      </c>
      <c r="AV9" s="116">
        <f>AQ9*产品成本!$D$5+AR9*产品成本!$D$6+AS9*产品成本!$D$7+AT9*产品成本!D17</f>
        <v>10.70422535211268</v>
      </c>
      <c r="AW9" s="116">
        <f>AQ9*产品成本!$E$5+AR9*产品成本!$E$6+AS9*产品成本!$E$7+AT9*产品成本!E17</f>
        <v>1.08</v>
      </c>
      <c r="AX9" s="116">
        <f>AQ9*产品成本!$F$5+AR9*产品成本!$F$6+AS9*产品成本!$F$7+AT9*产品成本!F17</f>
        <v>1.64</v>
      </c>
      <c r="AY9" s="116">
        <v>0</v>
      </c>
      <c r="AZ9" s="116">
        <f t="shared" si="18"/>
        <v>11.839024390243903</v>
      </c>
      <c r="BA9" s="116">
        <f t="shared" si="19"/>
        <v>-2.3678048780487808</v>
      </c>
      <c r="BB9" s="117">
        <f t="shared" si="20"/>
        <v>22.895444864307805</v>
      </c>
      <c r="BC9" s="122">
        <f t="shared" si="21"/>
        <v>811.04119598076261</v>
      </c>
      <c r="BD9" s="122">
        <f t="shared" si="22"/>
        <v>1634.31</v>
      </c>
      <c r="BE9" s="122">
        <f t="shared" si="23"/>
        <v>1555.3831707317072</v>
      </c>
      <c r="BF9" s="121">
        <f t="shared" si="24"/>
        <v>337.97197475094458</v>
      </c>
      <c r="BG9" s="162">
        <f t="shared" si="25"/>
        <v>0.21729177807160574</v>
      </c>
    </row>
    <row r="10" spans="1:6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101"/>
      <c r="G10" s="101"/>
      <c r="H10" s="41"/>
      <c r="I10" s="41"/>
      <c r="J10" s="156">
        <v>3</v>
      </c>
      <c r="K10" s="163">
        <f t="shared" si="0"/>
        <v>3.8461538461538464E-2</v>
      </c>
      <c r="L10" s="158">
        <v>57.52</v>
      </c>
      <c r="M10" s="159">
        <f t="shared" si="1"/>
        <v>0.13043478260869565</v>
      </c>
      <c r="N10" s="157">
        <f t="shared" si="2"/>
        <v>0.15151515151515152</v>
      </c>
      <c r="O10" s="157">
        <f t="shared" si="3"/>
        <v>5.6910867583261436E-2</v>
      </c>
      <c r="P10" s="106">
        <f t="shared" si="4"/>
        <v>1.0263157894736843</v>
      </c>
      <c r="Q10" s="107">
        <f t="shared" si="5"/>
        <v>22.727894736842103</v>
      </c>
      <c r="R10" s="107">
        <f t="shared" si="6"/>
        <v>22.145128205128206</v>
      </c>
      <c r="S10" s="107">
        <f t="shared" si="7"/>
        <v>11.142857142857142</v>
      </c>
      <c r="T10" s="146">
        <f t="shared" si="8"/>
        <v>29</v>
      </c>
      <c r="U10" s="110">
        <f t="shared" si="9"/>
        <v>0.38157894736842107</v>
      </c>
      <c r="V10" s="71">
        <f t="shared" si="10"/>
        <v>0.29468772433596552</v>
      </c>
      <c r="W10" s="68">
        <v>95228</v>
      </c>
      <c r="X10" s="68">
        <v>359</v>
      </c>
      <c r="Y10" s="68">
        <v>47</v>
      </c>
      <c r="Z10" s="68">
        <v>509.02</v>
      </c>
      <c r="AA10" s="69">
        <v>1027.73</v>
      </c>
      <c r="AB10" s="68">
        <v>1.42</v>
      </c>
      <c r="AC10" s="48">
        <f t="shared" si="11"/>
        <v>0.49528572679594834</v>
      </c>
      <c r="AD10" s="49">
        <f t="shared" si="12"/>
        <v>3.769899609358592E-3</v>
      </c>
      <c r="AE10" s="49">
        <f t="shared" si="13"/>
        <v>0.1309192200557103</v>
      </c>
      <c r="AF10" s="107">
        <f t="shared" si="14"/>
        <v>10.830212765957446</v>
      </c>
      <c r="AG10" s="113">
        <v>23</v>
      </c>
      <c r="AH10" s="114">
        <v>28</v>
      </c>
      <c r="AI10" s="114">
        <v>27</v>
      </c>
      <c r="AJ10" s="117">
        <v>0</v>
      </c>
      <c r="AK10" s="116">
        <f>AG10*产品成本!$D$5+AH10*产品成本!$D$6+AI10*产品成本!$D$7+AJ10*产品成本!$D$8</f>
        <v>239.29577464788736</v>
      </c>
      <c r="AL10" s="116">
        <f>AG10*产品成本!$E$5+AH10*产品成本!$E$6+AI10*产品成本!$E$7+AJ10*产品成本!$E$8</f>
        <v>25.970000000000002</v>
      </c>
      <c r="AM10" s="116">
        <f>AG10*产品成本!$F$5+AH10*产品成本!$F$6+AI10*产品成本!$F$7+AJ10*产品成本!$F$8</f>
        <v>30.020000000000003</v>
      </c>
      <c r="AN10" s="116">
        <f>AG10*产品成本!$G$5+AH10*产品成本!$G$6+AI10*产品成本!$G$7+AJ10*产品成本!$G$8</f>
        <v>369.5</v>
      </c>
      <c r="AO10" s="116">
        <f t="shared" si="15"/>
        <v>259.09799999999996</v>
      </c>
      <c r="AP10" s="117">
        <f t="shared" si="16"/>
        <v>923.88377464788732</v>
      </c>
      <c r="AQ10" s="118">
        <v>2</v>
      </c>
      <c r="AR10" s="118">
        <v>0</v>
      </c>
      <c r="AS10" s="118">
        <v>1</v>
      </c>
      <c r="AT10" s="160">
        <v>0</v>
      </c>
      <c r="AU10" s="161">
        <f t="shared" si="17"/>
        <v>70.146341463414643</v>
      </c>
      <c r="AV10" s="116">
        <f>AQ10*产品成本!$D$5+AR10*产品成本!$D$6+AS10*产品成本!$D$7+AT10*产品成本!D19</f>
        <v>9.0140845070422593</v>
      </c>
      <c r="AW10" s="116">
        <f>AQ10*产品成本!$E$5+AR10*产品成本!$E$6+AS10*产品成本!$E$7+AT10*产品成本!E19</f>
        <v>0.94000000000000006</v>
      </c>
      <c r="AX10" s="116">
        <f>AQ10*产品成本!$F$5+AR10*产品成本!$F$6+AS10*产品成本!$F$7+AT10*产品成本!F19</f>
        <v>1.23</v>
      </c>
      <c r="AY10" s="116">
        <v>0</v>
      </c>
      <c r="AZ10" s="116">
        <f t="shared" si="18"/>
        <v>10.521951219512196</v>
      </c>
      <c r="BA10" s="116">
        <f t="shared" si="19"/>
        <v>-2.1043902439024396</v>
      </c>
      <c r="BB10" s="117">
        <f t="shared" si="20"/>
        <v>19.601645482652014</v>
      </c>
      <c r="BC10" s="122">
        <f t="shared" si="21"/>
        <v>904.28212916523535</v>
      </c>
      <c r="BD10" s="122">
        <f t="shared" si="22"/>
        <v>1727.32</v>
      </c>
      <c r="BE10" s="122">
        <f t="shared" si="23"/>
        <v>1657.1736585365852</v>
      </c>
      <c r="BF10" s="121">
        <f t="shared" si="24"/>
        <v>243.87152937134988</v>
      </c>
      <c r="BG10" s="162">
        <f t="shared" si="25"/>
        <v>0.14716111864022002</v>
      </c>
    </row>
    <row r="11" spans="1:6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101"/>
      <c r="G11" s="101"/>
      <c r="H11" s="41"/>
      <c r="I11" s="41"/>
      <c r="J11" s="156">
        <v>1</v>
      </c>
      <c r="K11" s="164">
        <f t="shared" si="0"/>
        <v>2.2727272727272728E-2</v>
      </c>
      <c r="L11" s="158">
        <v>21.59</v>
      </c>
      <c r="M11" s="159">
        <f t="shared" si="1"/>
        <v>-0.4358974358974359</v>
      </c>
      <c r="N11" s="157">
        <f t="shared" si="2"/>
        <v>-0.44736842105263158</v>
      </c>
      <c r="O11" s="157">
        <f t="shared" si="3"/>
        <v>-0.45576963156797817</v>
      </c>
      <c r="P11" s="106">
        <f t="shared" si="4"/>
        <v>1.0476190476190477</v>
      </c>
      <c r="Q11" s="107">
        <f t="shared" si="5"/>
        <v>22.382380952380952</v>
      </c>
      <c r="R11" s="107">
        <f t="shared" si="6"/>
        <v>21.364999999999998</v>
      </c>
      <c r="S11" s="107">
        <f t="shared" si="7"/>
        <v>6.2857142857142856</v>
      </c>
      <c r="T11" s="146">
        <f t="shared" si="8"/>
        <v>22</v>
      </c>
      <c r="U11" s="110">
        <f t="shared" si="9"/>
        <v>0.52380952380952384</v>
      </c>
      <c r="V11" s="71">
        <f t="shared" si="10"/>
        <v>0.28838584771184822</v>
      </c>
      <c r="W11" s="68">
        <v>38905</v>
      </c>
      <c r="X11" s="68">
        <v>205</v>
      </c>
      <c r="Y11" s="68">
        <v>20</v>
      </c>
      <c r="Z11" s="68">
        <v>271.10000000000002</v>
      </c>
      <c r="AA11" s="69">
        <v>450.69</v>
      </c>
      <c r="AB11" s="68">
        <v>1.32</v>
      </c>
      <c r="AC11" s="48">
        <f t="shared" si="11"/>
        <v>0.60152211054161397</v>
      </c>
      <c r="AD11" s="49">
        <f t="shared" si="12"/>
        <v>5.2692455982521523E-3</v>
      </c>
      <c r="AE11" s="49">
        <f t="shared" si="13"/>
        <v>9.7560975609756101E-2</v>
      </c>
      <c r="AF11" s="107">
        <f t="shared" si="14"/>
        <v>13.555000000000001</v>
      </c>
      <c r="AG11" s="113">
        <v>11</v>
      </c>
      <c r="AH11" s="114">
        <v>18</v>
      </c>
      <c r="AI11" s="114">
        <v>15</v>
      </c>
      <c r="AJ11" s="117">
        <v>0</v>
      </c>
      <c r="AK11" s="116">
        <f>AG11*产品成本!$D$5+AH11*产品成本!$D$6+AI11*产品成本!$D$7+AJ11*产品成本!$D$8</f>
        <v>135.07042253521126</v>
      </c>
      <c r="AL11" s="116">
        <f>AG11*产品成本!$E$5+AH11*产品成本!$E$6+AI11*产品成本!$E$7+AJ11*产品成本!$E$8</f>
        <v>14.73</v>
      </c>
      <c r="AM11" s="116">
        <f>AG11*产品成本!$F$5+AH11*产品成本!$F$6+AI11*产品成本!$F$7+AJ11*产品成本!$F$8</f>
        <v>16.779999999999998</v>
      </c>
      <c r="AN11" s="116">
        <f>AG11*产品成本!$G$5+AH11*产品成本!$G$6+AI11*产品成本!$G$7+AJ11*产品成本!$G$8</f>
        <v>206.54000000000002</v>
      </c>
      <c r="AO11" s="116">
        <f t="shared" si="15"/>
        <v>141.00899999999999</v>
      </c>
      <c r="AP11" s="117">
        <f t="shared" si="16"/>
        <v>514.12942253521123</v>
      </c>
      <c r="AQ11" s="118">
        <v>0</v>
      </c>
      <c r="AR11" s="118">
        <v>1</v>
      </c>
      <c r="AS11" s="118">
        <v>0</v>
      </c>
      <c r="AT11" s="160">
        <v>0</v>
      </c>
      <c r="AU11" s="161">
        <f t="shared" si="17"/>
        <v>26.329268292682929</v>
      </c>
      <c r="AV11" s="116">
        <f>AQ11*产品成本!$D$5+AR11*产品成本!$D$6+AS11*产品成本!$D$7+AT11*产品成本!D20</f>
        <v>2.8169014084507</v>
      </c>
      <c r="AW11" s="116">
        <f>AQ11*产品成本!$E$5+AR11*产品成本!$E$6+AS11*产品成本!$E$7+AT11*产品成本!E20</f>
        <v>0.32</v>
      </c>
      <c r="AX11" s="116">
        <f>AQ11*产品成本!$F$5+AR11*产品成本!$F$6+AS11*产品成本!$F$7+AT11*产品成本!F20</f>
        <v>0.34</v>
      </c>
      <c r="AY11" s="116">
        <v>0</v>
      </c>
      <c r="AZ11" s="116">
        <f t="shared" si="18"/>
        <v>3.9493902439024393</v>
      </c>
      <c r="BA11" s="116">
        <f t="shared" si="19"/>
        <v>-0.78987804878048795</v>
      </c>
      <c r="BB11" s="117">
        <f t="shared" si="20"/>
        <v>6.6364136035726515</v>
      </c>
      <c r="BC11" s="122">
        <f t="shared" si="21"/>
        <v>507.4930089316386</v>
      </c>
      <c r="BD11" s="122">
        <f t="shared" si="22"/>
        <v>940.06</v>
      </c>
      <c r="BE11" s="122">
        <f t="shared" si="23"/>
        <v>913.73073170731698</v>
      </c>
      <c r="BF11" s="121">
        <f t="shared" si="24"/>
        <v>135.13772277567836</v>
      </c>
      <c r="BG11" s="162">
        <f t="shared" si="25"/>
        <v>0.14789665936174859</v>
      </c>
      <c r="BI11" t="s">
        <v>276</v>
      </c>
    </row>
    <row r="12" spans="1:63" ht="29.1" customHeight="1" x14ac:dyDescent="0.15">
      <c r="A12" s="70" t="s">
        <v>89</v>
      </c>
      <c r="B12" s="67" t="s">
        <v>90</v>
      </c>
      <c r="C12" s="67">
        <v>40</v>
      </c>
      <c r="D12" s="68">
        <v>40</v>
      </c>
      <c r="E12" s="41">
        <v>853.7</v>
      </c>
      <c r="F12" s="101"/>
      <c r="G12" s="101"/>
      <c r="H12" s="41"/>
      <c r="I12" s="41"/>
      <c r="J12" s="156">
        <v>1</v>
      </c>
      <c r="K12" s="164">
        <f t="shared" si="0"/>
        <v>2.5000000000000001E-2</v>
      </c>
      <c r="L12" s="158">
        <v>19</v>
      </c>
      <c r="M12" s="159">
        <f t="shared" si="1"/>
        <v>-9.0909090909090912E-2</v>
      </c>
      <c r="N12" s="157">
        <f t="shared" si="2"/>
        <v>-4.7619047619047616E-2</v>
      </c>
      <c r="O12" s="157">
        <f t="shared" si="3"/>
        <v>-9.1866476607875988E-2</v>
      </c>
      <c r="P12" s="106">
        <f t="shared" si="4"/>
        <v>1</v>
      </c>
      <c r="Q12" s="107">
        <f t="shared" si="5"/>
        <v>21.342500000000001</v>
      </c>
      <c r="R12" s="107">
        <f t="shared" si="6"/>
        <v>21.342500000000001</v>
      </c>
      <c r="S12" s="107">
        <f t="shared" si="7"/>
        <v>5.7142857142857144</v>
      </c>
      <c r="T12" s="146">
        <f t="shared" si="8"/>
        <v>17</v>
      </c>
      <c r="U12" s="110">
        <f t="shared" si="9"/>
        <v>0.42499999999999999</v>
      </c>
      <c r="V12" s="71">
        <f t="shared" si="10"/>
        <v>0.2979618132833548</v>
      </c>
      <c r="W12" s="68">
        <v>33555</v>
      </c>
      <c r="X12" s="68">
        <v>218</v>
      </c>
      <c r="Y12" s="68">
        <v>23</v>
      </c>
      <c r="Z12" s="68">
        <v>254.37</v>
      </c>
      <c r="AA12" s="69">
        <v>485.47</v>
      </c>
      <c r="AB12" s="68">
        <v>1.17</v>
      </c>
      <c r="AC12" s="48">
        <f t="shared" si="11"/>
        <v>0.52396646548705372</v>
      </c>
      <c r="AD12" s="49">
        <f t="shared" si="12"/>
        <v>6.4967963045745791E-3</v>
      </c>
      <c r="AE12" s="49">
        <f t="shared" si="13"/>
        <v>0.10550458715596331</v>
      </c>
      <c r="AF12" s="107">
        <f t="shared" si="14"/>
        <v>11.059565217391304</v>
      </c>
      <c r="AG12" s="113">
        <v>11</v>
      </c>
      <c r="AH12" s="114">
        <v>17</v>
      </c>
      <c r="AI12" s="114">
        <v>12</v>
      </c>
      <c r="AJ12" s="117">
        <v>0</v>
      </c>
      <c r="AK12" s="116">
        <f>AG12*产品成本!$D$5+AH12*产品成本!$D$6+AI12*产品成本!$D$7+AJ12*产品成本!$D$8</f>
        <v>121.26760563380282</v>
      </c>
      <c r="AL12" s="116">
        <f>AG12*产品成本!$E$5+AH12*产品成本!$E$6+AI12*产品成本!$E$7+AJ12*产品成本!$E$8</f>
        <v>13.21</v>
      </c>
      <c r="AM12" s="116">
        <f>AG12*产品成本!$F$5+AH12*产品成本!$F$6+AI12*产品成本!$F$7+AJ12*产品成本!$F$8</f>
        <v>15.209999999999999</v>
      </c>
      <c r="AN12" s="116">
        <f>AG12*产品成本!$G$5+AH12*产品成本!$G$6+AI12*产品成本!$G$7+AJ12*产品成本!$G$8</f>
        <v>186.62</v>
      </c>
      <c r="AO12" s="116">
        <f t="shared" si="15"/>
        <v>128.05500000000001</v>
      </c>
      <c r="AP12" s="117">
        <f t="shared" si="16"/>
        <v>464.36260563380284</v>
      </c>
      <c r="AQ12" s="118">
        <v>0</v>
      </c>
      <c r="AR12" s="118">
        <v>0</v>
      </c>
      <c r="AS12" s="118">
        <v>1</v>
      </c>
      <c r="AT12" s="160">
        <v>0</v>
      </c>
      <c r="AU12" s="161">
        <f t="shared" si="17"/>
        <v>23.170731707317074</v>
      </c>
      <c r="AV12" s="116">
        <f>AQ12*产品成本!$D$5+AR12*产品成本!$D$6+AS12*产品成本!$D$7+AT12*产品成本!D21</f>
        <v>3.6619718309859199</v>
      </c>
      <c r="AW12" s="116">
        <f>AQ12*产品成本!$E$5+AR12*产品成本!$E$6+AS12*产品成本!$E$7+AT12*产品成本!E21</f>
        <v>0.4</v>
      </c>
      <c r="AX12" s="116">
        <f>AQ12*产品成本!$F$5+AR12*产品成本!$F$6+AS12*产品成本!$F$7+AT12*产品成本!F21</f>
        <v>0.41</v>
      </c>
      <c r="AY12" s="116">
        <v>0</v>
      </c>
      <c r="AZ12" s="116">
        <f t="shared" si="18"/>
        <v>3.475609756097561</v>
      </c>
      <c r="BA12" s="116">
        <f t="shared" si="19"/>
        <v>-0.69512195121951226</v>
      </c>
      <c r="BB12" s="117">
        <f t="shared" si="20"/>
        <v>7.2524596358639686</v>
      </c>
      <c r="BC12" s="122">
        <f t="shared" si="21"/>
        <v>457.1101459979389</v>
      </c>
      <c r="BD12" s="122">
        <f t="shared" si="22"/>
        <v>853.7</v>
      </c>
      <c r="BE12" s="122">
        <f t="shared" si="23"/>
        <v>830.52926829268301</v>
      </c>
      <c r="BF12" s="121">
        <f t="shared" si="24"/>
        <v>119.04912229474411</v>
      </c>
      <c r="BG12" s="162">
        <f t="shared" si="25"/>
        <v>0.14334127265553578</v>
      </c>
      <c r="BI12" t="s">
        <v>277</v>
      </c>
    </row>
    <row r="13" spans="1:6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101"/>
      <c r="G13" s="101"/>
      <c r="H13" s="41"/>
      <c r="I13" s="41"/>
      <c r="J13" s="156">
        <v>1</v>
      </c>
      <c r="K13" s="164">
        <f t="shared" si="0"/>
        <v>3.125E-2</v>
      </c>
      <c r="L13" s="158">
        <v>19</v>
      </c>
      <c r="M13" s="159">
        <f t="shared" si="1"/>
        <v>-0.2</v>
      </c>
      <c r="N13" s="157">
        <f t="shared" si="2"/>
        <v>-0.22500000000000001</v>
      </c>
      <c r="O13" s="157">
        <f t="shared" si="3"/>
        <v>-0.10896099332318156</v>
      </c>
      <c r="P13" s="106">
        <f t="shared" si="4"/>
        <v>1.032258064516129</v>
      </c>
      <c r="Q13" s="108">
        <f t="shared" si="5"/>
        <v>24.53806451612903</v>
      </c>
      <c r="R13" s="140">
        <f t="shared" si="6"/>
        <v>23.771249999999998</v>
      </c>
      <c r="S13" s="140">
        <f t="shared" si="7"/>
        <v>4.5714285714285712</v>
      </c>
      <c r="T13" s="146">
        <f t="shared" si="8"/>
        <v>11</v>
      </c>
      <c r="U13" s="110">
        <f t="shared" si="9"/>
        <v>0.35483870967741937</v>
      </c>
      <c r="V13" s="71">
        <f t="shared" si="10"/>
        <v>0.30475364147867701</v>
      </c>
      <c r="W13" s="68">
        <v>32697</v>
      </c>
      <c r="X13" s="68">
        <v>197</v>
      </c>
      <c r="Y13" s="68">
        <v>20</v>
      </c>
      <c r="Z13" s="68">
        <v>231.82</v>
      </c>
      <c r="AA13" s="69">
        <v>475.8</v>
      </c>
      <c r="AB13" s="68">
        <v>1.18</v>
      </c>
      <c r="AC13" s="48">
        <f t="shared" si="11"/>
        <v>0.48722152164775112</v>
      </c>
      <c r="AD13" s="49">
        <f t="shared" si="12"/>
        <v>6.0250175857112275E-3</v>
      </c>
      <c r="AE13" s="49">
        <f t="shared" si="13"/>
        <v>0.10152284263959391</v>
      </c>
      <c r="AF13" s="107">
        <f t="shared" si="14"/>
        <v>11.590999999999999</v>
      </c>
      <c r="AG13" s="113">
        <v>7</v>
      </c>
      <c r="AH13" s="114">
        <v>10</v>
      </c>
      <c r="AI13" s="114">
        <v>15</v>
      </c>
      <c r="AJ13" s="117">
        <v>0</v>
      </c>
      <c r="AK13" s="116">
        <f>AG13*产品成本!$D$5+AH13*产品成本!$D$6+AI13*产品成本!$D$7+AJ13*产品成本!$D$8</f>
        <v>101.83098591549299</v>
      </c>
      <c r="AL13" s="116">
        <f>AG13*产品成本!$E$5+AH13*产品成本!$E$6+AI13*产品成本!$E$7+AJ13*产品成本!$E$8</f>
        <v>11.09</v>
      </c>
      <c r="AM13" s="116">
        <f>AG13*产品成本!$F$5+AH13*产品成本!$F$6+AI13*产品成本!$F$7+AJ13*产品成本!$F$8</f>
        <v>12.419999999999998</v>
      </c>
      <c r="AN13" s="116">
        <f>AG13*产品成本!$G$5+AH13*产品成本!$G$6+AI13*产品成本!$G$7+AJ13*产品成本!$G$8</f>
        <v>154.30000000000001</v>
      </c>
      <c r="AO13" s="116">
        <f t="shared" si="15"/>
        <v>114.10199999999999</v>
      </c>
      <c r="AP13" s="117">
        <f t="shared" si="16"/>
        <v>393.74298591549297</v>
      </c>
      <c r="AQ13" s="118">
        <v>0</v>
      </c>
      <c r="AR13" s="118">
        <v>0</v>
      </c>
      <c r="AS13" s="118">
        <v>1</v>
      </c>
      <c r="AT13" s="160">
        <v>0</v>
      </c>
      <c r="AU13" s="161">
        <f t="shared" si="17"/>
        <v>23.170731707317074</v>
      </c>
      <c r="AV13" s="116">
        <f>AQ13*产品成本!$D$5+AR13*产品成本!$D$6+AS13*产品成本!$D$7+AT13*产品成本!D22</f>
        <v>3.6619718309859199</v>
      </c>
      <c r="AW13" s="116">
        <f>AQ13*产品成本!$E$5+AR13*产品成本!$E$6+AS13*产品成本!$E$7+AT13*产品成本!E22</f>
        <v>0.4</v>
      </c>
      <c r="AX13" s="116">
        <f>AQ13*产品成本!$F$5+AR13*产品成本!$F$6+AS13*产品成本!$F$7+AT13*产品成本!F22</f>
        <v>0.41</v>
      </c>
      <c r="AY13" s="116">
        <v>0</v>
      </c>
      <c r="AZ13" s="116">
        <f t="shared" si="18"/>
        <v>3.475609756097561</v>
      </c>
      <c r="BA13" s="116">
        <f t="shared" si="19"/>
        <v>-0.69512195121951226</v>
      </c>
      <c r="BB13" s="117">
        <f t="shared" si="20"/>
        <v>7.2524596358639686</v>
      </c>
      <c r="BC13" s="122">
        <f t="shared" si="21"/>
        <v>386.49052627962902</v>
      </c>
      <c r="BD13" s="122">
        <f t="shared" si="22"/>
        <v>760.68</v>
      </c>
      <c r="BE13" s="122">
        <f t="shared" si="23"/>
        <v>737.50926829268292</v>
      </c>
      <c r="BF13" s="121">
        <f t="shared" si="24"/>
        <v>119.1987420130539</v>
      </c>
      <c r="BG13" s="162">
        <f t="shared" si="25"/>
        <v>0.16162338174948807</v>
      </c>
      <c r="BI13" t="s">
        <v>94</v>
      </c>
    </row>
    <row r="14" spans="1:6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101"/>
      <c r="G14" s="101"/>
      <c r="H14" s="41"/>
      <c r="I14" s="41"/>
      <c r="J14" s="156">
        <v>1</v>
      </c>
      <c r="K14" s="164">
        <f t="shared" si="0"/>
        <v>2.564102564102564E-2</v>
      </c>
      <c r="L14" s="158">
        <v>18.21</v>
      </c>
      <c r="M14" s="159">
        <f t="shared" si="1"/>
        <v>0.21875</v>
      </c>
      <c r="N14" s="157">
        <f t="shared" si="2"/>
        <v>0.19354838709677419</v>
      </c>
      <c r="O14" s="157">
        <f t="shared" si="3"/>
        <v>0.18079875900510081</v>
      </c>
      <c r="P14" s="106">
        <f t="shared" si="4"/>
        <v>1.0540540540540539</v>
      </c>
      <c r="Q14" s="108">
        <f t="shared" si="5"/>
        <v>24.275945945945946</v>
      </c>
      <c r="R14" s="140">
        <f t="shared" si="6"/>
        <v>23.031025641025643</v>
      </c>
      <c r="S14" s="140">
        <f t="shared" ref="S14:S38" si="26">C14/7</f>
        <v>5.5714285714285712</v>
      </c>
      <c r="T14" s="146">
        <f t="shared" si="8"/>
        <v>17</v>
      </c>
      <c r="U14" s="110">
        <f t="shared" si="9"/>
        <v>0.45945945945945948</v>
      </c>
      <c r="V14" s="71">
        <f t="shared" si="10"/>
        <v>0.28279578272341654</v>
      </c>
      <c r="W14" s="68">
        <v>46155</v>
      </c>
      <c r="X14" s="68">
        <v>217</v>
      </c>
      <c r="Y14" s="68">
        <v>20</v>
      </c>
      <c r="Z14" s="68">
        <v>254.01</v>
      </c>
      <c r="AA14" s="69">
        <v>470.99</v>
      </c>
      <c r="AB14" s="68">
        <v>1.17</v>
      </c>
      <c r="AC14" s="48">
        <f t="shared" si="11"/>
        <v>0.53931081339306564</v>
      </c>
      <c r="AD14" s="49">
        <f t="shared" si="12"/>
        <v>4.7015491279384682E-3</v>
      </c>
      <c r="AE14" s="49">
        <f t="shared" si="13"/>
        <v>9.2165898617511524E-2</v>
      </c>
      <c r="AF14" s="107">
        <f t="shared" si="14"/>
        <v>12.7005</v>
      </c>
      <c r="AG14" s="113">
        <v>9</v>
      </c>
      <c r="AH14" s="114">
        <v>19</v>
      </c>
      <c r="AI14" s="114">
        <v>11</v>
      </c>
      <c r="AJ14" s="117">
        <v>0</v>
      </c>
      <c r="AK14" s="116">
        <f>AG14*产品成本!$D$5+AH14*产品成本!$D$6+AI14*产品成本!$D$7+AJ14*产品成本!$D$8</f>
        <v>117.88732394366195</v>
      </c>
      <c r="AL14" s="116">
        <f>AG14*产品成本!$E$5+AH14*产品成本!$E$6+AI14*产品成本!$E$7+AJ14*产品成本!$E$8</f>
        <v>12.91</v>
      </c>
      <c r="AM14" s="116">
        <f>AG14*产品成本!$F$5+AH14*产品成本!$F$6+AI14*产品成本!$F$7+AJ14*产品成本!$F$8</f>
        <v>14.66</v>
      </c>
      <c r="AN14" s="116">
        <f>AG14*产品成本!$G$5+AH14*产品成本!$G$6+AI14*产品成本!$G$7+AJ14*产品成本!$G$8</f>
        <v>179.70000000000002</v>
      </c>
      <c r="AO14" s="116">
        <f t="shared" si="15"/>
        <v>134.73150000000001</v>
      </c>
      <c r="AP14" s="117">
        <f t="shared" si="16"/>
        <v>459.88882394366192</v>
      </c>
      <c r="AQ14" s="118">
        <v>1</v>
      </c>
      <c r="AR14" s="118">
        <v>0</v>
      </c>
      <c r="AS14" s="118">
        <v>0</v>
      </c>
      <c r="AT14" s="160">
        <v>0</v>
      </c>
      <c r="AU14" s="161">
        <f t="shared" si="17"/>
        <v>22.207317073170735</v>
      </c>
      <c r="AV14" s="116">
        <f>AQ14*产品成本!$D$5+AR14*产品成本!$D$6+AS14*产品成本!$D$7+AT14*产品成本!D23</f>
        <v>2.6760563380281699</v>
      </c>
      <c r="AW14" s="116">
        <f>AQ14*产品成本!$E$5+AR14*产品成本!$E$6+AS14*产品成本!$E$7+AT14*产品成本!E23</f>
        <v>0.27</v>
      </c>
      <c r="AX14" s="116">
        <f>AQ14*产品成本!$F$5+AR14*产品成本!$F$6+AS14*产品成本!$F$7+AT14*产品成本!F23</f>
        <v>0.41</v>
      </c>
      <c r="AY14" s="116"/>
      <c r="AZ14" s="116">
        <f t="shared" si="18"/>
        <v>3.3310975609756102</v>
      </c>
      <c r="BA14" s="116">
        <f t="shared" si="19"/>
        <v>-0.6662195121951221</v>
      </c>
      <c r="BB14" s="117">
        <f t="shared" si="20"/>
        <v>6.0209343868086584</v>
      </c>
      <c r="BC14" s="122">
        <f t="shared" si="21"/>
        <v>453.86788955685324</v>
      </c>
      <c r="BD14" s="122">
        <f t="shared" si="22"/>
        <v>898.21</v>
      </c>
      <c r="BE14" s="122">
        <f t="shared" si="23"/>
        <v>876.00268292682927</v>
      </c>
      <c r="BF14" s="121">
        <f t="shared" si="24"/>
        <v>168.12479336997603</v>
      </c>
      <c r="BG14" s="162">
        <f t="shared" si="25"/>
        <v>0.1919226923007257</v>
      </c>
      <c r="BH14" s="125"/>
      <c r="BI14" s="125" t="s">
        <v>278</v>
      </c>
    </row>
    <row r="15" spans="1:6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101"/>
      <c r="G15" s="101"/>
      <c r="H15" s="41"/>
      <c r="I15" s="41"/>
      <c r="J15" s="156">
        <v>3</v>
      </c>
      <c r="K15" s="164">
        <f t="shared" si="0"/>
        <v>6.6666666666666666E-2</v>
      </c>
      <c r="L15" s="158">
        <v>62.45</v>
      </c>
      <c r="M15" s="159">
        <f t="shared" si="1"/>
        <v>0.15384615384615385</v>
      </c>
      <c r="N15" s="157">
        <f t="shared" si="2"/>
        <v>0.13513513513513514</v>
      </c>
      <c r="O15" s="157">
        <f t="shared" si="3"/>
        <v>0.12284432371049077</v>
      </c>
      <c r="P15" s="106">
        <f t="shared" si="4"/>
        <v>1.0714285714285714</v>
      </c>
      <c r="Q15" s="108">
        <f t="shared" si="5"/>
        <v>24.013095238095236</v>
      </c>
      <c r="R15" s="140">
        <f t="shared" si="6"/>
        <v>22.412222222222223</v>
      </c>
      <c r="S15" s="140">
        <f t="shared" si="26"/>
        <v>6.4285714285714288</v>
      </c>
      <c r="T15" s="146">
        <f t="shared" si="8"/>
        <v>17</v>
      </c>
      <c r="U15" s="110">
        <f t="shared" si="9"/>
        <v>0.40476190476190477</v>
      </c>
      <c r="V15" s="71">
        <f t="shared" si="10"/>
        <v>0.34793515442962675</v>
      </c>
      <c r="W15" s="68">
        <v>76033</v>
      </c>
      <c r="X15" s="68">
        <v>299</v>
      </c>
      <c r="Y15" s="68">
        <v>25</v>
      </c>
      <c r="Z15" s="68">
        <v>350.91</v>
      </c>
      <c r="AA15" s="69">
        <v>682.89</v>
      </c>
      <c r="AB15" s="68">
        <v>1.17</v>
      </c>
      <c r="AC15" s="48">
        <f t="shared" si="11"/>
        <v>0.51386021174713359</v>
      </c>
      <c r="AD15" s="49">
        <f t="shared" si="12"/>
        <v>3.9325029921218422E-3</v>
      </c>
      <c r="AE15" s="49">
        <f t="shared" si="13"/>
        <v>8.3612040133779264E-2</v>
      </c>
      <c r="AF15" s="107">
        <f t="shared" si="14"/>
        <v>14.0364</v>
      </c>
      <c r="AG15" s="113">
        <v>9</v>
      </c>
      <c r="AH15" s="114">
        <v>18</v>
      </c>
      <c r="AI15" s="114">
        <v>18</v>
      </c>
      <c r="AJ15" s="117">
        <v>0</v>
      </c>
      <c r="AK15" s="116">
        <f>AG15*产品成本!$D$5+AH15*产品成本!$D$6+AI15*产品成本!$D$7+AJ15*产品成本!$D$8</f>
        <v>140.7042253521127</v>
      </c>
      <c r="AL15" s="116">
        <f>AG15*产品成本!$E$5+AH15*产品成本!$E$6+AI15*产品成本!$E$7+AJ15*产品成本!$E$8</f>
        <v>15.39</v>
      </c>
      <c r="AM15" s="116">
        <f>AG15*产品成本!$F$5+AH15*产品成本!$F$6+AI15*产品成本!$F$7+AJ15*产品成本!$F$8</f>
        <v>17.190000000000001</v>
      </c>
      <c r="AN15" s="116">
        <f>AG15*产品成本!$G$5+AH15*产品成本!$G$6+AI15*产品成本!$G$7+AJ15*产品成本!$G$8</f>
        <v>212.57999999999998</v>
      </c>
      <c r="AO15" s="116">
        <f t="shared" si="15"/>
        <v>151.2825</v>
      </c>
      <c r="AP15" s="117">
        <f t="shared" si="16"/>
        <v>537.14672535211264</v>
      </c>
      <c r="AQ15" s="118">
        <v>1</v>
      </c>
      <c r="AR15" s="118">
        <v>0</v>
      </c>
      <c r="AS15" s="118">
        <v>2</v>
      </c>
      <c r="AT15" s="160">
        <v>0</v>
      </c>
      <c r="AU15" s="161">
        <f t="shared" si="17"/>
        <v>76.158536585365866</v>
      </c>
      <c r="AV15" s="116">
        <f>AQ15*产品成本!$D$5+AR15*产品成本!$D$6+AS15*产品成本!$D$7+AT15*产品成本!D24</f>
        <v>10.000000000000011</v>
      </c>
      <c r="AW15" s="116">
        <f>AQ15*产品成本!$E$5+AR15*产品成本!$E$6+AS15*产品成本!$E$7+AT15*产品成本!E24</f>
        <v>1.07</v>
      </c>
      <c r="AX15" s="116">
        <f>AQ15*产品成本!$F$5+AR15*产品成本!$F$6+AS15*产品成本!$F$7+AT15*产品成本!F24</f>
        <v>1.23</v>
      </c>
      <c r="AY15" s="116"/>
      <c r="AZ15" s="116">
        <f t="shared" si="18"/>
        <v>11.42378048780488</v>
      </c>
      <c r="BA15" s="116">
        <f t="shared" si="19"/>
        <v>-2.284756097560976</v>
      </c>
      <c r="BB15" s="117">
        <f t="shared" si="20"/>
        <v>21.439024390243915</v>
      </c>
      <c r="BC15" s="122">
        <f t="shared" si="21"/>
        <v>515.70770096186868</v>
      </c>
      <c r="BD15" s="122">
        <f t="shared" si="22"/>
        <v>1008.55</v>
      </c>
      <c r="BE15" s="122">
        <f t="shared" si="23"/>
        <v>932.39146341463413</v>
      </c>
      <c r="BF15" s="121">
        <f t="shared" si="24"/>
        <v>65.773762452765425</v>
      </c>
      <c r="BG15" s="162">
        <f t="shared" si="25"/>
        <v>7.0543076629945356E-2</v>
      </c>
    </row>
    <row r="16" spans="1:6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101"/>
      <c r="G16" s="101"/>
      <c r="H16" s="41"/>
      <c r="I16" s="41"/>
      <c r="J16" s="156">
        <v>1</v>
      </c>
      <c r="K16" s="164">
        <f t="shared" si="0"/>
        <v>1.7543859649122806E-2</v>
      </c>
      <c r="L16" s="158">
        <v>21.11</v>
      </c>
      <c r="M16" s="159">
        <f t="shared" si="1"/>
        <v>0.26666666666666666</v>
      </c>
      <c r="N16" s="157">
        <f t="shared" si="2"/>
        <v>0.35714285714285715</v>
      </c>
      <c r="O16" s="157">
        <f t="shared" si="3"/>
        <v>0.20948887016013087</v>
      </c>
      <c r="P16" s="106">
        <f t="shared" si="4"/>
        <v>1</v>
      </c>
      <c r="Q16" s="108">
        <f t="shared" si="5"/>
        <v>21.400526315789474</v>
      </c>
      <c r="R16" s="140">
        <f t="shared" si="6"/>
        <v>21.400526315789474</v>
      </c>
      <c r="S16" s="140">
        <f t="shared" si="26"/>
        <v>8.1428571428571423</v>
      </c>
      <c r="T16" s="146">
        <f t="shared" si="8"/>
        <v>22</v>
      </c>
      <c r="U16" s="110">
        <f t="shared" si="9"/>
        <v>0.38596491228070173</v>
      </c>
      <c r="V16" s="71">
        <f t="shared" si="10"/>
        <v>0.25233024273874233</v>
      </c>
      <c r="W16" s="68">
        <v>48720</v>
      </c>
      <c r="X16" s="68">
        <v>267</v>
      </c>
      <c r="Y16" s="68">
        <v>35</v>
      </c>
      <c r="Z16" s="68">
        <v>307.8</v>
      </c>
      <c r="AA16" s="69">
        <v>754.86</v>
      </c>
      <c r="AB16" s="68">
        <v>1.1499999999999999</v>
      </c>
      <c r="AC16" s="48">
        <f t="shared" si="11"/>
        <v>0.40775772991018205</v>
      </c>
      <c r="AD16" s="49">
        <f t="shared" si="12"/>
        <v>5.4802955665024635E-3</v>
      </c>
      <c r="AE16" s="49">
        <f t="shared" si="13"/>
        <v>0.13108614232209737</v>
      </c>
      <c r="AF16" s="107">
        <f t="shared" si="14"/>
        <v>8.7942857142857154</v>
      </c>
      <c r="AG16" s="113">
        <v>12</v>
      </c>
      <c r="AH16" s="114">
        <v>21</v>
      </c>
      <c r="AI16" s="114">
        <v>24</v>
      </c>
      <c r="AJ16" s="117">
        <v>0</v>
      </c>
      <c r="AK16" s="116">
        <f>AG16*产品成本!$D$5+AH16*产品成本!$D$6+AI16*产品成本!$D$7+AJ16*产品成本!$D$8</f>
        <v>179.15492957746483</v>
      </c>
      <c r="AL16" s="116">
        <f>AG16*产品成本!$E$5+AH16*产品成本!$E$6+AI16*产品成本!$E$7+AJ16*产品成本!$E$8</f>
        <v>19.560000000000002</v>
      </c>
      <c r="AM16" s="116">
        <f>AG16*产品成本!$F$5+AH16*产品成本!$F$6+AI16*产品成本!$F$7+AJ16*产品成本!$F$8</f>
        <v>21.9</v>
      </c>
      <c r="AN16" s="116">
        <f>AG16*产品成本!$G$5+AH16*产品成本!$G$6+AI16*产品成本!$G$7+AJ16*产品成本!$G$8</f>
        <v>271.20000000000005</v>
      </c>
      <c r="AO16" s="116">
        <f t="shared" si="15"/>
        <v>182.97449999999998</v>
      </c>
      <c r="AP16" s="117">
        <f t="shared" si="16"/>
        <v>674.78942957746494</v>
      </c>
      <c r="AQ16" s="118">
        <v>0</v>
      </c>
      <c r="AR16" s="118">
        <v>0</v>
      </c>
      <c r="AS16" s="118">
        <v>1</v>
      </c>
      <c r="AT16" s="160">
        <v>0</v>
      </c>
      <c r="AU16" s="161">
        <f t="shared" si="17"/>
        <v>25.743902439024392</v>
      </c>
      <c r="AV16" s="116">
        <f>AQ16*产品成本!$D$5+AR16*产品成本!$D$6+AS16*产品成本!$D$7+AT16*产品成本!D25</f>
        <v>3.6619718309859199</v>
      </c>
      <c r="AW16" s="116">
        <f>AQ16*产品成本!$E$5+AR16*产品成本!$E$6+AS16*产品成本!$E$7+AT16*产品成本!E25</f>
        <v>0.4</v>
      </c>
      <c r="AX16" s="116">
        <f>AQ16*产品成本!$F$5+AR16*产品成本!$F$6+AS16*产品成本!$F$7+AT16*产品成本!F25</f>
        <v>0.41</v>
      </c>
      <c r="AY16" s="116"/>
      <c r="AZ16" s="116">
        <f t="shared" si="18"/>
        <v>3.8615853658536587</v>
      </c>
      <c r="BA16" s="116">
        <f t="shared" si="19"/>
        <v>-0.77231707317073184</v>
      </c>
      <c r="BB16" s="117">
        <f t="shared" si="20"/>
        <v>7.5612401236688465</v>
      </c>
      <c r="BC16" s="122">
        <f t="shared" si="21"/>
        <v>667.22818945379606</v>
      </c>
      <c r="BD16" s="122">
        <f t="shared" si="22"/>
        <v>1219.83</v>
      </c>
      <c r="BE16" s="122">
        <f t="shared" si="23"/>
        <v>1194.0860975609755</v>
      </c>
      <c r="BF16" s="121">
        <f t="shared" si="24"/>
        <v>219.05790810717946</v>
      </c>
      <c r="BG16" s="162">
        <f t="shared" si="25"/>
        <v>0.18345235620331252</v>
      </c>
    </row>
    <row r="17" spans="1:61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101"/>
      <c r="G17" s="101"/>
      <c r="H17" s="41"/>
      <c r="I17" s="41"/>
      <c r="J17" s="156">
        <v>3</v>
      </c>
      <c r="K17" s="164">
        <f t="shared" si="0"/>
        <v>4.4117647058823532E-2</v>
      </c>
      <c r="L17" s="158">
        <v>60.34</v>
      </c>
      <c r="M17" s="159">
        <f t="shared" si="1"/>
        <v>0.19298245614035087</v>
      </c>
      <c r="N17" s="157">
        <f t="shared" si="2"/>
        <v>0</v>
      </c>
      <c r="O17" s="157">
        <f t="shared" si="3"/>
        <v>0.27880114442176385</v>
      </c>
      <c r="P17" s="106">
        <f t="shared" si="4"/>
        <v>1.1929824561403508</v>
      </c>
      <c r="Q17" s="108">
        <f t="shared" si="5"/>
        <v>27.367017543859649</v>
      </c>
      <c r="R17" s="140">
        <f t="shared" si="6"/>
        <v>22.94</v>
      </c>
      <c r="S17" s="140">
        <f t="shared" si="26"/>
        <v>9.7142857142857135</v>
      </c>
      <c r="T17" s="146">
        <f t="shared" si="8"/>
        <v>18</v>
      </c>
      <c r="U17" s="110">
        <f t="shared" si="9"/>
        <v>0.31578947368421051</v>
      </c>
      <c r="V17" s="71">
        <f t="shared" si="10"/>
        <v>0.20599774347402428</v>
      </c>
      <c r="W17" s="68">
        <v>47496</v>
      </c>
      <c r="X17" s="68">
        <v>291</v>
      </c>
      <c r="Y17" s="68">
        <v>39</v>
      </c>
      <c r="Z17" s="68">
        <v>321.33999999999997</v>
      </c>
      <c r="AA17" s="69">
        <v>1029.05</v>
      </c>
      <c r="AB17" s="68">
        <v>1.1000000000000001</v>
      </c>
      <c r="AC17" s="48">
        <f t="shared" si="11"/>
        <v>0.31226859724989064</v>
      </c>
      <c r="AD17" s="49">
        <f t="shared" si="12"/>
        <v>6.1268317331985853E-3</v>
      </c>
      <c r="AE17" s="49">
        <f t="shared" si="13"/>
        <v>0.13402061855670103</v>
      </c>
      <c r="AF17" s="107">
        <f t="shared" si="14"/>
        <v>8.2394871794871793</v>
      </c>
      <c r="AG17" s="113">
        <v>14</v>
      </c>
      <c r="AH17" s="114">
        <v>28</v>
      </c>
      <c r="AI17" s="114">
        <v>26</v>
      </c>
      <c r="AJ17" s="117">
        <v>0</v>
      </c>
      <c r="AK17" s="116">
        <f>AG17*产品成本!$D$5+AH17*产品成本!$D$6+AI17*产品成本!$D$7+AJ17*产品成本!$D$8</f>
        <v>211.5492957746479</v>
      </c>
      <c r="AL17" s="116">
        <f>AG17*产品成本!$E$5+AH17*产品成本!$E$6+AI17*产品成本!$E$7+AJ17*产品成本!$E$8</f>
        <v>23.14</v>
      </c>
      <c r="AM17" s="116">
        <f>AG17*产品成本!$F$5+AH17*产品成本!$F$6+AI17*产品成本!$F$7+AJ17*产品成本!$F$8</f>
        <v>25.92</v>
      </c>
      <c r="AN17" s="116">
        <f>AG17*产品成本!$G$5+AH17*产品成本!$G$6+AI17*产品成本!$G$7+AJ17*产品成本!$G$8</f>
        <v>320.12</v>
      </c>
      <c r="AO17" s="116">
        <f t="shared" si="15"/>
        <v>233.988</v>
      </c>
      <c r="AP17" s="117">
        <f t="shared" si="16"/>
        <v>814.71729577464794</v>
      </c>
      <c r="AQ17" s="118">
        <v>1</v>
      </c>
      <c r="AR17" s="118">
        <v>1</v>
      </c>
      <c r="AS17" s="118">
        <v>1</v>
      </c>
      <c r="AT17" s="160">
        <v>0</v>
      </c>
      <c r="AU17" s="161">
        <f t="shared" si="17"/>
        <v>73.585365853658544</v>
      </c>
      <c r="AV17" s="116">
        <f>AQ17*产品成本!$D$5+AR17*产品成本!$D$6+AS17*产品成本!$D$7+AT17*产品成本!D26</f>
        <v>9.1549295774647899</v>
      </c>
      <c r="AW17" s="116">
        <f>AQ17*产品成本!$E$5+AR17*产品成本!$E$6+AS17*产品成本!$E$7+AT17*产品成本!E26</f>
        <v>0.9900000000000001</v>
      </c>
      <c r="AX17" s="116">
        <f>AQ17*产品成本!$F$5+AR17*产品成本!$F$6+AS17*产品成本!$F$7+AT17*产品成本!F26</f>
        <v>1.1599999999999999</v>
      </c>
      <c r="AY17" s="116"/>
      <c r="AZ17" s="116">
        <f t="shared" si="18"/>
        <v>11.037804878048782</v>
      </c>
      <c r="BA17" s="116">
        <f t="shared" si="19"/>
        <v>-2.2075609756097565</v>
      </c>
      <c r="BB17" s="117">
        <f t="shared" si="20"/>
        <v>20.135173479903816</v>
      </c>
      <c r="BC17" s="122">
        <f t="shared" si="21"/>
        <v>794.58212229474407</v>
      </c>
      <c r="BD17" s="122">
        <f t="shared" si="22"/>
        <v>1559.92</v>
      </c>
      <c r="BE17" s="122">
        <f t="shared" si="23"/>
        <v>1486.3346341463416</v>
      </c>
      <c r="BF17" s="121">
        <f t="shared" si="24"/>
        <v>370.41251185159757</v>
      </c>
      <c r="BG17" s="162">
        <f t="shared" si="25"/>
        <v>0.24921205719218104</v>
      </c>
    </row>
    <row r="18" spans="1:61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101"/>
      <c r="G18" s="101"/>
      <c r="H18" s="41"/>
      <c r="I18" s="41"/>
      <c r="J18" s="156">
        <v>2</v>
      </c>
      <c r="K18" s="164">
        <f t="shared" si="0"/>
        <v>5.2631578947368418E-2</v>
      </c>
      <c r="L18" s="158">
        <v>38</v>
      </c>
      <c r="M18" s="159">
        <f t="shared" si="1"/>
        <v>-0.44117647058823528</v>
      </c>
      <c r="N18" s="157">
        <f t="shared" si="2"/>
        <v>-0.36842105263157893</v>
      </c>
      <c r="O18" s="157">
        <f t="shared" si="3"/>
        <v>-0.42264987948099902</v>
      </c>
      <c r="P18" s="106">
        <f t="shared" si="4"/>
        <v>1.0555555555555556</v>
      </c>
      <c r="Q18" s="108">
        <f t="shared" si="5"/>
        <v>25.017222222222223</v>
      </c>
      <c r="R18" s="140">
        <f t="shared" si="6"/>
        <v>23.700526315789475</v>
      </c>
      <c r="S18" s="140">
        <f t="shared" si="26"/>
        <v>5.4285714285714288</v>
      </c>
      <c r="T18" s="146">
        <f t="shared" si="8"/>
        <v>18</v>
      </c>
      <c r="U18" s="110">
        <f t="shared" si="9"/>
        <v>0.5</v>
      </c>
      <c r="V18" s="71">
        <f t="shared" si="10"/>
        <v>0.3152828051786547</v>
      </c>
      <c r="W18" s="68">
        <v>43873</v>
      </c>
      <c r="X18" s="68">
        <v>252</v>
      </c>
      <c r="Y18" s="68">
        <v>18</v>
      </c>
      <c r="Z18" s="68">
        <v>283.95</v>
      </c>
      <c r="AA18" s="69">
        <v>454.81</v>
      </c>
      <c r="AB18" s="68">
        <v>1.1299999999999999</v>
      </c>
      <c r="AC18" s="48">
        <f t="shared" si="11"/>
        <v>0.62432664189441744</v>
      </c>
      <c r="AD18" s="49">
        <f t="shared" si="12"/>
        <v>5.7438515715816105E-3</v>
      </c>
      <c r="AE18" s="49">
        <f t="shared" si="13"/>
        <v>7.1428571428571425E-2</v>
      </c>
      <c r="AF18" s="107">
        <f t="shared" si="14"/>
        <v>15.774999999999999</v>
      </c>
      <c r="AG18" s="113">
        <v>11</v>
      </c>
      <c r="AH18" s="114">
        <v>12</v>
      </c>
      <c r="AI18" s="114">
        <v>15</v>
      </c>
      <c r="AJ18" s="117">
        <v>0</v>
      </c>
      <c r="AK18" s="116">
        <f>AG18*产品成本!$D$5+AH18*产品成本!$D$6+AI18*产品成本!$D$7+AJ18*产品成本!$D$8</f>
        <v>118.16901408450707</v>
      </c>
      <c r="AL18" s="116">
        <f>AG18*产品成本!$E$5+AH18*产品成本!$E$6+AI18*产品成本!$E$7+AJ18*产品成本!$E$8</f>
        <v>12.81</v>
      </c>
      <c r="AM18" s="116">
        <f>AG18*产品成本!$F$5+AH18*产品成本!$F$6+AI18*产品成本!$F$7+AJ18*产品成本!$F$8</f>
        <v>14.739999999999998</v>
      </c>
      <c r="AN18" s="116">
        <f>AG18*产品成本!$G$5+AH18*产品成本!$G$6+AI18*产品成本!$G$7+AJ18*产品成本!$G$8</f>
        <v>182.06</v>
      </c>
      <c r="AO18" s="116">
        <f t="shared" si="15"/>
        <v>135.09299999999999</v>
      </c>
      <c r="AP18" s="117">
        <f t="shared" si="16"/>
        <v>462.8720140845071</v>
      </c>
      <c r="AQ18" s="118">
        <v>0</v>
      </c>
      <c r="AR18" s="118">
        <v>0</v>
      </c>
      <c r="AS18" s="118">
        <v>2</v>
      </c>
      <c r="AT18" s="160">
        <v>0</v>
      </c>
      <c r="AU18" s="161">
        <f t="shared" si="17"/>
        <v>46.341463414634148</v>
      </c>
      <c r="AV18" s="116">
        <f>AQ18*产品成本!$D$5+AR18*产品成本!$D$6+AS18*产品成本!$D$7+AT18*产品成本!D27</f>
        <v>7.3239436619718399</v>
      </c>
      <c r="AW18" s="116">
        <f>AQ18*产品成本!$E$5+AR18*产品成本!$E$6+AS18*产品成本!$E$7+AT18*产品成本!E27</f>
        <v>0.8</v>
      </c>
      <c r="AX18" s="116">
        <f>AQ18*产品成本!$F$5+AR18*产品成本!$F$6+AS18*产品成本!$F$7+AT18*产品成本!F27</f>
        <v>0.82</v>
      </c>
      <c r="AY18" s="116"/>
      <c r="AZ18" s="116">
        <f t="shared" si="18"/>
        <v>6.9512195121951219</v>
      </c>
      <c r="BA18" s="116">
        <f t="shared" si="19"/>
        <v>-1.3902439024390245</v>
      </c>
      <c r="BB18" s="117">
        <f t="shared" si="20"/>
        <v>14.504919271727937</v>
      </c>
      <c r="BC18" s="122">
        <f t="shared" si="21"/>
        <v>448.36709481277916</v>
      </c>
      <c r="BD18" s="122">
        <f t="shared" si="22"/>
        <v>900.62</v>
      </c>
      <c r="BE18" s="122">
        <f t="shared" si="23"/>
        <v>854.27853658536583</v>
      </c>
      <c r="BF18" s="121">
        <f t="shared" si="24"/>
        <v>121.96144177258668</v>
      </c>
      <c r="BG18" s="162">
        <f t="shared" si="25"/>
        <v>0.14276542901344377</v>
      </c>
      <c r="BI18" t="s">
        <v>279</v>
      </c>
    </row>
    <row r="19" spans="1:61" ht="29.1" customHeight="1" x14ac:dyDescent="0.15">
      <c r="A19" s="38" t="s">
        <v>110</v>
      </c>
      <c r="B19" s="66" t="s">
        <v>111</v>
      </c>
      <c r="C19" s="67">
        <v>37</v>
      </c>
      <c r="D19" s="68">
        <v>37</v>
      </c>
      <c r="E19" s="41">
        <v>855.64</v>
      </c>
      <c r="F19" s="101"/>
      <c r="G19" s="101"/>
      <c r="H19" s="41"/>
      <c r="I19" s="41"/>
      <c r="J19" s="156">
        <v>2</v>
      </c>
      <c r="K19" s="164">
        <f t="shared" si="0"/>
        <v>5.4054054054054057E-2</v>
      </c>
      <c r="L19" s="158">
        <v>41.34</v>
      </c>
      <c r="M19" s="159">
        <f t="shared" si="1"/>
        <v>-2.6315789473684209E-2</v>
      </c>
      <c r="N19" s="157">
        <f t="shared" si="2"/>
        <v>2.7777777777777776E-2</v>
      </c>
      <c r="O19" s="157">
        <f t="shared" si="3"/>
        <v>-4.9943372343496724E-2</v>
      </c>
      <c r="P19" s="106">
        <f t="shared" si="4"/>
        <v>1</v>
      </c>
      <c r="Q19" s="108">
        <f t="shared" si="5"/>
        <v>23.125405405405406</v>
      </c>
      <c r="R19" s="140">
        <f t="shared" si="6"/>
        <v>23.125405405405406</v>
      </c>
      <c r="S19" s="140">
        <f t="shared" si="26"/>
        <v>5.2857142857142856</v>
      </c>
      <c r="T19" s="146">
        <f t="shared" si="8"/>
        <v>12</v>
      </c>
      <c r="U19" s="110">
        <f t="shared" si="9"/>
        <v>0.32432432432432434</v>
      </c>
      <c r="V19" s="71">
        <f t="shared" si="10"/>
        <v>0.30954607077742979</v>
      </c>
      <c r="W19" s="68">
        <v>49981</v>
      </c>
      <c r="X19" s="68">
        <v>235</v>
      </c>
      <c r="Y19" s="68">
        <v>25</v>
      </c>
      <c r="Z19" s="68">
        <v>264.86</v>
      </c>
      <c r="AA19" s="69">
        <v>592.75</v>
      </c>
      <c r="AB19" s="68">
        <v>1.1299999999999999</v>
      </c>
      <c r="AC19" s="48">
        <f t="shared" si="11"/>
        <v>0.44683256010122313</v>
      </c>
      <c r="AD19" s="49">
        <f t="shared" si="12"/>
        <v>4.7017866789379964E-3</v>
      </c>
      <c r="AE19" s="49">
        <f t="shared" si="13"/>
        <v>0.10638297872340426</v>
      </c>
      <c r="AF19" s="107">
        <f t="shared" si="14"/>
        <v>10.5944</v>
      </c>
      <c r="AG19" s="113">
        <v>8</v>
      </c>
      <c r="AH19" s="114">
        <v>20</v>
      </c>
      <c r="AI19" s="114">
        <v>9</v>
      </c>
      <c r="AJ19" s="117">
        <v>0</v>
      </c>
      <c r="AK19" s="116">
        <f>AG19*产品成本!$D$5+AH19*产品成本!$D$6+AI19*产品成本!$D$7+AJ19*产品成本!$D$8</f>
        <v>110.70422535211264</v>
      </c>
      <c r="AL19" s="116">
        <f>AG19*产品成本!$E$5+AH19*产品成本!$E$6+AI19*产品成本!$E$7+AJ19*产品成本!$E$8</f>
        <v>12.16</v>
      </c>
      <c r="AM19" s="116">
        <f>AG19*产品成本!$F$5+AH19*产品成本!$F$6+AI19*产品成本!$F$7+AJ19*产品成本!$F$8</f>
        <v>13.77</v>
      </c>
      <c r="AN19" s="116">
        <f>AG19*产品成本!$G$5+AH19*产品成本!$G$6+AI19*产品成本!$G$7+AJ19*产品成本!$G$8</f>
        <v>168.32</v>
      </c>
      <c r="AO19" s="116">
        <f t="shared" si="15"/>
        <v>128.346</v>
      </c>
      <c r="AP19" s="117">
        <f t="shared" si="16"/>
        <v>433.30022535211265</v>
      </c>
      <c r="AQ19" s="118">
        <v>1</v>
      </c>
      <c r="AR19" s="118">
        <v>1</v>
      </c>
      <c r="AS19" s="118">
        <v>0</v>
      </c>
      <c r="AT19" s="160">
        <v>0</v>
      </c>
      <c r="AU19" s="161">
        <f t="shared" si="17"/>
        <v>50.41463414634147</v>
      </c>
      <c r="AV19" s="116">
        <f>AQ19*产品成本!$D$5+AR19*产品成本!$D$6+AS19*产品成本!$D$7+AT19*产品成本!D28</f>
        <v>5.4929577464788704</v>
      </c>
      <c r="AW19" s="116">
        <f>AQ19*产品成本!$E$5+AR19*产品成本!$E$6+AS19*产品成本!$E$7+AT19*产品成本!E28</f>
        <v>0.59000000000000008</v>
      </c>
      <c r="AX19" s="116">
        <f>AQ19*产品成本!$F$5+AR19*产品成本!$F$6+AS19*产品成本!$F$7+AT19*产品成本!F28</f>
        <v>0.75</v>
      </c>
      <c r="AY19" s="116"/>
      <c r="AZ19" s="116">
        <f t="shared" si="18"/>
        <v>7.5621951219512198</v>
      </c>
      <c r="BA19" s="116">
        <f t="shared" si="19"/>
        <v>-1.5124390243902441</v>
      </c>
      <c r="BB19" s="117">
        <f t="shared" si="20"/>
        <v>12.882713844039845</v>
      </c>
      <c r="BC19" s="122">
        <f t="shared" si="21"/>
        <v>420.41751150807278</v>
      </c>
      <c r="BD19" s="122">
        <f t="shared" si="22"/>
        <v>855.64</v>
      </c>
      <c r="BE19" s="122">
        <f t="shared" si="23"/>
        <v>805.22536585365856</v>
      </c>
      <c r="BF19" s="121">
        <f t="shared" si="24"/>
        <v>119.94785434558577</v>
      </c>
      <c r="BG19" s="162">
        <f t="shared" si="25"/>
        <v>0.14896184277357336</v>
      </c>
      <c r="BH19" s="125"/>
      <c r="BI19" s="125" t="s">
        <v>280</v>
      </c>
    </row>
    <row r="20" spans="1:61" ht="29.1" customHeight="1" x14ac:dyDescent="0.15">
      <c r="A20" s="38" t="s">
        <v>113</v>
      </c>
      <c r="B20" s="66" t="s">
        <v>114</v>
      </c>
      <c r="C20" s="67">
        <v>48</v>
      </c>
      <c r="D20" s="68">
        <v>46</v>
      </c>
      <c r="E20" s="41">
        <v>1142.52</v>
      </c>
      <c r="F20" s="101"/>
      <c r="G20" s="101"/>
      <c r="H20" s="41"/>
      <c r="I20" s="41"/>
      <c r="J20" s="156">
        <v>2</v>
      </c>
      <c r="K20" s="164">
        <f t="shared" si="0"/>
        <v>4.1666666666666664E-2</v>
      </c>
      <c r="L20" s="158">
        <v>42.22</v>
      </c>
      <c r="M20" s="159">
        <f t="shared" si="1"/>
        <v>0.29729729729729731</v>
      </c>
      <c r="N20" s="157">
        <f t="shared" si="2"/>
        <v>0.24324324324324326</v>
      </c>
      <c r="O20" s="157">
        <f t="shared" si="3"/>
        <v>0.33528119302510401</v>
      </c>
      <c r="P20" s="106">
        <f t="shared" si="4"/>
        <v>1.0434782608695652</v>
      </c>
      <c r="Q20" s="108">
        <f t="shared" si="5"/>
        <v>24.837391304347825</v>
      </c>
      <c r="R20" s="140">
        <f t="shared" si="6"/>
        <v>23.802499999999998</v>
      </c>
      <c r="S20" s="140">
        <f t="shared" si="26"/>
        <v>6.8571428571428568</v>
      </c>
      <c r="T20" s="146">
        <f t="shared" si="8"/>
        <v>21</v>
      </c>
      <c r="U20" s="110">
        <f t="shared" si="9"/>
        <v>0.45652173913043476</v>
      </c>
      <c r="V20" s="71">
        <f t="shared" si="10"/>
        <v>0.17306480411721456</v>
      </c>
      <c r="W20" s="68">
        <v>30704</v>
      </c>
      <c r="X20" s="68">
        <v>193</v>
      </c>
      <c r="Y20" s="68">
        <v>25</v>
      </c>
      <c r="Z20" s="68">
        <v>197.73</v>
      </c>
      <c r="AA20" s="69">
        <v>620.64</v>
      </c>
      <c r="AB20" s="68">
        <v>1.02</v>
      </c>
      <c r="AC20" s="48">
        <f t="shared" si="11"/>
        <v>0.31859048723897909</v>
      </c>
      <c r="AD20" s="49">
        <f t="shared" si="12"/>
        <v>6.2858259510161539E-3</v>
      </c>
      <c r="AE20" s="49">
        <f t="shared" si="13"/>
        <v>0.12953367875647667</v>
      </c>
      <c r="AF20" s="107">
        <f t="shared" si="14"/>
        <v>7.9091999999999993</v>
      </c>
      <c r="AG20" s="113">
        <v>9</v>
      </c>
      <c r="AH20" s="114">
        <v>26</v>
      </c>
      <c r="AI20" s="114">
        <v>13</v>
      </c>
      <c r="AJ20" s="117">
        <v>0</v>
      </c>
      <c r="AK20" s="116">
        <f>AG20*产品成本!$D$5+AH20*产品成本!$D$6+AI20*产品成本!$D$7+AJ20*产品成本!$D$8</f>
        <v>144.92957746478868</v>
      </c>
      <c r="AL20" s="116">
        <f>AG20*产品成本!$E$5+AH20*产品成本!$E$6+AI20*产品成本!$E$7+AJ20*产品成本!$E$8</f>
        <v>15.95</v>
      </c>
      <c r="AM20" s="116">
        <f>AG20*产品成本!$F$5+AH20*产品成本!$F$6+AI20*产品成本!$F$7+AJ20*产品成本!$F$8</f>
        <v>17.86</v>
      </c>
      <c r="AN20" s="116">
        <f>AG20*产品成本!$G$5+AH20*产品成本!$G$6+AI20*产品成本!$G$7+AJ20*产品成本!$G$8</f>
        <v>218.82</v>
      </c>
      <c r="AO20" s="116">
        <f t="shared" si="15"/>
        <v>171.37799999999999</v>
      </c>
      <c r="AP20" s="117">
        <f t="shared" si="16"/>
        <v>568.93757746478866</v>
      </c>
      <c r="AQ20" s="118">
        <v>0</v>
      </c>
      <c r="AR20" s="118">
        <v>1</v>
      </c>
      <c r="AS20" s="118">
        <v>1</v>
      </c>
      <c r="AT20" s="160">
        <v>0</v>
      </c>
      <c r="AU20" s="161">
        <f t="shared" si="17"/>
        <v>51.487804878048784</v>
      </c>
      <c r="AV20" s="116">
        <f>AQ20*产品成本!$D$5+AR20*产品成本!$D$6+AS20*产品成本!$D$7+AT20*产品成本!D29</f>
        <v>6.47887323943662</v>
      </c>
      <c r="AW20" s="116">
        <f>AQ20*产品成本!$E$5+AR20*产品成本!$E$6+AS20*产品成本!$E$7+AT20*产品成本!E29</f>
        <v>0.72</v>
      </c>
      <c r="AX20" s="116">
        <f>AQ20*产品成本!$F$5+AR20*产品成本!$F$6+AS20*产品成本!$F$7+AT20*产品成本!F29</f>
        <v>0.75</v>
      </c>
      <c r="AY20" s="116"/>
      <c r="AZ20" s="116">
        <f t="shared" si="18"/>
        <v>7.7231707317073175</v>
      </c>
      <c r="BA20" s="116">
        <f t="shared" si="19"/>
        <v>-1.5446341463414637</v>
      </c>
      <c r="BB20" s="117">
        <f t="shared" si="20"/>
        <v>14.127409824802474</v>
      </c>
      <c r="BC20" s="122">
        <f t="shared" si="21"/>
        <v>554.81016763998616</v>
      </c>
      <c r="BD20" s="122">
        <f t="shared" si="22"/>
        <v>1142.52</v>
      </c>
      <c r="BE20" s="122">
        <f t="shared" si="23"/>
        <v>1091.0321951219512</v>
      </c>
      <c r="BF20" s="121">
        <f t="shared" si="24"/>
        <v>338.49202748196501</v>
      </c>
      <c r="BG20" s="162">
        <f t="shared" si="25"/>
        <v>0.31024934827347578</v>
      </c>
    </row>
    <row r="21" spans="1:61" ht="29.1" customHeight="1" x14ac:dyDescent="0.15">
      <c r="A21" s="38" t="s">
        <v>115</v>
      </c>
      <c r="B21" s="66" t="s">
        <v>116</v>
      </c>
      <c r="C21" s="67">
        <v>34</v>
      </c>
      <c r="D21" s="68">
        <v>33</v>
      </c>
      <c r="E21" s="41">
        <v>806.66</v>
      </c>
      <c r="F21" s="101"/>
      <c r="G21" s="101"/>
      <c r="H21" s="41"/>
      <c r="I21" s="41"/>
      <c r="J21" s="156">
        <v>0</v>
      </c>
      <c r="K21" s="164">
        <f t="shared" si="0"/>
        <v>0</v>
      </c>
      <c r="L21" s="158">
        <v>0</v>
      </c>
      <c r="M21" s="159">
        <f t="shared" si="1"/>
        <v>-0.29166666666666669</v>
      </c>
      <c r="N21" s="157">
        <f t="shared" si="2"/>
        <v>-0.28260869565217389</v>
      </c>
      <c r="O21" s="157">
        <f t="shared" si="3"/>
        <v>-0.29396421944473622</v>
      </c>
      <c r="P21" s="106">
        <f t="shared" si="4"/>
        <v>1.0303030303030303</v>
      </c>
      <c r="Q21" s="108">
        <f t="shared" si="5"/>
        <v>24.444242424242422</v>
      </c>
      <c r="R21" s="140">
        <f t="shared" si="6"/>
        <v>23.725294117647056</v>
      </c>
      <c r="S21" s="140">
        <f t="shared" si="26"/>
        <v>4.8571428571428568</v>
      </c>
      <c r="T21" s="146">
        <f t="shared" si="8"/>
        <v>9</v>
      </c>
      <c r="U21" s="110">
        <f t="shared" si="9"/>
        <v>0.27272727272727271</v>
      </c>
      <c r="V21" s="71">
        <f t="shared" si="10"/>
        <v>0.28595690873478291</v>
      </c>
      <c r="W21" s="68">
        <v>32552</v>
      </c>
      <c r="X21" s="68">
        <v>215</v>
      </c>
      <c r="Y21" s="68">
        <v>24</v>
      </c>
      <c r="Z21" s="68">
        <v>230.67</v>
      </c>
      <c r="AA21" s="69">
        <v>584.85</v>
      </c>
      <c r="AB21" s="68">
        <v>1.07</v>
      </c>
      <c r="AC21" s="48">
        <f t="shared" si="11"/>
        <v>0.3944088227750705</v>
      </c>
      <c r="AD21" s="49">
        <f t="shared" si="12"/>
        <v>6.6048169083312855E-3</v>
      </c>
      <c r="AE21" s="49">
        <f t="shared" si="13"/>
        <v>0.11162790697674418</v>
      </c>
      <c r="AF21" s="107">
        <f t="shared" si="14"/>
        <v>9.6112500000000001</v>
      </c>
      <c r="AG21" s="113">
        <v>9</v>
      </c>
      <c r="AH21" s="114">
        <v>18</v>
      </c>
      <c r="AI21" s="114">
        <v>7</v>
      </c>
      <c r="AJ21" s="117">
        <v>0</v>
      </c>
      <c r="AK21" s="116">
        <f>AG21*产品成本!$D$5+AH21*产品成本!$D$6+AI21*产品成本!$D$7+AJ21*产品成本!$D$8</f>
        <v>100.42253521126756</v>
      </c>
      <c r="AL21" s="116">
        <f>AG21*产品成本!$E$5+AH21*产品成本!$E$6+AI21*产品成本!$E$7+AJ21*产品成本!$E$8</f>
        <v>10.99</v>
      </c>
      <c r="AM21" s="116">
        <f>AG21*产品成本!$F$5+AH21*产品成本!$F$6+AI21*产品成本!$F$7+AJ21*产品成本!$F$8</f>
        <v>12.68</v>
      </c>
      <c r="AN21" s="116">
        <f>AG21*产品成本!$G$5+AH21*产品成本!$G$6+AI21*产品成本!$G$7+AJ21*产品成本!$G$8</f>
        <v>154.5</v>
      </c>
      <c r="AO21" s="116">
        <f t="shared" si="15"/>
        <v>120.999</v>
      </c>
      <c r="AP21" s="117">
        <f t="shared" si="16"/>
        <v>399.59153521126757</v>
      </c>
      <c r="AQ21" s="118">
        <v>0</v>
      </c>
      <c r="AR21" s="118">
        <v>0</v>
      </c>
      <c r="AS21" s="118">
        <v>0</v>
      </c>
      <c r="AT21" s="160">
        <v>0</v>
      </c>
      <c r="AU21" s="161">
        <f t="shared" si="17"/>
        <v>0</v>
      </c>
      <c r="AV21" s="116">
        <f>AQ21*产品成本!$D$5+AR21*产品成本!$D$6+AS21*产品成本!$D$7+AT21*产品成本!D30</f>
        <v>0</v>
      </c>
      <c r="AW21" s="116">
        <f>AQ21*产品成本!$E$5+AR21*产品成本!$E$6+AS21*产品成本!$E$7+AT21*产品成本!E30</f>
        <v>0</v>
      </c>
      <c r="AX21" s="116">
        <f>AQ21*产品成本!$F$5+AR21*产品成本!$F$6+AS21*产品成本!$F$7+AT21*产品成本!F30</f>
        <v>0</v>
      </c>
      <c r="AY21" s="116"/>
      <c r="AZ21" s="116">
        <f t="shared" si="18"/>
        <v>0</v>
      </c>
      <c r="BA21" s="116">
        <f t="shared" si="19"/>
        <v>0</v>
      </c>
      <c r="BB21" s="117">
        <f t="shared" si="20"/>
        <v>0</v>
      </c>
      <c r="BC21" s="122">
        <f t="shared" si="21"/>
        <v>399.59153521126757</v>
      </c>
      <c r="BD21" s="122">
        <f t="shared" si="22"/>
        <v>806.66</v>
      </c>
      <c r="BE21" s="122">
        <f t="shared" si="23"/>
        <v>806.66</v>
      </c>
      <c r="BF21" s="121">
        <f t="shared" si="24"/>
        <v>176.39846478873241</v>
      </c>
      <c r="BG21" s="162">
        <f t="shared" si="25"/>
        <v>0.21867759004875961</v>
      </c>
    </row>
    <row r="22" spans="1:61" ht="29.1" customHeight="1" x14ac:dyDescent="0.15">
      <c r="A22" s="38" t="s">
        <v>118</v>
      </c>
      <c r="B22" s="66" t="s">
        <v>119</v>
      </c>
      <c r="C22" s="67">
        <v>38</v>
      </c>
      <c r="D22" s="68">
        <v>36</v>
      </c>
      <c r="E22" s="41">
        <v>902.62</v>
      </c>
      <c r="F22" s="101"/>
      <c r="G22" s="101"/>
      <c r="H22" s="41"/>
      <c r="I22" s="41"/>
      <c r="J22" s="156">
        <v>1</v>
      </c>
      <c r="K22" s="164">
        <f t="shared" si="0"/>
        <v>2.6315789473684209E-2</v>
      </c>
      <c r="L22" s="158">
        <v>21.11</v>
      </c>
      <c r="M22" s="159">
        <f t="shared" si="1"/>
        <v>0.11764705882352941</v>
      </c>
      <c r="N22" s="157">
        <f t="shared" si="2"/>
        <v>9.0909090909090912E-2</v>
      </c>
      <c r="O22" s="157">
        <f t="shared" si="3"/>
        <v>0.11895966082364322</v>
      </c>
      <c r="P22" s="106">
        <f t="shared" si="4"/>
        <v>1.0555555555555556</v>
      </c>
      <c r="Q22" s="108">
        <f t="shared" si="5"/>
        <v>25.072777777777777</v>
      </c>
      <c r="R22" s="140">
        <f t="shared" si="6"/>
        <v>23.753157894736841</v>
      </c>
      <c r="S22" s="140">
        <f t="shared" si="26"/>
        <v>5.4285714285714288</v>
      </c>
      <c r="T22" s="146">
        <f t="shared" si="8"/>
        <v>17</v>
      </c>
      <c r="U22" s="110">
        <f t="shared" si="9"/>
        <v>0.47222222222222221</v>
      </c>
      <c r="V22" s="71">
        <f t="shared" si="10"/>
        <v>0.2033081473931444</v>
      </c>
      <c r="W22" s="68">
        <v>30728</v>
      </c>
      <c r="X22" s="68">
        <v>173</v>
      </c>
      <c r="Y22" s="68">
        <v>19</v>
      </c>
      <c r="Z22" s="68">
        <v>183.51</v>
      </c>
      <c r="AA22" s="69">
        <v>472.8</v>
      </c>
      <c r="AB22" s="68">
        <v>1.06</v>
      </c>
      <c r="AC22" s="48">
        <f t="shared" si="11"/>
        <v>0.38813451776649743</v>
      </c>
      <c r="AD22" s="49">
        <f t="shared" si="12"/>
        <v>5.630044259307472E-3</v>
      </c>
      <c r="AE22" s="49">
        <f t="shared" si="13"/>
        <v>0.10982658959537572</v>
      </c>
      <c r="AF22" s="107">
        <f t="shared" si="14"/>
        <v>9.6584210526315779</v>
      </c>
      <c r="AG22" s="113">
        <v>9</v>
      </c>
      <c r="AH22" s="114">
        <v>18</v>
      </c>
      <c r="AI22" s="114">
        <v>11</v>
      </c>
      <c r="AJ22" s="117">
        <v>0</v>
      </c>
      <c r="AK22" s="116">
        <f>AG22*产品成本!$D$5+AH22*产品成本!$D$6+AI22*产品成本!$D$7+AJ22*产品成本!$D$8</f>
        <v>115.07042253521124</v>
      </c>
      <c r="AL22" s="116">
        <f>AG22*产品成本!$E$5+AH22*产品成本!$E$6+AI22*产品成本!$E$7+AJ22*产品成本!$E$8</f>
        <v>12.59</v>
      </c>
      <c r="AM22" s="116">
        <f>AG22*产品成本!$F$5+AH22*产品成本!$F$6+AI22*产品成本!$F$7+AJ22*产品成本!$F$8</f>
        <v>14.32</v>
      </c>
      <c r="AN22" s="116">
        <f>AG22*产品成本!$G$5+AH22*产品成本!$G$6+AI22*产品成本!$G$7+AJ22*产品成本!$G$8</f>
        <v>175.62</v>
      </c>
      <c r="AO22" s="116">
        <f t="shared" si="15"/>
        <v>135.393</v>
      </c>
      <c r="AP22" s="117">
        <f t="shared" si="16"/>
        <v>452.99342253521127</v>
      </c>
      <c r="AQ22" s="118">
        <v>0</v>
      </c>
      <c r="AR22" s="118">
        <v>0</v>
      </c>
      <c r="AS22" s="118">
        <v>1</v>
      </c>
      <c r="AT22" s="160">
        <v>0</v>
      </c>
      <c r="AU22" s="161">
        <f t="shared" si="17"/>
        <v>25.743902439024392</v>
      </c>
      <c r="AV22" s="116">
        <f>AQ22*产品成本!$D$5+AR22*产品成本!$D$6+AS22*产品成本!$D$7+AT22*产品成本!D31</f>
        <v>3.6619718309859199</v>
      </c>
      <c r="AW22" s="116">
        <f>AQ22*产品成本!$E$5+AR22*产品成本!$E$6+AS22*产品成本!$E$7+AT22*产品成本!E31</f>
        <v>0.4</v>
      </c>
      <c r="AX22" s="116">
        <f>AQ22*产品成本!$F$5+AR22*产品成本!$F$6+AS22*产品成本!$F$7+AT22*产品成本!F31</f>
        <v>0.41</v>
      </c>
      <c r="AY22" s="116"/>
      <c r="AZ22" s="116">
        <f t="shared" si="18"/>
        <v>3.8615853658536587</v>
      </c>
      <c r="BA22" s="116">
        <f t="shared" si="19"/>
        <v>-0.77231707317073184</v>
      </c>
      <c r="BB22" s="117">
        <f t="shared" si="20"/>
        <v>7.5612401236688465</v>
      </c>
      <c r="BC22" s="122">
        <f t="shared" si="21"/>
        <v>445.43218241154244</v>
      </c>
      <c r="BD22" s="122">
        <f t="shared" si="22"/>
        <v>902.62</v>
      </c>
      <c r="BE22" s="122">
        <f t="shared" si="23"/>
        <v>876.87609756097561</v>
      </c>
      <c r="BF22" s="121">
        <f t="shared" si="24"/>
        <v>247.93391514943318</v>
      </c>
      <c r="BG22" s="162">
        <f t="shared" si="25"/>
        <v>0.28274680520892237</v>
      </c>
    </row>
    <row r="23" spans="1:61" ht="29.1" customHeight="1" x14ac:dyDescent="0.15">
      <c r="A23" s="38" t="s">
        <v>121</v>
      </c>
      <c r="B23" s="66" t="s">
        <v>122</v>
      </c>
      <c r="C23" s="67">
        <v>41</v>
      </c>
      <c r="D23" s="68">
        <v>40</v>
      </c>
      <c r="E23" s="41">
        <v>972.59</v>
      </c>
      <c r="F23" s="101"/>
      <c r="G23" s="101"/>
      <c r="H23" s="41"/>
      <c r="I23" s="41"/>
      <c r="J23" s="156">
        <v>0</v>
      </c>
      <c r="K23" s="164">
        <f t="shared" si="0"/>
        <v>0</v>
      </c>
      <c r="L23" s="158">
        <v>0</v>
      </c>
      <c r="M23" s="159">
        <f t="shared" si="1"/>
        <v>7.8947368421052627E-2</v>
      </c>
      <c r="N23" s="157">
        <f t="shared" si="2"/>
        <v>0.1111111111111111</v>
      </c>
      <c r="O23" s="157">
        <f t="shared" si="3"/>
        <v>7.7518778666548521E-2</v>
      </c>
      <c r="P23" s="106">
        <f t="shared" si="4"/>
        <v>1.0249999999999999</v>
      </c>
      <c r="Q23" s="108">
        <f t="shared" si="5"/>
        <v>24.31475</v>
      </c>
      <c r="R23" s="140">
        <f t="shared" si="6"/>
        <v>23.721707317073172</v>
      </c>
      <c r="S23" s="140">
        <f t="shared" si="26"/>
        <v>5.8571428571428568</v>
      </c>
      <c r="T23" s="146">
        <f t="shared" si="8"/>
        <v>12</v>
      </c>
      <c r="U23" s="110">
        <f t="shared" si="9"/>
        <v>0.3</v>
      </c>
      <c r="V23" s="71">
        <f t="shared" si="10"/>
        <v>0.28038536279418869</v>
      </c>
      <c r="W23" s="68">
        <v>35047</v>
      </c>
      <c r="X23" s="68">
        <v>253</v>
      </c>
      <c r="Y23" s="68">
        <v>28</v>
      </c>
      <c r="Z23" s="68">
        <v>272.7</v>
      </c>
      <c r="AA23" s="69">
        <v>653.71</v>
      </c>
      <c r="AB23" s="68">
        <v>1.1100000000000001</v>
      </c>
      <c r="AC23" s="48">
        <f t="shared" si="11"/>
        <v>0.41715745514065866</v>
      </c>
      <c r="AD23" s="49">
        <f t="shared" si="12"/>
        <v>7.2188775073472764E-3</v>
      </c>
      <c r="AE23" s="49">
        <f t="shared" si="13"/>
        <v>0.11067193675889328</v>
      </c>
      <c r="AF23" s="107">
        <f t="shared" si="14"/>
        <v>9.7392857142857139</v>
      </c>
      <c r="AG23" s="113">
        <v>11</v>
      </c>
      <c r="AH23" s="114">
        <v>16</v>
      </c>
      <c r="AI23" s="114">
        <v>14</v>
      </c>
      <c r="AJ23" s="117">
        <v>0</v>
      </c>
      <c r="AK23" s="116">
        <f>AG23*产品成本!$D$5+AH23*产品成本!$D$6+AI23*产品成本!$D$7+AJ23*产品成本!$D$8</f>
        <v>125.77464788732394</v>
      </c>
      <c r="AL23" s="116">
        <f>AG23*产品成本!$E$5+AH23*产品成本!$E$6+AI23*产品成本!$E$7+AJ23*产品成本!$E$8</f>
        <v>13.690000000000001</v>
      </c>
      <c r="AM23" s="116">
        <f>AG23*产品成本!$F$5+AH23*产品成本!$F$6+AI23*产品成本!$F$7+AJ23*产品成本!$F$8</f>
        <v>15.689999999999998</v>
      </c>
      <c r="AN23" s="116">
        <f>AG23*产品成本!$G$5+AH23*产品成本!$G$6+AI23*产品成本!$G$7+AJ23*产品成本!$G$8</f>
        <v>193.10000000000002</v>
      </c>
      <c r="AO23" s="116">
        <f t="shared" si="15"/>
        <v>145.88849999999999</v>
      </c>
      <c r="AP23" s="117">
        <f t="shared" si="16"/>
        <v>494.14314788732395</v>
      </c>
      <c r="AQ23" s="118">
        <v>0</v>
      </c>
      <c r="AR23" s="118">
        <v>0</v>
      </c>
      <c r="AS23" s="118">
        <v>0</v>
      </c>
      <c r="AT23" s="160">
        <v>0</v>
      </c>
      <c r="AU23" s="161">
        <f t="shared" si="17"/>
        <v>0</v>
      </c>
      <c r="AV23" s="116">
        <f>AQ23*产品成本!$D$5+AR23*产品成本!$D$6+AS23*产品成本!$D$7+AT23*产品成本!D32</f>
        <v>0</v>
      </c>
      <c r="AW23" s="116">
        <f>AQ23*产品成本!$E$5+AR23*产品成本!$E$6+AS23*产品成本!$E$7+AT23*产品成本!E32</f>
        <v>0</v>
      </c>
      <c r="AX23" s="116">
        <f>AQ23*产品成本!$F$5+AR23*产品成本!$F$6+AS23*产品成本!$F$7+AT23*产品成本!F32</f>
        <v>0</v>
      </c>
      <c r="AY23" s="116"/>
      <c r="AZ23" s="116">
        <f t="shared" si="18"/>
        <v>0</v>
      </c>
      <c r="BA23" s="116">
        <f t="shared" si="19"/>
        <v>0</v>
      </c>
      <c r="BB23" s="117">
        <f t="shared" si="20"/>
        <v>0</v>
      </c>
      <c r="BC23" s="122">
        <f t="shared" si="21"/>
        <v>494.14314788732395</v>
      </c>
      <c r="BD23" s="122">
        <f t="shared" si="22"/>
        <v>972.59</v>
      </c>
      <c r="BE23" s="122">
        <f t="shared" si="23"/>
        <v>972.59</v>
      </c>
      <c r="BF23" s="121">
        <f t="shared" si="24"/>
        <v>205.74685211267609</v>
      </c>
      <c r="BG23" s="162">
        <f t="shared" si="25"/>
        <v>0.21154530903327826</v>
      </c>
      <c r="BI23" t="s">
        <v>281</v>
      </c>
    </row>
    <row r="24" spans="1:61" ht="29.1" customHeight="1" x14ac:dyDescent="0.15">
      <c r="A24" s="38" t="s">
        <v>124</v>
      </c>
      <c r="B24" s="66" t="s">
        <v>125</v>
      </c>
      <c r="C24" s="67">
        <v>56</v>
      </c>
      <c r="D24" s="68">
        <v>53</v>
      </c>
      <c r="E24" s="41">
        <v>1151.05</v>
      </c>
      <c r="F24" s="101"/>
      <c r="G24" s="101"/>
      <c r="H24" s="41"/>
      <c r="I24" s="41"/>
      <c r="J24" s="156">
        <v>1</v>
      </c>
      <c r="K24" s="164">
        <f t="shared" si="0"/>
        <v>1.7857142857142856E-2</v>
      </c>
      <c r="L24" s="158">
        <v>21.11</v>
      </c>
      <c r="M24" s="159">
        <f t="shared" si="1"/>
        <v>0.36585365853658536</v>
      </c>
      <c r="N24" s="157">
        <f t="shared" si="2"/>
        <v>0.32500000000000001</v>
      </c>
      <c r="O24" s="157">
        <f t="shared" si="3"/>
        <v>0.18348944570682396</v>
      </c>
      <c r="P24" s="106">
        <f t="shared" si="4"/>
        <v>1.0566037735849056</v>
      </c>
      <c r="Q24" s="108">
        <f t="shared" si="5"/>
        <v>21.717924528301886</v>
      </c>
      <c r="R24" s="140">
        <f t="shared" si="6"/>
        <v>20.554464285714285</v>
      </c>
      <c r="S24" s="140">
        <f t="shared" si="26"/>
        <v>8</v>
      </c>
      <c r="T24" s="146">
        <f t="shared" si="8"/>
        <v>21</v>
      </c>
      <c r="U24" s="110">
        <f t="shared" si="9"/>
        <v>0.39622641509433965</v>
      </c>
      <c r="V24" s="71">
        <f t="shared" si="10"/>
        <v>0.25741714087137835</v>
      </c>
      <c r="W24" s="68">
        <v>41621</v>
      </c>
      <c r="X24" s="68">
        <v>248</v>
      </c>
      <c r="Y24" s="68">
        <v>32</v>
      </c>
      <c r="Z24" s="68">
        <v>296.3</v>
      </c>
      <c r="AA24" s="69">
        <v>681.37</v>
      </c>
      <c r="AB24" s="68">
        <v>1.19</v>
      </c>
      <c r="AC24" s="48">
        <f t="shared" si="11"/>
        <v>0.43485918076815827</v>
      </c>
      <c r="AD24" s="49">
        <f t="shared" si="12"/>
        <v>5.9585305494822324E-3</v>
      </c>
      <c r="AE24" s="49">
        <f t="shared" si="13"/>
        <v>0.12903225806451613</v>
      </c>
      <c r="AF24" s="107">
        <f t="shared" si="14"/>
        <v>9.2593750000000004</v>
      </c>
      <c r="AG24" s="113">
        <v>15</v>
      </c>
      <c r="AH24" s="114">
        <v>22</v>
      </c>
      <c r="AI24" s="114">
        <v>19</v>
      </c>
      <c r="AJ24" s="117">
        <v>0</v>
      </c>
      <c r="AK24" s="116">
        <f>AG24*产品成本!$D$5+AH24*产品成本!$D$6+AI24*产品成本!$D$7+AJ24*产品成本!$D$8</f>
        <v>171.69014084507046</v>
      </c>
      <c r="AL24" s="116">
        <f>AG24*产品成本!$E$5+AH24*产品成本!$E$6+AI24*产品成本!$E$7+AJ24*产品成本!$E$8</f>
        <v>18.690000000000001</v>
      </c>
      <c r="AM24" s="116">
        <f>AG24*产品成本!$F$5+AH24*产品成本!$F$6+AI24*产品成本!$F$7+AJ24*产品成本!$F$8</f>
        <v>21.419999999999998</v>
      </c>
      <c r="AN24" s="116">
        <f>AG24*产品成本!$G$5+AH24*产品成本!$G$6+AI24*产品成本!$G$7+AJ24*产品成本!$G$8</f>
        <v>263.58</v>
      </c>
      <c r="AO24" s="116">
        <f t="shared" si="15"/>
        <v>172.6575</v>
      </c>
      <c r="AP24" s="117">
        <f t="shared" si="16"/>
        <v>648.03764084507043</v>
      </c>
      <c r="AQ24" s="118">
        <v>0</v>
      </c>
      <c r="AR24" s="118">
        <v>0</v>
      </c>
      <c r="AS24" s="118">
        <v>1</v>
      </c>
      <c r="AT24" s="160">
        <v>0</v>
      </c>
      <c r="AU24" s="161">
        <f t="shared" si="17"/>
        <v>25.743902439024392</v>
      </c>
      <c r="AV24" s="116">
        <f>AQ24*产品成本!$D$5+AR24*产品成本!$D$6+AS24*产品成本!$D$7+AT24*产品成本!D33</f>
        <v>3.6619718309859199</v>
      </c>
      <c r="AW24" s="116">
        <f>AQ24*产品成本!$E$5+AR24*产品成本!$E$6+AS24*产品成本!$E$7+AT24*产品成本!E33</f>
        <v>0.4</v>
      </c>
      <c r="AX24" s="116">
        <f>AQ24*产品成本!$F$5+AR24*产品成本!$F$6+AS24*产品成本!$F$7+AT24*产品成本!F33</f>
        <v>0.41</v>
      </c>
      <c r="AY24" s="116"/>
      <c r="AZ24" s="116">
        <f t="shared" si="18"/>
        <v>3.8615853658536587</v>
      </c>
      <c r="BA24" s="116">
        <f t="shared" si="19"/>
        <v>-0.77231707317073184</v>
      </c>
      <c r="BB24" s="117">
        <f t="shared" si="20"/>
        <v>7.5612401236688465</v>
      </c>
      <c r="BC24" s="122">
        <f t="shared" si="21"/>
        <v>640.47640072140155</v>
      </c>
      <c r="BD24" s="122">
        <f t="shared" si="22"/>
        <v>1151.05</v>
      </c>
      <c r="BE24" s="122">
        <f t="shared" si="23"/>
        <v>1125.3060975609756</v>
      </c>
      <c r="BF24" s="121">
        <f t="shared" si="24"/>
        <v>188.529696839574</v>
      </c>
      <c r="BG24" s="162">
        <f t="shared" si="25"/>
        <v>0.16753636832520441</v>
      </c>
      <c r="BI24" t="s">
        <v>282</v>
      </c>
    </row>
    <row r="25" spans="1:61" ht="29.1" customHeight="1" x14ac:dyDescent="0.15">
      <c r="A25" s="38" t="s">
        <v>128</v>
      </c>
      <c r="B25" s="66" t="s">
        <v>129</v>
      </c>
      <c r="C25" s="67">
        <v>30</v>
      </c>
      <c r="D25" s="68">
        <v>29</v>
      </c>
      <c r="E25" s="41">
        <v>686.7</v>
      </c>
      <c r="F25" s="101"/>
      <c r="G25" s="101"/>
      <c r="H25" s="41"/>
      <c r="I25" s="41"/>
      <c r="J25" s="156">
        <v>1</v>
      </c>
      <c r="K25" s="164">
        <f t="shared" si="0"/>
        <v>3.3333333333333333E-2</v>
      </c>
      <c r="L25" s="158">
        <v>21.11</v>
      </c>
      <c r="M25" s="159">
        <f t="shared" si="1"/>
        <v>-0.4642857142857143</v>
      </c>
      <c r="N25" s="157">
        <f t="shared" si="2"/>
        <v>-0.45283018867924529</v>
      </c>
      <c r="O25" s="157">
        <f t="shared" si="3"/>
        <v>-0.40341427392380863</v>
      </c>
      <c r="P25" s="106">
        <f t="shared" si="4"/>
        <v>1.0344827586206897</v>
      </c>
      <c r="Q25" s="108">
        <f t="shared" si="5"/>
        <v>23.679310344827588</v>
      </c>
      <c r="R25" s="140">
        <f t="shared" si="6"/>
        <v>22.89</v>
      </c>
      <c r="S25" s="140">
        <f t="shared" si="26"/>
        <v>4.2857142857142856</v>
      </c>
      <c r="T25" s="146">
        <f t="shared" si="8"/>
        <v>14</v>
      </c>
      <c r="U25" s="110">
        <f t="shared" si="9"/>
        <v>0.48275862068965519</v>
      </c>
      <c r="V25" s="71">
        <f t="shared" si="10"/>
        <v>0.26588029707295763</v>
      </c>
      <c r="W25" s="68">
        <v>18306</v>
      </c>
      <c r="X25" s="68">
        <v>158</v>
      </c>
      <c r="Y25" s="68">
        <v>15</v>
      </c>
      <c r="Z25" s="68">
        <v>182.58</v>
      </c>
      <c r="AA25" s="69">
        <v>347.8</v>
      </c>
      <c r="AB25" s="68">
        <v>1.1599999999999999</v>
      </c>
      <c r="AC25" s="48">
        <f t="shared" si="11"/>
        <v>0.52495687176538242</v>
      </c>
      <c r="AD25" s="49">
        <f t="shared" si="12"/>
        <v>8.631049928985033E-3</v>
      </c>
      <c r="AE25" s="49">
        <f t="shared" si="13"/>
        <v>9.49367088607595E-2</v>
      </c>
      <c r="AF25" s="107">
        <f t="shared" si="14"/>
        <v>12.172000000000001</v>
      </c>
      <c r="AG25" s="113">
        <v>12</v>
      </c>
      <c r="AH25" s="114">
        <v>13</v>
      </c>
      <c r="AI25" s="114">
        <v>5</v>
      </c>
      <c r="AJ25" s="117">
        <v>0</v>
      </c>
      <c r="AK25" s="116">
        <f>AG25*产品成本!$D$5+AH25*产品成本!$D$6+AI25*产品成本!$D$7+AJ25*产品成本!$D$8</f>
        <v>87.042253521126739</v>
      </c>
      <c r="AL25" s="116">
        <f>AG25*产品成本!$E$5+AH25*产品成本!$E$6+AI25*产品成本!$E$7+AJ25*产品成本!$E$8</f>
        <v>9.4</v>
      </c>
      <c r="AM25" s="116">
        <f>AG25*产品成本!$F$5+AH25*产品成本!$F$6+AI25*产品成本!$F$7+AJ25*产品成本!$F$8</f>
        <v>11.39</v>
      </c>
      <c r="AN25" s="116">
        <f>AG25*产品成本!$G$5+AH25*产品成本!$G$6+AI25*产品成本!$G$7+AJ25*产品成本!$G$8</f>
        <v>138.24</v>
      </c>
      <c r="AO25" s="116">
        <f t="shared" si="15"/>
        <v>103.00500000000001</v>
      </c>
      <c r="AP25" s="117">
        <f t="shared" si="16"/>
        <v>349.07725352112675</v>
      </c>
      <c r="AQ25" s="118">
        <v>0</v>
      </c>
      <c r="AR25" s="118">
        <v>1</v>
      </c>
      <c r="AS25" s="118">
        <v>0</v>
      </c>
      <c r="AT25" s="160">
        <v>0</v>
      </c>
      <c r="AU25" s="161">
        <f t="shared" si="17"/>
        <v>25.743902439024392</v>
      </c>
      <c r="AV25" s="116">
        <f>AQ25*产品成本!$D$5+AR25*产品成本!$D$6+AS25*产品成本!$D$7+AT25*产品成本!D34</f>
        <v>2.8169014084507</v>
      </c>
      <c r="AW25" s="116">
        <f>AQ25*产品成本!$E$5+AR25*产品成本!$E$6+AS25*产品成本!$E$7+AT25*产品成本!E34</f>
        <v>0.32</v>
      </c>
      <c r="AX25" s="116">
        <f>AQ25*产品成本!$F$5+AR25*产品成本!$F$6+AS25*产品成本!$F$7+AT25*产品成本!F34</f>
        <v>0.34</v>
      </c>
      <c r="AY25" s="116"/>
      <c r="AZ25" s="116">
        <f t="shared" si="18"/>
        <v>3.8615853658536587</v>
      </c>
      <c r="BA25" s="116">
        <f t="shared" si="19"/>
        <v>-0.77231707317073184</v>
      </c>
      <c r="BB25" s="117">
        <f t="shared" si="20"/>
        <v>6.5661697011336271</v>
      </c>
      <c r="BC25" s="122">
        <f t="shared" si="21"/>
        <v>342.51108381999313</v>
      </c>
      <c r="BD25" s="122">
        <f t="shared" si="22"/>
        <v>686.7</v>
      </c>
      <c r="BE25" s="122">
        <f t="shared" si="23"/>
        <v>660.95609756097565</v>
      </c>
      <c r="BF25" s="121">
        <f t="shared" si="24"/>
        <v>135.8650137409825</v>
      </c>
      <c r="BG25" s="162">
        <f t="shared" si="25"/>
        <v>0.20555830295286512</v>
      </c>
    </row>
    <row r="26" spans="1:61" ht="29.1" customHeight="1" x14ac:dyDescent="0.15">
      <c r="A26" s="38" t="s">
        <v>130</v>
      </c>
      <c r="B26" s="66" t="s">
        <v>131</v>
      </c>
      <c r="C26" s="67">
        <v>40</v>
      </c>
      <c r="D26" s="68">
        <v>38</v>
      </c>
      <c r="E26" s="41">
        <v>956.6</v>
      </c>
      <c r="F26" s="101"/>
      <c r="G26" s="101"/>
      <c r="H26" s="41"/>
      <c r="I26" s="41"/>
      <c r="J26" s="156">
        <v>1</v>
      </c>
      <c r="K26" s="164">
        <f t="shared" si="0"/>
        <v>2.5000000000000001E-2</v>
      </c>
      <c r="L26" s="158">
        <v>17.100000000000001</v>
      </c>
      <c r="M26" s="159">
        <f t="shared" si="1"/>
        <v>0.33333333333333331</v>
      </c>
      <c r="N26" s="157">
        <f t="shared" si="2"/>
        <v>0.31034482758620691</v>
      </c>
      <c r="O26" s="157">
        <f t="shared" si="3"/>
        <v>0.39303917285568657</v>
      </c>
      <c r="P26" s="106">
        <f t="shared" si="4"/>
        <v>1.0526315789473684</v>
      </c>
      <c r="Q26" s="108">
        <f t="shared" si="5"/>
        <v>25.173684210526318</v>
      </c>
      <c r="R26" s="140">
        <f t="shared" si="6"/>
        <v>23.914999999999999</v>
      </c>
      <c r="S26" s="140">
        <f t="shared" si="26"/>
        <v>5.7142857142857144</v>
      </c>
      <c r="T26" s="146">
        <f t="shared" si="8"/>
        <v>13</v>
      </c>
      <c r="U26" s="110">
        <f t="shared" si="9"/>
        <v>0.34210526315789475</v>
      </c>
      <c r="V26" s="71">
        <f t="shared" si="10"/>
        <v>0.17767091783399541</v>
      </c>
      <c r="W26" s="68">
        <v>18638</v>
      </c>
      <c r="X26" s="68">
        <v>148</v>
      </c>
      <c r="Y26" s="68">
        <v>25</v>
      </c>
      <c r="Z26" s="68">
        <v>169.96</v>
      </c>
      <c r="AA26" s="69">
        <v>622.64</v>
      </c>
      <c r="AB26" s="68">
        <v>1.1100000000000001</v>
      </c>
      <c r="AC26" s="48">
        <f t="shared" si="11"/>
        <v>0.27296672234356933</v>
      </c>
      <c r="AD26" s="49">
        <f t="shared" si="12"/>
        <v>7.9407661766283943E-3</v>
      </c>
      <c r="AE26" s="49">
        <f t="shared" si="13"/>
        <v>0.16891891891891891</v>
      </c>
      <c r="AF26" s="107">
        <f t="shared" si="14"/>
        <v>6.7984</v>
      </c>
      <c r="AG26" s="113">
        <v>3</v>
      </c>
      <c r="AH26" s="114">
        <v>26</v>
      </c>
      <c r="AI26" s="114">
        <v>11</v>
      </c>
      <c r="AJ26" s="117">
        <v>0</v>
      </c>
      <c r="AK26" s="116">
        <f>AG26*产品成本!$D$5+AH26*产品成本!$D$6+AI26*产品成本!$D$7+AJ26*产品成本!$D$8</f>
        <v>121.54929577464785</v>
      </c>
      <c r="AL26" s="116">
        <f>AG26*产品成本!$E$5+AH26*产品成本!$E$6+AI26*产品成本!$E$7+AJ26*产品成本!$E$8</f>
        <v>13.530000000000001</v>
      </c>
      <c r="AM26" s="116">
        <f>AG26*产品成本!$F$5+AH26*产品成本!$F$6+AI26*产品成本!$F$7+AJ26*产品成本!$F$8</f>
        <v>14.58</v>
      </c>
      <c r="AN26" s="116">
        <f>AG26*产品成本!$G$5+AH26*产品成本!$G$6+AI26*产品成本!$G$7+AJ26*产品成本!$G$8</f>
        <v>178.86</v>
      </c>
      <c r="AO26" s="116">
        <f t="shared" si="15"/>
        <v>143.49</v>
      </c>
      <c r="AP26" s="117">
        <f t="shared" si="16"/>
        <v>472.00929577464785</v>
      </c>
      <c r="AQ26" s="118">
        <v>0</v>
      </c>
      <c r="AR26" s="118">
        <v>0</v>
      </c>
      <c r="AS26" s="118">
        <v>1</v>
      </c>
      <c r="AT26" s="160">
        <v>0</v>
      </c>
      <c r="AU26" s="161">
        <f t="shared" si="17"/>
        <v>20.853658536585368</v>
      </c>
      <c r="AV26" s="116">
        <f>AQ26*产品成本!$D$5+AR26*产品成本!$D$6+AS26*产品成本!$D$7+AT26*产品成本!D35</f>
        <v>3.6619718309859199</v>
      </c>
      <c r="AW26" s="116">
        <f>AQ26*产品成本!$E$5+AR26*产品成本!$E$6+AS26*产品成本!$E$7+AT26*产品成本!E35</f>
        <v>0.4</v>
      </c>
      <c r="AX26" s="116">
        <f>AQ26*产品成本!$F$5+AR26*产品成本!$F$6+AS26*产品成本!$F$7+AT26*产品成本!F35</f>
        <v>0.41</v>
      </c>
      <c r="AY26" s="116"/>
      <c r="AZ26" s="116">
        <f t="shared" si="18"/>
        <v>3.1280487804878052</v>
      </c>
      <c r="BA26" s="116">
        <f t="shared" si="19"/>
        <v>-0.62560975609756109</v>
      </c>
      <c r="BB26" s="117">
        <f t="shared" si="20"/>
        <v>6.9744108553761643</v>
      </c>
      <c r="BC26" s="122">
        <f t="shared" si="21"/>
        <v>465.03488491927169</v>
      </c>
      <c r="BD26" s="122">
        <f t="shared" si="22"/>
        <v>956.6</v>
      </c>
      <c r="BE26" s="122">
        <f t="shared" si="23"/>
        <v>935.74634146341464</v>
      </c>
      <c r="BF26" s="121">
        <f t="shared" si="24"/>
        <v>300.75145654414291</v>
      </c>
      <c r="BG26" s="162">
        <f t="shared" si="25"/>
        <v>0.32140275971990168</v>
      </c>
    </row>
    <row r="27" spans="1:61" ht="29.1" customHeight="1" x14ac:dyDescent="0.15">
      <c r="A27" s="38" t="s">
        <v>133</v>
      </c>
      <c r="B27" s="66" t="s">
        <v>134</v>
      </c>
      <c r="C27" s="67">
        <v>22</v>
      </c>
      <c r="D27" s="68">
        <v>22</v>
      </c>
      <c r="E27" s="41">
        <v>524.78</v>
      </c>
      <c r="F27" s="101"/>
      <c r="G27" s="101"/>
      <c r="H27" s="41"/>
      <c r="I27" s="41"/>
      <c r="J27" s="156">
        <v>1</v>
      </c>
      <c r="K27" s="164">
        <f t="shared" si="0"/>
        <v>4.5454545454545456E-2</v>
      </c>
      <c r="L27" s="158">
        <v>21.11</v>
      </c>
      <c r="M27" s="159">
        <f t="shared" si="1"/>
        <v>-0.45</v>
      </c>
      <c r="N27" s="157">
        <f t="shared" si="2"/>
        <v>-0.42105263157894735</v>
      </c>
      <c r="O27" s="157">
        <f t="shared" si="3"/>
        <v>-0.45141124817060424</v>
      </c>
      <c r="P27" s="106">
        <f t="shared" si="4"/>
        <v>1</v>
      </c>
      <c r="Q27" s="108">
        <f t="shared" si="5"/>
        <v>23.853636363636362</v>
      </c>
      <c r="R27" s="140">
        <f t="shared" si="6"/>
        <v>23.853636363636362</v>
      </c>
      <c r="S27" s="140">
        <f t="shared" si="26"/>
        <v>3.1428571428571428</v>
      </c>
      <c r="T27" s="146">
        <f t="shared" si="8"/>
        <v>7</v>
      </c>
      <c r="U27" s="110">
        <f t="shared" si="9"/>
        <v>0.31818181818181818</v>
      </c>
      <c r="V27" s="71">
        <f t="shared" si="10"/>
        <v>0.31274057700369678</v>
      </c>
      <c r="W27" s="68">
        <v>29556</v>
      </c>
      <c r="X27" s="68">
        <v>160</v>
      </c>
      <c r="Y27" s="68">
        <v>15</v>
      </c>
      <c r="Z27" s="68">
        <v>164.12</v>
      </c>
      <c r="AA27" s="69">
        <v>356.85</v>
      </c>
      <c r="AB27" s="68">
        <v>1.03</v>
      </c>
      <c r="AC27" s="48">
        <f t="shared" si="11"/>
        <v>0.45991312876558776</v>
      </c>
      <c r="AD27" s="49">
        <f t="shared" si="12"/>
        <v>5.413452429286778E-3</v>
      </c>
      <c r="AE27" s="49">
        <f t="shared" si="13"/>
        <v>9.375E-2</v>
      </c>
      <c r="AF27" s="107">
        <f t="shared" si="14"/>
        <v>10.941333333333334</v>
      </c>
      <c r="AG27" s="113">
        <v>3</v>
      </c>
      <c r="AH27" s="114">
        <v>15</v>
      </c>
      <c r="AI27" s="114">
        <v>4</v>
      </c>
      <c r="AJ27" s="117">
        <v>0</v>
      </c>
      <c r="AK27" s="116">
        <f>AG27*产品成本!$D$5+AH27*产品成本!$D$6+AI27*产品成本!$D$7+AJ27*产品成本!$D$8</f>
        <v>64.929577464788693</v>
      </c>
      <c r="AL27" s="116">
        <f>AG27*产品成本!$E$5+AH27*产品成本!$E$6+AI27*产品成本!$E$7+AJ27*产品成本!$E$8</f>
        <v>7.2099999999999991</v>
      </c>
      <c r="AM27" s="116">
        <f>AG27*产品成本!$F$5+AH27*产品成本!$F$6+AI27*产品成本!$F$7+AJ27*产品成本!$F$8</f>
        <v>7.97</v>
      </c>
      <c r="AN27" s="116">
        <f>AG27*产品成本!$G$5+AH27*产品成本!$G$6+AI27*产品成本!$G$7+AJ27*产品成本!$G$8</f>
        <v>97.02000000000001</v>
      </c>
      <c r="AO27" s="116">
        <f t="shared" si="15"/>
        <v>78.716999999999999</v>
      </c>
      <c r="AP27" s="117">
        <f t="shared" si="16"/>
        <v>255.84657746478871</v>
      </c>
      <c r="AQ27" s="118">
        <v>0</v>
      </c>
      <c r="AR27" s="118">
        <v>1</v>
      </c>
      <c r="AS27" s="118">
        <v>0</v>
      </c>
      <c r="AT27" s="160">
        <v>0</v>
      </c>
      <c r="AU27" s="161">
        <f t="shared" si="17"/>
        <v>25.743902439024392</v>
      </c>
      <c r="AV27" s="116">
        <f>AQ27*产品成本!$D$5+AR27*产品成本!$D$6+AS27*产品成本!$D$7+AT27*产品成本!D36</f>
        <v>2.8169014084507</v>
      </c>
      <c r="AW27" s="116">
        <f>AQ27*产品成本!$E$5+AR27*产品成本!$E$6+AS27*产品成本!$E$7+AT27*产品成本!E36</f>
        <v>0.32</v>
      </c>
      <c r="AX27" s="116">
        <f>AQ27*产品成本!$F$5+AR27*产品成本!$F$6+AS27*产品成本!$F$7+AT27*产品成本!F36</f>
        <v>0.34</v>
      </c>
      <c r="AY27" s="116"/>
      <c r="AZ27" s="116">
        <f t="shared" si="18"/>
        <v>3.8615853658536587</v>
      </c>
      <c r="BA27" s="116">
        <f t="shared" si="19"/>
        <v>-0.77231707317073184</v>
      </c>
      <c r="BB27" s="117">
        <f t="shared" si="20"/>
        <v>6.5661697011336271</v>
      </c>
      <c r="BC27" s="122">
        <f t="shared" si="21"/>
        <v>249.28040776365509</v>
      </c>
      <c r="BD27" s="122">
        <f t="shared" si="22"/>
        <v>524.78</v>
      </c>
      <c r="BE27" s="122">
        <f t="shared" si="23"/>
        <v>499.03609756097558</v>
      </c>
      <c r="BF27" s="121">
        <f t="shared" si="24"/>
        <v>85.635689797320481</v>
      </c>
      <c r="BG27" s="162">
        <f t="shared" si="25"/>
        <v>0.17160219514352254</v>
      </c>
    </row>
    <row r="28" spans="1:61" ht="29.1" customHeight="1" x14ac:dyDescent="0.15">
      <c r="A28" s="38" t="s">
        <v>136</v>
      </c>
      <c r="B28" s="66" t="s">
        <v>137</v>
      </c>
      <c r="C28" s="67">
        <v>22</v>
      </c>
      <c r="D28" s="68">
        <v>22</v>
      </c>
      <c r="E28" s="41">
        <v>522.78</v>
      </c>
      <c r="F28" s="101"/>
      <c r="G28" s="101"/>
      <c r="H28" s="41"/>
      <c r="I28" s="41"/>
      <c r="J28" s="156">
        <v>1</v>
      </c>
      <c r="K28" s="164">
        <f t="shared" si="0"/>
        <v>4.5454545454545456E-2</v>
      </c>
      <c r="L28" s="158">
        <v>20.23</v>
      </c>
      <c r="M28" s="159">
        <f t="shared" si="1"/>
        <v>0</v>
      </c>
      <c r="N28" s="157">
        <f t="shared" si="2"/>
        <v>0</v>
      </c>
      <c r="O28" s="157">
        <f t="shared" si="3"/>
        <v>-3.8111208506421742E-3</v>
      </c>
      <c r="P28" s="106">
        <f t="shared" si="4"/>
        <v>1</v>
      </c>
      <c r="Q28" s="108">
        <f t="shared" si="5"/>
        <v>23.762727272727272</v>
      </c>
      <c r="R28" s="140">
        <f t="shared" si="6"/>
        <v>23.762727272727272</v>
      </c>
      <c r="S28" s="140">
        <f t="shared" si="26"/>
        <v>3.1428571428571428</v>
      </c>
      <c r="T28" s="146">
        <f t="shared" si="8"/>
        <v>9</v>
      </c>
      <c r="U28" s="110">
        <f t="shared" si="9"/>
        <v>0.40909090909090912</v>
      </c>
      <c r="V28" s="71">
        <f t="shared" si="10"/>
        <v>0.44640192815333413</v>
      </c>
      <c r="W28" s="68">
        <v>36296</v>
      </c>
      <c r="X28" s="68">
        <v>220</v>
      </c>
      <c r="Y28" s="68">
        <v>13</v>
      </c>
      <c r="Z28" s="68">
        <v>233.37</v>
      </c>
      <c r="AA28" s="69">
        <v>307.87</v>
      </c>
      <c r="AB28" s="68">
        <v>1.06</v>
      </c>
      <c r="AC28" s="48">
        <f t="shared" si="11"/>
        <v>0.75801474648390554</v>
      </c>
      <c r="AD28" s="49">
        <f t="shared" si="12"/>
        <v>6.0612739695834255E-3</v>
      </c>
      <c r="AE28" s="49">
        <f t="shared" si="13"/>
        <v>5.909090909090909E-2</v>
      </c>
      <c r="AF28" s="107">
        <f t="shared" si="14"/>
        <v>17.951538461538462</v>
      </c>
      <c r="AG28" s="113">
        <v>5</v>
      </c>
      <c r="AH28" s="114">
        <v>8</v>
      </c>
      <c r="AI28" s="114">
        <v>9</v>
      </c>
      <c r="AJ28" s="117">
        <v>0</v>
      </c>
      <c r="AK28" s="116">
        <f>AG28*产品成本!$D$5+AH28*产品成本!$D$6+AI28*产品成本!$D$7+AJ28*产品成本!$D$8</f>
        <v>68.873239436619741</v>
      </c>
      <c r="AL28" s="116">
        <f>AG28*产品成本!$E$5+AH28*产品成本!$E$6+AI28*产品成本!$E$7+AJ28*产品成本!$E$8</f>
        <v>7.51</v>
      </c>
      <c r="AM28" s="116">
        <f>AG28*产品成本!$F$5+AH28*产品成本!$F$6+AI28*产品成本!$F$7+AJ28*产品成本!$F$8</f>
        <v>8.4599999999999991</v>
      </c>
      <c r="AN28" s="116">
        <f>AG28*产品成本!$G$5+AH28*产品成本!$G$6+AI28*产品成本!$G$7+AJ28*产品成本!$G$8</f>
        <v>104.66</v>
      </c>
      <c r="AO28" s="116">
        <f t="shared" si="15"/>
        <v>78.416999999999987</v>
      </c>
      <c r="AP28" s="117">
        <f t="shared" si="16"/>
        <v>267.92023943661974</v>
      </c>
      <c r="AQ28" s="118">
        <v>0</v>
      </c>
      <c r="AR28" s="118">
        <v>1</v>
      </c>
      <c r="AS28" s="118">
        <v>0</v>
      </c>
      <c r="AT28" s="160">
        <v>0</v>
      </c>
      <c r="AU28" s="161">
        <f t="shared" si="17"/>
        <v>24.670731707317074</v>
      </c>
      <c r="AV28" s="116">
        <f>AQ28*产品成本!$D$5+AR28*产品成本!$D$6+AS28*产品成本!$D$7+AT28*产品成本!D37</f>
        <v>2.8169014084507</v>
      </c>
      <c r="AW28" s="116">
        <f>AQ28*产品成本!$E$5+AR28*产品成本!$E$6+AS28*产品成本!$E$7+AT28*产品成本!E37</f>
        <v>0.32</v>
      </c>
      <c r="AX28" s="116">
        <f>AQ28*产品成本!$F$5+AR28*产品成本!$F$6+AS28*产品成本!$F$7+AT28*产品成本!F37</f>
        <v>0.34</v>
      </c>
      <c r="AY28" s="116"/>
      <c r="AZ28" s="116">
        <f t="shared" si="18"/>
        <v>3.700609756097561</v>
      </c>
      <c r="BA28" s="116">
        <f t="shared" si="19"/>
        <v>-0.7401219512195123</v>
      </c>
      <c r="BB28" s="117">
        <f t="shared" si="20"/>
        <v>6.437389213328748</v>
      </c>
      <c r="BC28" s="122">
        <f t="shared" si="21"/>
        <v>261.482850223291</v>
      </c>
      <c r="BD28" s="122">
        <f t="shared" si="22"/>
        <v>522.78</v>
      </c>
      <c r="BE28" s="122">
        <f t="shared" si="23"/>
        <v>498.10926829268288</v>
      </c>
      <c r="BF28" s="121">
        <f t="shared" si="24"/>
        <v>3.2564180693918843</v>
      </c>
      <c r="BG28" s="162">
        <f t="shared" si="25"/>
        <v>6.5375576739488675E-3</v>
      </c>
      <c r="BI28" t="s">
        <v>283</v>
      </c>
    </row>
    <row r="29" spans="1:61" ht="29.1" customHeight="1" x14ac:dyDescent="0.15">
      <c r="A29" s="38" t="s">
        <v>139</v>
      </c>
      <c r="B29" s="66" t="s">
        <v>140</v>
      </c>
      <c r="C29" s="67">
        <v>50</v>
      </c>
      <c r="D29" s="68">
        <v>49</v>
      </c>
      <c r="E29" s="41">
        <v>1190.5</v>
      </c>
      <c r="F29" s="101"/>
      <c r="G29" s="101"/>
      <c r="H29" s="41"/>
      <c r="I29" s="41"/>
      <c r="J29" s="156">
        <v>0</v>
      </c>
      <c r="K29" s="164">
        <f t="shared" si="0"/>
        <v>0</v>
      </c>
      <c r="L29" s="158">
        <v>0</v>
      </c>
      <c r="M29" s="159">
        <f t="shared" si="1"/>
        <v>1.2727272727272727</v>
      </c>
      <c r="N29" s="157">
        <f t="shared" si="2"/>
        <v>1.2272727272727273</v>
      </c>
      <c r="O29" s="157">
        <f t="shared" si="3"/>
        <v>1.2772485557978501</v>
      </c>
      <c r="P29" s="106">
        <f t="shared" si="4"/>
        <v>1.0204081632653061</v>
      </c>
      <c r="Q29" s="108">
        <f t="shared" si="5"/>
        <v>24.295918367346939</v>
      </c>
      <c r="R29" s="140">
        <f t="shared" si="6"/>
        <v>23.81</v>
      </c>
      <c r="S29" s="140">
        <f t="shared" si="26"/>
        <v>7.1428571428571432</v>
      </c>
      <c r="T29" s="146">
        <f t="shared" si="8"/>
        <v>14</v>
      </c>
      <c r="U29" s="110">
        <f t="shared" si="9"/>
        <v>0.2857142857142857</v>
      </c>
      <c r="V29" s="71">
        <f t="shared" si="10"/>
        <v>0.16871902561948762</v>
      </c>
      <c r="W29" s="68">
        <v>30152</v>
      </c>
      <c r="X29" s="68">
        <v>181</v>
      </c>
      <c r="Y29" s="68">
        <v>35</v>
      </c>
      <c r="Z29" s="68">
        <v>200.86</v>
      </c>
      <c r="AA29" s="69">
        <v>831.65</v>
      </c>
      <c r="AB29" s="68">
        <v>1.1100000000000001</v>
      </c>
      <c r="AC29" s="48">
        <f t="shared" si="11"/>
        <v>0.24151987013767814</v>
      </c>
      <c r="AD29" s="49">
        <f t="shared" si="12"/>
        <v>6.0029185460334306E-3</v>
      </c>
      <c r="AE29" s="49">
        <f t="shared" si="13"/>
        <v>0.19337016574585636</v>
      </c>
      <c r="AF29" s="107">
        <f t="shared" si="14"/>
        <v>5.7388571428571433</v>
      </c>
      <c r="AG29" s="113">
        <v>9</v>
      </c>
      <c r="AH29" s="114">
        <v>30</v>
      </c>
      <c r="AI29" s="114">
        <v>11</v>
      </c>
      <c r="AJ29" s="117">
        <v>0</v>
      </c>
      <c r="AK29" s="116">
        <f>AG29*产品成本!$D$5+AH29*产品成本!$D$6+AI29*产品成本!$D$7+AJ29*产品成本!$D$8</f>
        <v>148.87323943661966</v>
      </c>
      <c r="AL29" s="116">
        <f>AG29*产品成本!$E$5+AH29*产品成本!$E$6+AI29*产品成本!$E$7+AJ29*产品成本!$E$8</f>
        <v>16.43</v>
      </c>
      <c r="AM29" s="116">
        <f>AG29*产品成本!$F$5+AH29*产品成本!$F$6+AI29*产品成本!$F$7+AJ29*产品成本!$F$8</f>
        <v>18.399999999999999</v>
      </c>
      <c r="AN29" s="116">
        <f>AG29*产品成本!$G$5+AH29*产品成本!$G$6+AI29*产品成本!$G$7+AJ29*产品成本!$G$8</f>
        <v>224.58</v>
      </c>
      <c r="AO29" s="116">
        <f t="shared" si="15"/>
        <v>178.57499999999999</v>
      </c>
      <c r="AP29" s="117">
        <f t="shared" si="16"/>
        <v>586.85823943661967</v>
      </c>
      <c r="AQ29" s="118">
        <v>0</v>
      </c>
      <c r="AR29" s="118">
        <v>0</v>
      </c>
      <c r="AS29" s="118">
        <v>0</v>
      </c>
      <c r="AT29" s="160">
        <v>0</v>
      </c>
      <c r="AU29" s="161">
        <f t="shared" si="17"/>
        <v>0</v>
      </c>
      <c r="AV29" s="116">
        <f>AQ29*产品成本!$D$5+AR29*产品成本!$D$6+AS29*产品成本!$D$7+AT29*产品成本!D38</f>
        <v>0</v>
      </c>
      <c r="AW29" s="116">
        <f>AQ29*产品成本!$E$5+AR29*产品成本!$E$6+AS29*产品成本!$E$7+AT29*产品成本!E38</f>
        <v>0</v>
      </c>
      <c r="AX29" s="116">
        <f>AQ29*产品成本!$F$5+AR29*产品成本!$F$6+AS29*产品成本!$F$7+AT29*产品成本!F38</f>
        <v>0</v>
      </c>
      <c r="AY29" s="116"/>
      <c r="AZ29" s="116">
        <f t="shared" si="18"/>
        <v>0</v>
      </c>
      <c r="BA29" s="116">
        <f t="shared" si="19"/>
        <v>0</v>
      </c>
      <c r="BB29" s="117">
        <f t="shared" si="20"/>
        <v>0</v>
      </c>
      <c r="BC29" s="122">
        <f t="shared" si="21"/>
        <v>586.85823943661967</v>
      </c>
      <c r="BD29" s="122">
        <f t="shared" si="22"/>
        <v>1190.5</v>
      </c>
      <c r="BE29" s="122">
        <f t="shared" si="23"/>
        <v>1190.5</v>
      </c>
      <c r="BF29" s="121">
        <f t="shared" si="24"/>
        <v>402.78176056338032</v>
      </c>
      <c r="BG29" s="162">
        <f t="shared" si="25"/>
        <v>0.33832991227499398</v>
      </c>
    </row>
    <row r="30" spans="1:61" ht="29.1" customHeight="1" x14ac:dyDescent="0.15">
      <c r="A30" s="38" t="s">
        <v>142</v>
      </c>
      <c r="B30" s="66" t="s">
        <v>143</v>
      </c>
      <c r="C30" s="67">
        <v>44</v>
      </c>
      <c r="D30" s="68">
        <v>44</v>
      </c>
      <c r="E30" s="41">
        <v>1067.55</v>
      </c>
      <c r="F30" s="101"/>
      <c r="G30" s="101"/>
      <c r="H30" s="41"/>
      <c r="I30" s="41"/>
      <c r="J30" s="156">
        <v>0</v>
      </c>
      <c r="K30" s="164">
        <f t="shared" si="0"/>
        <v>0</v>
      </c>
      <c r="L30" s="158">
        <v>0</v>
      </c>
      <c r="M30" s="159">
        <f t="shared" si="1"/>
        <v>-0.12</v>
      </c>
      <c r="N30" s="157">
        <f t="shared" si="2"/>
        <v>-0.10204081632653061</v>
      </c>
      <c r="O30" s="157">
        <f t="shared" si="3"/>
        <v>-0.10327593448131041</v>
      </c>
      <c r="P30" s="106">
        <f t="shared" si="4"/>
        <v>1</v>
      </c>
      <c r="Q30" s="108">
        <f t="shared" si="5"/>
        <v>24.262499999999999</v>
      </c>
      <c r="R30" s="140">
        <f t="shared" si="6"/>
        <v>24.262499999999999</v>
      </c>
      <c r="S30" s="140">
        <f t="shared" si="26"/>
        <v>6.2857142857142856</v>
      </c>
      <c r="T30" s="146">
        <f t="shared" si="8"/>
        <v>20</v>
      </c>
      <c r="U30" s="110">
        <f t="shared" si="9"/>
        <v>0.45454545454545453</v>
      </c>
      <c r="V30" s="71">
        <f t="shared" si="10"/>
        <v>0.18106880239801415</v>
      </c>
      <c r="W30" s="68">
        <v>27516</v>
      </c>
      <c r="X30" s="68">
        <v>177</v>
      </c>
      <c r="Y30" s="68">
        <v>24</v>
      </c>
      <c r="Z30" s="68">
        <v>193.3</v>
      </c>
      <c r="AA30" s="69">
        <v>568.76</v>
      </c>
      <c r="AB30" s="68">
        <v>1.0900000000000001</v>
      </c>
      <c r="AC30" s="48">
        <f t="shared" si="11"/>
        <v>0.33986215626977989</v>
      </c>
      <c r="AD30" s="49">
        <f t="shared" si="12"/>
        <v>6.4326210204971651E-3</v>
      </c>
      <c r="AE30" s="49">
        <f t="shared" si="13"/>
        <v>0.13559322033898305</v>
      </c>
      <c r="AF30" s="107">
        <f t="shared" si="14"/>
        <v>8.0541666666666671</v>
      </c>
      <c r="AG30" s="113">
        <v>12</v>
      </c>
      <c r="AH30" s="114">
        <v>17</v>
      </c>
      <c r="AI30" s="114">
        <v>15</v>
      </c>
      <c r="AJ30" s="117">
        <v>0</v>
      </c>
      <c r="AK30" s="116">
        <f>AG30*产品成本!$D$5+AH30*产品成本!$D$6+AI30*产品成本!$D$7+AJ30*产品成本!$D$8</f>
        <v>134.92957746478874</v>
      </c>
      <c r="AL30" s="116">
        <f>AG30*产品成本!$E$5+AH30*产品成本!$E$6+AI30*产品成本!$E$7+AJ30*产品成本!$E$8</f>
        <v>14.68</v>
      </c>
      <c r="AM30" s="116">
        <f>AG30*产品成本!$F$5+AH30*产品成本!$F$6+AI30*产品成本!$F$7+AJ30*产品成本!$F$8</f>
        <v>16.849999999999998</v>
      </c>
      <c r="AN30" s="116">
        <f>AG30*产品成本!$G$5+AH30*产品成本!$G$6+AI30*产品成本!$G$7+AJ30*产品成本!$G$8</f>
        <v>207.36</v>
      </c>
      <c r="AO30" s="116">
        <f t="shared" si="15"/>
        <v>160.13249999999999</v>
      </c>
      <c r="AP30" s="117">
        <f t="shared" si="16"/>
        <v>533.95207746478877</v>
      </c>
      <c r="AQ30" s="118">
        <v>0</v>
      </c>
      <c r="AR30" s="118">
        <v>0</v>
      </c>
      <c r="AS30" s="118">
        <v>0</v>
      </c>
      <c r="AT30" s="160">
        <v>0</v>
      </c>
      <c r="AU30" s="161">
        <f t="shared" si="17"/>
        <v>0</v>
      </c>
      <c r="AV30" s="116">
        <f>AQ30*产品成本!$D$5+AR30*产品成本!$D$6+AS30*产品成本!$D$7+AT30*产品成本!D39</f>
        <v>0</v>
      </c>
      <c r="AW30" s="116">
        <f>AQ30*产品成本!$E$5+AR30*产品成本!$E$6+AS30*产品成本!$E$7+AT30*产品成本!E39</f>
        <v>0</v>
      </c>
      <c r="AX30" s="116">
        <f>AQ30*产品成本!$F$5+AR30*产品成本!$F$6+AS30*产品成本!$F$7+AT30*产品成本!F39</f>
        <v>0</v>
      </c>
      <c r="AY30" s="116"/>
      <c r="AZ30" s="116">
        <f t="shared" si="18"/>
        <v>0</v>
      </c>
      <c r="BA30" s="116">
        <f t="shared" si="19"/>
        <v>0</v>
      </c>
      <c r="BB30" s="117">
        <f t="shared" si="20"/>
        <v>0</v>
      </c>
      <c r="BC30" s="122">
        <f t="shared" si="21"/>
        <v>533.95207746478877</v>
      </c>
      <c r="BD30" s="122">
        <f t="shared" si="22"/>
        <v>1067.55</v>
      </c>
      <c r="BE30" s="122">
        <f t="shared" si="23"/>
        <v>1067.55</v>
      </c>
      <c r="BF30" s="121">
        <f t="shared" si="24"/>
        <v>340.29792253521117</v>
      </c>
      <c r="BG30" s="162">
        <f t="shared" si="25"/>
        <v>0.31876532484212561</v>
      </c>
      <c r="BI30" t="s">
        <v>284</v>
      </c>
    </row>
    <row r="31" spans="1:61" ht="29.1" customHeight="1" x14ac:dyDescent="0.15">
      <c r="A31" s="38" t="s">
        <v>144</v>
      </c>
      <c r="B31" s="66" t="s">
        <v>145</v>
      </c>
      <c r="C31" s="67">
        <v>49</v>
      </c>
      <c r="D31" s="68">
        <v>47</v>
      </c>
      <c r="E31" s="41">
        <v>1169.51</v>
      </c>
      <c r="F31" s="101"/>
      <c r="G31" s="101"/>
      <c r="H31" s="41"/>
      <c r="I31" s="41"/>
      <c r="J31" s="156">
        <v>0</v>
      </c>
      <c r="K31" s="164">
        <f t="shared" si="0"/>
        <v>0</v>
      </c>
      <c r="L31" s="158">
        <v>0</v>
      </c>
      <c r="M31" s="159">
        <f t="shared" si="1"/>
        <v>0.11363636363636363</v>
      </c>
      <c r="N31" s="157">
        <f t="shared" si="2"/>
        <v>6.8181818181818177E-2</v>
      </c>
      <c r="O31" s="157">
        <f t="shared" si="3"/>
        <v>9.5508407100370049E-2</v>
      </c>
      <c r="P31" s="106">
        <f t="shared" si="4"/>
        <v>1.0425531914893618</v>
      </c>
      <c r="Q31" s="108">
        <f t="shared" si="5"/>
        <v>24.883191489361703</v>
      </c>
      <c r="R31" s="140">
        <f t="shared" si="6"/>
        <v>23.867551020408165</v>
      </c>
      <c r="S31" s="140">
        <f t="shared" si="26"/>
        <v>7</v>
      </c>
      <c r="T31" s="146">
        <f t="shared" si="8"/>
        <v>23</v>
      </c>
      <c r="U31" s="110">
        <f t="shared" si="9"/>
        <v>0.48936170212765956</v>
      </c>
      <c r="V31" s="71">
        <f t="shared" si="10"/>
        <v>0.16528289625569684</v>
      </c>
      <c r="W31" s="68">
        <v>27516</v>
      </c>
      <c r="X31" s="68">
        <v>177</v>
      </c>
      <c r="Y31" s="68">
        <v>24</v>
      </c>
      <c r="Z31" s="68">
        <v>193.3</v>
      </c>
      <c r="AA31" s="69">
        <v>568.76</v>
      </c>
      <c r="AB31" s="68">
        <v>1.0900000000000001</v>
      </c>
      <c r="AC31" s="48">
        <f t="shared" si="11"/>
        <v>0.33986215626977989</v>
      </c>
      <c r="AD31" s="49">
        <f t="shared" si="12"/>
        <v>6.4326210204971651E-3</v>
      </c>
      <c r="AE31" s="49">
        <f t="shared" si="13"/>
        <v>0.13559322033898305</v>
      </c>
      <c r="AF31" s="107">
        <f t="shared" si="14"/>
        <v>8.0541666666666671</v>
      </c>
      <c r="AG31" s="113">
        <v>6</v>
      </c>
      <c r="AH31" s="114">
        <v>24</v>
      </c>
      <c r="AI31" s="114">
        <v>19</v>
      </c>
      <c r="AJ31" s="117">
        <v>0</v>
      </c>
      <c r="AK31" s="116">
        <f>AG31*产品成本!$D$5+AH31*产品成本!$D$6+AI31*产品成本!$D$7+AJ31*产品成本!$D$8</f>
        <v>153.2394366197183</v>
      </c>
      <c r="AL31" s="116">
        <f>AG31*产品成本!$E$5+AH31*产品成本!$E$6+AI31*产品成本!$E$7+AJ31*产品成本!$E$8</f>
        <v>16.900000000000002</v>
      </c>
      <c r="AM31" s="116">
        <f>AG31*产品成本!$F$5+AH31*产品成本!$F$6+AI31*产品成本!$F$7+AJ31*产品成本!$F$8</f>
        <v>18.41</v>
      </c>
      <c r="AN31" s="116">
        <f>AG31*产品成本!$G$5+AH31*产品成本!$G$6+AI31*产品成本!$G$7+AJ31*产品成本!$G$8</f>
        <v>227.64000000000001</v>
      </c>
      <c r="AO31" s="116">
        <f t="shared" si="15"/>
        <v>175.4265</v>
      </c>
      <c r="AP31" s="117">
        <f t="shared" si="16"/>
        <v>591.61593661971835</v>
      </c>
      <c r="AQ31" s="118">
        <v>0</v>
      </c>
      <c r="AR31" s="118">
        <v>0</v>
      </c>
      <c r="AS31" s="118">
        <v>0</v>
      </c>
      <c r="AT31" s="160">
        <v>0</v>
      </c>
      <c r="AU31" s="161">
        <f t="shared" si="17"/>
        <v>0</v>
      </c>
      <c r="AV31" s="116">
        <f>AQ31*产品成本!$D$5+AR31*产品成本!$D$6+AS31*产品成本!$D$7+AT31*产品成本!D40</f>
        <v>0</v>
      </c>
      <c r="AW31" s="116">
        <f>AQ31*产品成本!$E$5+AR31*产品成本!$E$6+AS31*产品成本!$E$7+AT31*产品成本!E40</f>
        <v>0</v>
      </c>
      <c r="AX31" s="116">
        <f>AQ31*产品成本!$F$5+AR31*产品成本!$F$6+AS31*产品成本!$F$7+AT31*产品成本!F40</f>
        <v>0</v>
      </c>
      <c r="AY31" s="116"/>
      <c r="AZ31" s="116">
        <f t="shared" si="18"/>
        <v>0</v>
      </c>
      <c r="BA31" s="116">
        <f t="shared" si="19"/>
        <v>0</v>
      </c>
      <c r="BB31" s="117">
        <f t="shared" si="20"/>
        <v>0</v>
      </c>
      <c r="BC31" s="122">
        <f t="shared" si="21"/>
        <v>591.61593661971835</v>
      </c>
      <c r="BD31" s="122">
        <f t="shared" si="22"/>
        <v>1169.51</v>
      </c>
      <c r="BE31" s="122">
        <f t="shared" si="23"/>
        <v>1169.51</v>
      </c>
      <c r="BF31" s="121">
        <f t="shared" si="24"/>
        <v>384.59406338028163</v>
      </c>
      <c r="BG31" s="162">
        <f t="shared" si="25"/>
        <v>0.32885059843890313</v>
      </c>
    </row>
    <row r="32" spans="1:61" ht="29.1" customHeight="1" x14ac:dyDescent="0.15">
      <c r="A32" s="38" t="s">
        <v>147</v>
      </c>
      <c r="B32" s="66" t="s">
        <v>148</v>
      </c>
      <c r="C32" s="67">
        <v>42</v>
      </c>
      <c r="D32" s="68">
        <v>42</v>
      </c>
      <c r="E32" s="41">
        <v>1002.58</v>
      </c>
      <c r="F32" s="101"/>
      <c r="G32" s="101"/>
      <c r="H32" s="41"/>
      <c r="I32" s="41"/>
      <c r="J32" s="156">
        <v>1</v>
      </c>
      <c r="K32" s="164">
        <f t="shared" si="0"/>
        <v>2.3809523809523808E-2</v>
      </c>
      <c r="L32" s="158">
        <v>21.11</v>
      </c>
      <c r="M32" s="159">
        <f t="shared" si="1"/>
        <v>-0.14285714285714285</v>
      </c>
      <c r="N32" s="157">
        <f t="shared" si="2"/>
        <v>-0.10638297872340426</v>
      </c>
      <c r="O32" s="157">
        <f t="shared" si="3"/>
        <v>-0.14273499157766925</v>
      </c>
      <c r="P32" s="106">
        <f t="shared" si="4"/>
        <v>1</v>
      </c>
      <c r="Q32" s="108">
        <f t="shared" si="5"/>
        <v>23.870952380952382</v>
      </c>
      <c r="R32" s="140">
        <f t="shared" si="6"/>
        <v>23.870952380952382</v>
      </c>
      <c r="S32" s="140">
        <f t="shared" si="26"/>
        <v>6</v>
      </c>
      <c r="T32" s="146">
        <f t="shared" si="8"/>
        <v>17</v>
      </c>
      <c r="U32" s="110">
        <f t="shared" si="9"/>
        <v>0.40476190476190477</v>
      </c>
      <c r="V32" s="71">
        <f t="shared" si="10"/>
        <v>0.16185242075445352</v>
      </c>
      <c r="W32" s="68">
        <v>25169</v>
      </c>
      <c r="X32" s="68">
        <v>167</v>
      </c>
      <c r="Y32" s="68">
        <v>25</v>
      </c>
      <c r="Z32" s="68">
        <v>162.27000000000001</v>
      </c>
      <c r="AA32" s="69">
        <v>597.86</v>
      </c>
      <c r="AB32" s="68">
        <v>0.97</v>
      </c>
      <c r="AC32" s="48">
        <f t="shared" si="11"/>
        <v>0.27141805773927008</v>
      </c>
      <c r="AD32" s="49">
        <f t="shared" si="12"/>
        <v>6.6351464102665982E-3</v>
      </c>
      <c r="AE32" s="49">
        <f t="shared" si="13"/>
        <v>0.1497005988023952</v>
      </c>
      <c r="AF32" s="107">
        <f t="shared" si="14"/>
        <v>6.4908000000000001</v>
      </c>
      <c r="AG32" s="113">
        <v>5</v>
      </c>
      <c r="AH32" s="114">
        <v>27</v>
      </c>
      <c r="AI32" s="114">
        <v>10</v>
      </c>
      <c r="AJ32" s="117">
        <v>0</v>
      </c>
      <c r="AK32" s="116">
        <f>AG32*产品成本!$D$5+AH32*产品成本!$D$6+AI32*产品成本!$D$7+AJ32*产品成本!$D$8</f>
        <v>126.05633802816894</v>
      </c>
      <c r="AL32" s="116">
        <f>AG32*产品成本!$E$5+AH32*产品成本!$E$6+AI32*产品成本!$E$7+AJ32*产品成本!$E$8</f>
        <v>13.99</v>
      </c>
      <c r="AM32" s="116">
        <f>AG32*产品成本!$F$5+AH32*产品成本!$F$6+AI32*产品成本!$F$7+AJ32*产品成本!$F$8</f>
        <v>15.33</v>
      </c>
      <c r="AN32" s="116">
        <f>AG32*产品成本!$G$5+AH32*产品成本!$G$6+AI32*产品成本!$G$7+AJ32*产品成本!$G$8</f>
        <v>187.46</v>
      </c>
      <c r="AO32" s="116">
        <f t="shared" si="15"/>
        <v>150.387</v>
      </c>
      <c r="AP32" s="117">
        <f t="shared" si="16"/>
        <v>493.22333802816894</v>
      </c>
      <c r="AQ32" s="118">
        <v>0</v>
      </c>
      <c r="AR32" s="118">
        <v>0</v>
      </c>
      <c r="AS32" s="118">
        <v>1</v>
      </c>
      <c r="AT32" s="160">
        <v>0</v>
      </c>
      <c r="AU32" s="161">
        <f t="shared" si="17"/>
        <v>25.743902439024392</v>
      </c>
      <c r="AV32" s="116">
        <f>AQ32*产品成本!$D$5+AR32*产品成本!$D$6+AS32*产品成本!$D$7+AT32*产品成本!D41</f>
        <v>3.6619718309859199</v>
      </c>
      <c r="AW32" s="116">
        <f>AQ32*产品成本!$E$5+AR32*产品成本!$E$6+AS32*产品成本!$E$7+AT32*产品成本!E41</f>
        <v>0.4</v>
      </c>
      <c r="AX32" s="116">
        <f>AQ32*产品成本!$F$5+AR32*产品成本!$F$6+AS32*产品成本!$F$7+AT32*产品成本!F41</f>
        <v>0.41</v>
      </c>
      <c r="AY32" s="116"/>
      <c r="AZ32" s="116">
        <f t="shared" si="18"/>
        <v>3.8615853658536587</v>
      </c>
      <c r="BA32" s="116">
        <f t="shared" si="19"/>
        <v>-0.77231707317073184</v>
      </c>
      <c r="BB32" s="117">
        <f t="shared" si="20"/>
        <v>7.5612401236688465</v>
      </c>
      <c r="BC32" s="122">
        <f t="shared" si="21"/>
        <v>485.66209790450011</v>
      </c>
      <c r="BD32" s="122">
        <f t="shared" si="22"/>
        <v>1002.58</v>
      </c>
      <c r="BE32" s="122">
        <f t="shared" si="23"/>
        <v>976.83609756097565</v>
      </c>
      <c r="BF32" s="121">
        <f t="shared" si="24"/>
        <v>328.90399965647555</v>
      </c>
      <c r="BG32" s="162">
        <f t="shared" si="25"/>
        <v>0.33670336351994284</v>
      </c>
    </row>
    <row r="33" spans="1:61" ht="29.1" customHeight="1" x14ac:dyDescent="0.15">
      <c r="A33" s="38" t="s">
        <v>150</v>
      </c>
      <c r="B33" s="66" t="s">
        <v>151</v>
      </c>
      <c r="C33" s="67">
        <v>56</v>
      </c>
      <c r="D33" s="68">
        <v>54</v>
      </c>
      <c r="E33" s="41">
        <v>1200.94</v>
      </c>
      <c r="F33" s="101"/>
      <c r="G33" s="101"/>
      <c r="H33" s="41"/>
      <c r="I33" s="41"/>
      <c r="J33" s="156">
        <v>2</v>
      </c>
      <c r="K33" s="164">
        <f t="shared" si="0"/>
        <v>3.5714285714285712E-2</v>
      </c>
      <c r="L33" s="158">
        <v>38.44</v>
      </c>
      <c r="M33" s="159">
        <f t="shared" si="1"/>
        <v>0.33333333333333331</v>
      </c>
      <c r="N33" s="157">
        <f t="shared" si="2"/>
        <v>0.2857142857142857</v>
      </c>
      <c r="O33" s="157">
        <f t="shared" si="3"/>
        <v>0.19784954816573241</v>
      </c>
      <c r="P33" s="106">
        <f t="shared" si="4"/>
        <v>1.037037037037037</v>
      </c>
      <c r="Q33" s="108">
        <f t="shared" si="5"/>
        <v>22.239629629629629</v>
      </c>
      <c r="R33" s="140">
        <f t="shared" si="6"/>
        <v>21.445357142857144</v>
      </c>
      <c r="S33" s="140">
        <f t="shared" si="26"/>
        <v>8</v>
      </c>
      <c r="T33" s="146">
        <f t="shared" si="8"/>
        <v>14</v>
      </c>
      <c r="U33" s="110">
        <f t="shared" si="9"/>
        <v>0.25925925925925924</v>
      </c>
      <c r="V33" s="71">
        <f t="shared" si="10"/>
        <v>0.23433310573384183</v>
      </c>
      <c r="W33" s="68">
        <v>30427</v>
      </c>
      <c r="X33" s="68">
        <v>255</v>
      </c>
      <c r="Y33" s="68">
        <v>40</v>
      </c>
      <c r="Z33" s="68">
        <v>281.42</v>
      </c>
      <c r="AA33" s="69">
        <v>845.31</v>
      </c>
      <c r="AB33" s="68">
        <v>1.1000000000000001</v>
      </c>
      <c r="AC33" s="48">
        <f t="shared" si="11"/>
        <v>0.33291928404963861</v>
      </c>
      <c r="AD33" s="49">
        <f t="shared" si="12"/>
        <v>8.380714496992802E-3</v>
      </c>
      <c r="AE33" s="49">
        <f t="shared" si="13"/>
        <v>0.15686274509803921</v>
      </c>
      <c r="AF33" s="107">
        <f t="shared" si="14"/>
        <v>7.0355000000000008</v>
      </c>
      <c r="AG33" s="113">
        <v>22</v>
      </c>
      <c r="AH33" s="114">
        <v>22</v>
      </c>
      <c r="AI33" s="114">
        <v>12</v>
      </c>
      <c r="AJ33" s="117">
        <v>0</v>
      </c>
      <c r="AK33" s="116">
        <f>AG33*产品成本!$D$5+AH33*产品成本!$D$6+AI33*产品成本!$D$7+AJ33*产品成本!$D$8</f>
        <v>164.78873239436618</v>
      </c>
      <c r="AL33" s="116">
        <f>AG33*产品成本!$E$5+AH33*产品成本!$E$6+AI33*产品成本!$E$7+AJ33*产品成本!$E$8</f>
        <v>17.78</v>
      </c>
      <c r="AM33" s="116">
        <f>AG33*产品成本!$F$5+AH33*产品成本!$F$6+AI33*产品成本!$F$7+AJ33*产品成本!$F$8</f>
        <v>21.42</v>
      </c>
      <c r="AN33" s="116">
        <f>AG33*产品成本!$G$5+AH33*产品成本!$G$6+AI33*产品成本!$G$7+AJ33*产品成本!$G$8</f>
        <v>260.92</v>
      </c>
      <c r="AO33" s="116">
        <f t="shared" si="15"/>
        <v>180.14099999999999</v>
      </c>
      <c r="AP33" s="117">
        <f t="shared" si="16"/>
        <v>645.04973239436617</v>
      </c>
      <c r="AQ33" s="118">
        <v>2</v>
      </c>
      <c r="AR33" s="118">
        <v>0</v>
      </c>
      <c r="AS33" s="118">
        <v>0</v>
      </c>
      <c r="AT33" s="160">
        <v>0</v>
      </c>
      <c r="AU33" s="161">
        <f t="shared" si="17"/>
        <v>46.878048780487802</v>
      </c>
      <c r="AV33" s="116">
        <f>AQ33*产品成本!$D$5+AR33*产品成本!$D$6+AS33*产品成本!$D$7+AT33*产品成本!D42</f>
        <v>5.3521126760563398</v>
      </c>
      <c r="AW33" s="116">
        <f>AQ33*产品成本!$E$5+AR33*产品成本!$E$6+AS33*产品成本!$E$7+AT33*产品成本!E42</f>
        <v>0.54</v>
      </c>
      <c r="AX33" s="116">
        <f>AQ33*产品成本!$F$5+AR33*产品成本!$F$6+AS33*产品成本!$F$7+AT33*产品成本!F42</f>
        <v>0.82</v>
      </c>
      <c r="AY33" s="116"/>
      <c r="AZ33" s="116">
        <f t="shared" si="18"/>
        <v>7.0317073170731703</v>
      </c>
      <c r="BA33" s="116">
        <f t="shared" si="19"/>
        <v>-1.4063414634146341</v>
      </c>
      <c r="BB33" s="117">
        <f t="shared" si="20"/>
        <v>12.337478529714875</v>
      </c>
      <c r="BC33" s="122">
        <f t="shared" si="21"/>
        <v>632.7122538646513</v>
      </c>
      <c r="BD33" s="122">
        <f t="shared" si="22"/>
        <v>1200.94</v>
      </c>
      <c r="BE33" s="122">
        <f t="shared" si="23"/>
        <v>1154.0619512195121</v>
      </c>
      <c r="BF33" s="121">
        <f t="shared" si="24"/>
        <v>239.92969735486082</v>
      </c>
      <c r="BG33" s="162">
        <f t="shared" si="25"/>
        <v>0.20790018863486837</v>
      </c>
      <c r="BI33" t="s">
        <v>285</v>
      </c>
    </row>
    <row r="34" spans="1:61" ht="29.1" customHeight="1" x14ac:dyDescent="0.15">
      <c r="A34" s="38" t="s">
        <v>154</v>
      </c>
      <c r="B34" s="66" t="s">
        <v>155</v>
      </c>
      <c r="C34" s="67">
        <v>80</v>
      </c>
      <c r="D34" s="68">
        <v>73</v>
      </c>
      <c r="E34" s="41">
        <v>1609.14</v>
      </c>
      <c r="F34" s="101">
        <v>4</v>
      </c>
      <c r="G34" s="101">
        <v>4</v>
      </c>
      <c r="H34" s="41">
        <v>78.58</v>
      </c>
      <c r="I34" s="41">
        <v>7.86</v>
      </c>
      <c r="J34" s="156">
        <v>2</v>
      </c>
      <c r="K34" s="164">
        <f t="shared" si="0"/>
        <v>2.5000000000000001E-2</v>
      </c>
      <c r="L34" s="158">
        <v>36.520000000000003</v>
      </c>
      <c r="M34" s="159">
        <f t="shared" si="1"/>
        <v>0.42857142857142855</v>
      </c>
      <c r="N34" s="157">
        <f t="shared" si="2"/>
        <v>0.35185185185185186</v>
      </c>
      <c r="O34" s="157">
        <f t="shared" si="3"/>
        <v>0.33990041134444687</v>
      </c>
      <c r="P34" s="106">
        <f t="shared" si="4"/>
        <v>1.095890410958904</v>
      </c>
      <c r="Q34" s="108">
        <f t="shared" si="5"/>
        <v>22.043013698630137</v>
      </c>
      <c r="R34" s="140">
        <f t="shared" si="6"/>
        <v>20.114250000000002</v>
      </c>
      <c r="S34" s="140">
        <f t="shared" si="26"/>
        <v>11.428571428571429</v>
      </c>
      <c r="T34" s="146">
        <f t="shared" si="8"/>
        <v>31</v>
      </c>
      <c r="U34" s="110">
        <f t="shared" si="9"/>
        <v>0.42465753424657532</v>
      </c>
      <c r="V34" s="71">
        <f t="shared" si="10"/>
        <v>0.19687999600319742</v>
      </c>
      <c r="W34" s="68">
        <v>35717</v>
      </c>
      <c r="X34" s="68">
        <v>282</v>
      </c>
      <c r="Y34" s="68">
        <v>42</v>
      </c>
      <c r="Z34" s="68">
        <v>315.26</v>
      </c>
      <c r="AA34" s="69">
        <v>847.04</v>
      </c>
      <c r="AB34" s="68">
        <v>1.1200000000000001</v>
      </c>
      <c r="AC34" s="48">
        <f t="shared" si="11"/>
        <v>0.37219021533811864</v>
      </c>
      <c r="AD34" s="49">
        <f t="shared" si="12"/>
        <v>7.8953999496038305E-3</v>
      </c>
      <c r="AE34" s="49">
        <f t="shared" si="13"/>
        <v>0.14893617021276595</v>
      </c>
      <c r="AF34" s="107">
        <f t="shared" si="14"/>
        <v>7.5061904761904756</v>
      </c>
      <c r="AG34" s="113">
        <v>31</v>
      </c>
      <c r="AH34" s="114">
        <v>29</v>
      </c>
      <c r="AI34" s="114">
        <v>20</v>
      </c>
      <c r="AJ34" s="117">
        <v>0</v>
      </c>
      <c r="AK34" s="116">
        <f>AG34*产品成本!$D$5+AH34*产品成本!$D$6+AI34*产品成本!$D$7+AJ34*产品成本!$D$8</f>
        <v>237.88732394366195</v>
      </c>
      <c r="AL34" s="116">
        <f>AG34*产品成本!$E$5+AH34*产品成本!$E$6+AI34*产品成本!$E$7+AJ34*产品成本!$E$8</f>
        <v>25.65</v>
      </c>
      <c r="AM34" s="116">
        <f>AG34*产品成本!$F$5+AH34*产品成本!$F$6+AI34*产品成本!$F$7+AJ34*产品成本!$F$8</f>
        <v>30.77</v>
      </c>
      <c r="AN34" s="116">
        <f>AG34*产品成本!$G$5+AH34*产品成本!$G$6+AI34*产品成本!$G$7+AJ34*产品成本!$G$8</f>
        <v>375.82000000000005</v>
      </c>
      <c r="AO34" s="116">
        <f t="shared" si="15"/>
        <v>240.19200000000001</v>
      </c>
      <c r="AP34" s="117">
        <f t="shared" si="16"/>
        <v>910.31932394366197</v>
      </c>
      <c r="AQ34" s="118">
        <v>0</v>
      </c>
      <c r="AR34" s="118">
        <v>1</v>
      </c>
      <c r="AS34" s="118">
        <v>1</v>
      </c>
      <c r="AT34" s="160">
        <v>0</v>
      </c>
      <c r="AU34" s="161">
        <f t="shared" si="17"/>
        <v>44.536585365853668</v>
      </c>
      <c r="AV34" s="116">
        <f>AQ34*产品成本!$D$5+AR34*产品成本!$D$6+AS34*产品成本!$D$7+AT34*产品成本!D43</f>
        <v>6.47887323943662</v>
      </c>
      <c r="AW34" s="116">
        <f>AQ34*产品成本!$E$5+AR34*产品成本!$E$6+AS34*产品成本!$E$7+AT34*产品成本!E43</f>
        <v>0.72</v>
      </c>
      <c r="AX34" s="116">
        <f>AQ34*产品成本!$F$5+AR34*产品成本!$F$6+AS34*产品成本!$F$7+AT34*产品成本!F43</f>
        <v>0.75</v>
      </c>
      <c r="AY34" s="116"/>
      <c r="AZ34" s="116">
        <f t="shared" si="18"/>
        <v>6.6804878048780498</v>
      </c>
      <c r="BA34" s="116">
        <f t="shared" si="19"/>
        <v>-1.3360975609756101</v>
      </c>
      <c r="BB34" s="117">
        <f t="shared" si="20"/>
        <v>13.293263483339061</v>
      </c>
      <c r="BC34" s="122">
        <f t="shared" si="21"/>
        <v>897.02606046032292</v>
      </c>
      <c r="BD34" s="122">
        <f t="shared" si="22"/>
        <v>1601.2800000000002</v>
      </c>
      <c r="BE34" s="122">
        <f t="shared" si="23"/>
        <v>1556.7434146341466</v>
      </c>
      <c r="BF34" s="121">
        <f t="shared" si="24"/>
        <v>344.45735417382366</v>
      </c>
      <c r="BG34" s="162">
        <f t="shared" si="25"/>
        <v>0.22126790512537692</v>
      </c>
    </row>
    <row r="35" spans="1:61" ht="29.1" customHeight="1" x14ac:dyDescent="0.15">
      <c r="A35" s="38" t="s">
        <v>156</v>
      </c>
      <c r="B35" s="66" t="s">
        <v>157</v>
      </c>
      <c r="C35" s="67">
        <v>55</v>
      </c>
      <c r="D35" s="68">
        <v>52</v>
      </c>
      <c r="E35" s="41">
        <v>1205.75</v>
      </c>
      <c r="F35" s="101">
        <v>3</v>
      </c>
      <c r="G35" s="101">
        <v>3</v>
      </c>
      <c r="H35" s="41">
        <v>63.87</v>
      </c>
      <c r="I35" s="41">
        <v>6.39</v>
      </c>
      <c r="J35" s="156">
        <v>2</v>
      </c>
      <c r="K35" s="164">
        <f t="shared" si="0"/>
        <v>3.6363636363636362E-2</v>
      </c>
      <c r="L35" s="158">
        <v>35.04</v>
      </c>
      <c r="M35" s="159">
        <f t="shared" si="1"/>
        <v>-0.3125</v>
      </c>
      <c r="N35" s="157">
        <f t="shared" si="2"/>
        <v>-0.28767123287671231</v>
      </c>
      <c r="O35" s="157">
        <f t="shared" si="3"/>
        <v>-0.25068670221360484</v>
      </c>
      <c r="P35" s="106">
        <f t="shared" si="4"/>
        <v>1.0576923076923077</v>
      </c>
      <c r="Q35" s="108">
        <f t="shared" si="5"/>
        <v>23.1875</v>
      </c>
      <c r="R35" s="140">
        <f t="shared" si="6"/>
        <v>21.922727272727272</v>
      </c>
      <c r="S35" s="140">
        <f t="shared" si="26"/>
        <v>7.8571428571428568</v>
      </c>
      <c r="T35" s="146">
        <f t="shared" si="8"/>
        <v>13</v>
      </c>
      <c r="U35" s="110">
        <f t="shared" si="9"/>
        <v>0.25</v>
      </c>
      <c r="V35" s="71">
        <f t="shared" si="10"/>
        <v>0.22093449839914625</v>
      </c>
      <c r="W35" s="68">
        <v>24731</v>
      </c>
      <c r="X35" s="68">
        <v>249</v>
      </c>
      <c r="Y35" s="68">
        <v>39</v>
      </c>
      <c r="Z35" s="68">
        <v>264.98</v>
      </c>
      <c r="AA35" s="69">
        <v>920.08</v>
      </c>
      <c r="AB35" s="68">
        <v>1.06</v>
      </c>
      <c r="AC35" s="48">
        <f t="shared" si="11"/>
        <v>0.28799669593948352</v>
      </c>
      <c r="AD35" s="49">
        <f t="shared" si="12"/>
        <v>1.0068335287695605E-2</v>
      </c>
      <c r="AE35" s="49">
        <f t="shared" si="13"/>
        <v>0.15662650602409639</v>
      </c>
      <c r="AF35" s="107">
        <f t="shared" si="14"/>
        <v>6.7943589743589747</v>
      </c>
      <c r="AG35" s="113">
        <v>14</v>
      </c>
      <c r="AH35" s="114">
        <v>30</v>
      </c>
      <c r="AI35" s="114">
        <v>12</v>
      </c>
      <c r="AJ35" s="117">
        <v>0</v>
      </c>
      <c r="AK35" s="116">
        <f>AG35*产品成本!$D$5+AH35*产品成本!$D$6+AI35*产品成本!$D$7+AJ35*产品成本!$D$8</f>
        <v>165.91549295774644</v>
      </c>
      <c r="AL35" s="116">
        <f>AG35*产品成本!$E$5+AH35*产品成本!$E$6+AI35*产品成本!$E$7+AJ35*产品成本!$E$8</f>
        <v>18.18</v>
      </c>
      <c r="AM35" s="116">
        <f>AG35*产品成本!$F$5+AH35*产品成本!$F$6+AI35*产品成本!$F$7+AJ35*产品成本!$F$8</f>
        <v>20.86</v>
      </c>
      <c r="AN35" s="116">
        <f>AG35*产品成本!$G$5+AH35*产品成本!$G$6+AI35*产品成本!$G$7+AJ35*产品成本!$G$8</f>
        <v>254.36</v>
      </c>
      <c r="AO35" s="116">
        <f t="shared" si="15"/>
        <v>179.90399999999997</v>
      </c>
      <c r="AP35" s="117">
        <f t="shared" si="16"/>
        <v>639.21949295774641</v>
      </c>
      <c r="AQ35" s="118">
        <v>0</v>
      </c>
      <c r="AR35" s="118">
        <v>0</v>
      </c>
      <c r="AS35" s="118">
        <v>2</v>
      </c>
      <c r="AT35" s="160">
        <v>0</v>
      </c>
      <c r="AU35" s="161">
        <f t="shared" si="17"/>
        <v>42.731707317073173</v>
      </c>
      <c r="AV35" s="116">
        <f>AQ35*产品成本!$D$5+AR35*产品成本!$D$6+AS35*产品成本!$D$7+AT35*产品成本!D44</f>
        <v>7.3239436619718399</v>
      </c>
      <c r="AW35" s="116">
        <f>AQ35*产品成本!$E$5+AR35*产品成本!$E$6+AS35*产品成本!$E$7+AT35*产品成本!E44</f>
        <v>0.8</v>
      </c>
      <c r="AX35" s="116">
        <f>AQ35*产品成本!$F$5+AR35*产品成本!$F$6+AS35*产品成本!$F$7+AT35*产品成本!F44</f>
        <v>0.82</v>
      </c>
      <c r="AY35" s="116"/>
      <c r="AZ35" s="116">
        <f t="shared" si="18"/>
        <v>6.409756097560976</v>
      </c>
      <c r="BA35" s="116">
        <f t="shared" si="19"/>
        <v>-1.2819512195121954</v>
      </c>
      <c r="BB35" s="117">
        <f t="shared" si="20"/>
        <v>14.071748540020621</v>
      </c>
      <c r="BC35" s="122">
        <f t="shared" si="21"/>
        <v>625.14774441772579</v>
      </c>
      <c r="BD35" s="122">
        <f t="shared" si="22"/>
        <v>1199.3599999999999</v>
      </c>
      <c r="BE35" s="122">
        <f t="shared" si="23"/>
        <v>1156.6282926829267</v>
      </c>
      <c r="BF35" s="121">
        <f t="shared" si="24"/>
        <v>266.50054826520091</v>
      </c>
      <c r="BG35" s="162">
        <f t="shared" si="25"/>
        <v>0.23041157643396698</v>
      </c>
    </row>
    <row r="36" spans="1:61" ht="29.1" customHeight="1" x14ac:dyDescent="0.15">
      <c r="A36" s="38" t="s">
        <v>158</v>
      </c>
      <c r="B36" s="66" t="s">
        <v>159</v>
      </c>
      <c r="C36" s="67">
        <v>63</v>
      </c>
      <c r="D36" s="68">
        <v>62</v>
      </c>
      <c r="E36" s="41">
        <v>1371.33</v>
      </c>
      <c r="F36" s="101">
        <v>7</v>
      </c>
      <c r="G36" s="101">
        <v>7</v>
      </c>
      <c r="H36" s="41">
        <v>150.22999999999999</v>
      </c>
      <c r="I36" s="41">
        <v>13.92</v>
      </c>
      <c r="J36" s="156">
        <v>3</v>
      </c>
      <c r="K36" s="164">
        <f t="shared" ref="K36:K78" si="27">J36/C36</f>
        <v>4.7619047619047616E-2</v>
      </c>
      <c r="L36" s="158">
        <v>35.729999999999997</v>
      </c>
      <c r="M36" s="159">
        <f t="shared" ref="M36:M74" si="28">(C36-C35)/C35</f>
        <v>0.14545454545454545</v>
      </c>
      <c r="N36" s="157">
        <f t="shared" ref="N36:N74" si="29">(D36-D35)/D35</f>
        <v>0.19230769230769232</v>
      </c>
      <c r="O36" s="157">
        <f t="shared" ref="O36:O74" si="30">(E36-E35)/E35</f>
        <v>0.13732531619324065</v>
      </c>
      <c r="P36" s="106">
        <f t="shared" ref="P36:P74" si="31">C36/D36</f>
        <v>1.0161290322580645</v>
      </c>
      <c r="Q36" s="108">
        <f t="shared" ref="Q36:Q74" si="32">E36/D36</f>
        <v>22.118225806451612</v>
      </c>
      <c r="R36" s="140">
        <f t="shared" ref="R36:R74" si="33">E36/C36</f>
        <v>21.767142857142854</v>
      </c>
      <c r="S36" s="140">
        <f t="shared" si="26"/>
        <v>9</v>
      </c>
      <c r="T36" s="146">
        <f t="shared" ref="T36:T74" si="34">D36-Y36</f>
        <v>30</v>
      </c>
      <c r="U36" s="110">
        <f t="shared" ref="U36:U78" si="35">T36/D36</f>
        <v>0.4838709677419355</v>
      </c>
      <c r="V36" s="71">
        <f t="shared" ref="V36:V74" si="36">Z36/(E36-I36)</f>
        <v>0.15868455367206669</v>
      </c>
      <c r="W36" s="68">
        <v>23646</v>
      </c>
      <c r="X36" s="68">
        <v>200</v>
      </c>
      <c r="Y36" s="68">
        <v>32</v>
      </c>
      <c r="Z36" s="68">
        <v>215.4</v>
      </c>
      <c r="AA36" s="69">
        <v>694.66</v>
      </c>
      <c r="AB36" s="68">
        <v>1.08</v>
      </c>
      <c r="AC36" s="48">
        <f t="shared" ref="AC36:AC78" si="37">Z36/AA36</f>
        <v>0.31007975124521353</v>
      </c>
      <c r="AD36" s="49">
        <f t="shared" ref="AD36:AD74" si="38">X36/W36</f>
        <v>8.4580901632411408E-3</v>
      </c>
      <c r="AE36" s="49">
        <f t="shared" ref="AE36:AE75" si="39">Y36/X36</f>
        <v>0.16</v>
      </c>
      <c r="AF36" s="107">
        <f t="shared" ref="AF36:AF74" si="40">Z36/Y36</f>
        <v>6.7312500000000002</v>
      </c>
      <c r="AG36" s="113">
        <v>26</v>
      </c>
      <c r="AH36" s="114">
        <v>19</v>
      </c>
      <c r="AI36" s="114">
        <v>16</v>
      </c>
      <c r="AJ36" s="160">
        <v>2</v>
      </c>
      <c r="AK36" s="116">
        <f>AG36*产品成本!$D$5+AH36*产品成本!$D$6+AI36*产品成本!$D$7+AJ36*产品成本!$D$8</f>
        <v>192.95774647887325</v>
      </c>
      <c r="AL36" s="116">
        <f>AG36*产品成本!$E$5+AH36*产品成本!$E$6+AI36*产品成本!$E$7+AJ36*产品成本!$E$8</f>
        <v>21.1</v>
      </c>
      <c r="AM36" s="116">
        <f>AG36*产品成本!$F$5+AH36*产品成本!$F$6+AI36*产品成本!$F$7+AJ36*产品成本!$F$8</f>
        <v>24.5</v>
      </c>
      <c r="AN36" s="116">
        <f>AG36*产品成本!$G$5+AH36*产品成本!$G$6+AI36*产品成本!$G$7+AJ36*产品成本!$G$8</f>
        <v>300.44000000000005</v>
      </c>
      <c r="AO36" s="116">
        <f t="shared" ref="AO36:AO74" si="41">(E36-I36)*0.15</f>
        <v>203.61149999999998</v>
      </c>
      <c r="AP36" s="117">
        <f t="shared" ref="AP36:AP74" si="42">SUM(AK36:AO36)</f>
        <v>742.60924647887327</v>
      </c>
      <c r="AQ36" s="118">
        <v>2</v>
      </c>
      <c r="AR36" s="118">
        <v>0</v>
      </c>
      <c r="AS36" s="118">
        <v>1</v>
      </c>
      <c r="AT36" s="160">
        <v>0</v>
      </c>
      <c r="AU36" s="161">
        <f t="shared" ref="AU36:AU74" si="43">L36/(1-0.15-0.15*0.2)</f>
        <v>43.573170731707314</v>
      </c>
      <c r="AV36" s="116">
        <f>AQ36*产品成本!$D$5+AR36*产品成本!$D$6+AS36*产品成本!$D$7+AT36*产品成本!D45</f>
        <v>9.0140845070422593</v>
      </c>
      <c r="AW36" s="116">
        <f>AQ36*产品成本!$E$5+AR36*产品成本!$E$6+AS36*产品成本!$E$7+AT36*产品成本!E45</f>
        <v>0.94000000000000006</v>
      </c>
      <c r="AX36" s="116">
        <f>AQ36*产品成本!$F$5+AR36*产品成本!$F$6+AS36*产品成本!$F$7+AT36*产品成本!F45</f>
        <v>1.23</v>
      </c>
      <c r="AY36" s="116"/>
      <c r="AZ36" s="116">
        <f t="shared" ref="AZ36:AZ74" si="44">AU36*0.15</f>
        <v>6.5359756097560968</v>
      </c>
      <c r="BA36" s="116">
        <f t="shared" ref="BA36:BA74" si="45">-AZ36*0.2</f>
        <v>-1.3071951219512195</v>
      </c>
      <c r="BB36" s="117">
        <f t="shared" ref="BB36:BB74" si="46">SUM(AV36:BA36)</f>
        <v>16.412864994847137</v>
      </c>
      <c r="BC36" s="122">
        <f t="shared" ref="BC36:BC74" si="47">AP36-BB36</f>
        <v>726.19638148402612</v>
      </c>
      <c r="BD36" s="122">
        <f t="shared" ref="BD36:BD74" si="48">E36-I36</f>
        <v>1357.4099999999999</v>
      </c>
      <c r="BE36" s="122">
        <f t="shared" ref="BE36:BE74" si="49">E36-AU36-I36</f>
        <v>1313.8368292682926</v>
      </c>
      <c r="BF36" s="121">
        <f t="shared" ref="BF36:BF74" si="50">BE36-BC36-Z36</f>
        <v>372.24044778426651</v>
      </c>
      <c r="BG36" s="162">
        <f t="shared" ref="BG36:BG74" si="51">BF36/BE36</f>
        <v>0.28332319470110773</v>
      </c>
    </row>
    <row r="37" spans="1:61" ht="29.1" customHeight="1" x14ac:dyDescent="0.15">
      <c r="A37" s="38" t="s">
        <v>160</v>
      </c>
      <c r="B37" s="66" t="s">
        <v>161</v>
      </c>
      <c r="C37" s="67">
        <v>47</v>
      </c>
      <c r="D37" s="68">
        <v>47</v>
      </c>
      <c r="E37" s="41">
        <v>1055.77</v>
      </c>
      <c r="F37" s="101">
        <v>3</v>
      </c>
      <c r="G37" s="101">
        <v>3</v>
      </c>
      <c r="H37" s="41">
        <v>64.77</v>
      </c>
      <c r="I37" s="41">
        <v>6.48</v>
      </c>
      <c r="J37" s="156">
        <v>4</v>
      </c>
      <c r="K37" s="164">
        <f t="shared" si="27"/>
        <v>8.5106382978723402E-2</v>
      </c>
      <c r="L37" s="158">
        <v>69.91</v>
      </c>
      <c r="M37" s="159">
        <f t="shared" si="28"/>
        <v>-0.25396825396825395</v>
      </c>
      <c r="N37" s="157">
        <f t="shared" si="29"/>
        <v>-0.24193548387096775</v>
      </c>
      <c r="O37" s="157">
        <f t="shared" si="30"/>
        <v>-0.23011237266011825</v>
      </c>
      <c r="P37" s="106">
        <f t="shared" si="31"/>
        <v>1</v>
      </c>
      <c r="Q37" s="108">
        <f t="shared" si="32"/>
        <v>22.463191489361702</v>
      </c>
      <c r="R37" s="140">
        <f t="shared" si="33"/>
        <v>22.463191489361702</v>
      </c>
      <c r="S37" s="140">
        <f t="shared" si="26"/>
        <v>6.7142857142857144</v>
      </c>
      <c r="T37" s="146">
        <f t="shared" si="34"/>
        <v>15</v>
      </c>
      <c r="U37" s="110">
        <f t="shared" si="35"/>
        <v>0.31914893617021278</v>
      </c>
      <c r="V37" s="71">
        <f t="shared" si="36"/>
        <v>0.21846200764326354</v>
      </c>
      <c r="W37" s="68">
        <v>24533</v>
      </c>
      <c r="X37" s="68">
        <v>218</v>
      </c>
      <c r="Y37" s="68">
        <v>32</v>
      </c>
      <c r="Z37" s="68">
        <v>229.23</v>
      </c>
      <c r="AA37" s="69">
        <v>714.53</v>
      </c>
      <c r="AB37" s="68">
        <v>1.05</v>
      </c>
      <c r="AC37" s="48">
        <f t="shared" si="37"/>
        <v>0.32081228219948776</v>
      </c>
      <c r="AD37" s="49">
        <f t="shared" si="38"/>
        <v>8.885990298781234E-3</v>
      </c>
      <c r="AE37" s="49">
        <f t="shared" si="39"/>
        <v>0.14678899082568808</v>
      </c>
      <c r="AF37" s="107">
        <f t="shared" si="40"/>
        <v>7.1634374999999997</v>
      </c>
      <c r="AG37" s="113">
        <v>12</v>
      </c>
      <c r="AH37" s="114">
        <v>20</v>
      </c>
      <c r="AI37" s="114">
        <v>12</v>
      </c>
      <c r="AJ37" s="160">
        <v>3</v>
      </c>
      <c r="AK37" s="116">
        <f>AG37*产品成本!$D$5+AH37*产品成本!$D$6+AI37*产品成本!$D$7+AJ37*产品成本!$D$8</f>
        <v>149.2957746478873</v>
      </c>
      <c r="AL37" s="116">
        <f>AG37*产品成本!$E$5+AH37*产品成本!$E$6+AI37*产品成本!$E$7+AJ37*产品成本!$E$8</f>
        <v>16.840000000000003</v>
      </c>
      <c r="AM37" s="116">
        <f>AG37*产品成本!$F$5+AH37*产品成本!$F$6+AI37*产品成本!$F$7+AJ37*产品成本!$F$8</f>
        <v>17.87</v>
      </c>
      <c r="AN37" s="116">
        <f>AG37*产品成本!$G$5+AH37*产品成本!$G$6+AI37*产品成本!$G$7+AJ37*产品成本!$G$8</f>
        <v>220.32</v>
      </c>
      <c r="AO37" s="116">
        <f t="shared" si="41"/>
        <v>157.39349999999999</v>
      </c>
      <c r="AP37" s="117">
        <f t="shared" si="42"/>
        <v>561.71927464788735</v>
      </c>
      <c r="AQ37" s="118">
        <v>2</v>
      </c>
      <c r="AR37" s="118">
        <v>1</v>
      </c>
      <c r="AS37" s="118">
        <v>0</v>
      </c>
      <c r="AT37" s="160">
        <v>0</v>
      </c>
      <c r="AU37" s="161">
        <f t="shared" si="43"/>
        <v>85.256097560975604</v>
      </c>
      <c r="AV37" s="116">
        <f>AQ37*产品成本!$D$5+AR37*产品成本!$D$6+AS37*产品成本!$D$7+AT37*产品成本!D46</f>
        <v>8.1690140845070403</v>
      </c>
      <c r="AW37" s="116">
        <f>AQ37*产品成本!$E$5+AR37*产品成本!$E$6+AS37*产品成本!$E$7+AT37*产品成本!E46</f>
        <v>0.8600000000000001</v>
      </c>
      <c r="AX37" s="116">
        <f>AQ37*产品成本!$F$5+AR37*产品成本!$F$6+AS37*产品成本!$F$7+AT37*产品成本!F46</f>
        <v>1.1599999999999999</v>
      </c>
      <c r="AY37" s="116"/>
      <c r="AZ37" s="116">
        <f t="shared" si="44"/>
        <v>12.78841463414634</v>
      </c>
      <c r="BA37" s="116">
        <f t="shared" si="45"/>
        <v>-2.5576829268292682</v>
      </c>
      <c r="BB37" s="117">
        <f t="shared" si="46"/>
        <v>20.419745791824109</v>
      </c>
      <c r="BC37" s="122">
        <f t="shared" si="47"/>
        <v>541.29952885606326</v>
      </c>
      <c r="BD37" s="122">
        <f t="shared" si="48"/>
        <v>1049.29</v>
      </c>
      <c r="BE37" s="122">
        <f t="shared" si="49"/>
        <v>964.03390243902436</v>
      </c>
      <c r="BF37" s="121">
        <f t="shared" si="50"/>
        <v>193.50437358296111</v>
      </c>
      <c r="BG37" s="162">
        <f t="shared" si="51"/>
        <v>0.20072361884098819</v>
      </c>
    </row>
    <row r="38" spans="1:61" ht="29.1" customHeight="1" x14ac:dyDescent="0.15">
      <c r="A38" s="38" t="s">
        <v>162</v>
      </c>
      <c r="B38" s="66" t="s">
        <v>163</v>
      </c>
      <c r="C38" s="67">
        <v>47</v>
      </c>
      <c r="D38" s="68">
        <v>45</v>
      </c>
      <c r="E38" s="41">
        <v>993.62</v>
      </c>
      <c r="F38" s="101">
        <v>1</v>
      </c>
      <c r="G38" s="101">
        <v>1</v>
      </c>
      <c r="H38" s="41">
        <v>18.78</v>
      </c>
      <c r="I38" s="41">
        <v>1.88</v>
      </c>
      <c r="J38" s="156">
        <v>4</v>
      </c>
      <c r="K38" s="164">
        <f t="shared" si="27"/>
        <v>8.5106382978723402E-2</v>
      </c>
      <c r="L38" s="158">
        <v>68.290000000000006</v>
      </c>
      <c r="M38" s="159">
        <f t="shared" si="28"/>
        <v>0</v>
      </c>
      <c r="N38" s="157">
        <f t="shared" si="29"/>
        <v>-4.2553191489361701E-2</v>
      </c>
      <c r="O38" s="157">
        <f t="shared" si="30"/>
        <v>-5.8866988075054208E-2</v>
      </c>
      <c r="P38" s="106">
        <f t="shared" si="31"/>
        <v>1.0444444444444445</v>
      </c>
      <c r="Q38" s="108">
        <f t="shared" si="32"/>
        <v>22.080444444444446</v>
      </c>
      <c r="R38" s="140">
        <f t="shared" si="33"/>
        <v>21.140851063829789</v>
      </c>
      <c r="S38" s="140">
        <f t="shared" si="26"/>
        <v>6.7142857142857144</v>
      </c>
      <c r="T38" s="146">
        <f t="shared" si="34"/>
        <v>14</v>
      </c>
      <c r="U38" s="110">
        <f t="shared" si="35"/>
        <v>0.31111111111111112</v>
      </c>
      <c r="V38" s="71">
        <f t="shared" si="36"/>
        <v>0.237975679109444</v>
      </c>
      <c r="W38" s="68">
        <v>21172</v>
      </c>
      <c r="X38" s="68">
        <v>214</v>
      </c>
      <c r="Y38" s="68">
        <v>31</v>
      </c>
      <c r="Z38" s="68">
        <v>236.01</v>
      </c>
      <c r="AA38" s="69">
        <v>665.06</v>
      </c>
      <c r="AB38" s="68">
        <v>1.1000000000000001</v>
      </c>
      <c r="AC38" s="48">
        <f t="shared" si="37"/>
        <v>0.3548702372718251</v>
      </c>
      <c r="AD38" s="49">
        <f t="shared" si="38"/>
        <v>1.0107689401095786E-2</v>
      </c>
      <c r="AE38" s="49">
        <f t="shared" si="39"/>
        <v>0.14485981308411214</v>
      </c>
      <c r="AF38" s="107">
        <f t="shared" si="40"/>
        <v>7.613225806451613</v>
      </c>
      <c r="AG38" s="113">
        <v>13</v>
      </c>
      <c r="AH38" s="114">
        <v>20</v>
      </c>
      <c r="AI38" s="114">
        <v>11</v>
      </c>
      <c r="AJ38" s="160">
        <v>3</v>
      </c>
      <c r="AK38" s="116">
        <f>AG38*产品成本!$D$5+AH38*产品成本!$D$6+AI38*产品成本!$D$7+AJ38*产品成本!$D$8</f>
        <v>148.30985915492954</v>
      </c>
      <c r="AL38" s="116">
        <f>AG38*产品成本!$E$5+AH38*产品成本!$E$6+AI38*产品成本!$E$7+AJ38*产品成本!$E$8</f>
        <v>16.71</v>
      </c>
      <c r="AM38" s="116">
        <f>AG38*产品成本!$F$5+AH38*产品成本!$F$6+AI38*产品成本!$F$7+AJ38*产品成本!$F$8</f>
        <v>17.87</v>
      </c>
      <c r="AN38" s="116">
        <f>AG38*产品成本!$G$5+AH38*产品成本!$G$6+AI38*产品成本!$G$7+AJ38*产品成本!$G$8</f>
        <v>219.94000000000003</v>
      </c>
      <c r="AO38" s="116">
        <f t="shared" si="41"/>
        <v>148.761</v>
      </c>
      <c r="AP38" s="117">
        <f t="shared" si="42"/>
        <v>551.5908591549296</v>
      </c>
      <c r="AQ38" s="118">
        <v>1</v>
      </c>
      <c r="AR38" s="118">
        <v>1</v>
      </c>
      <c r="AS38" s="118">
        <v>2</v>
      </c>
      <c r="AT38" s="160">
        <v>0</v>
      </c>
      <c r="AU38" s="161">
        <f t="shared" si="43"/>
        <v>83.280487804878064</v>
      </c>
      <c r="AV38" s="116">
        <f>AQ38*产品成本!$D$5+AR38*产品成本!$D$6+AS38*产品成本!$D$7+AT38*产品成本!D47</f>
        <v>12.816901408450711</v>
      </c>
      <c r="AW38" s="116">
        <f>AQ38*产品成本!$E$5+AR38*产品成本!$E$6+AS38*产品成本!$E$7+AT38*产品成本!E47</f>
        <v>1.3900000000000001</v>
      </c>
      <c r="AX38" s="116">
        <f>AQ38*产品成本!$F$5+AR38*产品成本!$F$6+AS38*产品成本!$F$7+AT38*产品成本!F47</f>
        <v>1.5699999999999998</v>
      </c>
      <c r="AY38" s="116"/>
      <c r="AZ38" s="116">
        <f t="shared" si="44"/>
        <v>12.492073170731709</v>
      </c>
      <c r="BA38" s="116">
        <f t="shared" si="45"/>
        <v>-2.498414634146342</v>
      </c>
      <c r="BB38" s="117">
        <f t="shared" si="46"/>
        <v>25.770559945036076</v>
      </c>
      <c r="BC38" s="122">
        <f t="shared" si="47"/>
        <v>525.82029920989351</v>
      </c>
      <c r="BD38" s="122">
        <f t="shared" si="48"/>
        <v>991.74</v>
      </c>
      <c r="BE38" s="122">
        <f t="shared" si="49"/>
        <v>908.45951219512199</v>
      </c>
      <c r="BF38" s="121">
        <f t="shared" si="50"/>
        <v>146.62921298522849</v>
      </c>
      <c r="BG38" s="162">
        <f t="shared" si="51"/>
        <v>0.16140423543029067</v>
      </c>
    </row>
    <row r="39" spans="1:61" ht="29.1" customHeight="1" x14ac:dyDescent="0.15">
      <c r="A39" s="38" t="s">
        <v>165</v>
      </c>
      <c r="B39" s="38" t="s">
        <v>166</v>
      </c>
      <c r="C39" s="67">
        <v>51</v>
      </c>
      <c r="D39" s="68">
        <v>46</v>
      </c>
      <c r="E39" s="41">
        <v>967.06</v>
      </c>
      <c r="F39" s="101">
        <v>0</v>
      </c>
      <c r="G39" s="101">
        <v>0</v>
      </c>
      <c r="H39" s="41">
        <v>0</v>
      </c>
      <c r="I39" s="41">
        <v>0</v>
      </c>
      <c r="J39" s="156">
        <v>2</v>
      </c>
      <c r="K39" s="164">
        <f t="shared" si="27"/>
        <v>3.9215686274509803E-2</v>
      </c>
      <c r="L39" s="158">
        <v>32.36</v>
      </c>
      <c r="M39" s="159">
        <f t="shared" si="28"/>
        <v>8.5106382978723402E-2</v>
      </c>
      <c r="N39" s="157">
        <f t="shared" si="29"/>
        <v>2.2222222222222223E-2</v>
      </c>
      <c r="O39" s="157">
        <f t="shared" si="30"/>
        <v>-2.6730540850627059E-2</v>
      </c>
      <c r="P39" s="106">
        <f t="shared" si="31"/>
        <v>1.1086956521739131</v>
      </c>
      <c r="Q39" s="108">
        <f t="shared" si="32"/>
        <v>21.023043478260867</v>
      </c>
      <c r="R39" s="140">
        <f t="shared" si="33"/>
        <v>18.961960784313725</v>
      </c>
      <c r="S39" s="140">
        <f t="shared" ref="S39:S46" si="52">C39/4</f>
        <v>12.75</v>
      </c>
      <c r="T39" s="146">
        <f t="shared" si="34"/>
        <v>24</v>
      </c>
      <c r="U39" s="110">
        <f t="shared" si="35"/>
        <v>0.52173913043478259</v>
      </c>
      <c r="V39" s="71">
        <f t="shared" si="36"/>
        <v>0.24940541434864436</v>
      </c>
      <c r="W39" s="68">
        <v>20363</v>
      </c>
      <c r="X39" s="68">
        <v>187</v>
      </c>
      <c r="Y39" s="68">
        <v>22</v>
      </c>
      <c r="Z39" s="68">
        <v>241.19</v>
      </c>
      <c r="AA39" s="69">
        <v>469.42</v>
      </c>
      <c r="AB39" s="68">
        <v>1.29</v>
      </c>
      <c r="AC39" s="48">
        <f t="shared" si="37"/>
        <v>0.51380426909803589</v>
      </c>
      <c r="AD39" s="49">
        <f t="shared" si="38"/>
        <v>9.1833226931198747E-3</v>
      </c>
      <c r="AE39" s="49">
        <f t="shared" si="39"/>
        <v>0.11764705882352941</v>
      </c>
      <c r="AF39" s="107">
        <f t="shared" si="40"/>
        <v>10.963181818181818</v>
      </c>
      <c r="AG39" s="113">
        <v>13</v>
      </c>
      <c r="AH39" s="114">
        <v>18</v>
      </c>
      <c r="AI39" s="114">
        <v>16</v>
      </c>
      <c r="AJ39" s="160">
        <v>2</v>
      </c>
      <c r="AK39" s="116">
        <f>AG39*产品成本!$D$5+AH39*产品成本!$D$6+AI39*产品成本!$D$7+AJ39*产品成本!$D$8</f>
        <v>155.35211267605635</v>
      </c>
      <c r="AL39" s="116">
        <f>AG39*产品成本!$E$5+AH39*产品成本!$E$6+AI39*产品成本!$E$7+AJ39*产品成本!$E$8</f>
        <v>17.27</v>
      </c>
      <c r="AM39" s="116">
        <f>AG39*产品成本!$F$5+AH39*产品成本!$F$6+AI39*产品成本!$F$7+AJ39*产品成本!$F$8</f>
        <v>18.829999999999998</v>
      </c>
      <c r="AN39" s="116">
        <f>AG39*产品成本!$G$5+AH39*产品成本!$G$6+AI39*产品成本!$G$7+AJ39*产品成本!$G$8</f>
        <v>232.66</v>
      </c>
      <c r="AO39" s="116">
        <f t="shared" si="41"/>
        <v>145.059</v>
      </c>
      <c r="AP39" s="117">
        <f t="shared" si="42"/>
        <v>569.17111267605628</v>
      </c>
      <c r="AQ39" s="118">
        <v>1</v>
      </c>
      <c r="AR39" s="118">
        <v>0</v>
      </c>
      <c r="AS39" s="118">
        <v>1</v>
      </c>
      <c r="AT39" s="160">
        <v>0</v>
      </c>
      <c r="AU39" s="161">
        <f t="shared" si="43"/>
        <v>39.463414634146346</v>
      </c>
      <c r="AV39" s="116">
        <f>AQ39*产品成本!$D$5+AR39*产品成本!$D$6+AS39*产品成本!$D$7+AT39*产品成本!D48</f>
        <v>6.3380281690140894</v>
      </c>
      <c r="AW39" s="116">
        <f>AQ39*产品成本!$E$5+AR39*产品成本!$E$6+AS39*产品成本!$E$7+AT39*产品成本!E48</f>
        <v>0.67</v>
      </c>
      <c r="AX39" s="116">
        <f>AQ39*产品成本!$F$5+AR39*产品成本!$F$6+AS39*产品成本!$F$7+AT39*产品成本!F48</f>
        <v>0.82</v>
      </c>
      <c r="AY39" s="116"/>
      <c r="AZ39" s="116">
        <f t="shared" si="44"/>
        <v>5.9195121951219516</v>
      </c>
      <c r="BA39" s="116">
        <f t="shared" si="45"/>
        <v>-1.1839024390243904</v>
      </c>
      <c r="BB39" s="117">
        <f t="shared" si="46"/>
        <v>12.563637925111651</v>
      </c>
      <c r="BC39" s="122">
        <f t="shared" si="47"/>
        <v>556.60747475094468</v>
      </c>
      <c r="BD39" s="122">
        <f t="shared" si="48"/>
        <v>967.06</v>
      </c>
      <c r="BE39" s="122">
        <f t="shared" si="49"/>
        <v>927.59658536585357</v>
      </c>
      <c r="BF39" s="121">
        <f t="shared" si="50"/>
        <v>129.7991106149089</v>
      </c>
      <c r="BG39" s="162">
        <f t="shared" si="51"/>
        <v>0.13993056104633547</v>
      </c>
    </row>
    <row r="40" spans="1:61" ht="29.1" customHeight="1" x14ac:dyDescent="0.15">
      <c r="A40" s="38" t="s">
        <v>167</v>
      </c>
      <c r="B40" s="38" t="s">
        <v>168</v>
      </c>
      <c r="C40" s="67">
        <v>68</v>
      </c>
      <c r="D40" s="68">
        <v>63</v>
      </c>
      <c r="E40" s="41">
        <v>1333.48</v>
      </c>
      <c r="F40" s="101">
        <v>0</v>
      </c>
      <c r="G40" s="101">
        <v>0</v>
      </c>
      <c r="H40" s="41">
        <v>0</v>
      </c>
      <c r="I40" s="41">
        <v>0</v>
      </c>
      <c r="J40" s="156">
        <v>4</v>
      </c>
      <c r="K40" s="164">
        <f t="shared" si="27"/>
        <v>5.8823529411764705E-2</v>
      </c>
      <c r="L40" s="158">
        <v>65.13</v>
      </c>
      <c r="M40" s="159">
        <f t="shared" si="28"/>
        <v>0.33333333333333331</v>
      </c>
      <c r="N40" s="157">
        <f t="shared" si="29"/>
        <v>0.36956521739130432</v>
      </c>
      <c r="O40" s="157">
        <f t="shared" si="30"/>
        <v>0.37890099890389439</v>
      </c>
      <c r="P40" s="106">
        <f t="shared" si="31"/>
        <v>1.0793650793650793</v>
      </c>
      <c r="Q40" s="108">
        <f t="shared" si="32"/>
        <v>21.166349206349206</v>
      </c>
      <c r="R40" s="140">
        <f t="shared" si="33"/>
        <v>19.61</v>
      </c>
      <c r="S40" s="140">
        <f t="shared" si="52"/>
        <v>17</v>
      </c>
      <c r="T40" s="146">
        <f t="shared" si="34"/>
        <v>28</v>
      </c>
      <c r="U40" s="110">
        <f t="shared" si="35"/>
        <v>0.44444444444444442</v>
      </c>
      <c r="V40" s="71">
        <f t="shared" si="36"/>
        <v>0.24685034646188919</v>
      </c>
      <c r="W40" s="68">
        <v>27726</v>
      </c>
      <c r="X40" s="68">
        <v>262</v>
      </c>
      <c r="Y40" s="68">
        <v>35</v>
      </c>
      <c r="Z40" s="68">
        <v>329.17</v>
      </c>
      <c r="AA40" s="69">
        <v>735.36</v>
      </c>
      <c r="AB40" s="68">
        <v>1.26</v>
      </c>
      <c r="AC40" s="48">
        <f t="shared" si="37"/>
        <v>0.44763109225413406</v>
      </c>
      <c r="AD40" s="49">
        <f t="shared" si="38"/>
        <v>9.449614080646325E-3</v>
      </c>
      <c r="AE40" s="49">
        <f t="shared" si="39"/>
        <v>0.13358778625954199</v>
      </c>
      <c r="AF40" s="107">
        <f t="shared" si="40"/>
        <v>9.4048571428571428</v>
      </c>
      <c r="AG40" s="113">
        <v>14</v>
      </c>
      <c r="AH40" s="114">
        <v>28</v>
      </c>
      <c r="AI40" s="114">
        <v>23</v>
      </c>
      <c r="AJ40" s="160">
        <v>3</v>
      </c>
      <c r="AK40" s="116">
        <f>AG40*产品成本!$D$5+AH40*产品成本!$D$6+AI40*产品成本!$D$7+AJ40*产品成本!$D$8</f>
        <v>217.46478873239437</v>
      </c>
      <c r="AL40" s="116">
        <f>AG40*产品成本!$E$5+AH40*产品成本!$E$6+AI40*产品成本!$E$7+AJ40*产品成本!$E$8</f>
        <v>24.340000000000003</v>
      </c>
      <c r="AM40" s="116">
        <f>AG40*产品成本!$F$5+AH40*产品成本!$F$6+AI40*产品成本!$F$7+AJ40*产品成本!$F$8</f>
        <v>25.92</v>
      </c>
      <c r="AN40" s="116">
        <f>AG40*产品成本!$G$5+AH40*产品成本!$G$6+AI40*产品成本!$G$7+AJ40*产品成本!$G$8</f>
        <v>320.84000000000003</v>
      </c>
      <c r="AO40" s="116">
        <f t="shared" si="41"/>
        <v>200.02199999999999</v>
      </c>
      <c r="AP40" s="117">
        <f t="shared" si="42"/>
        <v>788.58678873239433</v>
      </c>
      <c r="AQ40" s="118">
        <v>1</v>
      </c>
      <c r="AR40" s="118">
        <v>1</v>
      </c>
      <c r="AS40" s="118">
        <v>2</v>
      </c>
      <c r="AT40" s="160">
        <v>0</v>
      </c>
      <c r="AU40" s="161">
        <f t="shared" si="43"/>
        <v>79.426829268292678</v>
      </c>
      <c r="AV40" s="116">
        <f>AQ40*产品成本!$D$5+AR40*产品成本!$D$6+AS40*产品成本!$D$7+AT40*产品成本!D49</f>
        <v>12.816901408450711</v>
      </c>
      <c r="AW40" s="116">
        <f>AQ40*产品成本!$E$5+AR40*产品成本!$E$6+AS40*产品成本!$E$7+AT40*产品成本!E49</f>
        <v>1.3900000000000001</v>
      </c>
      <c r="AX40" s="116">
        <f>AQ40*产品成本!$F$5+AR40*产品成本!$F$6+AS40*产品成本!$F$7+AT40*产品成本!F49</f>
        <v>1.5699999999999998</v>
      </c>
      <c r="AY40" s="116"/>
      <c r="AZ40" s="116">
        <f t="shared" si="44"/>
        <v>11.914024390243901</v>
      </c>
      <c r="BA40" s="116">
        <f t="shared" si="45"/>
        <v>-2.3828048780487801</v>
      </c>
      <c r="BB40" s="117">
        <f t="shared" si="46"/>
        <v>25.308120920645834</v>
      </c>
      <c r="BC40" s="122">
        <f t="shared" si="47"/>
        <v>763.27866781174851</v>
      </c>
      <c r="BD40" s="122">
        <f t="shared" si="48"/>
        <v>1333.48</v>
      </c>
      <c r="BE40" s="122">
        <f t="shared" si="49"/>
        <v>1254.0531707317073</v>
      </c>
      <c r="BF40" s="121">
        <f t="shared" si="50"/>
        <v>161.60450291995875</v>
      </c>
      <c r="BG40" s="162">
        <f t="shared" si="51"/>
        <v>0.12886575042561133</v>
      </c>
    </row>
    <row r="41" spans="1:61" ht="29.1" customHeight="1" x14ac:dyDescent="0.15">
      <c r="A41" s="38" t="s">
        <v>169</v>
      </c>
      <c r="B41" s="38" t="s">
        <v>170</v>
      </c>
      <c r="C41" s="67">
        <v>56</v>
      </c>
      <c r="D41" s="68">
        <v>52</v>
      </c>
      <c r="E41" s="41">
        <v>1253.6500000000001</v>
      </c>
      <c r="F41" s="101">
        <v>1</v>
      </c>
      <c r="G41" s="101">
        <v>1</v>
      </c>
      <c r="H41" s="41">
        <v>20.39</v>
      </c>
      <c r="I41" s="41">
        <v>2.04</v>
      </c>
      <c r="J41" s="156">
        <v>4</v>
      </c>
      <c r="K41" s="164">
        <f t="shared" si="27"/>
        <v>7.1428571428571425E-2</v>
      </c>
      <c r="L41" s="158">
        <v>72.55</v>
      </c>
      <c r="M41" s="159">
        <f t="shared" si="28"/>
        <v>-0.17647058823529413</v>
      </c>
      <c r="N41" s="157">
        <f t="shared" si="29"/>
        <v>-0.17460317460317459</v>
      </c>
      <c r="O41" s="157">
        <f t="shared" si="30"/>
        <v>-5.9865914749377511E-2</v>
      </c>
      <c r="P41" s="106">
        <f t="shared" si="31"/>
        <v>1.0769230769230769</v>
      </c>
      <c r="Q41" s="108">
        <f t="shared" si="32"/>
        <v>24.10865384615385</v>
      </c>
      <c r="R41" s="140">
        <f t="shared" si="33"/>
        <v>22.386607142857144</v>
      </c>
      <c r="S41" s="140">
        <f t="shared" si="52"/>
        <v>14</v>
      </c>
      <c r="T41" s="146">
        <f t="shared" si="34"/>
        <v>17</v>
      </c>
      <c r="U41" s="110">
        <f t="shared" si="35"/>
        <v>0.32692307692307693</v>
      </c>
      <c r="V41" s="71">
        <f t="shared" si="36"/>
        <v>0.20624635469515262</v>
      </c>
      <c r="W41" s="68">
        <v>19871</v>
      </c>
      <c r="X41" s="68">
        <v>226</v>
      </c>
      <c r="Y41" s="68">
        <v>35</v>
      </c>
      <c r="Z41" s="68">
        <v>258.14</v>
      </c>
      <c r="AA41" s="69">
        <v>824.14</v>
      </c>
      <c r="AB41" s="68">
        <v>1.1399999999999999</v>
      </c>
      <c r="AC41" s="48">
        <f t="shared" si="37"/>
        <v>0.31322348144732692</v>
      </c>
      <c r="AD41" s="49">
        <f t="shared" si="38"/>
        <v>1.1373358160132857E-2</v>
      </c>
      <c r="AE41" s="49">
        <f t="shared" si="39"/>
        <v>0.15486725663716813</v>
      </c>
      <c r="AF41" s="107">
        <f t="shared" si="40"/>
        <v>7.3754285714285714</v>
      </c>
      <c r="AG41" s="113">
        <v>15</v>
      </c>
      <c r="AH41" s="114">
        <v>13</v>
      </c>
      <c r="AI41" s="114">
        <v>27</v>
      </c>
      <c r="AJ41" s="160">
        <v>1</v>
      </c>
      <c r="AK41" s="116">
        <f>AG41*产品成本!$D$5+AH41*产品成本!$D$6+AI41*产品成本!$D$7+AJ41*产品成本!$D$8</f>
        <v>181.2676056338029</v>
      </c>
      <c r="AL41" s="116">
        <f>AG41*产品成本!$E$5+AH41*产品成本!$E$6+AI41*产品成本!$E$7+AJ41*产品成本!$E$8</f>
        <v>19.810000000000002</v>
      </c>
      <c r="AM41" s="116">
        <f>AG41*产品成本!$F$5+AH41*产品成本!$F$6+AI41*产品成本!$F$7+AJ41*产品成本!$F$8</f>
        <v>22.05</v>
      </c>
      <c r="AN41" s="116">
        <f>AG41*产品成本!$G$5+AH41*产品成本!$G$6+AI41*产品成本!$G$7+AJ41*产品成本!$G$8</f>
        <v>274.62</v>
      </c>
      <c r="AO41" s="116">
        <f t="shared" si="41"/>
        <v>187.7415</v>
      </c>
      <c r="AP41" s="117">
        <f t="shared" si="42"/>
        <v>685.48910563380286</v>
      </c>
      <c r="AQ41" s="118">
        <v>3</v>
      </c>
      <c r="AR41" s="118">
        <v>1</v>
      </c>
      <c r="AS41" s="118">
        <v>0</v>
      </c>
      <c r="AT41" s="160">
        <v>0</v>
      </c>
      <c r="AU41" s="161">
        <f t="shared" si="43"/>
        <v>88.475609756097569</v>
      </c>
      <c r="AV41" s="116">
        <f>AQ41*产品成本!$D$5+AR41*产品成本!$D$6+AS41*产品成本!$D$7+AT41*产品成本!D50</f>
        <v>10.84507042253521</v>
      </c>
      <c r="AW41" s="116">
        <f>AQ41*产品成本!$E$5+AR41*产品成本!$E$6+AS41*产品成本!$E$7+AT41*产品成本!E50</f>
        <v>1.1300000000000001</v>
      </c>
      <c r="AX41" s="116">
        <f>AQ41*产品成本!$F$5+AR41*产品成本!$F$6+AS41*产品成本!$F$7+AT41*产品成本!F50</f>
        <v>1.57</v>
      </c>
      <c r="AY41" s="116"/>
      <c r="AZ41" s="116">
        <f t="shared" si="44"/>
        <v>13.271341463414634</v>
      </c>
      <c r="BA41" s="116">
        <f t="shared" si="45"/>
        <v>-2.6542682926829269</v>
      </c>
      <c r="BB41" s="117">
        <f t="shared" si="46"/>
        <v>24.162143593266919</v>
      </c>
      <c r="BC41" s="122">
        <f t="shared" si="47"/>
        <v>661.32696204053593</v>
      </c>
      <c r="BD41" s="122">
        <f t="shared" si="48"/>
        <v>1251.6100000000001</v>
      </c>
      <c r="BE41" s="122">
        <f t="shared" si="49"/>
        <v>1163.1343902439025</v>
      </c>
      <c r="BF41" s="121">
        <f t="shared" si="50"/>
        <v>243.66742820336663</v>
      </c>
      <c r="BG41" s="162">
        <f t="shared" si="51"/>
        <v>0.20949206750930216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72</v>
      </c>
      <c r="E42" s="41">
        <v>1502.9</v>
      </c>
      <c r="F42" s="101">
        <v>7</v>
      </c>
      <c r="G42" s="101">
        <v>6</v>
      </c>
      <c r="H42" s="41">
        <v>152.63999999999999</v>
      </c>
      <c r="I42" s="41">
        <v>11.46</v>
      </c>
      <c r="J42" s="156">
        <v>3</v>
      </c>
      <c r="K42" s="164">
        <f t="shared" si="27"/>
        <v>4.0540540540540543E-2</v>
      </c>
      <c r="L42" s="158">
        <v>52.93</v>
      </c>
      <c r="M42" s="159">
        <f t="shared" si="28"/>
        <v>0.32142857142857145</v>
      </c>
      <c r="N42" s="157">
        <f t="shared" si="29"/>
        <v>0.38461538461538464</v>
      </c>
      <c r="O42" s="157">
        <f t="shared" si="30"/>
        <v>0.19881944721413472</v>
      </c>
      <c r="P42" s="106">
        <f t="shared" si="31"/>
        <v>1.0277777777777777</v>
      </c>
      <c r="Q42" s="108">
        <f t="shared" si="32"/>
        <v>20.873611111111114</v>
      </c>
      <c r="R42" s="140">
        <f t="shared" si="33"/>
        <v>20.309459459459461</v>
      </c>
      <c r="S42" s="140">
        <f t="shared" si="52"/>
        <v>18.5</v>
      </c>
      <c r="T42" s="146">
        <f t="shared" si="34"/>
        <v>27</v>
      </c>
      <c r="U42" s="110">
        <f t="shared" si="35"/>
        <v>0.375</v>
      </c>
      <c r="V42" s="71">
        <f t="shared" si="36"/>
        <v>0.2216113286488226</v>
      </c>
      <c r="W42" s="68">
        <v>26370</v>
      </c>
      <c r="X42" s="68">
        <v>294</v>
      </c>
      <c r="Y42" s="68">
        <v>45</v>
      </c>
      <c r="Z42" s="68">
        <v>330.52</v>
      </c>
      <c r="AA42" s="69">
        <v>986.95</v>
      </c>
      <c r="AB42" s="68">
        <v>1.1200000000000001</v>
      </c>
      <c r="AC42" s="48">
        <f t="shared" si="37"/>
        <v>0.33489031865849328</v>
      </c>
      <c r="AD42" s="49">
        <f t="shared" si="38"/>
        <v>1.1149032992036406E-2</v>
      </c>
      <c r="AE42" s="49">
        <f t="shared" si="39"/>
        <v>0.15306122448979592</v>
      </c>
      <c r="AF42" s="107">
        <f t="shared" si="40"/>
        <v>7.3448888888888888</v>
      </c>
      <c r="AG42" s="113">
        <v>33</v>
      </c>
      <c r="AH42" s="114">
        <v>21</v>
      </c>
      <c r="AI42" s="114">
        <v>17</v>
      </c>
      <c r="AJ42" s="160">
        <v>3</v>
      </c>
      <c r="AK42" s="116">
        <f>AG42*产品成本!$D$5+AH42*产品成本!$D$6+AI42*产品成本!$D$7+AJ42*产品成本!$D$8</f>
        <v>226.61971830985917</v>
      </c>
      <c r="AL42" s="116">
        <f>AG42*产品成本!$E$5+AH42*产品成本!$E$6+AI42*产品成本!$E$7+AJ42*产品成本!$E$8</f>
        <v>24.83</v>
      </c>
      <c r="AM42" s="116">
        <f>AG42*产品成本!$F$5+AH42*产品成本!$F$6+AI42*产品成本!$F$7+AJ42*产品成本!$F$8</f>
        <v>28.87</v>
      </c>
      <c r="AN42" s="116">
        <f>AG42*产品成本!$G$5+AH42*产品成本!$G$6+AI42*产品成本!$G$7+AJ42*产品成本!$G$8</f>
        <v>353.70000000000005</v>
      </c>
      <c r="AO42" s="116">
        <f t="shared" si="41"/>
        <v>223.71600000000001</v>
      </c>
      <c r="AP42" s="117">
        <f t="shared" si="42"/>
        <v>857.73571830985918</v>
      </c>
      <c r="AQ42" s="118">
        <v>1</v>
      </c>
      <c r="AR42" s="118">
        <v>1</v>
      </c>
      <c r="AS42" s="118">
        <v>1</v>
      </c>
      <c r="AT42" s="160">
        <v>0</v>
      </c>
      <c r="AU42" s="161">
        <f t="shared" si="43"/>
        <v>64.548780487804876</v>
      </c>
      <c r="AV42" s="116">
        <f>AQ42*产品成本!$D$5+AR42*产品成本!$D$6+AS42*产品成本!$D$7+AT42*产品成本!D51</f>
        <v>9.1549295774647899</v>
      </c>
      <c r="AW42" s="116">
        <f>AQ42*产品成本!$E$5+AR42*产品成本!$E$6+AS42*产品成本!$E$7+AT42*产品成本!E51</f>
        <v>0.9900000000000001</v>
      </c>
      <c r="AX42" s="116">
        <f>AQ42*产品成本!$F$5+AR42*产品成本!$F$6+AS42*产品成本!$F$7+AT42*产品成本!F51</f>
        <v>1.1599999999999999</v>
      </c>
      <c r="AY42" s="116"/>
      <c r="AZ42" s="116">
        <f t="shared" si="44"/>
        <v>9.6823170731707311</v>
      </c>
      <c r="BA42" s="116">
        <f t="shared" si="45"/>
        <v>-1.9364634146341464</v>
      </c>
      <c r="BB42" s="117">
        <f t="shared" si="46"/>
        <v>19.050783236001372</v>
      </c>
      <c r="BC42" s="122">
        <f t="shared" si="47"/>
        <v>838.68493507385779</v>
      </c>
      <c r="BD42" s="122">
        <f t="shared" si="48"/>
        <v>1491.44</v>
      </c>
      <c r="BE42" s="122">
        <f t="shared" si="49"/>
        <v>1426.8912195121952</v>
      </c>
      <c r="BF42" s="121">
        <f t="shared" si="50"/>
        <v>257.68628443833745</v>
      </c>
      <c r="BG42" s="162">
        <f t="shared" si="51"/>
        <v>0.18059280267099231</v>
      </c>
    </row>
    <row r="43" spans="1:61" ht="29.1" customHeight="1" x14ac:dyDescent="0.15">
      <c r="A43" s="38" t="s">
        <v>175</v>
      </c>
      <c r="B43" s="38" t="s">
        <v>176</v>
      </c>
      <c r="C43" s="67">
        <v>44</v>
      </c>
      <c r="D43" s="68">
        <v>44</v>
      </c>
      <c r="E43" s="41">
        <v>1057.76</v>
      </c>
      <c r="F43" s="101">
        <v>3</v>
      </c>
      <c r="G43" s="101">
        <v>3</v>
      </c>
      <c r="H43" s="41">
        <v>71.97</v>
      </c>
      <c r="I43" s="41">
        <v>7.2</v>
      </c>
      <c r="J43" s="156">
        <v>4</v>
      </c>
      <c r="K43" s="164">
        <f t="shared" si="27"/>
        <v>9.0909090909090912E-2</v>
      </c>
      <c r="L43" s="158">
        <v>49.83</v>
      </c>
      <c r="M43" s="159">
        <f t="shared" si="28"/>
        <v>-0.40540540540540543</v>
      </c>
      <c r="N43" s="157">
        <f t="shared" si="29"/>
        <v>-0.3888888888888889</v>
      </c>
      <c r="O43" s="157">
        <f t="shared" si="30"/>
        <v>-0.29618737108257376</v>
      </c>
      <c r="P43" s="106">
        <f t="shared" si="31"/>
        <v>1</v>
      </c>
      <c r="Q43" s="108">
        <f t="shared" si="32"/>
        <v>24.04</v>
      </c>
      <c r="R43" s="140">
        <f t="shared" si="33"/>
        <v>24.04</v>
      </c>
      <c r="S43" s="140">
        <f t="shared" si="52"/>
        <v>11</v>
      </c>
      <c r="T43" s="146">
        <f t="shared" si="34"/>
        <v>19</v>
      </c>
      <c r="U43" s="110">
        <f t="shared" si="35"/>
        <v>0.43181818181818182</v>
      </c>
      <c r="V43" s="71">
        <f t="shared" si="36"/>
        <v>0.26853297289064881</v>
      </c>
      <c r="W43" s="68">
        <v>25424</v>
      </c>
      <c r="X43" s="68">
        <v>250</v>
      </c>
      <c r="Y43" s="68">
        <v>25</v>
      </c>
      <c r="Z43" s="68">
        <v>282.11</v>
      </c>
      <c r="AA43" s="69">
        <v>588.75</v>
      </c>
      <c r="AB43" s="68">
        <v>1.1299999999999999</v>
      </c>
      <c r="AC43" s="48">
        <f t="shared" si="37"/>
        <v>0.47916772823779197</v>
      </c>
      <c r="AD43" s="49">
        <f t="shared" si="38"/>
        <v>9.8332284455632472E-3</v>
      </c>
      <c r="AE43" s="49">
        <f t="shared" si="39"/>
        <v>0.1</v>
      </c>
      <c r="AF43" s="107">
        <f t="shared" si="40"/>
        <v>11.2844</v>
      </c>
      <c r="AG43" s="113">
        <v>17</v>
      </c>
      <c r="AH43" s="114">
        <v>11</v>
      </c>
      <c r="AI43" s="114">
        <v>15</v>
      </c>
      <c r="AJ43" s="160">
        <v>1</v>
      </c>
      <c r="AK43" s="116">
        <f>AG43*产品成本!$D$5+AH43*产品成本!$D$6+AI43*产品成本!$D$7+AJ43*产品成本!$D$8</f>
        <v>137.04225352112678</v>
      </c>
      <c r="AL43" s="116">
        <f>AG43*产品成本!$E$5+AH43*产品成本!$E$6+AI43*产品成本!$E$7+AJ43*产品成本!$E$8</f>
        <v>14.91</v>
      </c>
      <c r="AM43" s="116">
        <f>AG43*产品成本!$F$5+AH43*产品成本!$F$6+AI43*产品成本!$F$7+AJ43*产品成本!$F$8</f>
        <v>17.27</v>
      </c>
      <c r="AN43" s="116">
        <f>AG43*产品成本!$G$5+AH43*产品成本!$G$6+AI43*产品成本!$G$7+AJ43*产品成本!$G$8</f>
        <v>212.9</v>
      </c>
      <c r="AO43" s="116">
        <f t="shared" si="41"/>
        <v>157.58399999999997</v>
      </c>
      <c r="AP43" s="117">
        <f t="shared" si="42"/>
        <v>539.70625352112677</v>
      </c>
      <c r="AQ43" s="118">
        <v>2</v>
      </c>
      <c r="AR43" s="118">
        <v>2</v>
      </c>
      <c r="AS43" s="118">
        <v>0</v>
      </c>
      <c r="AT43" s="160">
        <v>0</v>
      </c>
      <c r="AU43" s="161">
        <f t="shared" si="43"/>
        <v>60.768292682926834</v>
      </c>
      <c r="AV43" s="116">
        <f>AQ43*产品成本!$D$5+AR43*产品成本!$D$6+AS43*产品成本!$D$7+AT43*产品成本!D52</f>
        <v>10.985915492957741</v>
      </c>
      <c r="AW43" s="116">
        <f>AQ43*产品成本!$E$5+AR43*产品成本!$E$6+AS43*产品成本!$E$7+AT43*产品成本!E52</f>
        <v>1.1800000000000002</v>
      </c>
      <c r="AX43" s="116">
        <f>AQ43*产品成本!$F$5+AR43*产品成本!$F$6+AS43*产品成本!$F$7+AT43*产品成本!F52</f>
        <v>1.5</v>
      </c>
      <c r="AY43" s="116"/>
      <c r="AZ43" s="116">
        <f t="shared" si="44"/>
        <v>9.1152439024390244</v>
      </c>
      <c r="BA43" s="116">
        <f t="shared" si="45"/>
        <v>-1.8230487804878051</v>
      </c>
      <c r="BB43" s="117">
        <f t="shared" si="46"/>
        <v>20.958110614908957</v>
      </c>
      <c r="BC43" s="122">
        <f t="shared" si="47"/>
        <v>518.74814290621782</v>
      </c>
      <c r="BD43" s="122">
        <f t="shared" si="48"/>
        <v>1050.56</v>
      </c>
      <c r="BE43" s="122">
        <f t="shared" si="49"/>
        <v>989.79170731707313</v>
      </c>
      <c r="BF43" s="121">
        <f t="shared" si="50"/>
        <v>188.9335644108553</v>
      </c>
      <c r="BG43" s="162">
        <f t="shared" si="51"/>
        <v>0.1908821452171772</v>
      </c>
      <c r="BI43" t="s">
        <v>286</v>
      </c>
    </row>
    <row r="44" spans="1:61" ht="29.1" customHeight="1" x14ac:dyDescent="0.15">
      <c r="A44" s="38" t="s">
        <v>177</v>
      </c>
      <c r="B44" s="38" t="s">
        <v>178</v>
      </c>
      <c r="C44" s="67">
        <v>60</v>
      </c>
      <c r="D44" s="68">
        <v>60</v>
      </c>
      <c r="E44" s="41">
        <v>1272.53</v>
      </c>
      <c r="F44" s="101">
        <v>0</v>
      </c>
      <c r="G44" s="101">
        <v>0</v>
      </c>
      <c r="H44" s="41">
        <v>0</v>
      </c>
      <c r="I44" s="41">
        <v>0</v>
      </c>
      <c r="J44" s="156">
        <v>5</v>
      </c>
      <c r="K44" s="164">
        <f t="shared" si="27"/>
        <v>8.3333333333333329E-2</v>
      </c>
      <c r="L44" s="158">
        <v>84.76</v>
      </c>
      <c r="M44" s="159">
        <f t="shared" si="28"/>
        <v>0.36363636363636365</v>
      </c>
      <c r="N44" s="157">
        <f t="shared" si="29"/>
        <v>0.36363636363636365</v>
      </c>
      <c r="O44" s="157">
        <f t="shared" si="30"/>
        <v>0.20304227802147934</v>
      </c>
      <c r="P44" s="106">
        <f t="shared" si="31"/>
        <v>1</v>
      </c>
      <c r="Q44" s="108">
        <f t="shared" si="32"/>
        <v>21.208833333333335</v>
      </c>
      <c r="R44" s="140">
        <f t="shared" si="33"/>
        <v>21.208833333333335</v>
      </c>
      <c r="S44" s="140">
        <f t="shared" si="52"/>
        <v>15</v>
      </c>
      <c r="T44" s="146">
        <f t="shared" si="34"/>
        <v>20</v>
      </c>
      <c r="U44" s="110">
        <f t="shared" si="35"/>
        <v>0.33333333333333331</v>
      </c>
      <c r="V44" s="71">
        <f t="shared" si="36"/>
        <v>0.26387590076461853</v>
      </c>
      <c r="W44" s="68">
        <v>23851</v>
      </c>
      <c r="X44" s="68">
        <v>295</v>
      </c>
      <c r="Y44" s="68">
        <v>40</v>
      </c>
      <c r="Z44" s="68">
        <v>335.79</v>
      </c>
      <c r="AA44" s="69">
        <v>842.42</v>
      </c>
      <c r="AB44" s="68">
        <v>1.1399999999999999</v>
      </c>
      <c r="AC44" s="48">
        <f t="shared" si="37"/>
        <v>0.39860164763419675</v>
      </c>
      <c r="AD44" s="49">
        <f t="shared" si="38"/>
        <v>1.2368454152865707E-2</v>
      </c>
      <c r="AE44" s="49">
        <f t="shared" si="39"/>
        <v>0.13559322033898305</v>
      </c>
      <c r="AF44" s="107">
        <f t="shared" si="40"/>
        <v>8.3947500000000002</v>
      </c>
      <c r="AG44" s="113">
        <v>19</v>
      </c>
      <c r="AH44" s="114">
        <v>19</v>
      </c>
      <c r="AI44" s="114">
        <v>18</v>
      </c>
      <c r="AJ44" s="160">
        <v>4</v>
      </c>
      <c r="AK44" s="116">
        <f>AG44*产品成本!$D$5+AH44*产品成本!$D$6+AI44*产品成本!$D$7+AJ44*产品成本!$D$8</f>
        <v>192.81690140845075</v>
      </c>
      <c r="AL44" s="116">
        <f>AG44*产品成本!$E$5+AH44*产品成本!$E$6+AI44*产品成本!$E$7+AJ44*产品成本!$E$8</f>
        <v>21.61</v>
      </c>
      <c r="AM44" s="116">
        <f>AG44*产品成本!$F$5+AH44*产品成本!$F$6+AI44*产品成本!$F$7+AJ44*产品成本!$F$8</f>
        <v>23.27</v>
      </c>
      <c r="AN44" s="116">
        <f>AG44*产品成本!$G$5+AH44*产品成本!$G$6+AI44*产品成本!$G$7+AJ44*产品成本!$G$8</f>
        <v>287.74</v>
      </c>
      <c r="AO44" s="116">
        <f t="shared" si="41"/>
        <v>190.87949999999998</v>
      </c>
      <c r="AP44" s="117">
        <f t="shared" si="42"/>
        <v>716.31640140845082</v>
      </c>
      <c r="AQ44" s="118">
        <v>3</v>
      </c>
      <c r="AR44" s="118">
        <v>2</v>
      </c>
      <c r="AS44" s="118">
        <v>0</v>
      </c>
      <c r="AT44" s="160">
        <v>0</v>
      </c>
      <c r="AU44" s="161">
        <f t="shared" si="43"/>
        <v>103.36585365853659</v>
      </c>
      <c r="AV44" s="116">
        <f>AQ44*产品成本!$D$5+AR44*产品成本!$D$6+AS44*产品成本!$D$7+AT44*产品成本!D53</f>
        <v>13.661971830985909</v>
      </c>
      <c r="AW44" s="116">
        <f>AQ44*产品成本!$E$5+AR44*产品成本!$E$6+AS44*产品成本!$E$7+AT44*产品成本!E53</f>
        <v>1.4500000000000002</v>
      </c>
      <c r="AX44" s="116">
        <f>AQ44*产品成本!$F$5+AR44*产品成本!$F$6+AS44*产品成本!$F$7+AT44*产品成本!F53</f>
        <v>1.9100000000000001</v>
      </c>
      <c r="AY44" s="116"/>
      <c r="AZ44" s="116">
        <f t="shared" si="44"/>
        <v>15.504878048780489</v>
      </c>
      <c r="BA44" s="116">
        <f t="shared" si="45"/>
        <v>-3.1009756097560981</v>
      </c>
      <c r="BB44" s="117">
        <f t="shared" si="46"/>
        <v>29.425874270010297</v>
      </c>
      <c r="BC44" s="122">
        <f t="shared" si="47"/>
        <v>686.89052713844058</v>
      </c>
      <c r="BD44" s="122">
        <f t="shared" si="48"/>
        <v>1272.53</v>
      </c>
      <c r="BE44" s="122">
        <f t="shared" si="49"/>
        <v>1169.1641463414635</v>
      </c>
      <c r="BF44" s="121">
        <f t="shared" si="50"/>
        <v>146.4836192030229</v>
      </c>
      <c r="BG44" s="162">
        <f t="shared" si="51"/>
        <v>0.12528918172986911</v>
      </c>
    </row>
    <row r="45" spans="1:61" ht="29.1" customHeight="1" x14ac:dyDescent="0.15">
      <c r="A45" s="38" t="s">
        <v>179</v>
      </c>
      <c r="B45" s="38" t="s">
        <v>180</v>
      </c>
      <c r="C45" s="67">
        <v>57</v>
      </c>
      <c r="D45" s="68">
        <v>56</v>
      </c>
      <c r="E45" s="41">
        <v>1193.3399999999999</v>
      </c>
      <c r="F45" s="101">
        <v>1</v>
      </c>
      <c r="G45" s="101">
        <v>1</v>
      </c>
      <c r="H45" s="41">
        <v>20.39</v>
      </c>
      <c r="I45" s="41">
        <v>20.39</v>
      </c>
      <c r="J45" s="156">
        <v>1</v>
      </c>
      <c r="K45" s="164">
        <f t="shared" si="27"/>
        <v>1.7543859649122806E-2</v>
      </c>
      <c r="L45" s="158">
        <v>17.2</v>
      </c>
      <c r="M45" s="159">
        <f t="shared" si="28"/>
        <v>-0.05</v>
      </c>
      <c r="N45" s="157">
        <f t="shared" si="29"/>
        <v>-6.6666666666666666E-2</v>
      </c>
      <c r="O45" s="157">
        <f t="shared" si="30"/>
        <v>-6.2230359991513017E-2</v>
      </c>
      <c r="P45" s="106">
        <f t="shared" si="31"/>
        <v>1.0178571428571428</v>
      </c>
      <c r="Q45" s="108">
        <f t="shared" si="32"/>
        <v>21.309642857142855</v>
      </c>
      <c r="R45" s="140">
        <f t="shared" si="33"/>
        <v>20.93578947368421</v>
      </c>
      <c r="S45" s="140">
        <f t="shared" si="52"/>
        <v>14.25</v>
      </c>
      <c r="T45" s="146">
        <f t="shared" si="34"/>
        <v>20</v>
      </c>
      <c r="U45" s="110">
        <f t="shared" si="35"/>
        <v>0.35714285714285715</v>
      </c>
      <c r="V45" s="71">
        <f t="shared" si="36"/>
        <v>0.25092288673856517</v>
      </c>
      <c r="W45" s="68">
        <v>22921</v>
      </c>
      <c r="X45" s="68">
        <v>255</v>
      </c>
      <c r="Y45" s="68">
        <v>36</v>
      </c>
      <c r="Z45" s="68">
        <v>294.32</v>
      </c>
      <c r="AA45" s="69">
        <v>772.76</v>
      </c>
      <c r="AB45" s="68">
        <v>1.1499999999999999</v>
      </c>
      <c r="AC45" s="48">
        <f t="shared" si="37"/>
        <v>0.38086857497800092</v>
      </c>
      <c r="AD45" s="49">
        <f t="shared" si="38"/>
        <v>1.1125169058941582E-2</v>
      </c>
      <c r="AE45" s="49">
        <f t="shared" si="39"/>
        <v>0.14117647058823529</v>
      </c>
      <c r="AF45" s="107">
        <f t="shared" si="40"/>
        <v>8.1755555555555546</v>
      </c>
      <c r="AG45" s="113">
        <v>21</v>
      </c>
      <c r="AH45" s="114">
        <v>18</v>
      </c>
      <c r="AI45" s="114">
        <v>15</v>
      </c>
      <c r="AJ45" s="160">
        <v>3</v>
      </c>
      <c r="AK45" s="116">
        <f>AG45*产品成本!$D$5+AH45*产品成本!$D$6+AI45*产品成本!$D$7+AJ45*产品成本!$D$8</f>
        <v>178.73239436619718</v>
      </c>
      <c r="AL45" s="116">
        <f>AG45*产品成本!$E$5+AH45*产品成本!$E$6+AI45*产品成本!$E$7+AJ45*产品成本!$E$8</f>
        <v>19.829999999999998</v>
      </c>
      <c r="AM45" s="116">
        <f>AG45*产品成本!$F$5+AH45*产品成本!$F$6+AI45*产品成本!$F$7+AJ45*产品成本!$F$8</f>
        <v>22.11</v>
      </c>
      <c r="AN45" s="116">
        <f>AG45*产品成本!$G$5+AH45*产品成本!$G$6+AI45*产品成本!$G$7+AJ45*产品成本!$G$8</f>
        <v>272.10000000000002</v>
      </c>
      <c r="AO45" s="116">
        <f t="shared" si="41"/>
        <v>175.94249999999997</v>
      </c>
      <c r="AP45" s="117">
        <f t="shared" si="42"/>
        <v>668.7148943661972</v>
      </c>
      <c r="AQ45" s="118">
        <v>1</v>
      </c>
      <c r="AR45" s="118">
        <v>0</v>
      </c>
      <c r="AS45" s="118">
        <v>0</v>
      </c>
      <c r="AT45" s="160">
        <v>0</v>
      </c>
      <c r="AU45" s="161">
        <f t="shared" si="43"/>
        <v>20.975609756097562</v>
      </c>
      <c r="AV45" s="116">
        <f>AQ45*产品成本!$D$5+AR45*产品成本!$D$6+AS45*产品成本!$D$7+AT45*产品成本!D54</f>
        <v>2.6760563380281699</v>
      </c>
      <c r="AW45" s="116">
        <f>AQ45*产品成本!$E$5+AR45*产品成本!$E$6+AS45*产品成本!$E$7+AT45*产品成本!E54</f>
        <v>0.27</v>
      </c>
      <c r="AX45" s="116">
        <f>AQ45*产品成本!$F$5+AR45*产品成本!$F$6+AS45*产品成本!$F$7+AT45*产品成本!F54</f>
        <v>0.41</v>
      </c>
      <c r="AY45" s="116"/>
      <c r="AZ45" s="116">
        <f t="shared" si="44"/>
        <v>3.1463414634146343</v>
      </c>
      <c r="BA45" s="116">
        <f t="shared" si="45"/>
        <v>-0.62926829268292694</v>
      </c>
      <c r="BB45" s="117">
        <f t="shared" si="46"/>
        <v>5.8731295087598774</v>
      </c>
      <c r="BC45" s="122">
        <f t="shared" si="47"/>
        <v>662.84176485743728</v>
      </c>
      <c r="BD45" s="122">
        <f t="shared" si="48"/>
        <v>1172.9499999999998</v>
      </c>
      <c r="BE45" s="122">
        <f t="shared" si="49"/>
        <v>1151.9743902439022</v>
      </c>
      <c r="BF45" s="121">
        <f t="shared" si="50"/>
        <v>194.81262538646496</v>
      </c>
      <c r="BG45" s="162">
        <f t="shared" si="51"/>
        <v>0.16911194123440382</v>
      </c>
    </row>
    <row r="46" spans="1:61" ht="29.1" customHeight="1" x14ac:dyDescent="0.15">
      <c r="A46" s="38" t="s">
        <v>181</v>
      </c>
      <c r="B46" s="38" t="s">
        <v>182</v>
      </c>
      <c r="C46" s="67">
        <v>92</v>
      </c>
      <c r="D46" s="68">
        <v>90</v>
      </c>
      <c r="E46" s="41">
        <v>1872.8</v>
      </c>
      <c r="F46" s="101">
        <v>7</v>
      </c>
      <c r="G46" s="101">
        <v>7</v>
      </c>
      <c r="H46" s="41">
        <v>139.33000000000001</v>
      </c>
      <c r="I46" s="41">
        <v>19.899999999999999</v>
      </c>
      <c r="J46" s="156">
        <v>1</v>
      </c>
      <c r="K46" s="164">
        <f t="shared" si="27"/>
        <v>1.0869565217391304E-2</v>
      </c>
      <c r="L46" s="158">
        <v>17.940000000000001</v>
      </c>
      <c r="M46" s="159">
        <f t="shared" si="28"/>
        <v>0.61403508771929827</v>
      </c>
      <c r="N46" s="157">
        <f t="shared" si="29"/>
        <v>0.6071428571428571</v>
      </c>
      <c r="O46" s="157">
        <f t="shared" si="30"/>
        <v>0.56937670739269619</v>
      </c>
      <c r="P46" s="106">
        <f t="shared" si="31"/>
        <v>1.0222222222222221</v>
      </c>
      <c r="Q46" s="108">
        <f t="shared" si="32"/>
        <v>20.808888888888887</v>
      </c>
      <c r="R46" s="140">
        <f t="shared" si="33"/>
        <v>20.356521739130436</v>
      </c>
      <c r="S46" s="140">
        <f t="shared" si="52"/>
        <v>23</v>
      </c>
      <c r="T46" s="146">
        <f t="shared" si="34"/>
        <v>33</v>
      </c>
      <c r="U46" s="110">
        <f t="shared" si="35"/>
        <v>0.36666666666666664</v>
      </c>
      <c r="V46" s="71">
        <f t="shared" si="36"/>
        <v>0.18869879648119164</v>
      </c>
      <c r="W46" s="68">
        <v>36290</v>
      </c>
      <c r="X46" s="68">
        <v>334</v>
      </c>
      <c r="Y46" s="68">
        <v>57</v>
      </c>
      <c r="Z46" s="68">
        <v>349.64</v>
      </c>
      <c r="AA46" s="69">
        <v>1161.8699999999999</v>
      </c>
      <c r="AB46" s="68">
        <v>1.05</v>
      </c>
      <c r="AC46" s="48">
        <f t="shared" si="37"/>
        <v>0.30092867532512246</v>
      </c>
      <c r="AD46" s="49">
        <f t="shared" si="38"/>
        <v>9.2036373656654725E-3</v>
      </c>
      <c r="AE46" s="49">
        <f t="shared" si="39"/>
        <v>0.17065868263473055</v>
      </c>
      <c r="AF46" s="107">
        <f t="shared" si="40"/>
        <v>6.1340350877192984</v>
      </c>
      <c r="AG46" s="113">
        <v>30</v>
      </c>
      <c r="AH46" s="114">
        <v>32</v>
      </c>
      <c r="AI46" s="114">
        <v>27</v>
      </c>
      <c r="AJ46" s="160">
        <v>3</v>
      </c>
      <c r="AK46" s="116">
        <f>AG46*产品成本!$D$5+AH46*产品成本!$D$6+AI46*产品成本!$D$7+AJ46*产品成本!$D$8</f>
        <v>286.19718309859161</v>
      </c>
      <c r="AL46" s="116">
        <f>AG46*产品成本!$E$5+AH46*产品成本!$E$6+AI46*产品成本!$E$7+AJ46*产品成本!$E$8</f>
        <v>31.540000000000006</v>
      </c>
      <c r="AM46" s="116">
        <f>AG46*产品成本!$F$5+AH46*产品成本!$F$6+AI46*产品成本!$F$7+AJ46*产品成本!$F$8</f>
        <v>35.479999999999997</v>
      </c>
      <c r="AN46" s="116">
        <f>AG46*产品成本!$G$5+AH46*产品成本!$G$6+AI46*产品成本!$G$7+AJ46*产品成本!$G$8</f>
        <v>436.68</v>
      </c>
      <c r="AO46" s="116">
        <f t="shared" si="41"/>
        <v>277.93499999999995</v>
      </c>
      <c r="AP46" s="117">
        <f t="shared" si="42"/>
        <v>1067.8321830985915</v>
      </c>
      <c r="AQ46" s="118">
        <v>0</v>
      </c>
      <c r="AR46" s="118">
        <v>0</v>
      </c>
      <c r="AS46" s="118">
        <v>1</v>
      </c>
      <c r="AT46" s="160">
        <v>0</v>
      </c>
      <c r="AU46" s="161">
        <f t="shared" si="43"/>
        <v>21.878048780487809</v>
      </c>
      <c r="AV46" s="116">
        <f>AQ46*产品成本!$D$5+AR46*产品成本!$D$6+AS46*产品成本!$D$7+AT46*产品成本!D55</f>
        <v>3.6619718309859199</v>
      </c>
      <c r="AW46" s="116">
        <f>AQ46*产品成本!$E$5+AR46*产品成本!$E$6+AS46*产品成本!$E$7+AT46*产品成本!E55</f>
        <v>0.4</v>
      </c>
      <c r="AX46" s="116">
        <f>AQ46*产品成本!$F$5+AR46*产品成本!$F$6+AS46*产品成本!$F$7+AT46*产品成本!F55</f>
        <v>0.41</v>
      </c>
      <c r="AY46" s="116"/>
      <c r="AZ46" s="116">
        <f t="shared" si="44"/>
        <v>3.2817073170731712</v>
      </c>
      <c r="BA46" s="116">
        <f t="shared" si="45"/>
        <v>-0.65634146341463429</v>
      </c>
      <c r="BB46" s="117">
        <f t="shared" si="46"/>
        <v>7.0973376846444571</v>
      </c>
      <c r="BC46" s="122">
        <f t="shared" si="47"/>
        <v>1060.7348454139471</v>
      </c>
      <c r="BD46" s="122">
        <f t="shared" si="48"/>
        <v>1852.8999999999999</v>
      </c>
      <c r="BE46" s="122">
        <f t="shared" si="49"/>
        <v>1831.0219512195119</v>
      </c>
      <c r="BF46" s="121">
        <f t="shared" si="50"/>
        <v>420.64710580556482</v>
      </c>
      <c r="BG46" s="162">
        <f t="shared" si="51"/>
        <v>0.22973351331228009</v>
      </c>
    </row>
    <row r="47" spans="1:61" ht="29.1" customHeight="1" x14ac:dyDescent="0.15">
      <c r="A47" s="38" t="s">
        <v>183</v>
      </c>
      <c r="B47" s="38" t="s">
        <v>184</v>
      </c>
      <c r="C47" s="67">
        <v>65</v>
      </c>
      <c r="D47" s="68">
        <v>65</v>
      </c>
      <c r="E47" s="41">
        <v>1337.59</v>
      </c>
      <c r="F47" s="101">
        <v>8</v>
      </c>
      <c r="G47" s="101">
        <v>8</v>
      </c>
      <c r="H47" s="41">
        <v>161.41999999999999</v>
      </c>
      <c r="I47" s="41">
        <v>20.18</v>
      </c>
      <c r="J47" s="156">
        <v>2</v>
      </c>
      <c r="K47" s="164">
        <f t="shared" si="27"/>
        <v>3.0769230769230771E-2</v>
      </c>
      <c r="L47" s="158">
        <v>39.049999999999997</v>
      </c>
      <c r="M47" s="159">
        <f t="shared" si="28"/>
        <v>-0.29347826086956524</v>
      </c>
      <c r="N47" s="157">
        <f t="shared" si="29"/>
        <v>-0.27777777777777779</v>
      </c>
      <c r="O47" s="157">
        <f t="shared" si="30"/>
        <v>-0.28578064929517305</v>
      </c>
      <c r="P47" s="106">
        <f t="shared" si="31"/>
        <v>1</v>
      </c>
      <c r="Q47" s="108">
        <f t="shared" si="32"/>
        <v>20.578307692307693</v>
      </c>
      <c r="R47" s="140">
        <f t="shared" si="33"/>
        <v>20.578307692307693</v>
      </c>
      <c r="S47" s="140">
        <f t="shared" ref="S47:S74" si="53">G47/7</f>
        <v>1.1428571428571428</v>
      </c>
      <c r="T47" s="146">
        <f t="shared" si="34"/>
        <v>29</v>
      </c>
      <c r="U47" s="110">
        <f t="shared" si="35"/>
        <v>0.44615384615384618</v>
      </c>
      <c r="V47" s="71">
        <f t="shared" si="36"/>
        <v>0.22626213555385188</v>
      </c>
      <c r="W47" s="68">
        <v>26377</v>
      </c>
      <c r="X47" s="68">
        <v>253</v>
      </c>
      <c r="Y47" s="68">
        <v>36</v>
      </c>
      <c r="Z47" s="68">
        <v>298.08</v>
      </c>
      <c r="AA47" s="69">
        <v>741.06</v>
      </c>
      <c r="AB47" s="68">
        <v>1.18</v>
      </c>
      <c r="AC47" s="48">
        <f t="shared" si="37"/>
        <v>0.4022346368715084</v>
      </c>
      <c r="AD47" s="49">
        <f t="shared" si="38"/>
        <v>9.5916897296887439E-3</v>
      </c>
      <c r="AE47" s="49">
        <f t="shared" si="39"/>
        <v>0.14229249011857709</v>
      </c>
      <c r="AF47" s="107">
        <f t="shared" si="40"/>
        <v>8.2799999999999994</v>
      </c>
      <c r="AG47" s="113">
        <v>24</v>
      </c>
      <c r="AH47" s="114">
        <v>19</v>
      </c>
      <c r="AI47" s="114">
        <v>20</v>
      </c>
      <c r="AJ47" s="160">
        <v>2</v>
      </c>
      <c r="AK47" s="116">
        <f>AG47*产品成本!$D$5+AH47*产品成本!$D$6+AI47*产品成本!$D$7+AJ47*产品成本!$D$8</f>
        <v>202.25352112676057</v>
      </c>
      <c r="AL47" s="116">
        <f>AG47*产品成本!$E$5+AH47*产品成本!$E$6+AI47*产品成本!$E$7+AJ47*产品成本!$E$8</f>
        <v>22.160000000000004</v>
      </c>
      <c r="AM47" s="116">
        <f>AG47*产品成本!$F$5+AH47*产品成本!$F$6+AI47*产品成本!$F$7+AJ47*产品成本!$F$8</f>
        <v>25.32</v>
      </c>
      <c r="AN47" s="116">
        <f>AG47*产品成本!$G$5+AH47*产品成本!$G$6+AI47*产品成本!$G$7+AJ47*产品成本!$G$8</f>
        <v>311.76000000000005</v>
      </c>
      <c r="AO47" s="116">
        <f t="shared" si="41"/>
        <v>197.61149999999998</v>
      </c>
      <c r="AP47" s="117">
        <f t="shared" si="42"/>
        <v>759.10502112676056</v>
      </c>
      <c r="AQ47" s="118">
        <v>0</v>
      </c>
      <c r="AR47" s="118">
        <v>1</v>
      </c>
      <c r="AS47" s="118">
        <v>1</v>
      </c>
      <c r="AT47" s="160">
        <v>0</v>
      </c>
      <c r="AU47" s="161">
        <f t="shared" si="43"/>
        <v>47.621951219512198</v>
      </c>
      <c r="AV47" s="116">
        <f>AQ47*产品成本!$D$5+AR47*产品成本!$D$6+AS47*产品成本!$D$7+AT47*产品成本!D56</f>
        <v>6.47887323943662</v>
      </c>
      <c r="AW47" s="116">
        <f>AQ47*产品成本!$E$5+AR47*产品成本!$E$6+AS47*产品成本!$E$7+AT47*产品成本!E56</f>
        <v>0.72</v>
      </c>
      <c r="AX47" s="116">
        <f>AQ47*产品成本!$F$5+AR47*产品成本!$F$6+AS47*产品成本!$F$7+AT47*产品成本!F56</f>
        <v>0.75</v>
      </c>
      <c r="AY47" s="116"/>
      <c r="AZ47" s="116">
        <f t="shared" si="44"/>
        <v>7.1432926829268295</v>
      </c>
      <c r="BA47" s="116">
        <f t="shared" si="45"/>
        <v>-1.4286585365853659</v>
      </c>
      <c r="BB47" s="117">
        <f t="shared" si="46"/>
        <v>13.663507385778082</v>
      </c>
      <c r="BC47" s="122">
        <f t="shared" si="47"/>
        <v>745.44151374098249</v>
      </c>
      <c r="BD47" s="122">
        <f t="shared" si="48"/>
        <v>1317.4099999999999</v>
      </c>
      <c r="BE47" s="122">
        <f t="shared" si="49"/>
        <v>1269.7880487804875</v>
      </c>
      <c r="BF47" s="121">
        <f t="shared" si="50"/>
        <v>226.26653503950507</v>
      </c>
      <c r="BG47" s="162">
        <f t="shared" si="51"/>
        <v>0.17819236466811361</v>
      </c>
    </row>
    <row r="48" spans="1:61" ht="29.1" customHeight="1" x14ac:dyDescent="0.15">
      <c r="A48" s="38" t="s">
        <v>185</v>
      </c>
      <c r="B48" s="38" t="s">
        <v>186</v>
      </c>
      <c r="C48" s="67">
        <v>51</v>
      </c>
      <c r="D48" s="68">
        <v>49</v>
      </c>
      <c r="E48" s="41">
        <v>1027.52</v>
      </c>
      <c r="F48" s="101">
        <v>1</v>
      </c>
      <c r="G48" s="101">
        <v>1</v>
      </c>
      <c r="H48" s="41">
        <v>18.39</v>
      </c>
      <c r="I48" s="41">
        <v>18.39</v>
      </c>
      <c r="J48" s="156">
        <v>5</v>
      </c>
      <c r="K48" s="164">
        <f t="shared" si="27"/>
        <v>9.8039215686274508E-2</v>
      </c>
      <c r="L48" s="158">
        <v>87.48</v>
      </c>
      <c r="M48" s="159">
        <f t="shared" si="28"/>
        <v>-0.2153846153846154</v>
      </c>
      <c r="N48" s="157">
        <f t="shared" si="29"/>
        <v>-0.24615384615384617</v>
      </c>
      <c r="O48" s="157">
        <f t="shared" si="30"/>
        <v>-0.23181243878916555</v>
      </c>
      <c r="P48" s="106">
        <f t="shared" si="31"/>
        <v>1.0408163265306123</v>
      </c>
      <c r="Q48" s="108">
        <f t="shared" si="32"/>
        <v>20.969795918367346</v>
      </c>
      <c r="R48" s="140">
        <f t="shared" si="33"/>
        <v>20.147450980392158</v>
      </c>
      <c r="S48" s="140">
        <f t="shared" si="53"/>
        <v>0.14285714285714285</v>
      </c>
      <c r="T48" s="146">
        <f t="shared" si="34"/>
        <v>25</v>
      </c>
      <c r="U48" s="110">
        <f t="shared" si="35"/>
        <v>0.51020408163265307</v>
      </c>
      <c r="V48" s="71">
        <f t="shared" si="36"/>
        <v>0.28340253485675782</v>
      </c>
      <c r="W48" s="68">
        <v>24380</v>
      </c>
      <c r="X48" s="68">
        <v>242</v>
      </c>
      <c r="Y48" s="68">
        <v>24</v>
      </c>
      <c r="Z48" s="68">
        <v>285.99</v>
      </c>
      <c r="AA48" s="69">
        <v>509.27</v>
      </c>
      <c r="AB48" s="68">
        <v>1.18</v>
      </c>
      <c r="AC48" s="48">
        <f t="shared" si="37"/>
        <v>0.56156851964576748</v>
      </c>
      <c r="AD48" s="49">
        <f t="shared" si="38"/>
        <v>9.9261689909762099E-3</v>
      </c>
      <c r="AE48" s="49">
        <f t="shared" si="39"/>
        <v>9.9173553719008267E-2</v>
      </c>
      <c r="AF48" s="107">
        <f t="shared" si="40"/>
        <v>11.91625</v>
      </c>
      <c r="AG48" s="113">
        <v>13</v>
      </c>
      <c r="AH48" s="114">
        <v>19</v>
      </c>
      <c r="AI48" s="114">
        <v>16</v>
      </c>
      <c r="AJ48" s="160">
        <v>3</v>
      </c>
      <c r="AK48" s="116">
        <f>AG48*产品成本!$D$5+AH48*产品成本!$D$6+AI48*产品成本!$D$7+AJ48*产品成本!$D$8</f>
        <v>163.80281690140845</v>
      </c>
      <c r="AL48" s="116">
        <f>AG48*产品成本!$E$5+AH48*产品成本!$E$6+AI48*产品成本!$E$7+AJ48*产品成本!$E$8</f>
        <v>18.39</v>
      </c>
      <c r="AM48" s="116">
        <f>AG48*产品成本!$F$5+AH48*产品成本!$F$6+AI48*产品成本!$F$7+AJ48*产品成本!$F$8</f>
        <v>19.580000000000002</v>
      </c>
      <c r="AN48" s="116">
        <f>AG48*产品成本!$G$5+AH48*产品成本!$G$6+AI48*产品成本!$G$7+AJ48*产品成本!$G$8</f>
        <v>242.26</v>
      </c>
      <c r="AO48" s="116">
        <f t="shared" si="41"/>
        <v>151.36949999999999</v>
      </c>
      <c r="AP48" s="117">
        <f t="shared" si="42"/>
        <v>595.40231690140843</v>
      </c>
      <c r="AQ48" s="118">
        <v>3</v>
      </c>
      <c r="AR48" s="118">
        <v>1</v>
      </c>
      <c r="AS48" s="118">
        <v>1</v>
      </c>
      <c r="AT48" s="160">
        <v>0</v>
      </c>
      <c r="AU48" s="161">
        <f t="shared" si="43"/>
        <v>106.6829268292683</v>
      </c>
      <c r="AV48" s="116">
        <f>AQ48*产品成本!$D$5+AR48*产品成本!$D$6+AS48*产品成本!$D$7+AT48*产品成本!D57</f>
        <v>14.50704225352113</v>
      </c>
      <c r="AW48" s="116">
        <f>AQ48*产品成本!$E$5+AR48*产品成本!$E$6+AS48*产品成本!$E$7+AT48*产品成本!E57</f>
        <v>1.5300000000000002</v>
      </c>
      <c r="AX48" s="116">
        <f>AQ48*产品成本!$F$5+AR48*产品成本!$F$6+AS48*产品成本!$F$7+AT48*产品成本!F57</f>
        <v>1.98</v>
      </c>
      <c r="AY48" s="116"/>
      <c r="AZ48" s="116">
        <f t="shared" si="44"/>
        <v>16.002439024390245</v>
      </c>
      <c r="BA48" s="116">
        <f t="shared" si="45"/>
        <v>-3.2004878048780494</v>
      </c>
      <c r="BB48" s="117">
        <f t="shared" si="46"/>
        <v>30.818993473033323</v>
      </c>
      <c r="BC48" s="122">
        <f t="shared" si="47"/>
        <v>564.58332342837514</v>
      </c>
      <c r="BD48" s="122">
        <f t="shared" si="48"/>
        <v>1009.13</v>
      </c>
      <c r="BE48" s="122">
        <f t="shared" si="49"/>
        <v>902.44707317073164</v>
      </c>
      <c r="BF48" s="121">
        <f t="shared" si="50"/>
        <v>51.873749742356495</v>
      </c>
      <c r="BG48" s="162">
        <f t="shared" si="51"/>
        <v>5.7481210017224615E-2</v>
      </c>
    </row>
    <row r="49" spans="1:62" ht="29.1" customHeight="1" x14ac:dyDescent="0.15">
      <c r="A49" s="38" t="s">
        <v>187</v>
      </c>
      <c r="B49" s="38" t="s">
        <v>188</v>
      </c>
      <c r="C49" s="67">
        <v>63</v>
      </c>
      <c r="D49" s="68">
        <v>61</v>
      </c>
      <c r="E49" s="41">
        <v>1222.0899999999999</v>
      </c>
      <c r="F49" s="101">
        <v>7</v>
      </c>
      <c r="G49" s="101">
        <v>7</v>
      </c>
      <c r="H49" s="41">
        <v>132.72999999999999</v>
      </c>
      <c r="I49" s="41">
        <v>18.96</v>
      </c>
      <c r="J49" s="156">
        <v>3</v>
      </c>
      <c r="K49" s="164">
        <f t="shared" si="27"/>
        <v>4.7619047619047616E-2</v>
      </c>
      <c r="L49" s="158">
        <v>52.03</v>
      </c>
      <c r="M49" s="159">
        <f t="shared" si="28"/>
        <v>0.23529411764705882</v>
      </c>
      <c r="N49" s="157">
        <f t="shared" si="29"/>
        <v>0.24489795918367346</v>
      </c>
      <c r="O49" s="157">
        <f t="shared" si="30"/>
        <v>0.1893588445966988</v>
      </c>
      <c r="P49" s="106">
        <f t="shared" si="31"/>
        <v>1.0327868852459017</v>
      </c>
      <c r="Q49" s="108">
        <f t="shared" si="32"/>
        <v>20.034262295081966</v>
      </c>
      <c r="R49" s="140">
        <f t="shared" si="33"/>
        <v>19.398253968253968</v>
      </c>
      <c r="S49" s="140">
        <f t="shared" si="53"/>
        <v>1</v>
      </c>
      <c r="T49" s="146">
        <f t="shared" si="34"/>
        <v>29</v>
      </c>
      <c r="U49" s="110">
        <f t="shared" si="35"/>
        <v>0.47540983606557374</v>
      </c>
      <c r="V49" s="71">
        <f t="shared" si="36"/>
        <v>0.27100978281648702</v>
      </c>
      <c r="W49" s="68">
        <v>26878</v>
      </c>
      <c r="X49" s="68">
        <v>275</v>
      </c>
      <c r="Y49" s="68">
        <v>32</v>
      </c>
      <c r="Z49" s="68">
        <v>326.06</v>
      </c>
      <c r="AA49" s="69">
        <v>642.23</v>
      </c>
      <c r="AB49" s="68">
        <v>1.19</v>
      </c>
      <c r="AC49" s="48">
        <f t="shared" si="37"/>
        <v>0.50769973374024879</v>
      </c>
      <c r="AD49" s="49">
        <f t="shared" si="38"/>
        <v>1.0231416027978273E-2</v>
      </c>
      <c r="AE49" s="49">
        <f t="shared" si="39"/>
        <v>0.11636363636363636</v>
      </c>
      <c r="AF49" s="107">
        <f t="shared" si="40"/>
        <v>10.189375</v>
      </c>
      <c r="AG49" s="113">
        <v>22</v>
      </c>
      <c r="AH49" s="114">
        <v>21</v>
      </c>
      <c r="AI49" s="114">
        <v>18</v>
      </c>
      <c r="AJ49" s="160">
        <v>2</v>
      </c>
      <c r="AK49" s="116">
        <f>AG49*产品成本!$D$5+AH49*产品成本!$D$6+AI49*产品成本!$D$7+AJ49*产品成本!$D$8</f>
        <v>195.21126760563382</v>
      </c>
      <c r="AL49" s="116">
        <f>AG49*产品成本!$E$5+AH49*产品成本!$E$6+AI49*产品成本!$E$7+AJ49*产品成本!$E$8</f>
        <v>21.46</v>
      </c>
      <c r="AM49" s="116">
        <f>AG49*产品成本!$F$5+AH49*产品成本!$F$6+AI49*产品成本!$F$7+AJ49*产品成本!$F$8</f>
        <v>24.36</v>
      </c>
      <c r="AN49" s="116">
        <f>AG49*产品成本!$G$5+AH49*产品成本!$G$6+AI49*产品成本!$G$7+AJ49*产品成本!$G$8</f>
        <v>299.56000000000006</v>
      </c>
      <c r="AO49" s="116">
        <f t="shared" si="41"/>
        <v>180.46949999999998</v>
      </c>
      <c r="AP49" s="117">
        <f t="shared" si="42"/>
        <v>721.06076760563383</v>
      </c>
      <c r="AQ49" s="118">
        <v>1</v>
      </c>
      <c r="AR49" s="118">
        <v>1</v>
      </c>
      <c r="AS49" s="118">
        <v>1</v>
      </c>
      <c r="AT49" s="160">
        <v>0</v>
      </c>
      <c r="AU49" s="161">
        <f t="shared" si="43"/>
        <v>63.451219512195124</v>
      </c>
      <c r="AV49" s="116">
        <f>AQ49*产品成本!$D$5+AR49*产品成本!$D$6+AS49*产品成本!$D$7+AT49*产品成本!D58</f>
        <v>9.1549295774647899</v>
      </c>
      <c r="AW49" s="116">
        <f>AQ49*产品成本!$E$5+AR49*产品成本!$E$6+AS49*产品成本!$E$7+AT49*产品成本!E58</f>
        <v>0.9900000000000001</v>
      </c>
      <c r="AX49" s="116">
        <f>AQ49*产品成本!$F$5+AR49*产品成本!$F$6+AS49*产品成本!$F$7+AT49*产品成本!F58</f>
        <v>1.1599999999999999</v>
      </c>
      <c r="AY49" s="116"/>
      <c r="AZ49" s="116">
        <f t="shared" si="44"/>
        <v>9.5176829268292682</v>
      </c>
      <c r="BA49" s="116">
        <f t="shared" si="45"/>
        <v>-1.9035365853658537</v>
      </c>
      <c r="BB49" s="117">
        <f t="shared" si="46"/>
        <v>18.919075918928204</v>
      </c>
      <c r="BC49" s="122">
        <f t="shared" si="47"/>
        <v>702.1416916867056</v>
      </c>
      <c r="BD49" s="122">
        <f t="shared" si="48"/>
        <v>1203.1299999999999</v>
      </c>
      <c r="BE49" s="122">
        <f t="shared" si="49"/>
        <v>1139.6787804878047</v>
      </c>
      <c r="BF49" s="121">
        <f t="shared" si="50"/>
        <v>111.47708880109911</v>
      </c>
      <c r="BG49" s="162">
        <f t="shared" si="51"/>
        <v>9.7814481334279779E-2</v>
      </c>
    </row>
    <row r="50" spans="1:62" ht="29.1" customHeight="1" x14ac:dyDescent="0.15">
      <c r="A50" s="38" t="s">
        <v>189</v>
      </c>
      <c r="B50" s="38" t="s">
        <v>190</v>
      </c>
      <c r="C50" s="67">
        <v>78</v>
      </c>
      <c r="D50" s="68">
        <v>75</v>
      </c>
      <c r="E50" s="41">
        <v>1503.54</v>
      </c>
      <c r="F50" s="101">
        <v>9</v>
      </c>
      <c r="G50" s="101">
        <v>7</v>
      </c>
      <c r="H50" s="41">
        <v>170.31</v>
      </c>
      <c r="I50" s="41">
        <v>18.920000000000002</v>
      </c>
      <c r="J50" s="156">
        <v>0</v>
      </c>
      <c r="K50" s="164">
        <f t="shared" si="27"/>
        <v>0</v>
      </c>
      <c r="L50" s="158">
        <v>0</v>
      </c>
      <c r="M50" s="159">
        <f t="shared" si="28"/>
        <v>0.23809523809523808</v>
      </c>
      <c r="N50" s="157">
        <f t="shared" si="29"/>
        <v>0.22950819672131148</v>
      </c>
      <c r="O50" s="157">
        <f t="shared" si="30"/>
        <v>0.2303021872366193</v>
      </c>
      <c r="P50" s="106">
        <f t="shared" si="31"/>
        <v>1.04</v>
      </c>
      <c r="Q50" s="108">
        <f t="shared" si="32"/>
        <v>20.0472</v>
      </c>
      <c r="R50" s="140">
        <f t="shared" si="33"/>
        <v>19.276153846153846</v>
      </c>
      <c r="S50" s="140">
        <f t="shared" si="53"/>
        <v>1</v>
      </c>
      <c r="T50" s="146">
        <f t="shared" si="34"/>
        <v>33</v>
      </c>
      <c r="U50" s="110">
        <f t="shared" si="35"/>
        <v>0.44</v>
      </c>
      <c r="V50" s="71">
        <f t="shared" si="36"/>
        <v>0.24418369683824817</v>
      </c>
      <c r="W50" s="68">
        <v>43106</v>
      </c>
      <c r="X50" s="68">
        <v>313</v>
      </c>
      <c r="Y50" s="68">
        <v>42</v>
      </c>
      <c r="Z50" s="68">
        <v>362.52</v>
      </c>
      <c r="AA50" s="69">
        <v>828.53</v>
      </c>
      <c r="AB50" s="68">
        <v>1.1599999999999999</v>
      </c>
      <c r="AC50" s="48">
        <f t="shared" si="37"/>
        <v>0.43754601523179609</v>
      </c>
      <c r="AD50" s="49">
        <f t="shared" si="38"/>
        <v>7.261170138727787E-3</v>
      </c>
      <c r="AE50" s="49">
        <f t="shared" si="39"/>
        <v>0.13418530351437699</v>
      </c>
      <c r="AF50" s="107">
        <f t="shared" si="40"/>
        <v>8.6314285714285717</v>
      </c>
      <c r="AG50" s="113">
        <v>30</v>
      </c>
      <c r="AH50" s="114">
        <v>24</v>
      </c>
      <c r="AI50" s="114">
        <v>22</v>
      </c>
      <c r="AJ50" s="160">
        <v>2</v>
      </c>
      <c r="AK50" s="116">
        <f>AG50*产品成本!$D$5+AH50*产品成本!$D$6+AI50*产品成本!$D$7+AJ50*产品成本!$D$8</f>
        <v>239.71830985915494</v>
      </c>
      <c r="AL50" s="116">
        <f>AG50*产品成本!$E$5+AH50*产品成本!$E$6+AI50*产品成本!$E$7+AJ50*产品成本!$E$8</f>
        <v>26.180000000000003</v>
      </c>
      <c r="AM50" s="116">
        <f>AG50*产品成本!$F$5+AH50*产品成本!$F$6+AI50*产品成本!$F$7+AJ50*产品成本!$F$8</f>
        <v>30.3</v>
      </c>
      <c r="AN50" s="116">
        <f>AG50*产品成本!$G$5+AH50*产品成本!$G$6+AI50*产品成本!$G$7+AJ50*产品成本!$G$8</f>
        <v>372.12000000000006</v>
      </c>
      <c r="AO50" s="116">
        <f t="shared" si="41"/>
        <v>222.69299999999998</v>
      </c>
      <c r="AP50" s="117">
        <f t="shared" si="42"/>
        <v>891.01130985915506</v>
      </c>
      <c r="AQ50" s="118">
        <v>0</v>
      </c>
      <c r="AR50" s="118">
        <v>0</v>
      </c>
      <c r="AS50" s="118">
        <v>0</v>
      </c>
      <c r="AT50" s="160">
        <v>0</v>
      </c>
      <c r="AU50" s="161">
        <f t="shared" si="43"/>
        <v>0</v>
      </c>
      <c r="AV50" s="116">
        <f>AQ50*产品成本!$D$5+AR50*产品成本!$D$6+AS50*产品成本!$D$7+AT50*产品成本!D59</f>
        <v>0</v>
      </c>
      <c r="AW50" s="116">
        <f>AQ50*产品成本!$E$5+AR50*产品成本!$E$6+AS50*产品成本!$E$7+AT50*产品成本!E59</f>
        <v>0</v>
      </c>
      <c r="AX50" s="116">
        <f>AQ50*产品成本!$F$5+AR50*产品成本!$F$6+AS50*产品成本!$F$7+AT50*产品成本!F59</f>
        <v>0</v>
      </c>
      <c r="AY50" s="116"/>
      <c r="AZ50" s="116">
        <f t="shared" si="44"/>
        <v>0</v>
      </c>
      <c r="BA50" s="116">
        <f t="shared" si="45"/>
        <v>0</v>
      </c>
      <c r="BB50" s="117">
        <f t="shared" si="46"/>
        <v>0</v>
      </c>
      <c r="BC50" s="122">
        <f t="shared" si="47"/>
        <v>891.01130985915506</v>
      </c>
      <c r="BD50" s="122">
        <f t="shared" si="48"/>
        <v>1484.62</v>
      </c>
      <c r="BE50" s="122">
        <f t="shared" si="49"/>
        <v>1484.62</v>
      </c>
      <c r="BF50" s="121">
        <f t="shared" si="50"/>
        <v>231.08869014084485</v>
      </c>
      <c r="BG50" s="162">
        <f t="shared" si="51"/>
        <v>0.15565511049348982</v>
      </c>
    </row>
    <row r="51" spans="1:62" ht="29.1" customHeight="1" x14ac:dyDescent="0.15">
      <c r="A51" s="38" t="s">
        <v>191</v>
      </c>
      <c r="B51" s="38" t="s">
        <v>192</v>
      </c>
      <c r="C51" s="67">
        <v>55</v>
      </c>
      <c r="D51" s="68">
        <v>51</v>
      </c>
      <c r="E51" s="41">
        <v>1128.94</v>
      </c>
      <c r="F51" s="101">
        <v>2</v>
      </c>
      <c r="G51" s="101">
        <v>2</v>
      </c>
      <c r="H51" s="41">
        <v>39.93</v>
      </c>
      <c r="I51" s="41">
        <v>3.99</v>
      </c>
      <c r="J51" s="156">
        <v>0</v>
      </c>
      <c r="K51" s="164">
        <f t="shared" si="27"/>
        <v>0</v>
      </c>
      <c r="L51" s="158">
        <v>0</v>
      </c>
      <c r="M51" s="159">
        <f t="shared" si="28"/>
        <v>-0.29487179487179488</v>
      </c>
      <c r="N51" s="157">
        <f t="shared" si="29"/>
        <v>-0.32</v>
      </c>
      <c r="O51" s="157">
        <f t="shared" si="30"/>
        <v>-0.24914535030660967</v>
      </c>
      <c r="P51" s="106">
        <f t="shared" si="31"/>
        <v>1.0784313725490196</v>
      </c>
      <c r="Q51" s="108">
        <f t="shared" si="32"/>
        <v>22.13607843137255</v>
      </c>
      <c r="R51" s="140">
        <f t="shared" si="33"/>
        <v>20.526181818181819</v>
      </c>
      <c r="S51" s="140">
        <f t="shared" si="53"/>
        <v>0.2857142857142857</v>
      </c>
      <c r="T51" s="146">
        <f t="shared" si="34"/>
        <v>20</v>
      </c>
      <c r="U51" s="110">
        <f t="shared" si="35"/>
        <v>0.39215686274509803</v>
      </c>
      <c r="V51" s="71">
        <f t="shared" si="36"/>
        <v>0.27777234543757501</v>
      </c>
      <c r="W51" s="68">
        <v>36559</v>
      </c>
      <c r="X51" s="68">
        <v>274</v>
      </c>
      <c r="Y51" s="68">
        <v>31</v>
      </c>
      <c r="Z51" s="68">
        <v>312.48</v>
      </c>
      <c r="AA51" s="69">
        <v>663.58</v>
      </c>
      <c r="AB51" s="68">
        <v>1.1399999999999999</v>
      </c>
      <c r="AC51" s="48">
        <f t="shared" si="37"/>
        <v>0.4709002682419603</v>
      </c>
      <c r="AD51" s="49">
        <f t="shared" si="38"/>
        <v>7.494734538690883E-3</v>
      </c>
      <c r="AE51" s="49">
        <f t="shared" si="39"/>
        <v>0.11313868613138686</v>
      </c>
      <c r="AF51" s="107">
        <f t="shared" si="40"/>
        <v>10.08</v>
      </c>
      <c r="AG51" s="113">
        <v>20</v>
      </c>
      <c r="AH51" s="114">
        <v>18</v>
      </c>
      <c r="AI51" s="114">
        <v>15</v>
      </c>
      <c r="AJ51" s="160">
        <v>2</v>
      </c>
      <c r="AK51" s="116">
        <f>AG51*产品成本!$D$5+AH51*产品成本!$D$6+AI51*产品成本!$D$7+AJ51*产品成本!$D$8</f>
        <v>170.42253521126761</v>
      </c>
      <c r="AL51" s="116">
        <f>AG51*产品成本!$E$5+AH51*产品成本!$E$6+AI51*产品成本!$E$7+AJ51*产品成本!$E$8</f>
        <v>18.760000000000002</v>
      </c>
      <c r="AM51" s="116">
        <f>AG51*产品成本!$F$5+AH51*产品成本!$F$6+AI51*产品成本!$F$7+AJ51*产品成本!$F$8</f>
        <v>21.29</v>
      </c>
      <c r="AN51" s="116">
        <f>AG51*产品成本!$G$5+AH51*产品成本!$G$6+AI51*产品成本!$G$7+AJ51*产品成本!$G$8</f>
        <v>261.68</v>
      </c>
      <c r="AO51" s="116">
        <f t="shared" si="41"/>
        <v>168.74250000000001</v>
      </c>
      <c r="AP51" s="117">
        <f t="shared" si="42"/>
        <v>640.89503521126767</v>
      </c>
      <c r="AQ51" s="118">
        <v>0</v>
      </c>
      <c r="AR51" s="118">
        <v>0</v>
      </c>
      <c r="AS51" s="118">
        <v>0</v>
      </c>
      <c r="AT51" s="160">
        <v>0</v>
      </c>
      <c r="AU51" s="161">
        <f t="shared" si="43"/>
        <v>0</v>
      </c>
      <c r="AV51" s="116">
        <f>AQ51*产品成本!$D$5+AR51*产品成本!$D$6+AS51*产品成本!$D$7+AT51*产品成本!D60</f>
        <v>0</v>
      </c>
      <c r="AW51" s="116">
        <f>AQ51*产品成本!$E$5+AR51*产品成本!$E$6+AS51*产品成本!$E$7+AT51*产品成本!E60</f>
        <v>0</v>
      </c>
      <c r="AX51" s="116">
        <f>AQ51*产品成本!$F$5+AR51*产品成本!$F$6+AS51*产品成本!$F$7+AT51*产品成本!F60</f>
        <v>0</v>
      </c>
      <c r="AY51" s="116"/>
      <c r="AZ51" s="116">
        <f t="shared" si="44"/>
        <v>0</v>
      </c>
      <c r="BA51" s="116">
        <f t="shared" si="45"/>
        <v>0</v>
      </c>
      <c r="BB51" s="117">
        <f t="shared" si="46"/>
        <v>0</v>
      </c>
      <c r="BC51" s="122">
        <f t="shared" si="47"/>
        <v>640.89503521126767</v>
      </c>
      <c r="BD51" s="122">
        <f t="shared" si="48"/>
        <v>1124.95</v>
      </c>
      <c r="BE51" s="122">
        <f t="shared" si="49"/>
        <v>1124.95</v>
      </c>
      <c r="BF51" s="121">
        <f t="shared" si="50"/>
        <v>171.57496478873236</v>
      </c>
      <c r="BG51" s="162">
        <f t="shared" si="51"/>
        <v>0.15251785838369025</v>
      </c>
    </row>
    <row r="52" spans="1:62" ht="29.1" customHeight="1" x14ac:dyDescent="0.15">
      <c r="A52" s="38" t="s">
        <v>193</v>
      </c>
      <c r="B52" s="38" t="s">
        <v>194</v>
      </c>
      <c r="C52" s="67">
        <v>61</v>
      </c>
      <c r="D52" s="68">
        <v>58</v>
      </c>
      <c r="E52" s="41">
        <v>1450.54</v>
      </c>
      <c r="F52" s="101">
        <v>7</v>
      </c>
      <c r="G52" s="101">
        <v>7</v>
      </c>
      <c r="H52" s="41">
        <v>182.53</v>
      </c>
      <c r="I52" s="41">
        <v>18.260000000000002</v>
      </c>
      <c r="J52" s="156">
        <v>5</v>
      </c>
      <c r="K52" s="164">
        <f t="shared" si="27"/>
        <v>8.1967213114754092E-2</v>
      </c>
      <c r="L52" s="158">
        <v>86.15</v>
      </c>
      <c r="M52" s="159">
        <f t="shared" si="28"/>
        <v>0.10909090909090909</v>
      </c>
      <c r="N52" s="157">
        <f t="shared" si="29"/>
        <v>0.13725490196078433</v>
      </c>
      <c r="O52" s="157">
        <f t="shared" si="30"/>
        <v>0.28486899215193001</v>
      </c>
      <c r="P52" s="106">
        <f t="shared" si="31"/>
        <v>1.0517241379310345</v>
      </c>
      <c r="Q52" s="108">
        <f t="shared" si="32"/>
        <v>25.009310344827586</v>
      </c>
      <c r="R52" s="140">
        <f t="shared" si="33"/>
        <v>23.77934426229508</v>
      </c>
      <c r="S52" s="140">
        <f t="shared" si="53"/>
        <v>1</v>
      </c>
      <c r="T52" s="146">
        <f t="shared" si="34"/>
        <v>9</v>
      </c>
      <c r="U52" s="110">
        <f t="shared" si="35"/>
        <v>0.15517241379310345</v>
      </c>
      <c r="V52" s="71">
        <f t="shared" si="36"/>
        <v>0.22372022230290167</v>
      </c>
      <c r="W52" s="68">
        <v>65756</v>
      </c>
      <c r="X52" s="68">
        <v>281</v>
      </c>
      <c r="Y52" s="68">
        <v>49</v>
      </c>
      <c r="Z52" s="68">
        <v>320.43</v>
      </c>
      <c r="AA52" s="69">
        <v>1172.0999999999999</v>
      </c>
      <c r="AB52" s="68">
        <v>1.1399999999999999</v>
      </c>
      <c r="AC52" s="48">
        <f t="shared" si="37"/>
        <v>0.27338111082672129</v>
      </c>
      <c r="AD52" s="49">
        <f t="shared" si="38"/>
        <v>4.2733742928401973E-3</v>
      </c>
      <c r="AE52" s="49">
        <f t="shared" si="39"/>
        <v>0.17437722419928825</v>
      </c>
      <c r="AF52" s="107">
        <f t="shared" si="40"/>
        <v>6.539387755102041</v>
      </c>
      <c r="AG52" s="113">
        <v>19</v>
      </c>
      <c r="AH52" s="114">
        <v>20</v>
      </c>
      <c r="AI52" s="114">
        <v>20</v>
      </c>
      <c r="AJ52" s="160">
        <v>2</v>
      </c>
      <c r="AK52" s="116">
        <f>AG52*产品成本!$D$5+AH52*产品成本!$D$6+AI52*产品成本!$D$7+AJ52*产品成本!$D$8</f>
        <v>191.69014084507046</v>
      </c>
      <c r="AL52" s="116">
        <f>AG52*产品成本!$E$5+AH52*产品成本!$E$6+AI52*产品成本!$E$7+AJ52*产品成本!$E$8</f>
        <v>21.130000000000003</v>
      </c>
      <c r="AM52" s="116">
        <f>AG52*产品成本!$F$5+AH52*产品成本!$F$6+AI52*产品成本!$F$7+AJ52*产品成本!$F$8</f>
        <v>23.61</v>
      </c>
      <c r="AN52" s="116">
        <f>AG52*产品成本!$G$5+AH52*产品成本!$G$6+AI52*产品成本!$G$7+AJ52*产品成本!$G$8</f>
        <v>291.34000000000003</v>
      </c>
      <c r="AO52" s="116">
        <f t="shared" si="41"/>
        <v>214.84199999999998</v>
      </c>
      <c r="AP52" s="117">
        <f t="shared" si="42"/>
        <v>742.61214084507048</v>
      </c>
      <c r="AQ52" s="118">
        <v>2</v>
      </c>
      <c r="AR52" s="118">
        <v>0</v>
      </c>
      <c r="AS52" s="118">
        <v>3</v>
      </c>
      <c r="AT52" s="160">
        <v>0</v>
      </c>
      <c r="AU52" s="161">
        <f t="shared" si="43"/>
        <v>105.06097560975611</v>
      </c>
      <c r="AV52" s="116">
        <f>AQ52*产品成本!$D$5+AR52*产品成本!$D$6+AS52*产品成本!$D$7+AT52*产品成本!D61</f>
        <v>16.338028169014102</v>
      </c>
      <c r="AW52" s="116">
        <f>AQ52*产品成本!$E$5+AR52*产品成本!$E$6+AS52*产品成本!$E$7+AT52*产品成本!E61</f>
        <v>1.7400000000000002</v>
      </c>
      <c r="AX52" s="116">
        <f>AQ52*产品成本!$F$5+AR52*产品成本!$F$6+AS52*产品成本!$F$7+AT52*产品成本!F61</f>
        <v>2.0499999999999998</v>
      </c>
      <c r="AY52" s="116"/>
      <c r="AZ52" s="116">
        <f t="shared" si="44"/>
        <v>15.759146341463417</v>
      </c>
      <c r="BA52" s="116">
        <f t="shared" si="45"/>
        <v>-3.1518292682926834</v>
      </c>
      <c r="BB52" s="117">
        <f t="shared" si="46"/>
        <v>32.735345242184835</v>
      </c>
      <c r="BC52" s="122">
        <f t="shared" si="47"/>
        <v>709.87679560288564</v>
      </c>
      <c r="BD52" s="122">
        <f t="shared" si="48"/>
        <v>1432.28</v>
      </c>
      <c r="BE52" s="122">
        <f t="shared" si="49"/>
        <v>1327.2190243902439</v>
      </c>
      <c r="BF52" s="121">
        <f t="shared" si="50"/>
        <v>296.91222878735829</v>
      </c>
      <c r="BG52" s="162">
        <f t="shared" si="51"/>
        <v>0.22371004584097703</v>
      </c>
    </row>
    <row r="53" spans="1:62" ht="29.1" customHeight="1" x14ac:dyDescent="0.15">
      <c r="A53" s="38" t="s">
        <v>195</v>
      </c>
      <c r="B53" s="38" t="s">
        <v>196</v>
      </c>
      <c r="C53" s="67">
        <v>109</v>
      </c>
      <c r="D53" s="68">
        <v>103</v>
      </c>
      <c r="E53" s="41">
        <v>2018.2</v>
      </c>
      <c r="F53" s="101">
        <v>0</v>
      </c>
      <c r="G53" s="101">
        <v>0</v>
      </c>
      <c r="H53" s="41">
        <v>0</v>
      </c>
      <c r="I53" s="41">
        <v>0</v>
      </c>
      <c r="J53" s="156">
        <v>3</v>
      </c>
      <c r="K53" s="164">
        <f t="shared" si="27"/>
        <v>2.7522935779816515E-2</v>
      </c>
      <c r="L53" s="158">
        <v>57.49</v>
      </c>
      <c r="M53" s="159">
        <f t="shared" si="28"/>
        <v>0.78688524590163933</v>
      </c>
      <c r="N53" s="157">
        <f t="shared" si="29"/>
        <v>0.77586206896551724</v>
      </c>
      <c r="O53" s="157">
        <f t="shared" si="30"/>
        <v>0.3913439133012534</v>
      </c>
      <c r="P53" s="106">
        <f t="shared" si="31"/>
        <v>1.058252427184466</v>
      </c>
      <c r="Q53" s="108">
        <f t="shared" si="32"/>
        <v>19.594174757281554</v>
      </c>
      <c r="R53" s="140">
        <f t="shared" si="33"/>
        <v>18.51559633027523</v>
      </c>
      <c r="S53" s="140">
        <f t="shared" si="53"/>
        <v>0</v>
      </c>
      <c r="T53" s="146">
        <f t="shared" si="34"/>
        <v>56</v>
      </c>
      <c r="U53" s="110">
        <f t="shared" si="35"/>
        <v>0.5436893203883495</v>
      </c>
      <c r="V53" s="71">
        <f t="shared" si="36"/>
        <v>0.17196016252105836</v>
      </c>
      <c r="W53" s="68">
        <v>38519</v>
      </c>
      <c r="X53" s="68">
        <v>293</v>
      </c>
      <c r="Y53" s="68">
        <v>47</v>
      </c>
      <c r="Z53" s="68">
        <v>347.05</v>
      </c>
      <c r="AA53" s="69">
        <v>959.53</v>
      </c>
      <c r="AB53" s="68">
        <v>1.18</v>
      </c>
      <c r="AC53" s="48">
        <f t="shared" si="37"/>
        <v>0.36168749283503382</v>
      </c>
      <c r="AD53" s="49">
        <f t="shared" si="38"/>
        <v>7.606635686284691E-3</v>
      </c>
      <c r="AE53" s="49">
        <f t="shared" si="39"/>
        <v>0.16040955631399317</v>
      </c>
      <c r="AF53" s="107">
        <f t="shared" si="40"/>
        <v>7.3840425531914899</v>
      </c>
      <c r="AG53" s="113">
        <v>40</v>
      </c>
      <c r="AH53" s="114">
        <v>41</v>
      </c>
      <c r="AI53" s="114">
        <v>25</v>
      </c>
      <c r="AJ53" s="160">
        <v>3</v>
      </c>
      <c r="AK53" s="116">
        <f>AG53*产品成本!$D$5+AH53*产品成本!$D$6+AI53*产品成本!$D$7+AJ53*产品成本!$D$8</f>
        <v>330.98591549295776</v>
      </c>
      <c r="AL53" s="116">
        <f>AG53*产品成本!$E$5+AH53*产品成本!$E$6+AI53*产品成本!$E$7+AJ53*产品成本!$E$8</f>
        <v>36.32</v>
      </c>
      <c r="AM53" s="116">
        <f>AG53*产品成本!$F$5+AH53*产品成本!$F$6+AI53*产品成本!$F$7+AJ53*产品成本!$F$8</f>
        <v>41.82</v>
      </c>
      <c r="AN53" s="116">
        <f>AG53*产品成本!$G$5+AH53*产品成本!$G$6+AI53*产品成本!$G$7+AJ53*产品成本!$G$8</f>
        <v>511.84</v>
      </c>
      <c r="AO53" s="116">
        <f t="shared" si="41"/>
        <v>302.73</v>
      </c>
      <c r="AP53" s="117">
        <f t="shared" si="42"/>
        <v>1223.6959154929577</v>
      </c>
      <c r="AQ53" s="118">
        <v>1</v>
      </c>
      <c r="AR53" s="118">
        <v>0</v>
      </c>
      <c r="AS53" s="118">
        <v>2</v>
      </c>
      <c r="AT53" s="160">
        <v>0</v>
      </c>
      <c r="AU53" s="161">
        <f t="shared" si="43"/>
        <v>70.109756097560975</v>
      </c>
      <c r="AV53" s="116">
        <f>AQ53*产品成本!$D$5+AR53*产品成本!$D$6+AS53*产品成本!$D$7+AT53*产品成本!D62</f>
        <v>10.000000000000011</v>
      </c>
      <c r="AW53" s="116">
        <f>AQ53*产品成本!$E$5+AR53*产品成本!$E$6+AS53*产品成本!$E$7+AT53*产品成本!E62</f>
        <v>1.07</v>
      </c>
      <c r="AX53" s="116">
        <f>AQ53*产品成本!$F$5+AR53*产品成本!$F$6+AS53*产品成本!$F$7+AT53*产品成本!F62</f>
        <v>1.23</v>
      </c>
      <c r="AY53" s="116"/>
      <c r="AZ53" s="116">
        <f t="shared" si="44"/>
        <v>10.516463414634146</v>
      </c>
      <c r="BA53" s="116">
        <f t="shared" si="45"/>
        <v>-2.103292682926829</v>
      </c>
      <c r="BB53" s="117">
        <f t="shared" si="46"/>
        <v>20.713170731707329</v>
      </c>
      <c r="BC53" s="122">
        <f t="shared" si="47"/>
        <v>1202.9827447612504</v>
      </c>
      <c r="BD53" s="122">
        <f t="shared" si="48"/>
        <v>2018.2</v>
      </c>
      <c r="BE53" s="122">
        <f t="shared" si="49"/>
        <v>1948.0902439024392</v>
      </c>
      <c r="BF53" s="121">
        <f t="shared" si="50"/>
        <v>398.05749914118877</v>
      </c>
      <c r="BG53" s="162">
        <f t="shared" si="51"/>
        <v>0.20433216602111559</v>
      </c>
      <c r="BI53" t="s">
        <v>197</v>
      </c>
    </row>
    <row r="54" spans="1:62" ht="29.1" customHeight="1" x14ac:dyDescent="0.15">
      <c r="A54" s="38" t="s">
        <v>200</v>
      </c>
      <c r="B54" s="38" t="s">
        <v>201</v>
      </c>
      <c r="C54" s="67">
        <v>67</v>
      </c>
      <c r="D54" s="68">
        <v>67</v>
      </c>
      <c r="E54" s="41">
        <v>1412.71</v>
      </c>
      <c r="F54" s="101">
        <v>7</v>
      </c>
      <c r="G54" s="101">
        <v>7</v>
      </c>
      <c r="H54" s="41">
        <v>156.5</v>
      </c>
      <c r="I54" s="41">
        <v>15.15</v>
      </c>
      <c r="J54" s="156">
        <v>3</v>
      </c>
      <c r="K54" s="164">
        <f t="shared" si="27"/>
        <v>4.4776119402985072E-2</v>
      </c>
      <c r="L54" s="158">
        <v>62.37</v>
      </c>
      <c r="M54" s="159">
        <f t="shared" si="28"/>
        <v>-0.38532110091743121</v>
      </c>
      <c r="N54" s="157">
        <f t="shared" si="29"/>
        <v>-0.34951456310679613</v>
      </c>
      <c r="O54" s="157">
        <f t="shared" si="30"/>
        <v>-0.30001486473094835</v>
      </c>
      <c r="P54" s="106">
        <f t="shared" si="31"/>
        <v>1</v>
      </c>
      <c r="Q54" s="108">
        <f t="shared" si="32"/>
        <v>21.085223880597017</v>
      </c>
      <c r="R54" s="140">
        <f t="shared" si="33"/>
        <v>21.085223880597017</v>
      </c>
      <c r="S54" s="140">
        <f t="shared" si="53"/>
        <v>1</v>
      </c>
      <c r="T54" s="146">
        <f t="shared" si="34"/>
        <v>27</v>
      </c>
      <c r="U54" s="110">
        <f t="shared" si="35"/>
        <v>0.40298507462686567</v>
      </c>
      <c r="V54" s="71">
        <f t="shared" si="36"/>
        <v>0.24020435616359942</v>
      </c>
      <c r="W54" s="68">
        <v>90691</v>
      </c>
      <c r="X54" s="68">
        <v>287</v>
      </c>
      <c r="Y54" s="68">
        <v>40</v>
      </c>
      <c r="Z54" s="68">
        <v>335.7</v>
      </c>
      <c r="AA54" s="69">
        <v>854.36</v>
      </c>
      <c r="AB54" s="68">
        <v>1.17</v>
      </c>
      <c r="AC54" s="48">
        <f t="shared" si="37"/>
        <v>0.39292569876866895</v>
      </c>
      <c r="AD54" s="49">
        <f t="shared" si="38"/>
        <v>3.1645918558622136E-3</v>
      </c>
      <c r="AE54" s="49">
        <f t="shared" si="39"/>
        <v>0.13937282229965156</v>
      </c>
      <c r="AF54" s="107">
        <f t="shared" si="40"/>
        <v>8.3925000000000001</v>
      </c>
      <c r="AG54" s="113">
        <v>23</v>
      </c>
      <c r="AH54" s="114">
        <v>16</v>
      </c>
      <c r="AI54" s="114">
        <v>24</v>
      </c>
      <c r="AJ54" s="160">
        <v>4</v>
      </c>
      <c r="AK54" s="116">
        <f>AG54*产品成本!$D$5+AH54*产品成本!$D$6+AI54*产品成本!$D$7+AJ54*产品成本!$D$8</f>
        <v>217.04225352112684</v>
      </c>
      <c r="AL54" s="116">
        <f>AG54*产品成本!$E$5+AH54*产品成本!$E$6+AI54*产品成本!$E$7+AJ54*产品成本!$E$8</f>
        <v>24.130000000000003</v>
      </c>
      <c r="AM54" s="116">
        <f>AG54*产品成本!$F$5+AH54*产品成本!$F$6+AI54*产品成本!$F$7+AJ54*产品成本!$F$8</f>
        <v>26.35</v>
      </c>
      <c r="AN54" s="116">
        <f>AG54*产品成本!$G$5+AH54*产品成本!$G$6+AI54*产品成本!$G$7+AJ54*产品成本!$G$8</f>
        <v>326.78000000000003</v>
      </c>
      <c r="AO54" s="116">
        <f t="shared" si="41"/>
        <v>209.63399999999999</v>
      </c>
      <c r="AP54" s="117">
        <f t="shared" si="42"/>
        <v>803.9362535211269</v>
      </c>
      <c r="AQ54" s="118">
        <v>1</v>
      </c>
      <c r="AR54" s="118">
        <v>0</v>
      </c>
      <c r="AS54" s="118">
        <v>1</v>
      </c>
      <c r="AT54" s="160">
        <v>1</v>
      </c>
      <c r="AU54" s="161">
        <f t="shared" si="43"/>
        <v>76.060975609756099</v>
      </c>
      <c r="AV54" s="116">
        <f>AQ54*产品成本!$D$5+AR54*产品成本!$D$6+AS54*产品成本!$D$7+AT54*产品成本!D63</f>
        <v>6.3380281690140894</v>
      </c>
      <c r="AW54" s="116">
        <f>AQ54*产品成本!$E$5+AR54*产品成本!$E$6+AS54*产品成本!$E$7+AT54*产品成本!E63</f>
        <v>0.67</v>
      </c>
      <c r="AX54" s="116">
        <f>AQ54*产品成本!$F$5+AR54*产品成本!$F$6+AS54*产品成本!$F$7+AT54*产品成本!F63</f>
        <v>0.82</v>
      </c>
      <c r="AY54" s="116"/>
      <c r="AZ54" s="116">
        <f t="shared" si="44"/>
        <v>11.409146341463414</v>
      </c>
      <c r="BA54" s="116">
        <f t="shared" si="45"/>
        <v>-2.2818292682926828</v>
      </c>
      <c r="BB54" s="117">
        <f t="shared" si="46"/>
        <v>16.955345242184819</v>
      </c>
      <c r="BC54" s="122">
        <f t="shared" si="47"/>
        <v>786.98090827894202</v>
      </c>
      <c r="BD54" s="122">
        <f t="shared" si="48"/>
        <v>1397.56</v>
      </c>
      <c r="BE54" s="122">
        <f t="shared" si="49"/>
        <v>1321.4990243902439</v>
      </c>
      <c r="BF54" s="121">
        <f t="shared" si="50"/>
        <v>198.81811611130189</v>
      </c>
      <c r="BG54" s="162">
        <f t="shared" si="51"/>
        <v>0.15044893143454197</v>
      </c>
    </row>
    <row r="55" spans="1:62" ht="29.1" customHeight="1" x14ac:dyDescent="0.15">
      <c r="A55" s="38" t="s">
        <v>200</v>
      </c>
      <c r="B55" s="38" t="s">
        <v>201</v>
      </c>
      <c r="C55" s="67">
        <v>58</v>
      </c>
      <c r="D55" s="68">
        <v>58</v>
      </c>
      <c r="E55" s="41">
        <v>1164.0999999999999</v>
      </c>
      <c r="F55" s="101">
        <v>7</v>
      </c>
      <c r="G55" s="101">
        <v>7</v>
      </c>
      <c r="H55" s="41">
        <v>141.03</v>
      </c>
      <c r="I55" s="41">
        <v>14.1</v>
      </c>
      <c r="J55" s="156">
        <v>0</v>
      </c>
      <c r="K55" s="164">
        <f t="shared" si="27"/>
        <v>0</v>
      </c>
      <c r="L55" s="158">
        <v>0</v>
      </c>
      <c r="M55" s="159">
        <f t="shared" si="28"/>
        <v>-0.13432835820895522</v>
      </c>
      <c r="N55" s="157">
        <f t="shared" si="29"/>
        <v>-0.13432835820895522</v>
      </c>
      <c r="O55" s="157">
        <f t="shared" si="30"/>
        <v>-0.17598091611158703</v>
      </c>
      <c r="P55" s="106">
        <f t="shared" si="31"/>
        <v>1</v>
      </c>
      <c r="Q55" s="108">
        <f t="shared" si="32"/>
        <v>20.070689655172412</v>
      </c>
      <c r="R55" s="140">
        <f t="shared" si="33"/>
        <v>20.070689655172412</v>
      </c>
      <c r="S55" s="140">
        <f t="shared" si="53"/>
        <v>1</v>
      </c>
      <c r="T55" s="146">
        <f t="shared" si="34"/>
        <v>15</v>
      </c>
      <c r="U55" s="110">
        <f t="shared" si="35"/>
        <v>0.25862068965517243</v>
      </c>
      <c r="V55" s="71">
        <f t="shared" si="36"/>
        <v>0.2497478260869565</v>
      </c>
      <c r="W55" s="68">
        <v>24156</v>
      </c>
      <c r="X55" s="68">
        <v>255</v>
      </c>
      <c r="Y55" s="68">
        <v>43</v>
      </c>
      <c r="Z55" s="68">
        <v>287.20999999999998</v>
      </c>
      <c r="AA55" s="69">
        <v>871.76</v>
      </c>
      <c r="AB55" s="68">
        <v>1.1299999999999999</v>
      </c>
      <c r="AC55" s="48">
        <f t="shared" si="37"/>
        <v>0.32945994310360649</v>
      </c>
      <c r="AD55" s="49">
        <f t="shared" si="38"/>
        <v>1.055638350720318E-2</v>
      </c>
      <c r="AE55" s="49">
        <f t="shared" si="39"/>
        <v>0.16862745098039217</v>
      </c>
      <c r="AF55" s="107">
        <f t="shared" si="40"/>
        <v>6.6793023255813946</v>
      </c>
      <c r="AG55" s="113">
        <v>17</v>
      </c>
      <c r="AH55" s="114">
        <v>27</v>
      </c>
      <c r="AI55" s="114">
        <v>13</v>
      </c>
      <c r="AJ55" s="160">
        <v>1</v>
      </c>
      <c r="AK55" s="116">
        <f>AG55*产品成本!$D$5+AH55*产品成本!$D$6+AI55*产品成本!$D$7+AJ55*产品成本!$D$8</f>
        <v>174.78873239436615</v>
      </c>
      <c r="AL55" s="116">
        <f>AG55*产品成本!$E$5+AH55*产品成本!$E$6+AI55*产品成本!$E$7+AJ55*产品成本!$E$8</f>
        <v>19.23</v>
      </c>
      <c r="AM55" s="116">
        <f>AG55*产品成本!$F$5+AH55*产品成本!$F$6+AI55*产品成本!$F$7+AJ55*产品成本!$F$8</f>
        <v>21.890000000000004</v>
      </c>
      <c r="AN55" s="116">
        <f>AG55*产品成本!$G$5+AH55*产品成本!$G$6+AI55*产品成本!$G$7+AJ55*产品成本!$G$8</f>
        <v>267.62</v>
      </c>
      <c r="AO55" s="116">
        <f t="shared" si="41"/>
        <v>172.5</v>
      </c>
      <c r="AP55" s="117">
        <f t="shared" si="42"/>
        <v>656.02873239436622</v>
      </c>
      <c r="AQ55" s="118">
        <v>0</v>
      </c>
      <c r="AR55" s="118">
        <v>0</v>
      </c>
      <c r="AS55" s="118">
        <v>0</v>
      </c>
      <c r="AT55" s="160">
        <v>0</v>
      </c>
      <c r="AU55" s="161">
        <f t="shared" si="43"/>
        <v>0</v>
      </c>
      <c r="AV55" s="116">
        <f>AQ55*产品成本!$D$5+AR55*产品成本!$D$6+AS55*产品成本!$D$7+AT55*产品成本!D64</f>
        <v>0</v>
      </c>
      <c r="AW55" s="116">
        <f>AQ55*产品成本!$E$5+AR55*产品成本!$E$6+AS55*产品成本!$E$7+AT55*产品成本!E64</f>
        <v>0</v>
      </c>
      <c r="AX55" s="116">
        <f>AQ55*产品成本!$F$5+AR55*产品成本!$F$6+AS55*产品成本!$F$7+AT55*产品成本!F64</f>
        <v>0</v>
      </c>
      <c r="AY55" s="116"/>
      <c r="AZ55" s="116">
        <f t="shared" si="44"/>
        <v>0</v>
      </c>
      <c r="BA55" s="116">
        <f t="shared" si="45"/>
        <v>0</v>
      </c>
      <c r="BB55" s="117">
        <f t="shared" si="46"/>
        <v>0</v>
      </c>
      <c r="BC55" s="122">
        <f t="shared" si="47"/>
        <v>656.02873239436622</v>
      </c>
      <c r="BD55" s="122">
        <f t="shared" si="48"/>
        <v>1150</v>
      </c>
      <c r="BE55" s="122">
        <f t="shared" si="49"/>
        <v>1150</v>
      </c>
      <c r="BF55" s="121">
        <f t="shared" si="50"/>
        <v>206.7612676056338</v>
      </c>
      <c r="BG55" s="162">
        <f t="shared" si="51"/>
        <v>0.17979240661359461</v>
      </c>
    </row>
    <row r="56" spans="1:62" ht="29.1" customHeight="1" x14ac:dyDescent="0.15">
      <c r="A56" s="38" t="s">
        <v>202</v>
      </c>
      <c r="B56" s="38" t="s">
        <v>203</v>
      </c>
      <c r="C56" s="67">
        <v>70</v>
      </c>
      <c r="D56" s="68">
        <v>69</v>
      </c>
      <c r="E56" s="41">
        <v>1562.73</v>
      </c>
      <c r="F56" s="101">
        <v>10</v>
      </c>
      <c r="G56" s="101">
        <v>10</v>
      </c>
      <c r="H56" s="41">
        <v>248.24</v>
      </c>
      <c r="I56" s="41">
        <v>25.87</v>
      </c>
      <c r="J56" s="156">
        <v>2</v>
      </c>
      <c r="K56" s="164">
        <f t="shared" si="27"/>
        <v>2.8571428571428571E-2</v>
      </c>
      <c r="L56" s="158">
        <v>50.24</v>
      </c>
      <c r="M56" s="159">
        <f t="shared" si="28"/>
        <v>0.20689655172413793</v>
      </c>
      <c r="N56" s="157">
        <f t="shared" si="29"/>
        <v>0.18965517241379309</v>
      </c>
      <c r="O56" s="157">
        <f t="shared" si="30"/>
        <v>0.34243621681986097</v>
      </c>
      <c r="P56" s="106">
        <f t="shared" si="31"/>
        <v>1.0144927536231885</v>
      </c>
      <c r="Q56" s="108">
        <f t="shared" si="32"/>
        <v>22.648260869565217</v>
      </c>
      <c r="R56" s="140">
        <f t="shared" si="33"/>
        <v>22.324714285714286</v>
      </c>
      <c r="S56" s="140">
        <f t="shared" si="53"/>
        <v>1.4285714285714286</v>
      </c>
      <c r="T56" s="146">
        <f t="shared" si="34"/>
        <v>32</v>
      </c>
      <c r="U56" s="110">
        <f t="shared" si="35"/>
        <v>0.46376811594202899</v>
      </c>
      <c r="V56" s="71">
        <f t="shared" si="36"/>
        <v>0.15881732883932173</v>
      </c>
      <c r="W56" s="68">
        <v>23268</v>
      </c>
      <c r="X56" s="68">
        <v>218</v>
      </c>
      <c r="Y56" s="68">
        <v>37</v>
      </c>
      <c r="Z56" s="68">
        <v>244.08</v>
      </c>
      <c r="AA56" s="69">
        <v>869.19</v>
      </c>
      <c r="AB56" s="68">
        <v>1.1200000000000001</v>
      </c>
      <c r="AC56" s="48">
        <f t="shared" si="37"/>
        <v>0.2808131708832361</v>
      </c>
      <c r="AD56" s="49">
        <f t="shared" si="38"/>
        <v>9.3690905965274195E-3</v>
      </c>
      <c r="AE56" s="49">
        <f t="shared" si="39"/>
        <v>0.16972477064220184</v>
      </c>
      <c r="AF56" s="107">
        <f t="shared" si="40"/>
        <v>6.5967567567567569</v>
      </c>
      <c r="AG56" s="113">
        <v>26</v>
      </c>
      <c r="AH56" s="114">
        <v>19</v>
      </c>
      <c r="AI56" s="114">
        <v>21</v>
      </c>
      <c r="AJ56" s="160">
        <v>4</v>
      </c>
      <c r="AK56" s="116">
        <f>AG56*产品成本!$D$5+AH56*产品成本!$D$6+AI56*产品成本!$D$7+AJ56*产品成本!$D$8</f>
        <v>222.53521126760569</v>
      </c>
      <c r="AL56" s="116">
        <f>AG56*产品成本!$E$5+AH56*产品成本!$E$6+AI56*产品成本!$E$7+AJ56*产品成本!$E$8</f>
        <v>24.7</v>
      </c>
      <c r="AM56" s="116">
        <f>AG56*产品成本!$F$5+AH56*产品成本!$F$6+AI56*产品成本!$F$7+AJ56*产品成本!$F$8</f>
        <v>27.37</v>
      </c>
      <c r="AN56" s="116">
        <f>AG56*产品成本!$G$5+AH56*产品成本!$G$6+AI56*产品成本!$G$7+AJ56*产品成本!$G$8</f>
        <v>337.88</v>
      </c>
      <c r="AO56" s="116">
        <f t="shared" si="41"/>
        <v>230.529</v>
      </c>
      <c r="AP56" s="117">
        <f t="shared" si="42"/>
        <v>843.01421126760567</v>
      </c>
      <c r="AQ56" s="118">
        <v>0</v>
      </c>
      <c r="AR56" s="118">
        <v>1</v>
      </c>
      <c r="AS56" s="118">
        <v>0</v>
      </c>
      <c r="AT56" s="160">
        <v>1</v>
      </c>
      <c r="AU56" s="161">
        <f t="shared" si="43"/>
        <v>61.268292682926834</v>
      </c>
      <c r="AV56" s="116">
        <f>AQ56*产品成本!$D$5+AR56*产品成本!$D$6+AS56*产品成本!$D$7+AT56*产品成本!D65</f>
        <v>2.8169014084507</v>
      </c>
      <c r="AW56" s="116">
        <f>AQ56*产品成本!$E$5+AR56*产品成本!$E$6+AS56*产品成本!$E$7+AT56*产品成本!E65</f>
        <v>0.32</v>
      </c>
      <c r="AX56" s="116">
        <f>AQ56*产品成本!$F$5+AR56*产品成本!$F$6+AS56*产品成本!$F$7+AT56*产品成本!F65</f>
        <v>0.34</v>
      </c>
      <c r="AY56" s="116"/>
      <c r="AZ56" s="116">
        <f t="shared" si="44"/>
        <v>9.1902439024390254</v>
      </c>
      <c r="BA56" s="116">
        <f t="shared" si="45"/>
        <v>-1.8380487804878052</v>
      </c>
      <c r="BB56" s="117">
        <f t="shared" si="46"/>
        <v>10.829096530401921</v>
      </c>
      <c r="BC56" s="122">
        <f t="shared" si="47"/>
        <v>832.18511473720378</v>
      </c>
      <c r="BD56" s="122">
        <f t="shared" si="48"/>
        <v>1536.8600000000001</v>
      </c>
      <c r="BE56" s="122">
        <f t="shared" si="49"/>
        <v>1475.5917073170733</v>
      </c>
      <c r="BF56" s="121">
        <f t="shared" si="50"/>
        <v>399.3265925798695</v>
      </c>
      <c r="BG56" s="162">
        <f t="shared" si="51"/>
        <v>0.27062133149685874</v>
      </c>
    </row>
    <row r="57" spans="1:62" ht="29.1" customHeight="1" x14ac:dyDescent="0.15">
      <c r="A57" s="38" t="s">
        <v>205</v>
      </c>
      <c r="B57" s="38" t="s">
        <v>206</v>
      </c>
      <c r="C57" s="67">
        <v>58</v>
      </c>
      <c r="D57" s="68">
        <v>49</v>
      </c>
      <c r="E57" s="41">
        <v>1247.3499999999999</v>
      </c>
      <c r="F57" s="101">
        <v>3</v>
      </c>
      <c r="G57" s="101">
        <v>3</v>
      </c>
      <c r="H57" s="41">
        <v>68.7</v>
      </c>
      <c r="I57" s="41">
        <v>8.0399999999999991</v>
      </c>
      <c r="J57" s="156">
        <v>3</v>
      </c>
      <c r="K57" s="164">
        <f t="shared" si="27"/>
        <v>5.1724137931034482E-2</v>
      </c>
      <c r="L57" s="158">
        <v>53.82</v>
      </c>
      <c r="M57" s="159">
        <f t="shared" si="28"/>
        <v>-0.17142857142857143</v>
      </c>
      <c r="N57" s="157">
        <f t="shared" si="29"/>
        <v>-0.28985507246376813</v>
      </c>
      <c r="O57" s="157">
        <f t="shared" si="30"/>
        <v>-0.20181349305382254</v>
      </c>
      <c r="P57" s="106">
        <f t="shared" si="31"/>
        <v>1.1836734693877551</v>
      </c>
      <c r="Q57" s="108">
        <f t="shared" si="32"/>
        <v>25.456122448979588</v>
      </c>
      <c r="R57" s="140">
        <f t="shared" si="33"/>
        <v>21.506034482758619</v>
      </c>
      <c r="S57" s="140">
        <f t="shared" si="53"/>
        <v>0.42857142857142855</v>
      </c>
      <c r="T57" s="146">
        <f t="shared" si="34"/>
        <v>20</v>
      </c>
      <c r="U57" s="110">
        <f t="shared" si="35"/>
        <v>0.40816326530612246</v>
      </c>
      <c r="V57" s="71">
        <f t="shared" si="36"/>
        <v>0.23558270327843719</v>
      </c>
      <c r="W57" s="68">
        <v>26402</v>
      </c>
      <c r="X57" s="68">
        <v>271</v>
      </c>
      <c r="Y57" s="68">
        <v>29</v>
      </c>
      <c r="Z57" s="68">
        <v>291.95999999999998</v>
      </c>
      <c r="AA57" s="69">
        <v>762.41</v>
      </c>
      <c r="AB57" s="68">
        <v>1.08</v>
      </c>
      <c r="AC57" s="48">
        <f t="shared" si="37"/>
        <v>0.38294356055140932</v>
      </c>
      <c r="AD57" s="49">
        <f t="shared" si="38"/>
        <v>1.0264373911067343E-2</v>
      </c>
      <c r="AE57" s="49">
        <f t="shared" si="39"/>
        <v>0.1070110701107011</v>
      </c>
      <c r="AF57" s="107">
        <f t="shared" si="40"/>
        <v>10.067586206896552</v>
      </c>
      <c r="AG57" s="113">
        <v>19</v>
      </c>
      <c r="AH57" s="114">
        <v>11</v>
      </c>
      <c r="AI57" s="114">
        <v>24</v>
      </c>
      <c r="AJ57" s="160">
        <v>4</v>
      </c>
      <c r="AK57" s="116">
        <f>AG57*产品成本!$D$5+AH57*产品成本!$D$6+AI57*产品成本!$D$7+AJ57*产品成本!$D$8</f>
        <v>192.25352112676063</v>
      </c>
      <c r="AL57" s="116">
        <f>AG57*产品成本!$E$5+AH57*产品成本!$E$6+AI57*产品成本!$E$7+AJ57*产品成本!$E$8</f>
        <v>21.45</v>
      </c>
      <c r="AM57" s="116">
        <f>AG57*产品成本!$F$5+AH57*产品成本!$F$6+AI57*产品成本!$F$7+AJ57*产品成本!$F$8</f>
        <v>23.009999999999998</v>
      </c>
      <c r="AN57" s="116">
        <f>AG57*产品成本!$G$5+AH57*产品成本!$G$6+AI57*产品成本!$G$7+AJ57*产品成本!$G$8</f>
        <v>286.78000000000003</v>
      </c>
      <c r="AO57" s="116">
        <f t="shared" si="41"/>
        <v>185.89649999999997</v>
      </c>
      <c r="AP57" s="117">
        <f t="shared" si="42"/>
        <v>709.39002112676064</v>
      </c>
      <c r="AQ57" s="118">
        <v>0</v>
      </c>
      <c r="AR57" s="118">
        <v>2</v>
      </c>
      <c r="AS57" s="118">
        <v>1</v>
      </c>
      <c r="AT57" s="160">
        <v>0</v>
      </c>
      <c r="AU57" s="161">
        <f t="shared" si="43"/>
        <v>65.634146341463421</v>
      </c>
      <c r="AV57" s="116">
        <f>AQ57*产品成本!$D$5+AR57*产品成本!$D$6+AS57*产品成本!$D$7+AT57*产品成本!D66</f>
        <v>9.2957746478873204</v>
      </c>
      <c r="AW57" s="116">
        <f>AQ57*产品成本!$E$5+AR57*产品成本!$E$6+AS57*产品成本!$E$7+AT57*产品成本!E66</f>
        <v>1.04</v>
      </c>
      <c r="AX57" s="116">
        <f>AQ57*产品成本!$F$5+AR57*产品成本!$F$6+AS57*产品成本!$F$7+AT57*产品成本!F66</f>
        <v>1.0900000000000001</v>
      </c>
      <c r="AY57" s="116"/>
      <c r="AZ57" s="116">
        <f t="shared" si="44"/>
        <v>9.8451219512195127</v>
      </c>
      <c r="BA57" s="116">
        <f t="shared" si="45"/>
        <v>-1.9690243902439026</v>
      </c>
      <c r="BB57" s="117">
        <f t="shared" si="46"/>
        <v>19.301872208862932</v>
      </c>
      <c r="BC57" s="122">
        <f t="shared" si="47"/>
        <v>690.08814891789768</v>
      </c>
      <c r="BD57" s="122">
        <f t="shared" si="48"/>
        <v>1239.31</v>
      </c>
      <c r="BE57" s="122">
        <f t="shared" si="49"/>
        <v>1173.6758536585364</v>
      </c>
      <c r="BF57" s="121">
        <f t="shared" si="50"/>
        <v>191.62770474063876</v>
      </c>
      <c r="BG57" s="162">
        <f t="shared" si="51"/>
        <v>0.1632714042325267</v>
      </c>
    </row>
    <row r="58" spans="1:62" ht="29.1" customHeight="1" x14ac:dyDescent="0.15">
      <c r="A58" s="38" t="s">
        <v>208</v>
      </c>
      <c r="B58" s="38" t="s">
        <v>209</v>
      </c>
      <c r="C58" s="67">
        <v>57</v>
      </c>
      <c r="D58" s="68">
        <v>56</v>
      </c>
      <c r="E58" s="41">
        <v>1188.24</v>
      </c>
      <c r="F58" s="101">
        <v>5</v>
      </c>
      <c r="G58" s="101">
        <v>5</v>
      </c>
      <c r="H58" s="41">
        <v>99.4</v>
      </c>
      <c r="I58" s="41">
        <v>11.93</v>
      </c>
      <c r="J58" s="156">
        <v>3</v>
      </c>
      <c r="K58" s="164">
        <f t="shared" si="27"/>
        <v>5.2631578947368418E-2</v>
      </c>
      <c r="L58" s="158">
        <v>56.11</v>
      </c>
      <c r="M58" s="159">
        <f t="shared" si="28"/>
        <v>-1.7241379310344827E-2</v>
      </c>
      <c r="N58" s="157">
        <f t="shared" si="29"/>
        <v>0.14285714285714285</v>
      </c>
      <c r="O58" s="157">
        <f t="shared" si="30"/>
        <v>-4.7388463542710473E-2</v>
      </c>
      <c r="P58" s="106">
        <f t="shared" si="31"/>
        <v>1.0178571428571428</v>
      </c>
      <c r="Q58" s="108">
        <f t="shared" si="32"/>
        <v>21.21857142857143</v>
      </c>
      <c r="R58" s="140">
        <f t="shared" si="33"/>
        <v>20.846315789473685</v>
      </c>
      <c r="S58" s="140">
        <f t="shared" si="53"/>
        <v>0.7142857142857143</v>
      </c>
      <c r="T58" s="146">
        <f t="shared" si="34"/>
        <v>33</v>
      </c>
      <c r="U58" s="110">
        <f t="shared" si="35"/>
        <v>0.5892857142857143</v>
      </c>
      <c r="V58" s="71">
        <f t="shared" si="36"/>
        <v>0.22428611505470497</v>
      </c>
      <c r="W58" s="68">
        <v>28684</v>
      </c>
      <c r="X58" s="68">
        <v>246</v>
      </c>
      <c r="Y58" s="68">
        <v>23</v>
      </c>
      <c r="Z58" s="68">
        <v>263.83</v>
      </c>
      <c r="AA58" s="69">
        <v>479.39</v>
      </c>
      <c r="AB58" s="68">
        <v>1.07</v>
      </c>
      <c r="AC58" s="48">
        <f t="shared" si="37"/>
        <v>0.55034523039696281</v>
      </c>
      <c r="AD58" s="49">
        <f t="shared" si="38"/>
        <v>8.576209733649422E-3</v>
      </c>
      <c r="AE58" s="49">
        <f t="shared" si="39"/>
        <v>9.3495934959349589E-2</v>
      </c>
      <c r="AF58" s="107">
        <f t="shared" si="40"/>
        <v>11.47086956521739</v>
      </c>
      <c r="AG58" s="113">
        <v>27</v>
      </c>
      <c r="AH58" s="114">
        <v>15</v>
      </c>
      <c r="AI58" s="114">
        <v>12</v>
      </c>
      <c r="AJ58" s="160">
        <v>3</v>
      </c>
      <c r="AK58" s="116">
        <f>AG58*产品成本!$D$5+AH58*产品成本!$D$6+AI58*产品成本!$D$7+AJ58*产品成本!$D$8</f>
        <v>175.35211267605635</v>
      </c>
      <c r="AL58" s="116">
        <f>AG58*产品成本!$E$5+AH58*产品成本!$E$6+AI58*产品成本!$E$7+AJ58*产品成本!$E$8</f>
        <v>19.29</v>
      </c>
      <c r="AM58" s="116">
        <f>AG58*产品成本!$F$5+AH58*产品成本!$F$6+AI58*产品成本!$F$7+AJ58*产品成本!$F$8</f>
        <v>22.319999999999997</v>
      </c>
      <c r="AN58" s="116">
        <f>AG58*产品成本!$G$5+AH58*产品成本!$G$6+AI58*产品成本!$G$7+AJ58*产品成本!$G$8</f>
        <v>273.42</v>
      </c>
      <c r="AO58" s="116">
        <f t="shared" si="41"/>
        <v>176.44649999999999</v>
      </c>
      <c r="AP58" s="117">
        <f t="shared" si="42"/>
        <v>666.82861267605631</v>
      </c>
      <c r="AQ58" s="118">
        <v>1</v>
      </c>
      <c r="AR58" s="118">
        <v>1</v>
      </c>
      <c r="AS58" s="118">
        <v>1</v>
      </c>
      <c r="AT58" s="160">
        <v>0</v>
      </c>
      <c r="AU58" s="161">
        <f t="shared" si="43"/>
        <v>68.426829268292693</v>
      </c>
      <c r="AV58" s="116">
        <f>AQ58*产品成本!$D$5+AR58*产品成本!$D$6+AS58*产品成本!$D$7+AT58*产品成本!D67</f>
        <v>9.1549295774647899</v>
      </c>
      <c r="AW58" s="116">
        <f>AQ58*产品成本!$E$5+AR58*产品成本!$E$6+AS58*产品成本!$E$7+AT58*产品成本!E67</f>
        <v>0.9900000000000001</v>
      </c>
      <c r="AX58" s="116">
        <f>AQ58*产品成本!$F$5+AR58*产品成本!$F$6+AS58*产品成本!$F$7+AT58*产品成本!F67</f>
        <v>1.1599999999999999</v>
      </c>
      <c r="AY58" s="116"/>
      <c r="AZ58" s="116">
        <f t="shared" si="44"/>
        <v>10.264024390243904</v>
      </c>
      <c r="BA58" s="116">
        <f t="shared" si="45"/>
        <v>-2.0528048780487809</v>
      </c>
      <c r="BB58" s="117">
        <f t="shared" si="46"/>
        <v>19.516149089659912</v>
      </c>
      <c r="BC58" s="122">
        <f t="shared" si="47"/>
        <v>647.31246358639635</v>
      </c>
      <c r="BD58" s="122">
        <f t="shared" si="48"/>
        <v>1176.31</v>
      </c>
      <c r="BE58" s="122">
        <f t="shared" si="49"/>
        <v>1107.8831707317072</v>
      </c>
      <c r="BF58" s="121">
        <f t="shared" si="50"/>
        <v>196.74070714531086</v>
      </c>
      <c r="BG58" s="162">
        <f t="shared" si="51"/>
        <v>0.17758253969628623</v>
      </c>
    </row>
    <row r="59" spans="1:62" ht="29.1" customHeight="1" x14ac:dyDescent="0.15">
      <c r="A59" s="38" t="s">
        <v>210</v>
      </c>
      <c r="B59" s="38" t="s">
        <v>211</v>
      </c>
      <c r="C59" s="67">
        <v>71</v>
      </c>
      <c r="D59" s="68">
        <v>69</v>
      </c>
      <c r="E59" s="41">
        <v>1383.36</v>
      </c>
      <c r="F59" s="101">
        <v>20</v>
      </c>
      <c r="G59" s="101">
        <v>19</v>
      </c>
      <c r="H59" s="41">
        <v>382.1</v>
      </c>
      <c r="I59" s="41">
        <v>40.58</v>
      </c>
      <c r="J59" s="156">
        <v>1</v>
      </c>
      <c r="K59" s="164">
        <f t="shared" si="27"/>
        <v>1.4084507042253521E-2</v>
      </c>
      <c r="L59" s="158">
        <v>17.940000000000001</v>
      </c>
      <c r="M59" s="159">
        <f t="shared" si="28"/>
        <v>0.24561403508771928</v>
      </c>
      <c r="N59" s="157">
        <f t="shared" si="29"/>
        <v>0.23214285714285715</v>
      </c>
      <c r="O59" s="157">
        <f t="shared" si="30"/>
        <v>0.16420925065643296</v>
      </c>
      <c r="P59" s="106">
        <f t="shared" si="31"/>
        <v>1.0289855072463767</v>
      </c>
      <c r="Q59" s="108">
        <f t="shared" si="32"/>
        <v>20.048695652173912</v>
      </c>
      <c r="R59" s="140">
        <f t="shared" si="33"/>
        <v>19.483943661971828</v>
      </c>
      <c r="S59" s="140">
        <f t="shared" si="53"/>
        <v>2.7142857142857144</v>
      </c>
      <c r="T59" s="146">
        <f t="shared" si="34"/>
        <v>31</v>
      </c>
      <c r="U59" s="110">
        <f t="shared" si="35"/>
        <v>0.44927536231884058</v>
      </c>
      <c r="V59" s="71">
        <f t="shared" si="36"/>
        <v>0.24741953261144792</v>
      </c>
      <c r="W59" s="68">
        <v>45929</v>
      </c>
      <c r="X59" s="68">
        <v>291</v>
      </c>
      <c r="Y59" s="68">
        <v>38</v>
      </c>
      <c r="Z59" s="68">
        <v>332.23</v>
      </c>
      <c r="AA59" s="69">
        <v>744.98</v>
      </c>
      <c r="AB59" s="68">
        <v>1.1399999999999999</v>
      </c>
      <c r="AC59" s="48">
        <f t="shared" si="37"/>
        <v>0.44595828075921501</v>
      </c>
      <c r="AD59" s="49">
        <f t="shared" si="38"/>
        <v>6.3358662283089116E-3</v>
      </c>
      <c r="AE59" s="49">
        <f t="shared" si="39"/>
        <v>0.13058419243986255</v>
      </c>
      <c r="AF59" s="107">
        <f t="shared" si="40"/>
        <v>8.7428947368421053</v>
      </c>
      <c r="AG59" s="113">
        <v>17</v>
      </c>
      <c r="AH59" s="114">
        <v>29</v>
      </c>
      <c r="AI59" s="114">
        <v>20</v>
      </c>
      <c r="AJ59" s="160">
        <v>5</v>
      </c>
      <c r="AK59" s="116">
        <f>AG59*产品成本!$D$5+AH59*产品成本!$D$6+AI59*产品成本!$D$7+AJ59*产品成本!$D$8</f>
        <v>228.59154929577463</v>
      </c>
      <c r="AL59" s="116">
        <f>AG59*产品成本!$E$5+AH59*产品成本!$E$6+AI59*产品成本!$E$7+AJ59*产品成本!$E$8</f>
        <v>25.869999999999997</v>
      </c>
      <c r="AM59" s="116">
        <f>AG59*产品成本!$F$5+AH59*产品成本!$F$6+AI59*产品成本!$F$7+AJ59*产品成本!$F$8</f>
        <v>27.080000000000002</v>
      </c>
      <c r="AN59" s="116">
        <f>AG59*产品成本!$G$5+AH59*产品成本!$G$6+AI59*产品成本!$G$7+AJ59*产品成本!$G$8</f>
        <v>334.82000000000005</v>
      </c>
      <c r="AO59" s="116">
        <f t="shared" si="41"/>
        <v>201.417</v>
      </c>
      <c r="AP59" s="117">
        <f t="shared" si="42"/>
        <v>817.77854929577472</v>
      </c>
      <c r="AQ59" s="118">
        <v>0</v>
      </c>
      <c r="AR59" s="118">
        <v>0</v>
      </c>
      <c r="AS59" s="118">
        <v>1</v>
      </c>
      <c r="AT59" s="160">
        <v>0</v>
      </c>
      <c r="AU59" s="161">
        <f t="shared" si="43"/>
        <v>21.878048780487809</v>
      </c>
      <c r="AV59" s="116">
        <f>AQ59*产品成本!$D$5+AR59*产品成本!$D$6+AS59*产品成本!$D$7+AT59*产品成本!D68</f>
        <v>3.6619718309859199</v>
      </c>
      <c r="AW59" s="116">
        <f>AQ59*产品成本!$E$5+AR59*产品成本!$E$6+AS59*产品成本!$E$7+AT59*产品成本!E68</f>
        <v>0.4</v>
      </c>
      <c r="AX59" s="116">
        <f>AQ59*产品成本!$F$5+AR59*产品成本!$F$6+AS59*产品成本!$F$7+AT59*产品成本!F68</f>
        <v>0.41</v>
      </c>
      <c r="AY59" s="116"/>
      <c r="AZ59" s="116">
        <f t="shared" si="44"/>
        <v>3.2817073170731712</v>
      </c>
      <c r="BA59" s="116">
        <f t="shared" si="45"/>
        <v>-0.65634146341463429</v>
      </c>
      <c r="BB59" s="117">
        <f t="shared" si="46"/>
        <v>7.0973376846444571</v>
      </c>
      <c r="BC59" s="122">
        <f t="shared" si="47"/>
        <v>810.68121161113027</v>
      </c>
      <c r="BD59" s="122">
        <f t="shared" si="48"/>
        <v>1342.78</v>
      </c>
      <c r="BE59" s="122">
        <f t="shared" si="49"/>
        <v>1320.9019512195121</v>
      </c>
      <c r="BF59" s="121">
        <f t="shared" si="50"/>
        <v>177.99073960838177</v>
      </c>
      <c r="BG59" s="162">
        <f t="shared" si="51"/>
        <v>0.13474939562626376</v>
      </c>
      <c r="BI59" t="s">
        <v>287</v>
      </c>
    </row>
    <row r="60" spans="1:62" ht="29.1" customHeight="1" x14ac:dyDescent="0.15">
      <c r="A60" s="38" t="s">
        <v>213</v>
      </c>
      <c r="B60" s="38" t="s">
        <v>214</v>
      </c>
      <c r="C60" s="67">
        <v>99</v>
      </c>
      <c r="D60" s="68">
        <v>95</v>
      </c>
      <c r="E60" s="41">
        <v>1788.96</v>
      </c>
      <c r="F60" s="101">
        <v>68</v>
      </c>
      <c r="G60" s="101">
        <v>66</v>
      </c>
      <c r="H60" s="41">
        <v>1241.77</v>
      </c>
      <c r="I60" s="41">
        <v>117.88</v>
      </c>
      <c r="J60" s="156">
        <v>1</v>
      </c>
      <c r="K60" s="164">
        <f t="shared" si="27"/>
        <v>1.0101010101010102E-2</v>
      </c>
      <c r="L60" s="158">
        <v>14.3</v>
      </c>
      <c r="M60" s="159">
        <f t="shared" si="28"/>
        <v>0.39436619718309857</v>
      </c>
      <c r="N60" s="157">
        <f t="shared" si="29"/>
        <v>0.37681159420289856</v>
      </c>
      <c r="O60" s="157">
        <f t="shared" si="30"/>
        <v>0.29319916724496892</v>
      </c>
      <c r="P60" s="106">
        <f t="shared" si="31"/>
        <v>1.0421052631578946</v>
      </c>
      <c r="Q60" s="108">
        <f t="shared" si="32"/>
        <v>18.831157894736844</v>
      </c>
      <c r="R60" s="140">
        <f t="shared" si="33"/>
        <v>18.07030303030303</v>
      </c>
      <c r="S60" s="140">
        <f t="shared" si="53"/>
        <v>9.4285714285714288</v>
      </c>
      <c r="T60" s="146">
        <f t="shared" si="34"/>
        <v>34</v>
      </c>
      <c r="U60" s="110">
        <f t="shared" si="35"/>
        <v>0.35789473684210527</v>
      </c>
      <c r="V60" s="71">
        <f t="shared" si="36"/>
        <v>0.22461521890035188</v>
      </c>
      <c r="W60" s="68">
        <v>44421</v>
      </c>
      <c r="X60" s="68">
        <v>318</v>
      </c>
      <c r="Y60" s="68">
        <v>61</v>
      </c>
      <c r="Z60" s="68">
        <v>375.35</v>
      </c>
      <c r="AA60" s="152">
        <v>1132.56</v>
      </c>
      <c r="AB60" s="68">
        <v>1.18</v>
      </c>
      <c r="AC60" s="48">
        <f t="shared" si="37"/>
        <v>0.33141732005368374</v>
      </c>
      <c r="AD60" s="49">
        <f t="shared" si="38"/>
        <v>7.1587762544742355E-3</v>
      </c>
      <c r="AE60" s="49">
        <f t="shared" si="39"/>
        <v>0.1918238993710692</v>
      </c>
      <c r="AF60" s="107">
        <f t="shared" si="40"/>
        <v>6.1532786885245905</v>
      </c>
      <c r="AG60" s="113">
        <v>37</v>
      </c>
      <c r="AH60" s="114">
        <v>30</v>
      </c>
      <c r="AI60" s="114">
        <v>29</v>
      </c>
      <c r="AJ60" s="160">
        <v>3</v>
      </c>
      <c r="AK60" s="116">
        <f>AG60*产品成本!$D$5+AH60*产品成本!$D$6+AI60*产品成本!$D$7+AJ60*产品成本!$D$8</f>
        <v>306.61971830985919</v>
      </c>
      <c r="AL60" s="116">
        <f>AG60*产品成本!$E$5+AH60*产品成本!$E$6+AI60*产品成本!$E$7+AJ60*产品成本!$E$8</f>
        <v>33.590000000000003</v>
      </c>
      <c r="AM60" s="116">
        <f>AG60*产品成本!$F$5+AH60*产品成本!$F$6+AI60*产品成本!$F$7+AJ60*产品成本!$F$8</f>
        <v>38.489999999999995</v>
      </c>
      <c r="AN60" s="116">
        <f>AG60*产品成本!$G$5+AH60*产品成本!$G$6+AI60*产品成本!$G$7+AJ60*产品成本!$G$8</f>
        <v>473.38000000000005</v>
      </c>
      <c r="AO60" s="116">
        <f t="shared" si="41"/>
        <v>250.66199999999998</v>
      </c>
      <c r="AP60" s="117">
        <f t="shared" si="42"/>
        <v>1102.7417183098594</v>
      </c>
      <c r="AQ60" s="118">
        <v>0</v>
      </c>
      <c r="AR60" s="118">
        <v>1</v>
      </c>
      <c r="AS60" s="118">
        <v>0</v>
      </c>
      <c r="AT60" s="160">
        <v>0</v>
      </c>
      <c r="AU60" s="161">
        <f t="shared" si="43"/>
        <v>17.439024390243905</v>
      </c>
      <c r="AV60" s="116">
        <f>AQ60*产品成本!$D$5+AR60*产品成本!$D$6+AS60*产品成本!$D$7+AT60*产品成本!D69</f>
        <v>2.8169014084507</v>
      </c>
      <c r="AW60" s="116">
        <f>AQ60*产品成本!$E$5+AR60*产品成本!$E$6+AS60*产品成本!$E$7+AT60*产品成本!E69</f>
        <v>0.32</v>
      </c>
      <c r="AX60" s="116">
        <f>AQ60*产品成本!$F$5+AR60*产品成本!$F$6+AS60*产品成本!$F$7+AT60*产品成本!F69</f>
        <v>0.34</v>
      </c>
      <c r="AY60" s="116"/>
      <c r="AZ60" s="116">
        <f t="shared" si="44"/>
        <v>2.6158536585365857</v>
      </c>
      <c r="BA60" s="116">
        <f t="shared" si="45"/>
        <v>-0.5231707317073172</v>
      </c>
      <c r="BB60" s="117">
        <f t="shared" si="46"/>
        <v>5.5695843352799681</v>
      </c>
      <c r="BC60" s="122">
        <f t="shared" si="47"/>
        <v>1097.1721339745793</v>
      </c>
      <c r="BD60" s="122">
        <f t="shared" si="48"/>
        <v>1671.08</v>
      </c>
      <c r="BE60" s="122">
        <f t="shared" si="49"/>
        <v>1653.640975609756</v>
      </c>
      <c r="BF60" s="121">
        <f t="shared" si="50"/>
        <v>181.11884163517664</v>
      </c>
      <c r="BG60" s="162">
        <f t="shared" si="51"/>
        <v>0.10952730629355124</v>
      </c>
      <c r="BI60" t="s">
        <v>215</v>
      </c>
    </row>
    <row r="61" spans="1:62" ht="29.1" customHeight="1" x14ac:dyDescent="0.15">
      <c r="A61" s="38" t="s">
        <v>216</v>
      </c>
      <c r="B61" s="38" t="s">
        <v>217</v>
      </c>
      <c r="C61" s="67">
        <v>84</v>
      </c>
      <c r="D61" s="68">
        <v>84</v>
      </c>
      <c r="E61" s="41">
        <v>1677.33</v>
      </c>
      <c r="F61" s="101">
        <v>17</v>
      </c>
      <c r="G61" s="101">
        <v>17</v>
      </c>
      <c r="H61" s="41">
        <v>345.27</v>
      </c>
      <c r="I61" s="41">
        <v>35.43</v>
      </c>
      <c r="J61" s="156">
        <v>2</v>
      </c>
      <c r="K61" s="164">
        <f t="shared" si="27"/>
        <v>2.3809523809523808E-2</v>
      </c>
      <c r="L61" s="158">
        <v>35.14</v>
      </c>
      <c r="M61" s="159">
        <f t="shared" si="28"/>
        <v>-0.15151515151515152</v>
      </c>
      <c r="N61" s="157">
        <f t="shared" si="29"/>
        <v>-0.11578947368421053</v>
      </c>
      <c r="O61" s="157">
        <f t="shared" si="30"/>
        <v>-6.2399382881674327E-2</v>
      </c>
      <c r="P61" s="106">
        <f t="shared" si="31"/>
        <v>1</v>
      </c>
      <c r="Q61" s="108">
        <f t="shared" si="32"/>
        <v>19.968214285714286</v>
      </c>
      <c r="R61" s="140">
        <f t="shared" si="33"/>
        <v>19.968214285714286</v>
      </c>
      <c r="S61" s="140">
        <f t="shared" si="53"/>
        <v>2.4285714285714284</v>
      </c>
      <c r="T61" s="146">
        <f t="shared" si="34"/>
        <v>44</v>
      </c>
      <c r="U61" s="110">
        <f t="shared" si="35"/>
        <v>0.52380952380952384</v>
      </c>
      <c r="V61" s="71">
        <f t="shared" si="36"/>
        <v>0.27429806930994582</v>
      </c>
      <c r="W61" s="68">
        <v>52639</v>
      </c>
      <c r="X61" s="68">
        <v>394</v>
      </c>
      <c r="Y61" s="68">
        <v>40</v>
      </c>
      <c r="Z61" s="68">
        <v>450.37</v>
      </c>
      <c r="AA61" s="152">
        <v>833.79</v>
      </c>
      <c r="AB61" s="68">
        <v>1.1399999999999999</v>
      </c>
      <c r="AC61" s="48">
        <f t="shared" si="37"/>
        <v>0.5401479988966047</v>
      </c>
      <c r="AD61" s="49">
        <f t="shared" si="38"/>
        <v>7.4849446228081838E-3</v>
      </c>
      <c r="AE61" s="49">
        <f t="shared" si="39"/>
        <v>0.10152284263959391</v>
      </c>
      <c r="AF61" s="107">
        <f t="shared" si="40"/>
        <v>11.25925</v>
      </c>
      <c r="AG61" s="113">
        <v>32</v>
      </c>
      <c r="AH61" s="114">
        <v>25</v>
      </c>
      <c r="AI61" s="114">
        <v>23</v>
      </c>
      <c r="AJ61" s="160">
        <v>4</v>
      </c>
      <c r="AK61" s="116">
        <f>AG61*产品成本!$D$5+AH61*产品成本!$D$6+AI61*产品成本!$D$7+AJ61*产品成本!$D$8</f>
        <v>262.81690140845075</v>
      </c>
      <c r="AL61" s="116">
        <f>AG61*产品成本!$E$5+AH61*产品成本!$E$6+AI61*产品成本!$E$7+AJ61*产品成本!$E$8</f>
        <v>29.040000000000003</v>
      </c>
      <c r="AM61" s="116">
        <f>AG61*产品成本!$F$5+AH61*产品成本!$F$6+AI61*产品成本!$F$7+AJ61*产品成本!$F$8</f>
        <v>32.69</v>
      </c>
      <c r="AN61" s="116">
        <f>AG61*产品成本!$G$5+AH61*产品成本!$G$6+AI61*产品成本!$G$7+AJ61*产品成本!$G$8</f>
        <v>402.32</v>
      </c>
      <c r="AO61" s="116">
        <f t="shared" si="41"/>
        <v>246.28499999999997</v>
      </c>
      <c r="AP61" s="117">
        <f t="shared" si="42"/>
        <v>973.15190140845073</v>
      </c>
      <c r="AQ61" s="118">
        <v>1</v>
      </c>
      <c r="AR61" s="118">
        <v>0</v>
      </c>
      <c r="AS61" s="118">
        <v>1</v>
      </c>
      <c r="AT61" s="160">
        <v>0</v>
      </c>
      <c r="AU61" s="161">
        <f t="shared" si="43"/>
        <v>42.853658536585371</v>
      </c>
      <c r="AV61" s="116">
        <f>AQ61*产品成本!$D$5+AR61*产品成本!$D$6+AS61*产品成本!$D$7+AT61*产品成本!D70</f>
        <v>6.3380281690140894</v>
      </c>
      <c r="AW61" s="116">
        <f>AQ61*产品成本!$E$5+AR61*产品成本!$E$6+AS61*产品成本!$E$7+AT61*产品成本!E70</f>
        <v>0.67</v>
      </c>
      <c r="AX61" s="116">
        <f>AQ61*产品成本!$F$5+AR61*产品成本!$F$6+AS61*产品成本!$F$7+AT61*产品成本!F70</f>
        <v>0.82</v>
      </c>
      <c r="AY61" s="116"/>
      <c r="AZ61" s="116">
        <f t="shared" si="44"/>
        <v>6.4280487804878055</v>
      </c>
      <c r="BA61" s="116">
        <f t="shared" si="45"/>
        <v>-1.2856097560975612</v>
      </c>
      <c r="BB61" s="117">
        <f t="shared" si="46"/>
        <v>12.970467193404335</v>
      </c>
      <c r="BC61" s="122">
        <f t="shared" si="47"/>
        <v>960.18143421504635</v>
      </c>
      <c r="BD61" s="122">
        <f t="shared" si="48"/>
        <v>1641.8999999999999</v>
      </c>
      <c r="BE61" s="122">
        <f t="shared" si="49"/>
        <v>1599.0463414634146</v>
      </c>
      <c r="BF61" s="121">
        <f t="shared" si="50"/>
        <v>188.49490724836824</v>
      </c>
      <c r="BG61" s="162">
        <f t="shared" si="51"/>
        <v>0.11787957757113002</v>
      </c>
      <c r="BI61" t="s">
        <v>288</v>
      </c>
    </row>
    <row r="62" spans="1:62" ht="29.1" customHeight="1" x14ac:dyDescent="0.15">
      <c r="A62" s="38" t="s">
        <v>219</v>
      </c>
      <c r="B62" s="38" t="s">
        <v>220</v>
      </c>
      <c r="C62" s="67">
        <v>90</v>
      </c>
      <c r="D62" s="68">
        <v>89</v>
      </c>
      <c r="E62" s="41">
        <v>1842.65</v>
      </c>
      <c r="F62" s="101">
        <v>9</v>
      </c>
      <c r="G62" s="101">
        <v>9</v>
      </c>
      <c r="H62" s="41">
        <v>194.05</v>
      </c>
      <c r="I62" s="41">
        <v>14.78</v>
      </c>
      <c r="J62" s="156">
        <v>2</v>
      </c>
      <c r="K62" s="164">
        <f t="shared" si="27"/>
        <v>2.2222222222222223E-2</v>
      </c>
      <c r="L62" s="158">
        <v>31.45</v>
      </c>
      <c r="M62" s="159">
        <f t="shared" si="28"/>
        <v>7.1428571428571425E-2</v>
      </c>
      <c r="N62" s="157">
        <f t="shared" si="29"/>
        <v>5.9523809523809521E-2</v>
      </c>
      <c r="O62" s="157">
        <f t="shared" si="30"/>
        <v>9.8561404136335823E-2</v>
      </c>
      <c r="P62" s="106">
        <f t="shared" si="31"/>
        <v>1.0112359550561798</v>
      </c>
      <c r="Q62" s="108">
        <f t="shared" si="32"/>
        <v>20.703932584269666</v>
      </c>
      <c r="R62" s="140">
        <f t="shared" si="33"/>
        <v>20.47388888888889</v>
      </c>
      <c r="S62" s="140">
        <f t="shared" si="53"/>
        <v>1.2857142857142858</v>
      </c>
      <c r="T62" s="146">
        <f t="shared" si="34"/>
        <v>48</v>
      </c>
      <c r="U62" s="110">
        <f t="shared" si="35"/>
        <v>0.5393258426966292</v>
      </c>
      <c r="V62" s="71">
        <f t="shared" si="36"/>
        <v>0.22971546116518132</v>
      </c>
      <c r="W62" s="68">
        <v>57766</v>
      </c>
      <c r="X62" s="68">
        <v>358</v>
      </c>
      <c r="Y62" s="68">
        <v>41</v>
      </c>
      <c r="Z62" s="68">
        <v>419.89</v>
      </c>
      <c r="AA62" s="152">
        <v>835.95</v>
      </c>
      <c r="AB62" s="68">
        <v>1.17</v>
      </c>
      <c r="AC62" s="48">
        <f t="shared" si="37"/>
        <v>0.50229080686643934</v>
      </c>
      <c r="AD62" s="49">
        <f t="shared" si="38"/>
        <v>6.1974171658068762E-3</v>
      </c>
      <c r="AE62" s="49">
        <f t="shared" si="39"/>
        <v>0.11452513966480447</v>
      </c>
      <c r="AF62" s="107">
        <f t="shared" si="40"/>
        <v>10.241219512195121</v>
      </c>
      <c r="AG62" s="113">
        <v>36</v>
      </c>
      <c r="AH62" s="114">
        <v>31</v>
      </c>
      <c r="AI62" s="114">
        <v>18</v>
      </c>
      <c r="AJ62" s="160">
        <v>4</v>
      </c>
      <c r="AK62" s="116">
        <f>AG62*产品成本!$D$5+AH62*产品成本!$D$6+AI62*产品成本!$D$7+AJ62*产品成本!$D$8</f>
        <v>272.11267605633799</v>
      </c>
      <c r="AL62" s="116">
        <f>AG62*产品成本!$E$5+AH62*产品成本!$E$6+AI62*产品成本!$E$7+AJ62*产品成本!$E$8</f>
        <v>30.04</v>
      </c>
      <c r="AM62" s="116">
        <f>AG62*产品成本!$F$5+AH62*产品成本!$F$6+AI62*产品成本!$F$7+AJ62*产品成本!$F$8</f>
        <v>34.32</v>
      </c>
      <c r="AN62" s="116">
        <f>AG62*产品成本!$G$5+AH62*产品成本!$G$6+AI62*产品成本!$G$7+AJ62*产品成本!$G$8</f>
        <v>420</v>
      </c>
      <c r="AO62" s="116">
        <f t="shared" si="41"/>
        <v>274.18049999999999</v>
      </c>
      <c r="AP62" s="117">
        <f t="shared" si="42"/>
        <v>1030.653176056338</v>
      </c>
      <c r="AQ62" s="118">
        <v>1</v>
      </c>
      <c r="AR62" s="118">
        <v>1</v>
      </c>
      <c r="AS62" s="118">
        <v>0</v>
      </c>
      <c r="AT62" s="160">
        <v>0</v>
      </c>
      <c r="AU62" s="161">
        <f t="shared" si="43"/>
        <v>38.353658536585364</v>
      </c>
      <c r="AV62" s="116">
        <f>AQ62*产品成本!$D$5+AR62*产品成本!$D$6+AS62*产品成本!$D$7+AT62*产品成本!D71</f>
        <v>5.4929577464788704</v>
      </c>
      <c r="AW62" s="116">
        <f>AQ62*产品成本!$E$5+AR62*产品成本!$E$6+AS62*产品成本!$E$7+AT62*产品成本!E71</f>
        <v>0.59000000000000008</v>
      </c>
      <c r="AX62" s="116">
        <f>AQ62*产品成本!$F$5+AR62*产品成本!$F$6+AS62*产品成本!$F$7+AT62*产品成本!F71</f>
        <v>0.75</v>
      </c>
      <c r="AY62" s="116"/>
      <c r="AZ62" s="116">
        <f t="shared" si="44"/>
        <v>5.7530487804878048</v>
      </c>
      <c r="BA62" s="116">
        <f t="shared" si="45"/>
        <v>-1.150609756097561</v>
      </c>
      <c r="BB62" s="117">
        <f t="shared" si="46"/>
        <v>11.435396770869113</v>
      </c>
      <c r="BC62" s="122">
        <f t="shared" si="47"/>
        <v>1019.2177792854689</v>
      </c>
      <c r="BD62" s="122">
        <f t="shared" si="48"/>
        <v>1827.8700000000001</v>
      </c>
      <c r="BE62" s="122">
        <f t="shared" si="49"/>
        <v>1789.5163414634148</v>
      </c>
      <c r="BF62" s="121">
        <f t="shared" si="50"/>
        <v>350.40856217794601</v>
      </c>
      <c r="BG62" s="162">
        <f t="shared" si="51"/>
        <v>0.19581188171290573</v>
      </c>
    </row>
    <row r="63" spans="1:62" ht="29.1" customHeight="1" x14ac:dyDescent="0.15">
      <c r="A63" s="38" t="s">
        <v>221</v>
      </c>
      <c r="B63" s="38" t="s">
        <v>222</v>
      </c>
      <c r="C63" s="67">
        <v>76</v>
      </c>
      <c r="D63" s="68">
        <v>76</v>
      </c>
      <c r="E63" s="41">
        <v>1555.45</v>
      </c>
      <c r="F63" s="101">
        <v>6</v>
      </c>
      <c r="G63" s="101">
        <v>6</v>
      </c>
      <c r="H63" s="41">
        <v>118.56</v>
      </c>
      <c r="I63" s="41">
        <v>12.85</v>
      </c>
      <c r="J63" s="156">
        <v>2</v>
      </c>
      <c r="K63" s="164">
        <f t="shared" si="27"/>
        <v>2.6315789473684209E-2</v>
      </c>
      <c r="L63" s="158">
        <v>27.91</v>
      </c>
      <c r="M63" s="159">
        <f t="shared" si="28"/>
        <v>-0.15555555555555556</v>
      </c>
      <c r="N63" s="157">
        <f t="shared" si="29"/>
        <v>-0.14606741573033707</v>
      </c>
      <c r="O63" s="157">
        <f t="shared" si="30"/>
        <v>-0.15586248066643152</v>
      </c>
      <c r="P63" s="106">
        <f t="shared" si="31"/>
        <v>1</v>
      </c>
      <c r="Q63" s="108">
        <f t="shared" si="32"/>
        <v>20.466447368421054</v>
      </c>
      <c r="R63" s="140">
        <f t="shared" si="33"/>
        <v>20.466447368421054</v>
      </c>
      <c r="S63" s="140">
        <f t="shared" si="53"/>
        <v>0.8571428571428571</v>
      </c>
      <c r="T63" s="146">
        <f t="shared" si="34"/>
        <v>34</v>
      </c>
      <c r="U63" s="110">
        <f t="shared" si="35"/>
        <v>0.44736842105263158</v>
      </c>
      <c r="V63" s="71">
        <f t="shared" si="36"/>
        <v>0.35346817062102942</v>
      </c>
      <c r="W63" s="68">
        <v>65627</v>
      </c>
      <c r="X63" s="68">
        <v>464</v>
      </c>
      <c r="Y63" s="68">
        <v>42</v>
      </c>
      <c r="Z63" s="68">
        <v>545.26</v>
      </c>
      <c r="AA63" s="152">
        <v>876.16</v>
      </c>
      <c r="AB63" s="68">
        <v>1.18</v>
      </c>
      <c r="AC63" s="48">
        <f t="shared" si="37"/>
        <v>0.62232925493060631</v>
      </c>
      <c r="AD63" s="49">
        <f t="shared" si="38"/>
        <v>7.0702607158638978E-3</v>
      </c>
      <c r="AE63" s="49">
        <f t="shared" si="39"/>
        <v>9.0517241379310345E-2</v>
      </c>
      <c r="AF63" s="107">
        <f t="shared" si="40"/>
        <v>12.982380952380952</v>
      </c>
      <c r="AG63" s="113">
        <v>25</v>
      </c>
      <c r="AH63" s="114">
        <v>28</v>
      </c>
      <c r="AI63" s="114">
        <v>20</v>
      </c>
      <c r="AJ63" s="160">
        <v>3</v>
      </c>
      <c r="AK63" s="116">
        <f>AG63*产品成本!$D$5+AH63*产品成本!$D$6+AI63*产品成本!$D$7+AJ63*产品成本!$D$8</f>
        <v>235.91549295774647</v>
      </c>
      <c r="AL63" s="116">
        <f>AG63*产品成本!$E$5+AH63*产品成本!$E$6+AI63*产品成本!$E$7+AJ63*产品成本!$E$8</f>
        <v>26.11</v>
      </c>
      <c r="AM63" s="116">
        <f>AG63*产品成本!$F$5+AH63*产品成本!$F$6+AI63*产品成本!$F$7+AJ63*产品成本!$F$8</f>
        <v>29.200000000000003</v>
      </c>
      <c r="AN63" s="116">
        <f>AG63*产品成本!$G$5+AH63*产品成本!$G$6+AI63*产品成本!$G$7+AJ63*产品成本!$G$8</f>
        <v>358.90000000000003</v>
      </c>
      <c r="AO63" s="116">
        <f t="shared" si="41"/>
        <v>231.39000000000001</v>
      </c>
      <c r="AP63" s="117">
        <f t="shared" si="42"/>
        <v>881.51549295774646</v>
      </c>
      <c r="AQ63" s="118">
        <v>1</v>
      </c>
      <c r="AR63" s="118">
        <v>1</v>
      </c>
      <c r="AS63" s="118">
        <v>0</v>
      </c>
      <c r="AT63" s="160">
        <v>0</v>
      </c>
      <c r="AU63" s="161">
        <f t="shared" si="43"/>
        <v>34.036585365853661</v>
      </c>
      <c r="AV63" s="116">
        <f>AQ63*产品成本!$D$5+AR63*产品成本!$D$6+AS63*产品成本!$D$7+AT63*产品成本!D72</f>
        <v>5.4929577464788704</v>
      </c>
      <c r="AW63" s="116">
        <f>AQ63*产品成本!$E$5+AR63*产品成本!$E$6+AS63*产品成本!$E$7+AT63*产品成本!E72</f>
        <v>0.59000000000000008</v>
      </c>
      <c r="AX63" s="116">
        <f>AQ63*产品成本!$F$5+AR63*产品成本!$F$6+AS63*产品成本!$F$7+AT63*产品成本!F72</f>
        <v>0.75</v>
      </c>
      <c r="AY63" s="116"/>
      <c r="AZ63" s="116">
        <f t="shared" si="44"/>
        <v>5.1054878048780488</v>
      </c>
      <c r="BA63" s="116">
        <f t="shared" si="45"/>
        <v>-1.0210975609756099</v>
      </c>
      <c r="BB63" s="117">
        <f t="shared" si="46"/>
        <v>10.917347990381309</v>
      </c>
      <c r="BC63" s="122">
        <f t="shared" si="47"/>
        <v>870.5981449673651</v>
      </c>
      <c r="BD63" s="122">
        <f t="shared" si="48"/>
        <v>1542.6000000000001</v>
      </c>
      <c r="BE63" s="122">
        <f t="shared" si="49"/>
        <v>1508.5634146341465</v>
      </c>
      <c r="BF63" s="121">
        <f t="shared" si="50"/>
        <v>92.705269666781419</v>
      </c>
      <c r="BG63" s="162">
        <f t="shared" si="51"/>
        <v>6.145268323987832E-2</v>
      </c>
    </row>
    <row r="64" spans="1:62" ht="29.1" customHeight="1" x14ac:dyDescent="0.15">
      <c r="A64" s="38" t="s">
        <v>223</v>
      </c>
      <c r="B64" s="38" t="s">
        <v>224</v>
      </c>
      <c r="C64" s="67">
        <v>57</v>
      </c>
      <c r="D64" s="68">
        <v>54</v>
      </c>
      <c r="E64" s="41">
        <v>1144.73</v>
      </c>
      <c r="F64" s="101">
        <v>10</v>
      </c>
      <c r="G64" s="101">
        <v>10</v>
      </c>
      <c r="H64" s="41">
        <v>213.59</v>
      </c>
      <c r="I64" s="41">
        <v>21.28</v>
      </c>
      <c r="J64" s="156">
        <v>2</v>
      </c>
      <c r="K64" s="164">
        <f t="shared" si="27"/>
        <v>3.5087719298245612E-2</v>
      </c>
      <c r="L64" s="158">
        <v>34.78</v>
      </c>
      <c r="M64" s="159">
        <f t="shared" si="28"/>
        <v>-0.25</v>
      </c>
      <c r="N64" s="157">
        <f t="shared" si="29"/>
        <v>-0.28947368421052633</v>
      </c>
      <c r="O64" s="157">
        <f t="shared" si="30"/>
        <v>-0.26405220354238323</v>
      </c>
      <c r="P64" s="106">
        <f t="shared" si="31"/>
        <v>1.0555555555555556</v>
      </c>
      <c r="Q64" s="108">
        <f t="shared" si="32"/>
        <v>21.198703703703703</v>
      </c>
      <c r="R64" s="140">
        <f t="shared" si="33"/>
        <v>20.08298245614035</v>
      </c>
      <c r="S64" s="140">
        <f t="shared" si="53"/>
        <v>1.4285714285714286</v>
      </c>
      <c r="T64" s="146">
        <f t="shared" si="34"/>
        <v>25</v>
      </c>
      <c r="U64" s="110">
        <f t="shared" si="35"/>
        <v>0.46296296296296297</v>
      </c>
      <c r="V64" s="71">
        <f t="shared" si="36"/>
        <v>0.26187191241265739</v>
      </c>
      <c r="W64" s="68">
        <v>40516</v>
      </c>
      <c r="X64" s="68">
        <v>266</v>
      </c>
      <c r="Y64" s="68">
        <v>29</v>
      </c>
      <c r="Z64" s="68">
        <v>294.2</v>
      </c>
      <c r="AA64" s="152">
        <v>594.12</v>
      </c>
      <c r="AB64" s="68">
        <v>1.1100000000000001</v>
      </c>
      <c r="AC64" s="48">
        <f t="shared" si="37"/>
        <v>0.49518615767858343</v>
      </c>
      <c r="AD64" s="49">
        <f t="shared" si="38"/>
        <v>6.5653075328265375E-3</v>
      </c>
      <c r="AE64" s="49">
        <f t="shared" si="39"/>
        <v>0.10902255639097744</v>
      </c>
      <c r="AF64" s="107">
        <f t="shared" si="40"/>
        <v>10.144827586206896</v>
      </c>
      <c r="AG64" s="113">
        <v>23</v>
      </c>
      <c r="AH64" s="114">
        <v>20</v>
      </c>
      <c r="AI64" s="114">
        <v>13</v>
      </c>
      <c r="AJ64" s="160">
        <v>1</v>
      </c>
      <c r="AK64" s="116">
        <f>AG64*产品成本!$D$5+AH64*产品成本!$D$6+AI64*产品成本!$D$7+AJ64*产品成本!$D$8</f>
        <v>171.12676056338029</v>
      </c>
      <c r="AL64" s="116">
        <f>AG64*产品成本!$E$5+AH64*产品成本!$E$6+AI64*产品成本!$E$7+AJ64*产品成本!$E$8</f>
        <v>18.610000000000003</v>
      </c>
      <c r="AM64" s="116">
        <f>AG64*产品成本!$F$5+AH64*产品成本!$F$6+AI64*产品成本!$F$7+AJ64*产品成本!$F$8</f>
        <v>21.970000000000002</v>
      </c>
      <c r="AN64" s="116">
        <f>AG64*产品成本!$G$5+AH64*产品成本!$G$6+AI64*产品成本!$G$7+AJ64*产品成本!$G$8</f>
        <v>268.45999999999998</v>
      </c>
      <c r="AO64" s="116">
        <f t="shared" si="41"/>
        <v>168.51750000000001</v>
      </c>
      <c r="AP64" s="117">
        <f t="shared" si="42"/>
        <v>648.68426056338035</v>
      </c>
      <c r="AQ64" s="118">
        <v>1</v>
      </c>
      <c r="AR64" s="118">
        <v>0</v>
      </c>
      <c r="AS64" s="118">
        <v>1</v>
      </c>
      <c r="AT64" s="160">
        <v>0</v>
      </c>
      <c r="AU64" s="161">
        <f t="shared" si="43"/>
        <v>42.41463414634147</v>
      </c>
      <c r="AV64" s="116">
        <f>AQ64*产品成本!$D$5+AR64*产品成本!$D$6+AS64*产品成本!$D$7+AT64*产品成本!D73</f>
        <v>6.3380281690140894</v>
      </c>
      <c r="AW64" s="116">
        <f>AQ64*产品成本!$E$5+AR64*产品成本!$E$6+AS64*产品成本!$E$7+AT64*产品成本!E73</f>
        <v>0.67</v>
      </c>
      <c r="AX64" s="116">
        <f>AQ64*产品成本!$F$5+AR64*产品成本!$F$6+AS64*产品成本!$F$7+AT64*产品成本!F73</f>
        <v>0.82</v>
      </c>
      <c r="AY64" s="116"/>
      <c r="AZ64" s="116">
        <f t="shared" si="44"/>
        <v>6.3621951219512205</v>
      </c>
      <c r="BA64" s="116">
        <f t="shared" si="45"/>
        <v>-1.2724390243902441</v>
      </c>
      <c r="BB64" s="117">
        <f t="shared" si="46"/>
        <v>12.917784266575065</v>
      </c>
      <c r="BC64" s="122">
        <f t="shared" si="47"/>
        <v>635.76647629680531</v>
      </c>
      <c r="BD64" s="122">
        <f t="shared" si="48"/>
        <v>1123.45</v>
      </c>
      <c r="BE64" s="122">
        <f t="shared" si="49"/>
        <v>1081.0353658536585</v>
      </c>
      <c r="BF64" s="121">
        <f t="shared" si="50"/>
        <v>151.06888955685321</v>
      </c>
      <c r="BG64" s="162">
        <f t="shared" si="51"/>
        <v>0.13974463216340663</v>
      </c>
      <c r="BI64" t="s">
        <v>289</v>
      </c>
      <c r="BJ64" t="s">
        <v>290</v>
      </c>
    </row>
    <row r="65" spans="1:63" ht="29.1" customHeight="1" x14ac:dyDescent="0.15">
      <c r="A65" s="56" t="s">
        <v>226</v>
      </c>
      <c r="B65" s="57" t="s">
        <v>227</v>
      </c>
      <c r="C65" s="67">
        <v>73</v>
      </c>
      <c r="D65" s="68">
        <v>72</v>
      </c>
      <c r="E65" s="41">
        <v>1581.15</v>
      </c>
      <c r="F65" s="101">
        <v>32</v>
      </c>
      <c r="G65" s="101">
        <v>32</v>
      </c>
      <c r="H65" s="41">
        <v>696.46</v>
      </c>
      <c r="I65" s="41">
        <v>66.05</v>
      </c>
      <c r="J65" s="156">
        <v>3</v>
      </c>
      <c r="K65" s="164">
        <f t="shared" si="27"/>
        <v>4.1095890410958902E-2</v>
      </c>
      <c r="L65" s="158">
        <v>115.19</v>
      </c>
      <c r="M65" s="159">
        <f t="shared" si="28"/>
        <v>0.2807017543859649</v>
      </c>
      <c r="N65" s="157">
        <f t="shared" si="29"/>
        <v>0.33333333333333331</v>
      </c>
      <c r="O65" s="157">
        <f t="shared" si="30"/>
        <v>0.38124273846234491</v>
      </c>
      <c r="P65" s="106">
        <f t="shared" si="31"/>
        <v>1.0138888888888888</v>
      </c>
      <c r="Q65" s="108">
        <f t="shared" si="32"/>
        <v>21.960416666666667</v>
      </c>
      <c r="R65" s="140">
        <f t="shared" si="33"/>
        <v>21.659589041095892</v>
      </c>
      <c r="S65" s="140">
        <f t="shared" si="53"/>
        <v>4.5714285714285712</v>
      </c>
      <c r="T65" s="146">
        <f t="shared" si="34"/>
        <v>35</v>
      </c>
      <c r="U65" s="110">
        <f t="shared" si="35"/>
        <v>0.4861111111111111</v>
      </c>
      <c r="V65" s="71">
        <f t="shared" si="36"/>
        <v>0.2430796647086001</v>
      </c>
      <c r="W65" s="68">
        <v>45474</v>
      </c>
      <c r="X65" s="68">
        <v>332</v>
      </c>
      <c r="Y65" s="68">
        <v>37</v>
      </c>
      <c r="Z65" s="68">
        <v>368.29</v>
      </c>
      <c r="AA65" s="152">
        <v>793.82</v>
      </c>
      <c r="AB65" s="68">
        <v>1.1100000000000001</v>
      </c>
      <c r="AC65" s="48">
        <f t="shared" si="37"/>
        <v>0.46394648660905496</v>
      </c>
      <c r="AD65" s="49">
        <f t="shared" si="38"/>
        <v>7.3008752254035275E-3</v>
      </c>
      <c r="AE65" s="49">
        <f t="shared" si="39"/>
        <v>0.11144578313253012</v>
      </c>
      <c r="AF65" s="107">
        <f t="shared" si="40"/>
        <v>9.9537837837837841</v>
      </c>
      <c r="AG65" s="113">
        <v>23</v>
      </c>
      <c r="AH65" s="114">
        <v>32</v>
      </c>
      <c r="AI65" s="114">
        <v>14</v>
      </c>
      <c r="AJ65" s="160">
        <v>4</v>
      </c>
      <c r="AK65" s="116">
        <f>AG65*产品成本!$D$5+AH65*产品成本!$D$6+AI65*产品成本!$D$7+AJ65*产品成本!$D$8</f>
        <v>225.49295774647882</v>
      </c>
      <c r="AL65" s="116">
        <f>AG65*产品成本!$E$5+AH65*产品成本!$E$6+AI65*产品成本!$E$7+AJ65*产品成本!$E$8</f>
        <v>25.250000000000004</v>
      </c>
      <c r="AM65" s="116">
        <f>AG65*产品成本!$F$5+AH65*产品成本!$F$6+AI65*产品成本!$F$7+AJ65*产品成本!$F$8</f>
        <v>27.69</v>
      </c>
      <c r="AN65" s="116">
        <f>AG65*产品成本!$G$5+AH65*产品成本!$G$6+AI65*产品成本!$G$7+AJ65*产品成本!$G$8</f>
        <v>339.26</v>
      </c>
      <c r="AO65" s="116">
        <f t="shared" si="41"/>
        <v>227.26500000000001</v>
      </c>
      <c r="AP65" s="117">
        <f t="shared" si="42"/>
        <v>844.95795774647888</v>
      </c>
      <c r="AQ65" s="118">
        <v>1</v>
      </c>
      <c r="AR65" s="118">
        <v>1</v>
      </c>
      <c r="AS65" s="118">
        <v>1</v>
      </c>
      <c r="AT65" s="160">
        <v>0</v>
      </c>
      <c r="AU65" s="161">
        <f t="shared" si="43"/>
        <v>140.47560975609755</v>
      </c>
      <c r="AV65" s="116">
        <f>AQ65*产品成本!$D$5+AR65*产品成本!$D$6+AS65*产品成本!$D$7+AT65*产品成本!D74</f>
        <v>9.1549295774647899</v>
      </c>
      <c r="AW65" s="116">
        <f>AQ65*产品成本!$E$5+AR65*产品成本!$E$6+AS65*产品成本!$E$7+AT65*产品成本!E74</f>
        <v>0.9900000000000001</v>
      </c>
      <c r="AX65" s="116">
        <f>AQ65*产品成本!$F$5+AR65*产品成本!$F$6+AS65*产品成本!$F$7+AT65*产品成本!F74</f>
        <v>1.1599999999999999</v>
      </c>
      <c r="AY65" s="116"/>
      <c r="AZ65" s="116">
        <f t="shared" si="44"/>
        <v>21.071341463414633</v>
      </c>
      <c r="BA65" s="116">
        <f t="shared" si="45"/>
        <v>-4.2142682926829265</v>
      </c>
      <c r="BB65" s="117">
        <f t="shared" si="46"/>
        <v>28.162002748196496</v>
      </c>
      <c r="BC65" s="122">
        <f t="shared" si="47"/>
        <v>816.79595499828235</v>
      </c>
      <c r="BD65" s="122">
        <f t="shared" si="48"/>
        <v>1515.1000000000001</v>
      </c>
      <c r="BE65" s="122">
        <f t="shared" si="49"/>
        <v>1374.6243902439026</v>
      </c>
      <c r="BF65" s="121">
        <f t="shared" si="50"/>
        <v>189.53843524562018</v>
      </c>
      <c r="BG65" s="162">
        <f t="shared" si="51"/>
        <v>0.13788380054277224</v>
      </c>
      <c r="BI65" t="s">
        <v>291</v>
      </c>
      <c r="BJ65" t="s">
        <v>290</v>
      </c>
    </row>
    <row r="66" spans="1:63" ht="29.1" customHeight="1" x14ac:dyDescent="0.15">
      <c r="A66" s="38" t="s">
        <v>228</v>
      </c>
      <c r="B66" s="58" t="s">
        <v>229</v>
      </c>
      <c r="C66" s="67">
        <v>86</v>
      </c>
      <c r="D66" s="68">
        <v>85</v>
      </c>
      <c r="E66" s="41">
        <v>1716.64</v>
      </c>
      <c r="F66" s="101">
        <v>52</v>
      </c>
      <c r="G66" s="101">
        <v>51</v>
      </c>
      <c r="H66" s="41">
        <v>1047.9100000000001</v>
      </c>
      <c r="I66" s="41">
        <v>99.84</v>
      </c>
      <c r="J66" s="156">
        <v>4</v>
      </c>
      <c r="K66" s="164">
        <f t="shared" si="27"/>
        <v>4.6511627906976744E-2</v>
      </c>
      <c r="L66" s="158">
        <v>62.54</v>
      </c>
      <c r="M66" s="159">
        <f t="shared" si="28"/>
        <v>0.17808219178082191</v>
      </c>
      <c r="N66" s="157">
        <f t="shared" si="29"/>
        <v>0.18055555555555555</v>
      </c>
      <c r="O66" s="157">
        <f t="shared" si="30"/>
        <v>8.5690794674762039E-2</v>
      </c>
      <c r="P66" s="106">
        <f t="shared" si="31"/>
        <v>1.0117647058823529</v>
      </c>
      <c r="Q66" s="108">
        <f t="shared" si="32"/>
        <v>20.195764705882354</v>
      </c>
      <c r="R66" s="140">
        <f t="shared" si="33"/>
        <v>19.960930232558141</v>
      </c>
      <c r="S66" s="140">
        <f t="shared" si="53"/>
        <v>7.2857142857142856</v>
      </c>
      <c r="T66" s="146">
        <f t="shared" si="34"/>
        <v>23</v>
      </c>
      <c r="U66" s="110">
        <f t="shared" si="35"/>
        <v>0.27058823529411763</v>
      </c>
      <c r="V66" s="71">
        <f t="shared" si="36"/>
        <v>0.25675408213755563</v>
      </c>
      <c r="W66" s="68">
        <v>48458</v>
      </c>
      <c r="X66" s="68">
        <v>384</v>
      </c>
      <c r="Y66" s="68">
        <v>62</v>
      </c>
      <c r="Z66" s="68">
        <v>415.12</v>
      </c>
      <c r="AA66" s="152">
        <v>1245.44</v>
      </c>
      <c r="AB66" s="68">
        <v>1.08</v>
      </c>
      <c r="AC66" s="48">
        <f t="shared" si="37"/>
        <v>0.33331192189105857</v>
      </c>
      <c r="AD66" s="49">
        <f t="shared" si="38"/>
        <v>7.9243881299269469E-3</v>
      </c>
      <c r="AE66" s="49">
        <f t="shared" si="39"/>
        <v>0.16145833333333334</v>
      </c>
      <c r="AF66" s="107">
        <f t="shared" si="40"/>
        <v>6.6954838709677418</v>
      </c>
      <c r="AG66" s="113">
        <v>31</v>
      </c>
      <c r="AH66" s="114">
        <v>32</v>
      </c>
      <c r="AI66" s="114">
        <v>21</v>
      </c>
      <c r="AJ66" s="160">
        <v>2</v>
      </c>
      <c r="AK66" s="116">
        <f>AG66*产品成本!$D$5+AH66*产品成本!$D$6+AI66*产品成本!$D$7+AJ66*产品成本!$D$8</f>
        <v>261.26760563380282</v>
      </c>
      <c r="AL66" s="116">
        <f>AG66*产品成本!$E$5+AH66*产品成本!$E$6+AI66*产品成本!$E$7+AJ66*产品成本!$E$8</f>
        <v>28.61</v>
      </c>
      <c r="AM66" s="116">
        <f>AG66*产品成本!$F$5+AH66*产品成本!$F$6+AI66*产品成本!$F$7+AJ66*产品成本!$F$8</f>
        <v>33.020000000000003</v>
      </c>
      <c r="AN66" s="116">
        <f>AG66*产品成本!$G$5+AH66*产品成本!$G$6+AI66*产品成本!$G$7+AJ66*产品成本!$G$8</f>
        <v>404.38000000000005</v>
      </c>
      <c r="AO66" s="116">
        <f t="shared" si="41"/>
        <v>242.52</v>
      </c>
      <c r="AP66" s="117">
        <f t="shared" si="42"/>
        <v>969.79760563380285</v>
      </c>
      <c r="AQ66" s="118">
        <v>2</v>
      </c>
      <c r="AR66" s="118">
        <v>0</v>
      </c>
      <c r="AS66" s="118">
        <v>2</v>
      </c>
      <c r="AT66" s="160">
        <v>0</v>
      </c>
      <c r="AU66" s="161">
        <f t="shared" si="43"/>
        <v>76.268292682926827</v>
      </c>
      <c r="AV66" s="116">
        <f>AQ66*产品成本!$D$5+AR66*产品成本!$D$6+AS66*产品成本!$D$7+AT66*产品成本!D75</f>
        <v>12.676056338028179</v>
      </c>
      <c r="AW66" s="116">
        <f>AQ66*产品成本!$E$5+AR66*产品成本!$E$6+AS66*产品成本!$E$7+AT66*产品成本!E75</f>
        <v>1.34</v>
      </c>
      <c r="AX66" s="116">
        <f>AQ66*产品成本!$F$5+AR66*产品成本!$F$6+AS66*产品成本!$F$7+AT66*产品成本!F75</f>
        <v>1.64</v>
      </c>
      <c r="AY66" s="116"/>
      <c r="AZ66" s="116">
        <f t="shared" si="44"/>
        <v>11.440243902439024</v>
      </c>
      <c r="BA66" s="116">
        <f t="shared" si="45"/>
        <v>-2.2880487804878049</v>
      </c>
      <c r="BB66" s="117">
        <f t="shared" si="46"/>
        <v>24.808251459979395</v>
      </c>
      <c r="BC66" s="122">
        <f t="shared" si="47"/>
        <v>944.98935417382347</v>
      </c>
      <c r="BD66" s="122">
        <f t="shared" si="48"/>
        <v>1616.8000000000002</v>
      </c>
      <c r="BE66" s="122">
        <f t="shared" si="49"/>
        <v>1540.5317073170734</v>
      </c>
      <c r="BF66" s="121">
        <f t="shared" si="50"/>
        <v>180.42235314324989</v>
      </c>
      <c r="BG66" s="162">
        <f t="shared" si="51"/>
        <v>0.11711693585162622</v>
      </c>
      <c r="BI66" t="s">
        <v>292</v>
      </c>
      <c r="BJ66" t="s">
        <v>290</v>
      </c>
    </row>
    <row r="67" spans="1:63" ht="29.1" customHeight="1" x14ac:dyDescent="0.15">
      <c r="A67" s="38" t="s">
        <v>230</v>
      </c>
      <c r="B67" s="58" t="s">
        <v>231</v>
      </c>
      <c r="C67" s="67">
        <v>103</v>
      </c>
      <c r="D67" s="68">
        <v>98</v>
      </c>
      <c r="E67" s="41">
        <v>2156.64</v>
      </c>
      <c r="F67" s="101">
        <v>60</v>
      </c>
      <c r="G67" s="101">
        <v>58</v>
      </c>
      <c r="H67" s="41">
        <v>1288.58</v>
      </c>
      <c r="I67" s="41">
        <v>105.75</v>
      </c>
      <c r="J67" s="156">
        <v>0</v>
      </c>
      <c r="K67" s="164">
        <f t="shared" si="27"/>
        <v>0</v>
      </c>
      <c r="L67" s="158">
        <v>0</v>
      </c>
      <c r="M67" s="159">
        <f t="shared" si="28"/>
        <v>0.19767441860465115</v>
      </c>
      <c r="N67" s="157">
        <f t="shared" si="29"/>
        <v>0.15294117647058825</v>
      </c>
      <c r="O67" s="157">
        <f t="shared" si="30"/>
        <v>0.2563146611986204</v>
      </c>
      <c r="P67" s="106">
        <f t="shared" si="31"/>
        <v>1.0510204081632653</v>
      </c>
      <c r="Q67" s="108">
        <f t="shared" si="32"/>
        <v>22.006530612244898</v>
      </c>
      <c r="R67" s="140">
        <f t="shared" si="33"/>
        <v>20.938252427184466</v>
      </c>
      <c r="S67" s="140">
        <f t="shared" si="53"/>
        <v>8.2857142857142865</v>
      </c>
      <c r="T67" s="146">
        <f t="shared" si="34"/>
        <v>33</v>
      </c>
      <c r="U67" s="110">
        <f t="shared" si="35"/>
        <v>0.33673469387755101</v>
      </c>
      <c r="V67" s="71">
        <f t="shared" si="36"/>
        <v>0.22057740785707669</v>
      </c>
      <c r="W67" s="68">
        <v>51795</v>
      </c>
      <c r="X67" s="68">
        <v>408</v>
      </c>
      <c r="Y67" s="68">
        <v>65</v>
      </c>
      <c r="Z67" s="68">
        <v>452.38</v>
      </c>
      <c r="AA67" s="152">
        <v>1441.69</v>
      </c>
      <c r="AB67" s="68">
        <v>1.1100000000000001</v>
      </c>
      <c r="AC67" s="48">
        <f t="shared" si="37"/>
        <v>0.31378451678238733</v>
      </c>
      <c r="AD67" s="49">
        <f t="shared" si="38"/>
        <v>7.8772082247321167E-3</v>
      </c>
      <c r="AE67" s="49">
        <f t="shared" si="39"/>
        <v>0.15931372549019607</v>
      </c>
      <c r="AF67" s="107">
        <f t="shared" si="40"/>
        <v>6.9596923076923076</v>
      </c>
      <c r="AG67" s="113">
        <v>21</v>
      </c>
      <c r="AH67" s="114">
        <v>38</v>
      </c>
      <c r="AI67" s="114">
        <v>36</v>
      </c>
      <c r="AJ67" s="160">
        <v>8</v>
      </c>
      <c r="AK67" s="116">
        <f>AG67*产品成本!$D$5+AH67*产品成本!$D$6+AI67*产品成本!$D$7+AJ67*产品成本!$D$8</f>
        <v>340.14084507042253</v>
      </c>
      <c r="AL67" s="116">
        <f>AG67*产品成本!$E$5+AH67*产品成本!$E$6+AI67*产品成本!$E$7+AJ67*产品成本!$E$8</f>
        <v>38.629999999999995</v>
      </c>
      <c r="AM67" s="116">
        <f>AG67*产品成本!$F$5+AH67*产品成本!$F$6+AI67*产品成本!$F$7+AJ67*产品成本!$F$8</f>
        <v>39.57</v>
      </c>
      <c r="AN67" s="116">
        <f>AG67*产品成本!$G$5+AH67*产品成本!$G$6+AI67*产品成本!$G$7+AJ67*产品成本!$G$8</f>
        <v>492.17999999999995</v>
      </c>
      <c r="AO67" s="116">
        <f t="shared" si="41"/>
        <v>307.63349999999997</v>
      </c>
      <c r="AP67" s="117">
        <f t="shared" si="42"/>
        <v>1218.1543450704223</v>
      </c>
      <c r="AQ67" s="118">
        <v>0</v>
      </c>
      <c r="AR67" s="118">
        <v>0</v>
      </c>
      <c r="AS67" s="118">
        <v>0</v>
      </c>
      <c r="AT67" s="160">
        <v>0</v>
      </c>
      <c r="AU67" s="161">
        <f t="shared" si="43"/>
        <v>0</v>
      </c>
      <c r="AV67" s="116">
        <f>AQ67*产品成本!$D$5+AR67*产品成本!$D$6+AS67*产品成本!$D$7+AT67*产品成本!D76</f>
        <v>0</v>
      </c>
      <c r="AW67" s="116">
        <f>AQ67*产品成本!$E$5+AR67*产品成本!$E$6+AS67*产品成本!$E$7+AT67*产品成本!E76</f>
        <v>0</v>
      </c>
      <c r="AX67" s="116">
        <f>AQ67*产品成本!$F$5+AR67*产品成本!$F$6+AS67*产品成本!$F$7+AT67*产品成本!F76</f>
        <v>0</v>
      </c>
      <c r="AY67" s="116"/>
      <c r="AZ67" s="116">
        <f t="shared" si="44"/>
        <v>0</v>
      </c>
      <c r="BA67" s="116">
        <f t="shared" si="45"/>
        <v>0</v>
      </c>
      <c r="BB67" s="117">
        <f t="shared" si="46"/>
        <v>0</v>
      </c>
      <c r="BC67" s="122">
        <f t="shared" si="47"/>
        <v>1218.1543450704223</v>
      </c>
      <c r="BD67" s="122">
        <f t="shared" si="48"/>
        <v>2050.89</v>
      </c>
      <c r="BE67" s="122">
        <f t="shared" si="49"/>
        <v>2050.89</v>
      </c>
      <c r="BF67" s="121">
        <f t="shared" si="50"/>
        <v>380.35565492957755</v>
      </c>
      <c r="BG67" s="162">
        <f t="shared" si="51"/>
        <v>0.18545882759659346</v>
      </c>
      <c r="BI67" s="125" t="s">
        <v>293</v>
      </c>
      <c r="BJ67" t="s">
        <v>290</v>
      </c>
    </row>
    <row r="68" spans="1:63" ht="29.1" customHeight="1" x14ac:dyDescent="0.15">
      <c r="A68" s="38" t="s">
        <v>232</v>
      </c>
      <c r="B68" s="58" t="s">
        <v>233</v>
      </c>
      <c r="C68" s="67">
        <v>95</v>
      </c>
      <c r="D68" s="68">
        <v>94</v>
      </c>
      <c r="E68" s="41">
        <v>1930.2</v>
      </c>
      <c r="F68" s="101">
        <v>12</v>
      </c>
      <c r="G68" s="101">
        <v>12</v>
      </c>
      <c r="H68" s="41">
        <v>269.98</v>
      </c>
      <c r="I68" s="41">
        <v>28.98</v>
      </c>
      <c r="J68" s="156">
        <v>2</v>
      </c>
      <c r="K68" s="164">
        <f t="shared" si="27"/>
        <v>2.1052631578947368E-2</v>
      </c>
      <c r="L68" s="158">
        <v>33.950000000000003</v>
      </c>
      <c r="M68" s="159">
        <f t="shared" si="28"/>
        <v>-7.7669902912621352E-2</v>
      </c>
      <c r="N68" s="157">
        <f t="shared" si="29"/>
        <v>-4.0816326530612242E-2</v>
      </c>
      <c r="O68" s="157">
        <f t="shared" si="30"/>
        <v>-0.104996661473403</v>
      </c>
      <c r="P68" s="106">
        <f t="shared" si="31"/>
        <v>1.0106382978723405</v>
      </c>
      <c r="Q68" s="108">
        <f t="shared" si="32"/>
        <v>20.53404255319149</v>
      </c>
      <c r="R68" s="140">
        <f t="shared" si="33"/>
        <v>20.317894736842106</v>
      </c>
      <c r="S68" s="140">
        <f t="shared" si="53"/>
        <v>1.7142857142857142</v>
      </c>
      <c r="T68" s="146">
        <f t="shared" si="34"/>
        <v>32</v>
      </c>
      <c r="U68" s="110">
        <f t="shared" si="35"/>
        <v>0.34042553191489361</v>
      </c>
      <c r="V68" s="71">
        <f t="shared" si="36"/>
        <v>0.21538275423149347</v>
      </c>
      <c r="W68" s="68">
        <v>43943</v>
      </c>
      <c r="X68" s="68">
        <v>379</v>
      </c>
      <c r="Y68" s="68">
        <v>62</v>
      </c>
      <c r="Z68" s="68">
        <v>409.49</v>
      </c>
      <c r="AA68" s="152">
        <v>1231.78</v>
      </c>
      <c r="AB68" s="68">
        <v>1.08</v>
      </c>
      <c r="AC68" s="48">
        <f t="shared" si="37"/>
        <v>0.33243761061228466</v>
      </c>
      <c r="AD68" s="49">
        <f t="shared" si="38"/>
        <v>8.6248094121930685E-3</v>
      </c>
      <c r="AE68" s="49">
        <f t="shared" si="39"/>
        <v>0.16358839050131926</v>
      </c>
      <c r="AF68" s="107">
        <f t="shared" si="40"/>
        <v>6.6046774193548385</v>
      </c>
      <c r="AG68" s="113">
        <v>27</v>
      </c>
      <c r="AH68" s="114">
        <v>33</v>
      </c>
      <c r="AI68" s="114">
        <v>31</v>
      </c>
      <c r="AJ68" s="160">
        <v>4</v>
      </c>
      <c r="AK68" s="116">
        <f>AG68*产品成本!$D$5+AH68*产品成本!$D$6+AI68*产品成本!$D$7+AJ68*产品成本!$D$8</f>
        <v>301.26760563380282</v>
      </c>
      <c r="AL68" s="116">
        <f>AG68*产品成本!$E$5+AH68*产品成本!$E$6+AI68*产品成本!$E$7+AJ68*产品成本!$E$8</f>
        <v>33.450000000000003</v>
      </c>
      <c r="AM68" s="116">
        <f>AG68*产品成本!$F$5+AH68*产品成本!$F$6+AI68*产品成本!$F$7+AJ68*产品成本!$F$8</f>
        <v>36.64</v>
      </c>
      <c r="AN68" s="116">
        <f>AG68*产品成本!$G$5+AH68*产品成本!$G$6+AI68*产品成本!$G$7+AJ68*产品成本!$G$8</f>
        <v>452.70000000000005</v>
      </c>
      <c r="AO68" s="116">
        <f t="shared" si="41"/>
        <v>285.18299999999999</v>
      </c>
      <c r="AP68" s="117">
        <f t="shared" si="42"/>
        <v>1109.2406056338027</v>
      </c>
      <c r="AQ68" s="118">
        <v>1</v>
      </c>
      <c r="AR68" s="118">
        <v>1</v>
      </c>
      <c r="AS68" s="118">
        <v>0</v>
      </c>
      <c r="AT68" s="160">
        <v>0</v>
      </c>
      <c r="AU68" s="161">
        <f t="shared" si="43"/>
        <v>41.402439024390247</v>
      </c>
      <c r="AV68" s="116">
        <f>AQ68*产品成本!$D$5+AR68*产品成本!$D$6+AS68*产品成本!$D$7+AT68*产品成本!D77</f>
        <v>5.4929577464788704</v>
      </c>
      <c r="AW68" s="116">
        <f>AQ68*产品成本!$E$5+AR68*产品成本!$E$6+AS68*产品成本!$E$7+AT68*产品成本!E77</f>
        <v>0.59000000000000008</v>
      </c>
      <c r="AX68" s="116">
        <f>AQ68*产品成本!$F$5+AR68*产品成本!$F$6+AS68*产品成本!$F$7+AT68*产品成本!F77</f>
        <v>0.75</v>
      </c>
      <c r="AY68" s="116"/>
      <c r="AZ68" s="116">
        <f t="shared" si="44"/>
        <v>6.2103658536585371</v>
      </c>
      <c r="BA68" s="116">
        <f t="shared" si="45"/>
        <v>-1.2420731707317074</v>
      </c>
      <c r="BB68" s="117">
        <f t="shared" si="46"/>
        <v>11.8012504294057</v>
      </c>
      <c r="BC68" s="122">
        <f t="shared" si="47"/>
        <v>1097.4393552043971</v>
      </c>
      <c r="BD68" s="122">
        <f t="shared" si="48"/>
        <v>1901.22</v>
      </c>
      <c r="BE68" s="122">
        <f t="shared" si="49"/>
        <v>1859.8175609756097</v>
      </c>
      <c r="BF68" s="121">
        <f t="shared" si="50"/>
        <v>352.8882057712126</v>
      </c>
      <c r="BG68" s="162">
        <f t="shared" si="51"/>
        <v>0.1897434528933564</v>
      </c>
      <c r="BH68" t="s">
        <v>294</v>
      </c>
      <c r="BI68" s="125" t="s">
        <v>295</v>
      </c>
      <c r="BJ68" t="s">
        <v>290</v>
      </c>
    </row>
    <row r="69" spans="1:63" ht="29.1" customHeight="1" x14ac:dyDescent="0.15">
      <c r="A69" s="38" t="s">
        <v>236</v>
      </c>
      <c r="B69" s="58" t="s">
        <v>237</v>
      </c>
      <c r="C69" s="67">
        <v>74</v>
      </c>
      <c r="D69" s="68">
        <v>73</v>
      </c>
      <c r="E69" s="41">
        <v>1633.68</v>
      </c>
      <c r="F69" s="101">
        <v>3</v>
      </c>
      <c r="G69" s="101">
        <v>3</v>
      </c>
      <c r="H69" s="41">
        <v>63.95</v>
      </c>
      <c r="I69" s="41">
        <v>8.6</v>
      </c>
      <c r="J69" s="156">
        <v>4</v>
      </c>
      <c r="K69" s="164">
        <f t="shared" si="27"/>
        <v>5.4054054054054057E-2</v>
      </c>
      <c r="L69" s="158">
        <v>67.3</v>
      </c>
      <c r="M69" s="159">
        <f t="shared" si="28"/>
        <v>-0.22105263157894736</v>
      </c>
      <c r="N69" s="157">
        <f t="shared" si="29"/>
        <v>-0.22340425531914893</v>
      </c>
      <c r="O69" s="157">
        <f t="shared" si="30"/>
        <v>-0.15362138638483058</v>
      </c>
      <c r="P69" s="106">
        <f t="shared" si="31"/>
        <v>1.0136986301369864</v>
      </c>
      <c r="Q69" s="108">
        <f t="shared" si="32"/>
        <v>22.379178082191782</v>
      </c>
      <c r="R69" s="140">
        <f t="shared" si="33"/>
        <v>22.076756756756758</v>
      </c>
      <c r="S69" s="140">
        <f t="shared" si="53"/>
        <v>0.42857142857142855</v>
      </c>
      <c r="T69" s="146">
        <f t="shared" si="34"/>
        <v>27</v>
      </c>
      <c r="U69" s="110">
        <f t="shared" si="35"/>
        <v>0.36986301369863012</v>
      </c>
      <c r="V69" s="71">
        <f t="shared" si="36"/>
        <v>0.23600684274004968</v>
      </c>
      <c r="W69" s="68">
        <v>45625</v>
      </c>
      <c r="X69" s="68">
        <v>348</v>
      </c>
      <c r="Y69" s="68">
        <v>46</v>
      </c>
      <c r="Z69" s="68">
        <v>383.53</v>
      </c>
      <c r="AA69" s="152">
        <v>1062.24</v>
      </c>
      <c r="AB69" s="41">
        <v>1.1000000000000001</v>
      </c>
      <c r="AC69" s="48">
        <f t="shared" si="37"/>
        <v>0.3610577647236029</v>
      </c>
      <c r="AD69" s="49">
        <f t="shared" si="38"/>
        <v>7.6273972602739727E-3</v>
      </c>
      <c r="AE69" s="49">
        <f t="shared" si="39"/>
        <v>0.13218390804597702</v>
      </c>
      <c r="AF69" s="107">
        <f t="shared" si="40"/>
        <v>8.3376086956521736</v>
      </c>
      <c r="AG69" s="113">
        <v>20</v>
      </c>
      <c r="AH69" s="114">
        <v>34</v>
      </c>
      <c r="AI69" s="114">
        <v>20</v>
      </c>
      <c r="AJ69" s="160">
        <v>6</v>
      </c>
      <c r="AK69" s="116">
        <f>AG69*产品成本!$D$5+AH69*产品成本!$D$6+AI69*产品成本!$D$7+AJ69*产品成本!$D$8</f>
        <v>256.33802816901402</v>
      </c>
      <c r="AL69" s="116">
        <f>AG69*产品成本!$E$5+AH69*产品成本!$E$6+AI69*产品成本!$E$7+AJ69*产品成本!$E$8</f>
        <v>29.080000000000002</v>
      </c>
      <c r="AM69" s="116">
        <f>AG69*产品成本!$F$5+AH69*产品成本!$F$6+AI69*产品成本!$F$7+AJ69*产品成本!$F$8</f>
        <v>30.419999999999998</v>
      </c>
      <c r="AN69" s="116">
        <f>AG69*产品成本!$G$5+AH69*产品成本!$G$6+AI69*产品成本!$G$7+AJ69*产品成本!$G$8</f>
        <v>375.44</v>
      </c>
      <c r="AO69" s="116">
        <f t="shared" si="41"/>
        <v>243.762</v>
      </c>
      <c r="AP69" s="117">
        <f t="shared" si="42"/>
        <v>935.04002816901402</v>
      </c>
      <c r="AQ69" s="118">
        <v>1</v>
      </c>
      <c r="AR69" s="118">
        <v>1</v>
      </c>
      <c r="AS69" s="118">
        <v>2</v>
      </c>
      <c r="AT69" s="160">
        <v>0</v>
      </c>
      <c r="AU69" s="161">
        <f t="shared" si="43"/>
        <v>82.073170731707322</v>
      </c>
      <c r="AV69" s="116">
        <f>AQ69*产品成本!$D$5+AR69*产品成本!$D$6+AS69*产品成本!$D$7+AT69*产品成本!D78</f>
        <v>12.816901408450711</v>
      </c>
      <c r="AW69" s="116">
        <f>AQ69*产品成本!$E$5+AR69*产品成本!$E$6+AS69*产品成本!$E$7+AT69*产品成本!E78</f>
        <v>1.3900000000000001</v>
      </c>
      <c r="AX69" s="116">
        <f>AQ69*产品成本!$F$5+AR69*产品成本!$F$6+AS69*产品成本!$F$7+AT69*产品成本!F78</f>
        <v>1.5699999999999998</v>
      </c>
      <c r="AY69" s="116"/>
      <c r="AZ69" s="116">
        <f t="shared" si="44"/>
        <v>12.310975609756097</v>
      </c>
      <c r="BA69" s="116">
        <f t="shared" si="45"/>
        <v>-2.4621951219512197</v>
      </c>
      <c r="BB69" s="117">
        <f t="shared" si="46"/>
        <v>25.625681896255593</v>
      </c>
      <c r="BC69" s="122">
        <f t="shared" si="47"/>
        <v>909.41434627275839</v>
      </c>
      <c r="BD69" s="122">
        <f t="shared" si="48"/>
        <v>1625.0800000000002</v>
      </c>
      <c r="BE69" s="122">
        <f t="shared" si="49"/>
        <v>1543.0068292682929</v>
      </c>
      <c r="BF69" s="121">
        <f t="shared" si="50"/>
        <v>250.06248299553454</v>
      </c>
      <c r="BG69" s="162">
        <f t="shared" si="51"/>
        <v>0.16206181220475629</v>
      </c>
      <c r="BH69" t="s">
        <v>296</v>
      </c>
      <c r="BI69" t="s">
        <v>297</v>
      </c>
    </row>
    <row r="70" spans="1:63" ht="29.1" customHeight="1" x14ac:dyDescent="0.15">
      <c r="A70" s="38" t="s">
        <v>240</v>
      </c>
      <c r="B70" s="58" t="s">
        <v>241</v>
      </c>
      <c r="C70" s="67">
        <v>67</v>
      </c>
      <c r="D70" s="68">
        <v>67</v>
      </c>
      <c r="E70" s="41">
        <v>1357.41</v>
      </c>
      <c r="F70" s="101">
        <v>25</v>
      </c>
      <c r="G70" s="101">
        <v>25</v>
      </c>
      <c r="H70" s="41">
        <v>527.52</v>
      </c>
      <c r="I70" s="41">
        <v>53.06</v>
      </c>
      <c r="J70" s="156">
        <v>4</v>
      </c>
      <c r="K70" s="164">
        <f t="shared" si="27"/>
        <v>5.9701492537313432E-2</v>
      </c>
      <c r="L70" s="158">
        <v>72.09</v>
      </c>
      <c r="M70" s="159">
        <f t="shared" si="28"/>
        <v>-9.45945945945946E-2</v>
      </c>
      <c r="N70" s="157">
        <f t="shared" si="29"/>
        <v>-8.2191780821917804E-2</v>
      </c>
      <c r="O70" s="157">
        <f t="shared" si="30"/>
        <v>-0.16910900543558099</v>
      </c>
      <c r="P70" s="106">
        <f t="shared" si="31"/>
        <v>1</v>
      </c>
      <c r="Q70" s="108">
        <f t="shared" si="32"/>
        <v>20.259850746268658</v>
      </c>
      <c r="R70" s="140">
        <f t="shared" si="33"/>
        <v>20.259850746268658</v>
      </c>
      <c r="S70" s="140">
        <f t="shared" si="53"/>
        <v>3.5714285714285716</v>
      </c>
      <c r="T70" s="146">
        <f t="shared" si="34"/>
        <v>28</v>
      </c>
      <c r="U70" s="110">
        <f t="shared" si="35"/>
        <v>0.41791044776119401</v>
      </c>
      <c r="V70" s="71">
        <f t="shared" si="36"/>
        <v>0.28204852991911677</v>
      </c>
      <c r="W70" s="68">
        <v>33253</v>
      </c>
      <c r="X70" s="68">
        <v>336</v>
      </c>
      <c r="Y70" s="68">
        <v>39</v>
      </c>
      <c r="Z70" s="68">
        <v>367.89</v>
      </c>
      <c r="AA70" s="152">
        <v>800.46</v>
      </c>
      <c r="AB70" s="41">
        <v>1.0900000000000001</v>
      </c>
      <c r="AC70" s="48">
        <f t="shared" si="37"/>
        <v>0.45959823101716507</v>
      </c>
      <c r="AD70" s="49">
        <f t="shared" si="38"/>
        <v>1.0104351487083872E-2</v>
      </c>
      <c r="AE70" s="49">
        <f t="shared" si="39"/>
        <v>0.11607142857142858</v>
      </c>
      <c r="AF70" s="107">
        <f t="shared" si="40"/>
        <v>9.4330769230769231</v>
      </c>
      <c r="AG70" s="113">
        <v>22</v>
      </c>
      <c r="AH70" s="114">
        <v>20</v>
      </c>
      <c r="AI70" s="114">
        <v>22</v>
      </c>
      <c r="AJ70" s="160">
        <v>3</v>
      </c>
      <c r="AK70" s="116">
        <f>AG70*产品成本!$D$5+AH70*产品成本!$D$6+AI70*产品成本!$D$7+AJ70*产品成本!$D$8</f>
        <v>212.67605633802819</v>
      </c>
      <c r="AL70" s="116">
        <f>AG70*产品成本!$E$5+AH70*产品成本!$E$6+AI70*产品成本!$E$7+AJ70*产品成本!$E$8</f>
        <v>23.54</v>
      </c>
      <c r="AM70" s="116">
        <f>AG70*产品成本!$F$5+AH70*产品成本!$F$6+AI70*产品成本!$F$7+AJ70*产品成本!$F$8</f>
        <v>26.07</v>
      </c>
      <c r="AN70" s="116">
        <f>AG70*产品成本!$G$5+AH70*产品成本!$G$6+AI70*产品成本!$G$7+AJ70*产品成本!$G$8</f>
        <v>322.12</v>
      </c>
      <c r="AO70" s="116">
        <f t="shared" si="41"/>
        <v>195.6525</v>
      </c>
      <c r="AP70" s="117">
        <f t="shared" si="42"/>
        <v>780.05855633802821</v>
      </c>
      <c r="AQ70" s="118">
        <v>0</v>
      </c>
      <c r="AR70" s="118">
        <v>1</v>
      </c>
      <c r="AS70" s="118">
        <v>3</v>
      </c>
      <c r="AT70" s="160">
        <v>0</v>
      </c>
      <c r="AU70" s="161">
        <f t="shared" si="43"/>
        <v>87.91463414634147</v>
      </c>
      <c r="AV70" s="116">
        <f>AQ70*产品成本!$D$5+AR70*产品成本!$D$6+AS70*产品成本!$D$7+AT70*产品成本!D79</f>
        <v>13.802816901408461</v>
      </c>
      <c r="AW70" s="116">
        <f>AQ70*产品成本!$E$5+AR70*产品成本!$E$6+AS70*产品成本!$E$7+AT70*产品成本!E79</f>
        <v>1.5200000000000002</v>
      </c>
      <c r="AX70" s="116">
        <f>AQ70*产品成本!$F$5+AR70*产品成本!$F$6+AS70*产品成本!$F$7+AT70*产品成本!F79</f>
        <v>1.57</v>
      </c>
      <c r="AY70" s="116"/>
      <c r="AZ70" s="116">
        <f t="shared" si="44"/>
        <v>13.18719512195122</v>
      </c>
      <c r="BA70" s="116">
        <f t="shared" si="45"/>
        <v>-2.6374390243902441</v>
      </c>
      <c r="BB70" s="117">
        <f t="shared" si="46"/>
        <v>27.442572998969435</v>
      </c>
      <c r="BC70" s="122">
        <f t="shared" si="47"/>
        <v>752.61598333905874</v>
      </c>
      <c r="BD70" s="122">
        <f t="shared" si="48"/>
        <v>1304.3500000000001</v>
      </c>
      <c r="BE70" s="122">
        <f t="shared" si="49"/>
        <v>1216.4353658536586</v>
      </c>
      <c r="BF70" s="121">
        <f t="shared" si="50"/>
        <v>95.929382514599865</v>
      </c>
      <c r="BG70" s="162">
        <f t="shared" si="51"/>
        <v>7.8861060116646189E-2</v>
      </c>
      <c r="BH70" t="s">
        <v>298</v>
      </c>
      <c r="BI70" t="s">
        <v>299</v>
      </c>
      <c r="BJ70" t="s">
        <v>300</v>
      </c>
    </row>
    <row r="71" spans="1:63" ht="29.1" customHeight="1" x14ac:dyDescent="0.15">
      <c r="A71" s="38" t="s">
        <v>244</v>
      </c>
      <c r="B71" s="58" t="s">
        <v>245</v>
      </c>
      <c r="C71" s="67">
        <v>96</v>
      </c>
      <c r="D71" s="68">
        <v>90</v>
      </c>
      <c r="E71" s="41">
        <v>1904.88</v>
      </c>
      <c r="F71" s="101">
        <v>66</v>
      </c>
      <c r="G71" s="101">
        <v>63</v>
      </c>
      <c r="H71" s="41">
        <v>1308.56</v>
      </c>
      <c r="I71" s="41">
        <v>131.79</v>
      </c>
      <c r="J71" s="156">
        <v>2</v>
      </c>
      <c r="K71" s="164">
        <f t="shared" si="27"/>
        <v>2.0833333333333332E-2</v>
      </c>
      <c r="L71" s="158">
        <v>33.06</v>
      </c>
      <c r="M71" s="159">
        <f t="shared" si="28"/>
        <v>0.43283582089552236</v>
      </c>
      <c r="N71" s="157">
        <f t="shared" si="29"/>
        <v>0.34328358208955223</v>
      </c>
      <c r="O71" s="157">
        <f t="shared" si="30"/>
        <v>0.40331955709770811</v>
      </c>
      <c r="P71" s="106">
        <f t="shared" si="31"/>
        <v>1.0666666666666667</v>
      </c>
      <c r="Q71" s="108">
        <f t="shared" si="32"/>
        <v>21.165333333333333</v>
      </c>
      <c r="R71" s="140">
        <f t="shared" si="33"/>
        <v>19.842500000000001</v>
      </c>
      <c r="S71" s="140">
        <f t="shared" si="53"/>
        <v>9</v>
      </c>
      <c r="T71" s="146">
        <f t="shared" si="34"/>
        <v>39</v>
      </c>
      <c r="U71" s="110">
        <f t="shared" si="35"/>
        <v>0.43333333333333335</v>
      </c>
      <c r="V71" s="71">
        <f t="shared" si="36"/>
        <v>0.22406082037572822</v>
      </c>
      <c r="W71" s="68">
        <v>32333</v>
      </c>
      <c r="X71" s="68">
        <v>358</v>
      </c>
      <c r="Y71" s="68">
        <v>51</v>
      </c>
      <c r="Z71" s="68">
        <v>397.28</v>
      </c>
      <c r="AA71" s="152">
        <v>1014.02</v>
      </c>
      <c r="AB71" s="41">
        <v>1.1100000000000001</v>
      </c>
      <c r="AC71" s="48">
        <f t="shared" si="37"/>
        <v>0.39178714423778621</v>
      </c>
      <c r="AD71" s="49">
        <f t="shared" si="38"/>
        <v>1.107227909566078E-2</v>
      </c>
      <c r="AE71" s="49">
        <f t="shared" si="39"/>
        <v>0.14245810055865921</v>
      </c>
      <c r="AF71" s="107">
        <f t="shared" si="40"/>
        <v>7.7898039215686268</v>
      </c>
      <c r="AG71" s="113">
        <v>30</v>
      </c>
      <c r="AH71" s="114">
        <v>31</v>
      </c>
      <c r="AI71" s="114">
        <v>35</v>
      </c>
      <c r="AJ71" s="160">
        <v>0</v>
      </c>
      <c r="AK71" s="116">
        <f>AG71*产品成本!$D$5+AH71*产品成本!$D$6+AI71*产品成本!$D$7+AJ71*产品成本!$D$8</f>
        <v>295.77464788732402</v>
      </c>
      <c r="AL71" s="116">
        <f>AG71*产品成本!$E$5+AH71*产品成本!$E$6+AI71*产品成本!$E$7+AJ71*产品成本!$E$8</f>
        <v>32.020000000000003</v>
      </c>
      <c r="AM71" s="116">
        <f>AG71*产品成本!$F$5+AH71*产品成本!$F$6+AI71*产品成本!$F$7+AJ71*产品成本!$F$8</f>
        <v>37.19</v>
      </c>
      <c r="AN71" s="116">
        <f>AG71*产品成本!$G$5+AH71*产品成本!$G$6+AI71*产品成本!$G$7+AJ71*产品成本!$G$8</f>
        <v>458.28000000000003</v>
      </c>
      <c r="AO71" s="116">
        <f t="shared" si="41"/>
        <v>265.96350000000001</v>
      </c>
      <c r="AP71" s="117">
        <f t="shared" si="42"/>
        <v>1089.228147887324</v>
      </c>
      <c r="AQ71" s="118">
        <v>1</v>
      </c>
      <c r="AR71" s="118">
        <v>0</v>
      </c>
      <c r="AS71" s="118">
        <v>1</v>
      </c>
      <c r="AT71" s="160"/>
      <c r="AU71" s="161">
        <f t="shared" si="43"/>
        <v>40.31707317073171</v>
      </c>
      <c r="AV71" s="116">
        <f>AQ71*产品成本!$D$5+AR71*产品成本!$D$6+AS71*产品成本!$D$7+AT71*产品成本!D80</f>
        <v>6.3380281690140894</v>
      </c>
      <c r="AW71" s="116">
        <f>AQ71*产品成本!$E$5+AR71*产品成本!$E$6+AS71*产品成本!$E$7+AT71*产品成本!E80</f>
        <v>0.67</v>
      </c>
      <c r="AX71" s="116">
        <f>AQ71*产品成本!$F$5+AR71*产品成本!$F$6+AS71*产品成本!$F$7+AT71*产品成本!F80</f>
        <v>0.82</v>
      </c>
      <c r="AY71" s="116"/>
      <c r="AZ71" s="116">
        <f t="shared" si="44"/>
        <v>6.0475609756097564</v>
      </c>
      <c r="BA71" s="116">
        <f t="shared" si="45"/>
        <v>-1.2095121951219514</v>
      </c>
      <c r="BB71" s="117">
        <f t="shared" si="46"/>
        <v>12.666076949501894</v>
      </c>
      <c r="BC71" s="122">
        <f t="shared" si="47"/>
        <v>1076.562070937822</v>
      </c>
      <c r="BD71" s="122">
        <f t="shared" si="48"/>
        <v>1773.0900000000001</v>
      </c>
      <c r="BE71" s="122">
        <f t="shared" si="49"/>
        <v>1732.7729268292685</v>
      </c>
      <c r="BF71" s="121">
        <f t="shared" si="50"/>
        <v>258.93085589144653</v>
      </c>
      <c r="BG71" s="162">
        <f t="shared" si="51"/>
        <v>0.1494314990050391</v>
      </c>
      <c r="BH71" t="s">
        <v>301</v>
      </c>
      <c r="BI71" t="s">
        <v>299</v>
      </c>
      <c r="BJ71" t="s">
        <v>300</v>
      </c>
    </row>
    <row r="72" spans="1:63" ht="29.1" customHeight="1" x14ac:dyDescent="0.15">
      <c r="A72" s="38" t="s">
        <v>247</v>
      </c>
      <c r="B72" s="58" t="s">
        <v>248</v>
      </c>
      <c r="C72" s="67">
        <v>101</v>
      </c>
      <c r="D72" s="68">
        <v>98</v>
      </c>
      <c r="E72" s="41">
        <v>2018.13</v>
      </c>
      <c r="F72" s="101">
        <v>64</v>
      </c>
      <c r="G72" s="101">
        <v>61</v>
      </c>
      <c r="H72" s="41">
        <v>1268.1600000000001</v>
      </c>
      <c r="I72" s="41">
        <v>125.72</v>
      </c>
      <c r="J72" s="156">
        <v>3</v>
      </c>
      <c r="K72" s="164">
        <f t="shared" si="27"/>
        <v>2.9702970297029702E-2</v>
      </c>
      <c r="L72" s="158">
        <v>48.06</v>
      </c>
      <c r="M72" s="159">
        <f t="shared" si="28"/>
        <v>5.2083333333333336E-2</v>
      </c>
      <c r="N72" s="157">
        <f t="shared" si="29"/>
        <v>8.8888888888888892E-2</v>
      </c>
      <c r="O72" s="157">
        <f t="shared" si="30"/>
        <v>5.9452563941035652E-2</v>
      </c>
      <c r="P72" s="106">
        <f t="shared" si="31"/>
        <v>1.0306122448979591</v>
      </c>
      <c r="Q72" s="108">
        <f t="shared" si="32"/>
        <v>20.593163265306124</v>
      </c>
      <c r="R72" s="140">
        <f t="shared" si="33"/>
        <v>19.981485148514853</v>
      </c>
      <c r="S72" s="140">
        <f t="shared" si="53"/>
        <v>8.7142857142857135</v>
      </c>
      <c r="T72" s="146">
        <f t="shared" si="34"/>
        <v>43</v>
      </c>
      <c r="U72" s="110">
        <f t="shared" si="35"/>
        <v>0.43877551020408162</v>
      </c>
      <c r="V72" s="71">
        <f t="shared" si="36"/>
        <v>0.19568169688386766</v>
      </c>
      <c r="W72" s="68">
        <v>34909</v>
      </c>
      <c r="X72" s="68">
        <v>348</v>
      </c>
      <c r="Y72" s="68">
        <v>55</v>
      </c>
      <c r="Z72" s="68">
        <v>370.31</v>
      </c>
      <c r="AA72" s="152">
        <v>1089.75</v>
      </c>
      <c r="AB72" s="41">
        <v>1.06</v>
      </c>
      <c r="AC72" s="48">
        <f t="shared" si="37"/>
        <v>0.33981188345950908</v>
      </c>
      <c r="AD72" s="49">
        <f t="shared" si="38"/>
        <v>9.9687759603540628E-3</v>
      </c>
      <c r="AE72" s="49">
        <f t="shared" si="39"/>
        <v>0.15804597701149425</v>
      </c>
      <c r="AF72" s="107">
        <f t="shared" si="40"/>
        <v>6.7329090909090912</v>
      </c>
      <c r="AG72" s="113">
        <v>36</v>
      </c>
      <c r="AH72" s="114">
        <v>33</v>
      </c>
      <c r="AI72" s="114">
        <v>31</v>
      </c>
      <c r="AJ72" s="160">
        <v>1</v>
      </c>
      <c r="AK72" s="116">
        <f>AG72*产品成本!$D$5+AH72*产品成本!$D$6+AI72*产品成本!$D$7+AJ72*产品成本!$D$8</f>
        <v>308.45070422535218</v>
      </c>
      <c r="AL72" s="116">
        <f>AG72*产品成本!$E$5+AH72*产品成本!$E$6+AI72*产品成本!$E$7+AJ72*产品成本!$E$8</f>
        <v>33.479999999999997</v>
      </c>
      <c r="AM72" s="116">
        <f>AG72*产品成本!$F$5+AH72*产品成本!$F$6+AI72*产品成本!$F$7+AJ72*产品成本!$F$8</f>
        <v>39.099999999999994</v>
      </c>
      <c r="AN72" s="116">
        <f>AG72*产品成本!$G$5+AH72*产品成本!$G$6+AI72*产品成本!$G$7+AJ72*产品成本!$G$8</f>
        <v>480.24</v>
      </c>
      <c r="AO72" s="116">
        <f t="shared" si="41"/>
        <v>283.86149999999998</v>
      </c>
      <c r="AP72" s="117">
        <f t="shared" si="42"/>
        <v>1145.1322042253523</v>
      </c>
      <c r="AQ72" s="118">
        <v>1</v>
      </c>
      <c r="AR72" s="118">
        <v>1</v>
      </c>
      <c r="AS72" s="118">
        <v>1</v>
      </c>
      <c r="AT72" s="160">
        <v>0</v>
      </c>
      <c r="AU72" s="161">
        <f t="shared" si="43"/>
        <v>58.609756097560982</v>
      </c>
      <c r="AV72" s="116">
        <f>AQ72*产品成本!$D$5+AR72*产品成本!$D$6+AS72*产品成本!$D$7+AT72*产品成本!D81</f>
        <v>9.1549295774647899</v>
      </c>
      <c r="AW72" s="116">
        <f>AQ72*产品成本!$E$5+AR72*产品成本!$E$6+AS72*产品成本!$E$7+AT72*产品成本!E81</f>
        <v>0.9900000000000001</v>
      </c>
      <c r="AX72" s="116">
        <f>AQ72*产品成本!$F$5+AR72*产品成本!$F$6+AS72*产品成本!$F$7+AT72*产品成本!F81</f>
        <v>1.1599999999999999</v>
      </c>
      <c r="AY72" s="116"/>
      <c r="AZ72" s="116">
        <f t="shared" si="44"/>
        <v>8.7914634146341477</v>
      </c>
      <c r="BA72" s="116">
        <f t="shared" si="45"/>
        <v>-1.7582926829268297</v>
      </c>
      <c r="BB72" s="117">
        <f t="shared" si="46"/>
        <v>18.338100309172109</v>
      </c>
      <c r="BC72" s="122">
        <f t="shared" si="47"/>
        <v>1126.7941039161801</v>
      </c>
      <c r="BD72" s="122">
        <f t="shared" si="48"/>
        <v>1892.41</v>
      </c>
      <c r="BE72" s="122">
        <f t="shared" si="49"/>
        <v>1833.8002439024392</v>
      </c>
      <c r="BF72" s="121">
        <f t="shared" si="50"/>
        <v>336.69613998625908</v>
      </c>
      <c r="BG72" s="162">
        <f t="shared" si="51"/>
        <v>0.18360567957486421</v>
      </c>
      <c r="BH72" t="s">
        <v>302</v>
      </c>
      <c r="BI72" t="s">
        <v>299</v>
      </c>
      <c r="BJ72" t="s">
        <v>300</v>
      </c>
    </row>
    <row r="73" spans="1:63" ht="29.1" customHeight="1" x14ac:dyDescent="0.15">
      <c r="A73" s="38" t="s">
        <v>250</v>
      </c>
      <c r="B73" s="58" t="s">
        <v>251</v>
      </c>
      <c r="C73" s="67">
        <v>88</v>
      </c>
      <c r="D73" s="68">
        <v>86</v>
      </c>
      <c r="E73" s="41">
        <v>1839.22</v>
      </c>
      <c r="F73" s="101">
        <v>47</v>
      </c>
      <c r="G73" s="101">
        <v>46</v>
      </c>
      <c r="H73" s="41">
        <v>994.66</v>
      </c>
      <c r="I73" s="41">
        <v>97.83</v>
      </c>
      <c r="J73" s="156">
        <v>2</v>
      </c>
      <c r="K73" s="164">
        <f t="shared" si="27"/>
        <v>2.2727272727272728E-2</v>
      </c>
      <c r="L73" s="158">
        <v>31.3</v>
      </c>
      <c r="M73" s="159">
        <f t="shared" si="28"/>
        <v>-0.12871287128712872</v>
      </c>
      <c r="N73" s="157">
        <f t="shared" si="29"/>
        <v>-0.12244897959183673</v>
      </c>
      <c r="O73" s="157">
        <f t="shared" si="30"/>
        <v>-8.8651375283059108E-2</v>
      </c>
      <c r="P73" s="106">
        <f t="shared" si="31"/>
        <v>1.0232558139534884</v>
      </c>
      <c r="Q73" s="108">
        <f t="shared" si="32"/>
        <v>21.386279069767443</v>
      </c>
      <c r="R73" s="140">
        <f t="shared" si="33"/>
        <v>20.900227272727275</v>
      </c>
      <c r="S73" s="140">
        <f t="shared" si="53"/>
        <v>6.5714285714285712</v>
      </c>
      <c r="T73" s="146">
        <f t="shared" si="34"/>
        <v>33</v>
      </c>
      <c r="U73" s="110">
        <f t="shared" si="35"/>
        <v>0.38372093023255816</v>
      </c>
      <c r="V73" s="71">
        <f t="shared" si="36"/>
        <v>0.22892057494300527</v>
      </c>
      <c r="W73" s="68">
        <v>33036</v>
      </c>
      <c r="X73" s="68">
        <v>366</v>
      </c>
      <c r="Y73" s="68">
        <v>53</v>
      </c>
      <c r="Z73" s="68">
        <v>398.64</v>
      </c>
      <c r="AA73" s="152">
        <v>1167.43</v>
      </c>
      <c r="AB73" s="41">
        <v>1.0900000000000001</v>
      </c>
      <c r="AC73" s="48">
        <f t="shared" si="37"/>
        <v>0.34146801092999152</v>
      </c>
      <c r="AD73" s="49">
        <f t="shared" si="38"/>
        <v>1.1078823102070468E-2</v>
      </c>
      <c r="AE73" s="49">
        <f t="shared" si="39"/>
        <v>0.1448087431693989</v>
      </c>
      <c r="AF73" s="107">
        <f t="shared" si="40"/>
        <v>7.5215094339622635</v>
      </c>
      <c r="AG73" s="113">
        <v>34</v>
      </c>
      <c r="AH73" s="114">
        <v>23</v>
      </c>
      <c r="AI73" s="114">
        <v>25</v>
      </c>
      <c r="AJ73" s="160">
        <v>6</v>
      </c>
      <c r="AK73" s="116">
        <f>AG73*产品成本!$D$5+AH73*产品成本!$D$6+AI73*产品成本!$D$7+AJ73*产品成本!$D$8</f>
        <v>281.12676056338034</v>
      </c>
      <c r="AL73" s="116">
        <f>AG73*产品成本!$E$5+AH73*产品成本!$E$6+AI73*产品成本!$E$7+AJ73*产品成本!$E$8</f>
        <v>31.34</v>
      </c>
      <c r="AM73" s="116">
        <f>AG73*产品成本!$F$5+AH73*产品成本!$F$6+AI73*产品成本!$F$7+AJ73*产品成本!$F$8</f>
        <v>34.47</v>
      </c>
      <c r="AN73" s="116">
        <f>AG73*产品成本!$G$5+AH73*产品成本!$G$6+AI73*产品成本!$G$7+AJ73*产品成本!$G$8</f>
        <v>425.56000000000006</v>
      </c>
      <c r="AO73" s="116">
        <f t="shared" si="41"/>
        <v>261.20850000000002</v>
      </c>
      <c r="AP73" s="117">
        <f t="shared" si="42"/>
        <v>1033.7052605633803</v>
      </c>
      <c r="AQ73" s="118">
        <v>1</v>
      </c>
      <c r="AR73" s="118">
        <v>1</v>
      </c>
      <c r="AS73" s="118">
        <v>0</v>
      </c>
      <c r="AT73" s="160">
        <v>0</v>
      </c>
      <c r="AU73" s="161">
        <f t="shared" si="43"/>
        <v>38.170731707317074</v>
      </c>
      <c r="AV73" s="116">
        <f>AQ73*产品成本!$D$5+AR73*产品成本!$D$6+AS73*产品成本!$D$7+AT73*产品成本!D82</f>
        <v>5.4929577464788704</v>
      </c>
      <c r="AW73" s="116">
        <f>AQ73*产品成本!$E$5+AR73*产品成本!$E$6+AS73*产品成本!$E$7+AT73*产品成本!E82</f>
        <v>0.59000000000000008</v>
      </c>
      <c r="AX73" s="116">
        <f>AQ73*产品成本!$F$5+AR73*产品成本!$F$6+AS73*产品成本!$F$7+AT73*产品成本!F82</f>
        <v>0.75</v>
      </c>
      <c r="AY73" s="116"/>
      <c r="AZ73" s="116">
        <f t="shared" si="44"/>
        <v>5.725609756097561</v>
      </c>
      <c r="BA73" s="116">
        <f t="shared" si="45"/>
        <v>-1.1451219512195123</v>
      </c>
      <c r="BB73" s="117">
        <f t="shared" si="46"/>
        <v>11.413445551356919</v>
      </c>
      <c r="BC73" s="122">
        <f t="shared" si="47"/>
        <v>1022.2918150120233</v>
      </c>
      <c r="BD73" s="122">
        <f t="shared" si="48"/>
        <v>1741.39</v>
      </c>
      <c r="BE73" s="122">
        <f t="shared" si="49"/>
        <v>1703.219268292683</v>
      </c>
      <c r="BF73" s="121">
        <f t="shared" si="50"/>
        <v>282.28745328065963</v>
      </c>
      <c r="BG73" s="162">
        <f t="shared" si="51"/>
        <v>0.16573758795227009</v>
      </c>
      <c r="BH73" t="s">
        <v>303</v>
      </c>
      <c r="BI73" t="s">
        <v>299</v>
      </c>
      <c r="BJ73" t="s">
        <v>300</v>
      </c>
    </row>
    <row r="74" spans="1:63" ht="29.1" customHeight="1" x14ac:dyDescent="0.15">
      <c r="A74" s="38" t="s">
        <v>254</v>
      </c>
      <c r="B74" s="58" t="s">
        <v>255</v>
      </c>
      <c r="C74" s="67">
        <v>65</v>
      </c>
      <c r="D74" s="68">
        <v>63</v>
      </c>
      <c r="E74" s="41">
        <v>1508.03</v>
      </c>
      <c r="F74" s="101">
        <v>18</v>
      </c>
      <c r="G74" s="101">
        <v>18</v>
      </c>
      <c r="H74" s="41">
        <v>421.19</v>
      </c>
      <c r="I74" s="41">
        <v>36.479999999999997</v>
      </c>
      <c r="J74" s="156">
        <v>2</v>
      </c>
      <c r="K74" s="164">
        <f t="shared" si="27"/>
        <v>3.0769230769230771E-2</v>
      </c>
      <c r="L74" s="158">
        <v>30.1</v>
      </c>
      <c r="M74" s="159">
        <f t="shared" si="28"/>
        <v>-0.26136363636363635</v>
      </c>
      <c r="N74" s="157">
        <f t="shared" si="29"/>
        <v>-0.26744186046511625</v>
      </c>
      <c r="O74" s="157">
        <f t="shared" si="30"/>
        <v>-0.18007089962049133</v>
      </c>
      <c r="P74" s="106">
        <f t="shared" si="31"/>
        <v>1.0317460317460319</v>
      </c>
      <c r="Q74" s="108">
        <f t="shared" si="32"/>
        <v>23.936984126984125</v>
      </c>
      <c r="R74" s="140">
        <f t="shared" si="33"/>
        <v>23.200461538461539</v>
      </c>
      <c r="S74" s="140">
        <f t="shared" si="53"/>
        <v>2.5714285714285716</v>
      </c>
      <c r="T74" s="146">
        <f t="shared" si="34"/>
        <v>34</v>
      </c>
      <c r="U74" s="110">
        <f t="shared" si="35"/>
        <v>0.53968253968253965</v>
      </c>
      <c r="V74" s="71">
        <f t="shared" si="36"/>
        <v>0.21686656926370154</v>
      </c>
      <c r="W74" s="68">
        <v>37841</v>
      </c>
      <c r="X74" s="68">
        <v>307</v>
      </c>
      <c r="Y74" s="68">
        <v>29</v>
      </c>
      <c r="Z74" s="68">
        <v>319.13</v>
      </c>
      <c r="AA74" s="152">
        <v>697.45</v>
      </c>
      <c r="AB74" s="41">
        <v>1.04</v>
      </c>
      <c r="AC74" s="48">
        <f t="shared" si="37"/>
        <v>0.4575668506702989</v>
      </c>
      <c r="AD74" s="49">
        <f t="shared" si="38"/>
        <v>8.1128934224782637E-3</v>
      </c>
      <c r="AE74" s="49">
        <f t="shared" si="39"/>
        <v>9.4462540716612378E-2</v>
      </c>
      <c r="AF74" s="107">
        <f t="shared" si="40"/>
        <v>11.004482758620689</v>
      </c>
      <c r="AG74" s="113">
        <v>21</v>
      </c>
      <c r="AH74" s="114">
        <v>26</v>
      </c>
      <c r="AI74" s="114">
        <v>15</v>
      </c>
      <c r="AJ74" s="160">
        <v>3</v>
      </c>
      <c r="AK74" s="116">
        <f>AG74*产品成本!$D$5+AH74*产品成本!$D$6+AI74*产品成本!$D$7+AJ74*产品成本!$D$8</f>
        <v>201.26760563380279</v>
      </c>
      <c r="AL74" s="116">
        <f>AG74*产品成本!$E$5+AH74*产品成本!$E$6+AI74*产品成本!$E$7+AJ74*产品成本!$E$8</f>
        <v>22.39</v>
      </c>
      <c r="AM74" s="116">
        <f>AG74*产品成本!$F$5+AH74*产品成本!$F$6+AI74*产品成本!$F$7+AJ74*产品成本!$F$8</f>
        <v>24.83</v>
      </c>
      <c r="AN74" s="116">
        <f>AG74*产品成本!$G$5+AH74*产品成本!$G$6+AI74*产品成本!$G$7+AJ74*产品成本!$G$8</f>
        <v>304.74</v>
      </c>
      <c r="AO74" s="116">
        <f t="shared" si="41"/>
        <v>220.73249999999999</v>
      </c>
      <c r="AP74" s="117">
        <f t="shared" si="42"/>
        <v>773.96010563380275</v>
      </c>
      <c r="AQ74" s="118">
        <v>2</v>
      </c>
      <c r="AR74" s="118">
        <v>0</v>
      </c>
      <c r="AS74" s="118">
        <v>0</v>
      </c>
      <c r="AT74" s="160">
        <v>0</v>
      </c>
      <c r="AU74" s="161">
        <f t="shared" si="43"/>
        <v>36.707317073170735</v>
      </c>
      <c r="AV74" s="116">
        <f>AQ74*产品成本!$D$5+AR74*产品成本!$D$6+AS74*产品成本!$D$7+AT74*产品成本!D83</f>
        <v>5.3521126760563398</v>
      </c>
      <c r="AW74" s="116">
        <f>AQ74*产品成本!$E$5+AR74*产品成本!$E$6+AS74*产品成本!$E$7+AT74*产品成本!E83</f>
        <v>0.54</v>
      </c>
      <c r="AX74" s="116">
        <f>AQ74*产品成本!$F$5+AR74*产品成本!$F$6+AS74*产品成本!$F$7+AT74*产品成本!F83</f>
        <v>0.82</v>
      </c>
      <c r="AY74" s="116"/>
      <c r="AZ74" s="116">
        <f t="shared" si="44"/>
        <v>5.5060975609756104</v>
      </c>
      <c r="BA74" s="116">
        <f t="shared" si="45"/>
        <v>-1.101219512195122</v>
      </c>
      <c r="BB74" s="117">
        <f t="shared" si="46"/>
        <v>11.116990724836828</v>
      </c>
      <c r="BC74" s="122">
        <f t="shared" si="47"/>
        <v>762.84311490896596</v>
      </c>
      <c r="BD74" s="122">
        <f t="shared" si="48"/>
        <v>1471.55</v>
      </c>
      <c r="BE74" s="122">
        <f t="shared" si="49"/>
        <v>1434.8426829268292</v>
      </c>
      <c r="BF74" s="121">
        <f t="shared" si="50"/>
        <v>352.86956801786323</v>
      </c>
      <c r="BG74" s="162">
        <f t="shared" si="51"/>
        <v>0.245929098859863</v>
      </c>
      <c r="BH74" t="s">
        <v>304</v>
      </c>
      <c r="BI74" t="s">
        <v>305</v>
      </c>
      <c r="BJ74" t="s">
        <v>306</v>
      </c>
    </row>
    <row r="75" spans="1:63" ht="29.1" customHeight="1" x14ac:dyDescent="0.15">
      <c r="A75" s="38" t="s">
        <v>258</v>
      </c>
      <c r="B75" s="58" t="s">
        <v>259</v>
      </c>
      <c r="C75" s="67">
        <v>69</v>
      </c>
      <c r="D75" s="68">
        <v>69</v>
      </c>
      <c r="E75" s="41">
        <v>1414.71</v>
      </c>
      <c r="F75" s="101">
        <v>43</v>
      </c>
      <c r="G75" s="101">
        <v>43</v>
      </c>
      <c r="H75" s="41">
        <v>899.63</v>
      </c>
      <c r="I75" s="41">
        <v>20.92</v>
      </c>
      <c r="J75" s="156">
        <v>3</v>
      </c>
      <c r="K75" s="164">
        <f t="shared" ref="K75" si="54">J75/C75</f>
        <v>4.3478260869565216E-2</v>
      </c>
      <c r="L75" s="158">
        <v>55.59</v>
      </c>
      <c r="M75" s="159">
        <f t="shared" ref="M75" si="55">(C75-C74)/C74</f>
        <v>6.1538461538461542E-2</v>
      </c>
      <c r="N75" s="157">
        <f t="shared" ref="N75" si="56">(D75-D74)/D74</f>
        <v>9.5238095238095233E-2</v>
      </c>
      <c r="O75" s="157">
        <f t="shared" ref="O75" si="57">(E75-E74)/E74</f>
        <v>-6.1882058049243009E-2</v>
      </c>
      <c r="P75" s="106">
        <f t="shared" ref="P75" si="58">C75/D75</f>
        <v>1</v>
      </c>
      <c r="Q75" s="108">
        <f t="shared" ref="Q75" si="59">E75/D75</f>
        <v>20.503043478260871</v>
      </c>
      <c r="R75" s="140">
        <f t="shared" ref="R75" si="60">E75/C75</f>
        <v>20.503043478260871</v>
      </c>
      <c r="S75" s="140">
        <f t="shared" ref="S75" si="61">G75/7</f>
        <v>6.1428571428571432</v>
      </c>
      <c r="T75" s="146">
        <f t="shared" ref="T75" si="62">D75-Y75</f>
        <v>35</v>
      </c>
      <c r="U75" s="110">
        <f t="shared" ref="U75" si="63">T75/D75</f>
        <v>0.50724637681159424</v>
      </c>
      <c r="V75" s="71">
        <f t="shared" ref="V75" si="64">Z75/(E75-I75)</f>
        <v>0.27379303912354086</v>
      </c>
      <c r="W75" s="68">
        <v>37112</v>
      </c>
      <c r="X75" s="68">
        <v>349</v>
      </c>
      <c r="Y75" s="68">
        <v>34</v>
      </c>
      <c r="Z75" s="68">
        <v>381.61</v>
      </c>
      <c r="AA75" s="152">
        <v>781.09</v>
      </c>
      <c r="AB75" s="41">
        <v>1.0900000000000001</v>
      </c>
      <c r="AC75" s="48">
        <f t="shared" ref="AC75" si="65">Z75/AA75</f>
        <v>0.48856085726356757</v>
      </c>
      <c r="AD75" s="49">
        <f t="shared" ref="AD75" si="66">X75/W75</f>
        <v>9.4039663720629444E-3</v>
      </c>
      <c r="AE75" s="49">
        <f t="shared" si="39"/>
        <v>9.7421203438395415E-2</v>
      </c>
      <c r="AF75" s="107">
        <f t="shared" ref="AF75" si="67">Z75/Y75</f>
        <v>11.223823529411765</v>
      </c>
      <c r="AG75" s="113">
        <v>27</v>
      </c>
      <c r="AH75" s="114">
        <v>23</v>
      </c>
      <c r="AI75" s="114">
        <v>16</v>
      </c>
      <c r="AJ75" s="160">
        <v>3</v>
      </c>
      <c r="AK75" s="116">
        <f>AG75*产品成本!$D$5+AH75*产品成本!$D$6+AI75*产品成本!$D$7+AJ75*产品成本!$D$8</f>
        <v>212.53521126760563</v>
      </c>
      <c r="AL75" s="116">
        <f>AG75*产品成本!$E$5+AH75*产品成本!$E$6+AI75*产品成本!$E$7+AJ75*产品成本!$E$8</f>
        <v>23.450000000000003</v>
      </c>
      <c r="AM75" s="116">
        <f>AG75*产品成本!$F$5+AH75*产品成本!$F$6+AI75*产品成本!$F$7+AJ75*产品成本!$F$8</f>
        <v>26.68</v>
      </c>
      <c r="AN75" s="116">
        <f>AG75*产品成本!$G$5+AH75*产品成本!$G$6+AI75*产品成本!$G$7+AJ75*产品成本!$G$8</f>
        <v>327.18</v>
      </c>
      <c r="AO75" s="116">
        <f t="shared" ref="AO75" si="68">(E75-I75)*0.15</f>
        <v>209.0685</v>
      </c>
      <c r="AP75" s="117">
        <f t="shared" ref="AP75" si="69">SUM(AK75:AO75)</f>
        <v>798.91371126760566</v>
      </c>
      <c r="AQ75" s="118">
        <v>1</v>
      </c>
      <c r="AR75" s="118">
        <v>2</v>
      </c>
      <c r="AS75" s="118">
        <v>0</v>
      </c>
      <c r="AT75" s="160">
        <v>0</v>
      </c>
      <c r="AU75" s="161">
        <f t="shared" ref="AU75" si="70">L75/(1-0.15-0.15*0.2)</f>
        <v>67.792682926829272</v>
      </c>
      <c r="AV75" s="116">
        <f>AQ75*产品成本!$D$5+AR75*产品成本!$D$6+AS75*产品成本!$D$7+AT75*产品成本!D84</f>
        <v>8.3098591549295691</v>
      </c>
      <c r="AW75" s="116">
        <f>AQ75*产品成本!$E$5+AR75*产品成本!$E$6+AS75*产品成本!$E$7+AT75*产品成本!E84</f>
        <v>0.91</v>
      </c>
      <c r="AX75" s="116">
        <f>AQ75*产品成本!$F$5+AR75*产品成本!$F$6+AS75*产品成本!$F$7+AT75*产品成本!F84</f>
        <v>1.0900000000000001</v>
      </c>
      <c r="AY75" s="116"/>
      <c r="AZ75" s="116">
        <f t="shared" ref="AZ75" si="71">AU75*0.15</f>
        <v>10.168902439024391</v>
      </c>
      <c r="BA75" s="116">
        <f t="shared" ref="BA75" si="72">-AZ75*0.2</f>
        <v>-2.0337804878048784</v>
      </c>
      <c r="BB75" s="117">
        <f t="shared" ref="BB75" si="73">SUM(AV75:BA75)</f>
        <v>18.444981106149083</v>
      </c>
      <c r="BC75" s="122">
        <f t="shared" ref="BC75" si="74">AP75-BB75</f>
        <v>780.46873016145662</v>
      </c>
      <c r="BD75" s="122">
        <f t="shared" ref="BD75" si="75">E75-I75</f>
        <v>1393.79</v>
      </c>
      <c r="BE75" s="122">
        <f t="shared" ref="BE75" si="76">E75-AU75-I75</f>
        <v>1325.9973170731707</v>
      </c>
      <c r="BF75" s="121">
        <f t="shared" ref="BF75" si="77">BE75-BC75-Z75</f>
        <v>163.9185869117141</v>
      </c>
      <c r="BG75" s="162">
        <f t="shared" ref="BG75" si="78">BF75/BE75</f>
        <v>0.12361909394622765</v>
      </c>
      <c r="BH75" t="s">
        <v>307</v>
      </c>
      <c r="BI75" t="s">
        <v>305</v>
      </c>
      <c r="BJ75" t="s">
        <v>306</v>
      </c>
      <c r="BK75" t="s">
        <v>308</v>
      </c>
    </row>
    <row r="76" spans="1:63" ht="29.1" customHeight="1" x14ac:dyDescent="0.15">
      <c r="A76" s="38" t="s">
        <v>262</v>
      </c>
      <c r="B76" s="58" t="s">
        <v>263</v>
      </c>
      <c r="C76" s="67">
        <v>83</v>
      </c>
      <c r="D76" s="68">
        <v>81</v>
      </c>
      <c r="E76" s="41">
        <v>1659.81</v>
      </c>
      <c r="F76" s="101">
        <v>55</v>
      </c>
      <c r="G76" s="101">
        <v>53</v>
      </c>
      <c r="H76" s="41">
        <v>1106.53</v>
      </c>
      <c r="I76" s="41">
        <v>20.12</v>
      </c>
      <c r="J76" s="156">
        <v>3</v>
      </c>
      <c r="K76" s="164">
        <f t="shared" ref="K76" si="79">J76/C76</f>
        <v>3.614457831325301E-2</v>
      </c>
      <c r="L76" s="158">
        <v>45.04</v>
      </c>
      <c r="M76" s="159">
        <f t="shared" ref="M76" si="80">(C76-C75)/C75</f>
        <v>0.20289855072463769</v>
      </c>
      <c r="N76" s="157">
        <f t="shared" ref="N76" si="81">(D76-D75)/D75</f>
        <v>0.17391304347826086</v>
      </c>
      <c r="O76" s="157">
        <f t="shared" ref="O76" si="82">(E76-E75)/E75</f>
        <v>0.17325105498653429</v>
      </c>
      <c r="P76" s="106">
        <f t="shared" ref="P76" si="83">C76/D76</f>
        <v>1.0246913580246915</v>
      </c>
      <c r="Q76" s="108">
        <f t="shared" ref="Q76" si="84">E76/D76</f>
        <v>20.491481481481483</v>
      </c>
      <c r="R76" s="140">
        <f t="shared" ref="R76" si="85">E76/C76</f>
        <v>19.997710843373493</v>
      </c>
      <c r="S76" s="140">
        <f t="shared" ref="S76" si="86">G76/7</f>
        <v>7.5714285714285712</v>
      </c>
      <c r="T76" s="146">
        <f t="shared" ref="T76" si="87">D76-Y76</f>
        <v>33</v>
      </c>
      <c r="U76" s="110">
        <f t="shared" ref="U76" si="88">T76/D76</f>
        <v>0.40740740740740738</v>
      </c>
      <c r="V76" s="71">
        <f t="shared" ref="V76" si="89">Z76/(E76-I76)</f>
        <v>0.23839262299581016</v>
      </c>
      <c r="W76" s="68">
        <v>40676</v>
      </c>
      <c r="X76" s="68">
        <v>361</v>
      </c>
      <c r="Y76" s="68">
        <v>48</v>
      </c>
      <c r="Z76" s="68">
        <v>390.89</v>
      </c>
      <c r="AA76" s="152">
        <v>1133.17</v>
      </c>
      <c r="AB76" s="41">
        <v>1.08</v>
      </c>
      <c r="AC76" s="48">
        <f t="shared" ref="AC76" si="90">Z76/AA76</f>
        <v>0.34495265494144739</v>
      </c>
      <c r="AD76" s="49">
        <f t="shared" ref="AD76" si="91">X76/W76</f>
        <v>8.8750122922607918E-3</v>
      </c>
      <c r="AE76" s="49">
        <f t="shared" ref="AE76" si="92">Y76/X76</f>
        <v>0.1329639889196676</v>
      </c>
      <c r="AF76" s="107">
        <f t="shared" ref="AF76" si="93">Z76/Y76</f>
        <v>8.1435416666666658</v>
      </c>
      <c r="AG76" s="113">
        <v>33</v>
      </c>
      <c r="AH76" s="114">
        <v>28</v>
      </c>
      <c r="AI76" s="114">
        <v>21</v>
      </c>
      <c r="AJ76" s="160">
        <v>1</v>
      </c>
      <c r="AK76" s="116">
        <f>AG76*产品成本!$D$5+AH76*产品成本!$D$6+AI76*产品成本!$D$7+AJ76*产品成本!$D$8</f>
        <v>249.71830985915491</v>
      </c>
      <c r="AL76" s="116">
        <f>AG76*产品成本!$E$5+AH76*产品成本!$E$6+AI76*产品成本!$E$7+AJ76*产品成本!$E$8</f>
        <v>27.070000000000004</v>
      </c>
      <c r="AM76" s="116">
        <f>AG76*产品成本!$F$5+AH76*产品成本!$F$6+AI76*产品成本!$F$7+AJ76*产品成本!$F$8</f>
        <v>32.07</v>
      </c>
      <c r="AN76" s="116">
        <f>AG76*产品成本!$G$5+AH76*产品成本!$G$6+AI76*产品成本!$G$7+AJ76*产品成本!$G$8</f>
        <v>392.34000000000003</v>
      </c>
      <c r="AO76" s="116">
        <f t="shared" ref="AO76" si="94">(E76-I76)*0.15</f>
        <v>245.95349999999999</v>
      </c>
      <c r="AP76" s="117">
        <f t="shared" ref="AP76" si="95">SUM(AK76:AO76)</f>
        <v>947.15180985915492</v>
      </c>
      <c r="AQ76" s="118">
        <v>2</v>
      </c>
      <c r="AR76" s="118">
        <v>0</v>
      </c>
      <c r="AS76" s="118">
        <v>1</v>
      </c>
      <c r="AT76" s="160">
        <v>0</v>
      </c>
      <c r="AU76" s="161">
        <f t="shared" ref="AU76" si="96">L76/(1-0.15-0.15*0.2)</f>
        <v>54.926829268292686</v>
      </c>
      <c r="AV76" s="116">
        <f>AQ76*产品成本!$D$5+AR76*产品成本!$D$6+AS76*产品成本!$D$7+AT76*产品成本!D85</f>
        <v>9.0140845070422593</v>
      </c>
      <c r="AW76" s="116">
        <f>AQ76*产品成本!$E$5+AR76*产品成本!$E$6+AS76*产品成本!$E$7+AT76*产品成本!E85</f>
        <v>0.94000000000000006</v>
      </c>
      <c r="AX76" s="116">
        <f>AQ76*产品成本!$F$5+AR76*产品成本!$F$6+AS76*产品成本!$F$7+AT76*产品成本!F85</f>
        <v>1.23</v>
      </c>
      <c r="AY76" s="116"/>
      <c r="AZ76" s="116">
        <f t="shared" ref="AZ76" si="97">AU76*0.15</f>
        <v>8.2390243902439018</v>
      </c>
      <c r="BA76" s="116">
        <f t="shared" ref="BA76" si="98">-AZ76*0.2</f>
        <v>-1.6478048780487804</v>
      </c>
      <c r="BB76" s="117">
        <f t="shared" ref="BB76" si="99">SUM(AV76:BA76)</f>
        <v>17.775304019237382</v>
      </c>
      <c r="BC76" s="122">
        <f t="shared" ref="BC76" si="100">AP76-BB76</f>
        <v>929.37650583991751</v>
      </c>
      <c r="BD76" s="122">
        <f t="shared" ref="BD76" si="101">E76-I76</f>
        <v>1639.69</v>
      </c>
      <c r="BE76" s="122">
        <f t="shared" ref="BE76" si="102">E76-AU76-I76</f>
        <v>1584.7631707317073</v>
      </c>
      <c r="BF76" s="121">
        <f t="shared" ref="BF76" si="103">BE76-BC76-Z76</f>
        <v>264.49666489178981</v>
      </c>
      <c r="BG76" s="162">
        <f t="shared" ref="BG76" si="104">BF76/BE76</f>
        <v>0.16689980545778837</v>
      </c>
      <c r="BH76" t="s">
        <v>309</v>
      </c>
      <c r="BI76" t="s">
        <v>310</v>
      </c>
      <c r="BJ76" t="s">
        <v>306</v>
      </c>
    </row>
    <row r="77" spans="1:63" ht="29.1" customHeight="1" x14ac:dyDescent="0.15">
      <c r="A77" s="38" t="s">
        <v>458</v>
      </c>
      <c r="B77" s="58" t="s">
        <v>459</v>
      </c>
      <c r="C77" s="67">
        <v>75</v>
      </c>
      <c r="D77" s="68">
        <v>71</v>
      </c>
      <c r="E77" s="41">
        <v>1534.15</v>
      </c>
      <c r="F77" s="101">
        <v>57</v>
      </c>
      <c r="G77" s="101">
        <v>55</v>
      </c>
      <c r="H77" s="41">
        <v>1178.03</v>
      </c>
      <c r="I77" s="41">
        <v>20.67</v>
      </c>
      <c r="J77" s="156">
        <v>9</v>
      </c>
      <c r="K77" s="164">
        <f t="shared" ref="K77" si="105">J77/C77</f>
        <v>0.12</v>
      </c>
      <c r="L77" s="158">
        <v>145.18</v>
      </c>
      <c r="M77" s="159">
        <f t="shared" ref="M77" si="106">(C77-C76)/C76</f>
        <v>-9.6385542168674704E-2</v>
      </c>
      <c r="N77" s="157">
        <f t="shared" ref="N77" si="107">(D77-D76)/D76</f>
        <v>-0.12345679012345678</v>
      </c>
      <c r="O77" s="157">
        <f t="shared" ref="O77" si="108">(E77-E76)/E76</f>
        <v>-7.5707460492465919E-2</v>
      </c>
      <c r="P77" s="106">
        <f t="shared" ref="P77" si="109">C77/D77</f>
        <v>1.056338028169014</v>
      </c>
      <c r="Q77" s="108">
        <f t="shared" ref="Q77" si="110">E77/D77</f>
        <v>21.607746478873242</v>
      </c>
      <c r="R77" s="140">
        <f t="shared" ref="R77" si="111">E77/C77</f>
        <v>20.455333333333336</v>
      </c>
      <c r="S77" s="140">
        <f t="shared" ref="S77" si="112">G77/7</f>
        <v>7.8571428571428568</v>
      </c>
      <c r="T77" s="146">
        <f t="shared" ref="T77" si="113">D77-Y77</f>
        <v>30</v>
      </c>
      <c r="U77" s="110">
        <f t="shared" ref="U77" si="114">T77/D77</f>
        <v>0.42253521126760563</v>
      </c>
      <c r="V77" s="71">
        <f t="shared" ref="V77" si="115">Z77/(E77-I77)</f>
        <v>0.22918703914158101</v>
      </c>
      <c r="W77" s="68">
        <v>35037</v>
      </c>
      <c r="X77" s="68">
        <v>310</v>
      </c>
      <c r="Y77" s="68">
        <v>41</v>
      </c>
      <c r="Z77" s="68">
        <v>346.87</v>
      </c>
      <c r="AA77" s="152">
        <v>1015.9</v>
      </c>
      <c r="AB77" s="41">
        <v>1.1200000000000001</v>
      </c>
      <c r="AC77" s="48">
        <f t="shared" ref="AC77" si="116">Z77/AA77</f>
        <v>0.34144108672113399</v>
      </c>
      <c r="AD77" s="49">
        <f t="shared" ref="AD77" si="117">X77/W77</f>
        <v>8.8477894796928965E-3</v>
      </c>
      <c r="AE77" s="49">
        <f t="shared" ref="AE77" si="118">Y77/X77</f>
        <v>0.13225806451612904</v>
      </c>
      <c r="AF77" s="107">
        <f t="shared" ref="AF77" si="119">Z77/Y77</f>
        <v>8.460243902439025</v>
      </c>
      <c r="AG77" s="113">
        <v>28</v>
      </c>
      <c r="AH77" s="114">
        <v>25</v>
      </c>
      <c r="AI77" s="114">
        <v>19</v>
      </c>
      <c r="AJ77" s="160">
        <v>3</v>
      </c>
      <c r="AK77" s="116">
        <f>AG77*产品成本!$D$5+AH77*产品成本!$D$6+AI77*产品成本!$D$7+AJ77*产品成本!$D$8</f>
        <v>231.83098591549296</v>
      </c>
      <c r="AL77" s="116">
        <f>AG77*产品成本!$E$5+AH77*产品成本!$E$6+AI77*产品成本!$E$7+AJ77*产品成本!$E$8</f>
        <v>25.560000000000002</v>
      </c>
      <c r="AM77" s="116">
        <f>AG77*产品成本!$F$5+AH77*产品成本!$F$6+AI77*产品成本!$F$7+AJ77*产品成本!$F$8</f>
        <v>28.999999999999996</v>
      </c>
      <c r="AN77" s="116">
        <f>AG77*产品成本!$G$5+AH77*产品成本!$G$6+AI77*产品成本!$G$7+AJ77*产品成本!$G$8</f>
        <v>356.08000000000004</v>
      </c>
      <c r="AO77" s="116">
        <f t="shared" ref="AO77" si="120">(E77-I77)*0.15</f>
        <v>227.02199999999999</v>
      </c>
      <c r="AP77" s="117">
        <f t="shared" ref="AP77" si="121">SUM(AK77:AO77)</f>
        <v>869.49298591549291</v>
      </c>
      <c r="AQ77" s="118">
        <v>2</v>
      </c>
      <c r="AR77" s="118">
        <v>3</v>
      </c>
      <c r="AS77" s="118">
        <v>4</v>
      </c>
      <c r="AT77" s="160">
        <v>0</v>
      </c>
      <c r="AU77" s="161">
        <f t="shared" ref="AU77" si="122">L77/(1-0.15-0.15*0.2)</f>
        <v>177.04878048780489</v>
      </c>
      <c r="AV77" s="116">
        <f>AQ77*产品成本!$D$5+AR77*产品成本!$D$6+AS77*产品成本!$D$7+AT77*产品成本!D86</f>
        <v>28.450704225352119</v>
      </c>
      <c r="AW77" s="116">
        <f>AQ77*产品成本!$E$5+AR77*产品成本!$E$6+AS77*产品成本!$E$7+AT77*产品成本!E86</f>
        <v>3.1</v>
      </c>
      <c r="AX77" s="116">
        <f>AQ77*产品成本!$F$5+AR77*产品成本!$F$6+AS77*产品成本!$F$7+AT77*产品成本!F86</f>
        <v>3.4799999999999995</v>
      </c>
      <c r="AY77" s="116"/>
      <c r="AZ77" s="116">
        <f t="shared" ref="AZ77" si="123">AU77*0.15</f>
        <v>26.557317073170733</v>
      </c>
      <c r="BA77" s="116">
        <f t="shared" ref="BA77" si="124">-AZ77*0.2</f>
        <v>-5.3114634146341473</v>
      </c>
      <c r="BB77" s="117">
        <f t="shared" ref="BB77" si="125">SUM(AV77:BA77)</f>
        <v>56.2765578838887</v>
      </c>
      <c r="BC77" s="122">
        <f t="shared" ref="BC77" si="126">AP77-BB77</f>
        <v>813.21642803160421</v>
      </c>
      <c r="BD77" s="122">
        <f t="shared" ref="BD77" si="127">E77-I77</f>
        <v>1513.48</v>
      </c>
      <c r="BE77" s="122">
        <f t="shared" ref="BE77" si="128">E77-AU77-I77</f>
        <v>1336.4312195121952</v>
      </c>
      <c r="BF77" s="121">
        <f t="shared" ref="BF77" si="129">BE77-BC77-Z77</f>
        <v>176.34479148059097</v>
      </c>
      <c r="BG77" s="162">
        <f t="shared" ref="BG77" si="130">BF77/BE77</f>
        <v>0.13195201436925261</v>
      </c>
      <c r="BH77" t="s">
        <v>309</v>
      </c>
      <c r="BI77" t="s">
        <v>310</v>
      </c>
      <c r="BJ77" t="s">
        <v>306</v>
      </c>
    </row>
    <row r="78" spans="1:63" ht="29.1" customHeight="1" x14ac:dyDescent="0.15">
      <c r="A78" s="127" t="s">
        <v>266</v>
      </c>
      <c r="B78" s="128"/>
      <c r="C78" s="128">
        <f>SUBTOTAL(109,表3_38[销量])</f>
        <v>4503</v>
      </c>
      <c r="D78" s="128">
        <f>SUBTOTAL(109,表3_38[订单量])</f>
        <v>4348</v>
      </c>
      <c r="E78" s="128">
        <f>SUBTOTAL(109,表3_38[销售额])</f>
        <v>96072.569999999978</v>
      </c>
      <c r="F78" s="128">
        <f>SUBTOTAL(109,表3_38[促销销量])</f>
        <v>767</v>
      </c>
      <c r="G78" s="128">
        <f>SUBTOTAL(109,表3_38[促销订单量])</f>
        <v>747</v>
      </c>
      <c r="H78" s="128">
        <f>SUBTOTAL(109,表3_38[促销销售额])</f>
        <v>15766.63</v>
      </c>
      <c r="I78" s="128">
        <f>SUBTOTAL(109,表3_38[促销折扣])</f>
        <v>1329.92</v>
      </c>
      <c r="J78" s="128">
        <f>SUBTOTAL(109,表3_38[退款量])</f>
        <v>154</v>
      </c>
      <c r="K78" s="129">
        <f t="shared" si="27"/>
        <v>3.4199422607150788E-2</v>
      </c>
      <c r="L78" s="130">
        <f>SUBTOTAL(109,表3_38[退款金额])</f>
        <v>2772.01</v>
      </c>
      <c r="M78" s="128"/>
      <c r="N78" s="128"/>
      <c r="O78" s="128"/>
      <c r="P78" s="131">
        <f>SUBTOTAL(101,表3_38[客单
销量])</f>
        <v>1.0365176324507908</v>
      </c>
      <c r="Q78" s="131">
        <f>SUBTOTAL(101,表3_38[客单
价格($)])</f>
        <v>22.497977201973384</v>
      </c>
      <c r="R78" s="131">
        <f>SUBTOTAL(101,表3_38[销售
均价($)])</f>
        <v>21.707082281034861</v>
      </c>
      <c r="S78" s="131">
        <f>SUBTOTAL(101,表3_38[日均
销量])</f>
        <v>6.2673745173745177</v>
      </c>
      <c r="T78" s="132">
        <f>SUBTOTAL(109,表3_38[自然
订单])</f>
        <v>1767</v>
      </c>
      <c r="U78" s="133">
        <f t="shared" si="35"/>
        <v>0.40639374425023</v>
      </c>
      <c r="V78" s="129">
        <f>SUBTOTAL(101,表3_38[TAcos
(%)])</f>
        <v>0.25131790357425055</v>
      </c>
      <c r="W78" s="128">
        <f>SUBTOTAL(109,表3_38[展示])</f>
        <v>2985898</v>
      </c>
      <c r="X78" s="128">
        <f>SUBTOTAL(109,表3_38[点击])</f>
        <v>20097</v>
      </c>
      <c r="Y78" s="128">
        <f>SUBTOTAL(109,表3_38[广告订单量])</f>
        <v>2581</v>
      </c>
      <c r="Z78" s="128">
        <f>SUBTOTAL(109,表3_38[广告花费])</f>
        <v>23196.199999999993</v>
      </c>
      <c r="AA78" s="128">
        <f>SUBTOTAL(109,表3_38[广告销售额])</f>
        <v>57048.45</v>
      </c>
      <c r="AB78" s="128">
        <f>SUBTOTAL(101,表3_38[CPC])</f>
        <v>1.1506756756756757</v>
      </c>
      <c r="AC78" s="129">
        <f t="shared" si="37"/>
        <v>0.40660526271967062</v>
      </c>
      <c r="AD78" s="129">
        <f t="shared" ref="AD78:AF78" si="131">X78/W78</f>
        <v>6.7306384879858589E-3</v>
      </c>
      <c r="AE78" s="129">
        <f t="shared" si="131"/>
        <v>0.12842712842712842</v>
      </c>
      <c r="AF78" s="131">
        <f t="shared" si="131"/>
        <v>8.9872917473847327</v>
      </c>
      <c r="AG78" s="128">
        <f>SUBTOTAL(109,表3_38[Short w/oBall 1Pack])</f>
        <v>1412</v>
      </c>
      <c r="AH78" s="128">
        <f>SUBTOTAL(109,表3_38[Long w/oBall 1Pack])</f>
        <v>1648</v>
      </c>
      <c r="AI78" s="128">
        <f>SUBTOTAL(109,表3_38[w/Ball 1Pack])</f>
        <v>1323</v>
      </c>
      <c r="AJ78" s="165">
        <f>SUBTOTAL(109,表3_38[Long w/oBall 2Pack])</f>
        <v>124</v>
      </c>
      <c r="AK78" s="130">
        <f>SUBTOTAL(109,表3_38[产品成本])</f>
        <v>13964.225352112673</v>
      </c>
      <c r="AL78" s="130">
        <f>SUBTOTAL(109,表3_38[头程])</f>
        <v>1536.9999999999993</v>
      </c>
      <c r="AM78" s="130">
        <f>SUBTOTAL(109,表3_38[入仓费])</f>
        <v>1732.51</v>
      </c>
      <c r="AN78" s="130">
        <f>SUBTOTAL(109,表3_38[FBA物流])</f>
        <v>21312.560000000005</v>
      </c>
      <c r="AO78" s="130">
        <f>SUBTOTAL(109,表3_38[佣金])</f>
        <v>14211.397499999999</v>
      </c>
      <c r="AP78" s="130">
        <f>SUBTOTAL(109,表3_38[成本小结])</f>
        <v>52757.692852112661</v>
      </c>
      <c r="AQ78" s="135">
        <f>SUBTOTAL(109,表3_38[退款Short w/oBall 1Pack])</f>
        <v>58</v>
      </c>
      <c r="AR78" s="135">
        <f>SUBTOTAL(109,表3_38[退款Long w/oBall 1Pack])</f>
        <v>39</v>
      </c>
      <c r="AS78" s="135">
        <f>SUBTOTAL(109,表3_38[退款w/Ball 1Pack])</f>
        <v>54</v>
      </c>
      <c r="AT78" s="130">
        <f>SUBTOTAL(109,表3_38[退款Long w/oBall 2Pack])</f>
        <v>2</v>
      </c>
      <c r="AU78" s="130">
        <f>SUBTOTAL(109,表3_38[退款
销售金额])</f>
        <v>3380.5000000000014</v>
      </c>
      <c r="AV78" s="130">
        <f>SUBTOTAL(109,表3_38[退款
产品成本])</f>
        <v>462.81690140845058</v>
      </c>
      <c r="AW78" s="130">
        <f>SUBTOTAL(109,表3_38[退款头程])</f>
        <v>49.740000000000023</v>
      </c>
      <c r="AX78" s="130">
        <f>SUBTOTAL(109,表3_38[退款
入仓费])</f>
        <v>59.179999999999993</v>
      </c>
      <c r="AY78" s="130">
        <f>SUBTOTAL(109,表3_38[退款
FBA物流])</f>
        <v>0</v>
      </c>
      <c r="AZ78" s="130">
        <f>SUBTOTAL(109,表3_38[退款佣金])</f>
        <v>507.0750000000001</v>
      </c>
      <c r="BA78" s="130">
        <f>SUBTOTAL(109,表3_38[退款
管理费用
佣金的20%])</f>
        <v>-101.41499999999998</v>
      </c>
      <c r="BB78" s="130">
        <f>SUBTOTAL(109,表3_38[退款
成本小结])</f>
        <v>977.39690140845107</v>
      </c>
      <c r="BC78" s="130">
        <f>SUBTOTAL(109,表3_38[净成本])</f>
        <v>51780.295950704218</v>
      </c>
      <c r="BD78" s="130">
        <f>SUBTOTAL(109,表3_38[净销售额])</f>
        <v>94742.64999999998</v>
      </c>
      <c r="BE78" s="130">
        <f>SUBTOTAL(109,表3_38[净销售额
(-退款金额)])</f>
        <v>91362.150000000023</v>
      </c>
      <c r="BF78" s="130">
        <f>SUBTOTAL(109,表3_38[毛利])</f>
        <v>16385.654049295772</v>
      </c>
      <c r="BG78" s="129">
        <f>SUBTOTAL(101,表3_38[毛利率])</f>
        <v>0.17822856287822791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ignoredErrors>
    <ignoredError sqref="S4:S4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59999389629810485"/>
  </sheetPr>
  <dimension ref="A1:BF23"/>
  <sheetViews>
    <sheetView tabSelected="1" workbookViewId="0">
      <pane xSplit="12" ySplit="3" topLeftCell="R11" activePane="bottomRight" state="frozen"/>
      <selection pane="topRight"/>
      <selection pane="bottomLeft"/>
      <selection pane="bottomRight" activeCell="A22" sqref="A22:XFD22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5.875" customWidth="1"/>
    <col min="7" max="7" width="5.375" customWidth="1"/>
    <col min="8" max="8" width="11.125" customWidth="1"/>
    <col min="9" max="9" width="8.8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11.875" customWidth="1"/>
    <col min="57" max="57" width="29.375" customWidth="1"/>
    <col min="58" max="58" width="21.5" customWidth="1"/>
  </cols>
  <sheetData>
    <row r="1" spans="1:58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8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8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311</v>
      </c>
      <c r="AH3" s="137" t="s">
        <v>312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313</v>
      </c>
      <c r="AP3" s="96" t="s">
        <v>314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65</v>
      </c>
      <c r="BE3" s="1" t="s">
        <v>315</v>
      </c>
      <c r="BF3" s="1" t="s">
        <v>67</v>
      </c>
    </row>
    <row r="4" spans="1:58" ht="29.1" customHeight="1" x14ac:dyDescent="0.15">
      <c r="A4" s="54" t="s">
        <v>210</v>
      </c>
      <c r="B4" s="55" t="s">
        <v>211</v>
      </c>
      <c r="C4" s="67">
        <v>30</v>
      </c>
      <c r="D4" s="68">
        <v>29</v>
      </c>
      <c r="E4" s="41">
        <v>496.01</v>
      </c>
      <c r="F4" s="101">
        <v>2</v>
      </c>
      <c r="G4" s="101">
        <v>2</v>
      </c>
      <c r="H4" s="41">
        <v>36.729999999999997</v>
      </c>
      <c r="I4" s="41">
        <v>3.67</v>
      </c>
      <c r="J4" s="102">
        <v>0</v>
      </c>
      <c r="K4" s="103">
        <f t="shared" ref="K4:K23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19" si="1">C4/D4</f>
        <v>1.0344827586206897</v>
      </c>
      <c r="Q4" s="107">
        <f t="shared" ref="Q4:Q19" si="2">E4/D4</f>
        <v>17.103793103448275</v>
      </c>
      <c r="R4" s="140">
        <f t="shared" ref="R4:R19" si="3">E4/C4</f>
        <v>16.533666666666665</v>
      </c>
      <c r="S4" s="108">
        <f t="shared" ref="S4:S19" si="4">C4/7</f>
        <v>4.2857142857142856</v>
      </c>
      <c r="T4" s="146">
        <f t="shared" ref="T4:T19" si="5">D4-Y4</f>
        <v>9</v>
      </c>
      <c r="U4" s="110">
        <f t="shared" ref="U4:U23" si="6">T4/D4</f>
        <v>0.31034482758620691</v>
      </c>
      <c r="V4" s="71">
        <f t="shared" ref="V4:V19" si="7">Z4/(E4-I4)</f>
        <v>0.17508226022667264</v>
      </c>
      <c r="W4" s="68">
        <v>9139</v>
      </c>
      <c r="X4" s="68">
        <v>73</v>
      </c>
      <c r="Y4" s="68">
        <v>20</v>
      </c>
      <c r="Z4" s="41">
        <v>86.2</v>
      </c>
      <c r="AA4" s="69">
        <v>357.27</v>
      </c>
      <c r="AB4" s="68">
        <v>1.18</v>
      </c>
      <c r="AC4" s="48">
        <f t="shared" ref="AC4:AC23" si="8">Z4/AA4</f>
        <v>0.24127410641811517</v>
      </c>
      <c r="AD4" s="49">
        <f t="shared" ref="AD4:AF4" si="9">X4/W4</f>
        <v>7.9877448298500929E-3</v>
      </c>
      <c r="AE4" s="112">
        <f t="shared" si="9"/>
        <v>0.27397260273972601</v>
      </c>
      <c r="AF4" s="107">
        <f t="shared" si="9"/>
        <v>4.3100000000000005</v>
      </c>
      <c r="AG4" s="113">
        <v>27</v>
      </c>
      <c r="AH4" s="115">
        <v>3</v>
      </c>
      <c r="AI4" s="116">
        <f>AG4*产品成本!$D$9+AH4*产品成本!$D$10</f>
        <v>74.366197183098507</v>
      </c>
      <c r="AJ4" s="116">
        <f>AG4*产品成本!$E$9+AH4*产品成本!$E$10</f>
        <v>9.5699999999999985</v>
      </c>
      <c r="AK4" s="116">
        <f>AG4*产品成本!$F$9+AH4*产品成本!$F$10</f>
        <v>10.200000000000001</v>
      </c>
      <c r="AL4" s="116">
        <f>AG4*产品成本!$G$9+AH4*产品成本!$G$10</f>
        <v>147</v>
      </c>
      <c r="AM4" s="116">
        <f t="shared" ref="AM4:AM19" si="10">(E4-I4)*0.15</f>
        <v>73.850999999999999</v>
      </c>
      <c r="AN4" s="117">
        <f t="shared" ref="AN4:AN19" si="11">SUM(AI4:AM4)</f>
        <v>314.98719718309849</v>
      </c>
      <c r="AO4" s="147">
        <v>0</v>
      </c>
      <c r="AP4" s="119">
        <v>0</v>
      </c>
      <c r="AQ4" s="120">
        <f t="shared" ref="AQ4:AQ19" si="12">L4/(1-0.15-0.15*0.2)</f>
        <v>0</v>
      </c>
      <c r="AR4" s="116">
        <f>AO4*产品成本!$D$9+AP4*产品成本!$D$10</f>
        <v>0</v>
      </c>
      <c r="AS4" s="116">
        <f>AO4*产品成本!$E$9+AP4*产品成本!$E$10</f>
        <v>0</v>
      </c>
      <c r="AT4" s="116">
        <f>AO4*产品成本!$F$9+AP4*产品成本!$F$10</f>
        <v>0</v>
      </c>
      <c r="AU4" s="116"/>
      <c r="AV4" s="116">
        <f t="shared" ref="AV4:AV19" si="13">AQ4*0.15</f>
        <v>0</v>
      </c>
      <c r="AW4" s="116">
        <f t="shared" ref="AW4:AW19" si="14">-AV4*0.2</f>
        <v>0</v>
      </c>
      <c r="AX4" s="117">
        <f t="shared" ref="AX4:AX19" si="15">SUM(AR4:AW4)</f>
        <v>0</v>
      </c>
      <c r="AY4" s="122">
        <f t="shared" ref="AY4:AY19" si="16">AN4-AX4</f>
        <v>314.98719718309849</v>
      </c>
      <c r="AZ4" s="122">
        <f t="shared" ref="AZ4:AZ19" si="17">E4-I4</f>
        <v>492.34</v>
      </c>
      <c r="BA4" s="122">
        <f t="shared" ref="BA4:BA19" si="18">E4-AQ4-I4</f>
        <v>492.34</v>
      </c>
      <c r="BB4" s="121">
        <f t="shared" ref="BB4:BB19" si="19">BA4-AY4-Z4</f>
        <v>91.152802816901485</v>
      </c>
      <c r="BC4" s="123">
        <f t="shared" ref="BC4:BC19" si="20">BB4/BA4</f>
        <v>0.18514198077934252</v>
      </c>
      <c r="BE4" t="s">
        <v>287</v>
      </c>
    </row>
    <row r="5" spans="1:58" ht="29.1" customHeight="1" x14ac:dyDescent="0.15">
      <c r="A5" s="38" t="s">
        <v>213</v>
      </c>
      <c r="B5" s="38" t="s">
        <v>214</v>
      </c>
      <c r="C5" s="67">
        <v>27</v>
      </c>
      <c r="D5" s="68">
        <v>26</v>
      </c>
      <c r="E5" s="41">
        <v>441.96</v>
      </c>
      <c r="F5" s="101">
        <v>1</v>
      </c>
      <c r="G5" s="101">
        <v>1</v>
      </c>
      <c r="H5" s="41">
        <v>12.74</v>
      </c>
      <c r="I5" s="41">
        <v>1.27</v>
      </c>
      <c r="J5" s="102">
        <v>0</v>
      </c>
      <c r="K5" s="103">
        <f t="shared" si="0"/>
        <v>0</v>
      </c>
      <c r="L5" s="104">
        <v>0</v>
      </c>
      <c r="M5" s="105">
        <f t="shared" ref="M5:M19" si="21">(C5-C4)/C4</f>
        <v>-0.1</v>
      </c>
      <c r="N5" s="103">
        <f t="shared" ref="N5:N19" si="22">(D5-D4)/D4</f>
        <v>-0.10344827586206896</v>
      </c>
      <c r="O5" s="103">
        <f t="shared" ref="O5:O19" si="23">(E5-E4)/E4</f>
        <v>-0.10896957722626563</v>
      </c>
      <c r="P5" s="106">
        <f t="shared" si="1"/>
        <v>1.0384615384615385</v>
      </c>
      <c r="Q5" s="107">
        <f t="shared" si="2"/>
        <v>16.998461538461537</v>
      </c>
      <c r="R5" s="140">
        <f t="shared" si="3"/>
        <v>16.36888888888889</v>
      </c>
      <c r="S5" s="108">
        <f t="shared" si="4"/>
        <v>3.8571428571428572</v>
      </c>
      <c r="T5" s="146">
        <f t="shared" si="5"/>
        <v>12</v>
      </c>
      <c r="U5" s="110">
        <f t="shared" si="6"/>
        <v>0.46153846153846156</v>
      </c>
      <c r="V5" s="71">
        <f t="shared" si="7"/>
        <v>0.21021579795320974</v>
      </c>
      <c r="W5" s="68">
        <v>12451</v>
      </c>
      <c r="X5" s="68">
        <v>88</v>
      </c>
      <c r="Y5" s="68">
        <v>14</v>
      </c>
      <c r="Z5" s="41">
        <v>92.64</v>
      </c>
      <c r="AA5" s="69">
        <v>230.67</v>
      </c>
      <c r="AB5" s="68">
        <v>1.05</v>
      </c>
      <c r="AC5" s="48">
        <f t="shared" si="8"/>
        <v>0.40161269345818706</v>
      </c>
      <c r="AD5" s="49">
        <f t="shared" ref="AD5:AF5" si="24">X5/W5</f>
        <v>7.0677054051883383E-3</v>
      </c>
      <c r="AE5" s="112">
        <f t="shared" si="24"/>
        <v>0.15909090909090909</v>
      </c>
      <c r="AF5" s="107">
        <f t="shared" si="24"/>
        <v>6.6171428571428574</v>
      </c>
      <c r="AG5" s="113">
        <v>21</v>
      </c>
      <c r="AH5" s="115">
        <v>6</v>
      </c>
      <c r="AI5" s="116">
        <f>AG5*产品成本!$D$9+AH5*产品成本!$D$10</f>
        <v>74.366197183098535</v>
      </c>
      <c r="AJ5" s="116">
        <f>AG5*产品成本!$E$9+AH5*产品成本!$E$10</f>
        <v>9.57</v>
      </c>
      <c r="AK5" s="116">
        <f>AG5*产品成本!$F$9+AH5*产品成本!$F$10</f>
        <v>9.18</v>
      </c>
      <c r="AL5" s="116">
        <f>AG5*产品成本!$G$9+AH5*产品成本!$G$10</f>
        <v>132.30000000000001</v>
      </c>
      <c r="AM5" s="116">
        <f t="shared" si="10"/>
        <v>66.103499999999997</v>
      </c>
      <c r="AN5" s="117">
        <f t="shared" si="11"/>
        <v>291.51969718309851</v>
      </c>
      <c r="AO5" s="147">
        <v>0</v>
      </c>
      <c r="AP5" s="119">
        <v>0</v>
      </c>
      <c r="AQ5" s="120">
        <f t="shared" si="12"/>
        <v>0</v>
      </c>
      <c r="AR5" s="116">
        <f>AO5*产品成本!$D$9+AP5*产品成本!$D$10</f>
        <v>0</v>
      </c>
      <c r="AS5" s="116">
        <f>AO5*产品成本!$E$9+AP5*产品成本!$E$10</f>
        <v>0</v>
      </c>
      <c r="AT5" s="116">
        <f>AO5*产品成本!$F$9+AP5*产品成本!$F$10</f>
        <v>0</v>
      </c>
      <c r="AU5" s="116"/>
      <c r="AV5" s="116">
        <f t="shared" si="13"/>
        <v>0</v>
      </c>
      <c r="AW5" s="116">
        <f t="shared" si="14"/>
        <v>0</v>
      </c>
      <c r="AX5" s="117">
        <f t="shared" si="15"/>
        <v>0</v>
      </c>
      <c r="AY5" s="122">
        <f t="shared" si="16"/>
        <v>291.51969718309851</v>
      </c>
      <c r="AZ5" s="122">
        <f t="shared" si="17"/>
        <v>440.69</v>
      </c>
      <c r="BA5" s="122">
        <f t="shared" si="18"/>
        <v>440.69</v>
      </c>
      <c r="BB5" s="121">
        <f t="shared" si="19"/>
        <v>56.530302816901482</v>
      </c>
      <c r="BC5" s="123">
        <f t="shared" si="20"/>
        <v>0.12827679960267191</v>
      </c>
      <c r="BE5" t="s">
        <v>215</v>
      </c>
    </row>
    <row r="6" spans="1:58" ht="29.1" customHeight="1" x14ac:dyDescent="0.15">
      <c r="A6" s="38" t="s">
        <v>216</v>
      </c>
      <c r="B6" s="38" t="s">
        <v>217</v>
      </c>
      <c r="C6" s="67">
        <v>19</v>
      </c>
      <c r="D6" s="68">
        <v>19</v>
      </c>
      <c r="E6" s="41">
        <v>439.19</v>
      </c>
      <c r="F6" s="101">
        <v>0</v>
      </c>
      <c r="G6" s="101">
        <v>0</v>
      </c>
      <c r="H6" s="41">
        <v>0</v>
      </c>
      <c r="I6" s="41">
        <v>0</v>
      </c>
      <c r="J6" s="102">
        <v>2</v>
      </c>
      <c r="K6" s="103">
        <f t="shared" si="0"/>
        <v>0.10526315789473684</v>
      </c>
      <c r="L6" s="104">
        <v>33.99</v>
      </c>
      <c r="M6" s="105">
        <f t="shared" si="21"/>
        <v>-0.29629629629629628</v>
      </c>
      <c r="N6" s="103">
        <f t="shared" si="22"/>
        <v>-0.26923076923076922</v>
      </c>
      <c r="O6" s="103">
        <f t="shared" si="23"/>
        <v>-6.2675355235767534E-3</v>
      </c>
      <c r="P6" s="106">
        <f t="shared" si="1"/>
        <v>1</v>
      </c>
      <c r="Q6" s="107">
        <f t="shared" si="2"/>
        <v>23.115263157894738</v>
      </c>
      <c r="R6" s="140">
        <f t="shared" si="3"/>
        <v>23.115263157894738</v>
      </c>
      <c r="S6" s="108">
        <f t="shared" si="4"/>
        <v>2.7142857142857144</v>
      </c>
      <c r="T6" s="146">
        <f t="shared" si="5"/>
        <v>5</v>
      </c>
      <c r="U6" s="110">
        <f t="shared" si="6"/>
        <v>0.26315789473684209</v>
      </c>
      <c r="V6" s="71">
        <f t="shared" si="7"/>
        <v>0.20569685102119811</v>
      </c>
      <c r="W6" s="68">
        <v>20044</v>
      </c>
      <c r="X6" s="68">
        <v>87</v>
      </c>
      <c r="Y6" s="68">
        <v>14</v>
      </c>
      <c r="Z6" s="41">
        <v>90.34</v>
      </c>
      <c r="AA6" s="69">
        <v>295.13</v>
      </c>
      <c r="AB6" s="68">
        <v>1.04</v>
      </c>
      <c r="AC6" s="48">
        <f t="shared" si="8"/>
        <v>0.30610239555450142</v>
      </c>
      <c r="AD6" s="49">
        <f t="shared" ref="AD6:AF6" si="25">X6/W6</f>
        <v>4.340451007782878E-3</v>
      </c>
      <c r="AE6" s="112">
        <f t="shared" si="25"/>
        <v>0.16091954022988506</v>
      </c>
      <c r="AF6" s="107">
        <f t="shared" si="25"/>
        <v>6.4528571428571428</v>
      </c>
      <c r="AG6" s="113">
        <v>15</v>
      </c>
      <c r="AH6" s="115">
        <v>4</v>
      </c>
      <c r="AI6" s="116">
        <f>AG6*产品成本!$D$9+AH6*产品成本!$D$10</f>
        <v>51.830985915492917</v>
      </c>
      <c r="AJ6" s="116">
        <f>AG6*产品成本!$E$9+AH6*产品成本!$E$10</f>
        <v>6.67</v>
      </c>
      <c r="AK6" s="116">
        <f>AG6*产品成本!$F$9+AH6*产品成本!$F$10</f>
        <v>6.4600000000000009</v>
      </c>
      <c r="AL6" s="116">
        <f>AG6*产品成本!$G$9+AH6*产品成本!$G$10</f>
        <v>93.1</v>
      </c>
      <c r="AM6" s="116">
        <f t="shared" si="10"/>
        <v>65.878500000000003</v>
      </c>
      <c r="AN6" s="117">
        <f t="shared" si="11"/>
        <v>223.93948591549292</v>
      </c>
      <c r="AO6" s="147">
        <v>2</v>
      </c>
      <c r="AP6" s="119">
        <v>0</v>
      </c>
      <c r="AQ6" s="120">
        <f t="shared" si="12"/>
        <v>41.451219512195124</v>
      </c>
      <c r="AR6" s="116">
        <f>AO6*产品成本!$D$9+AP6*产品成本!$D$10</f>
        <v>4.5070422535211199</v>
      </c>
      <c r="AS6" s="116">
        <f>AO6*产品成本!$E$9+AP6*产品成本!$E$10</f>
        <v>0.57999999999999996</v>
      </c>
      <c r="AT6" s="116">
        <f>AO6*产品成本!$F$9+AP6*产品成本!$F$10</f>
        <v>0.68</v>
      </c>
      <c r="AU6" s="116"/>
      <c r="AV6" s="116">
        <f t="shared" si="13"/>
        <v>6.2176829268292684</v>
      </c>
      <c r="AW6" s="116">
        <f t="shared" si="14"/>
        <v>-1.2435365853658538</v>
      </c>
      <c r="AX6" s="117">
        <f t="shared" si="15"/>
        <v>10.741188594984534</v>
      </c>
      <c r="AY6" s="122">
        <f t="shared" si="16"/>
        <v>213.1982973205084</v>
      </c>
      <c r="AZ6" s="122">
        <f t="shared" si="17"/>
        <v>439.19</v>
      </c>
      <c r="BA6" s="122">
        <f t="shared" si="18"/>
        <v>397.73878048780489</v>
      </c>
      <c r="BB6" s="121">
        <f t="shared" si="19"/>
        <v>94.200483167296483</v>
      </c>
      <c r="BC6" s="123">
        <f t="shared" si="20"/>
        <v>0.23684007642343735</v>
      </c>
      <c r="BE6" t="s">
        <v>288</v>
      </c>
    </row>
    <row r="7" spans="1:58" ht="29.1" customHeight="1" x14ac:dyDescent="0.15">
      <c r="A7" s="38" t="s">
        <v>219</v>
      </c>
      <c r="B7" s="38" t="s">
        <v>220</v>
      </c>
      <c r="C7" s="67">
        <v>20</v>
      </c>
      <c r="D7" s="68">
        <v>20</v>
      </c>
      <c r="E7" s="41">
        <v>331.55</v>
      </c>
      <c r="F7" s="101">
        <v>3</v>
      </c>
      <c r="G7" s="101">
        <v>3</v>
      </c>
      <c r="H7" s="41">
        <v>51.72</v>
      </c>
      <c r="I7" s="41">
        <v>5.16</v>
      </c>
      <c r="J7" s="102">
        <v>0</v>
      </c>
      <c r="K7" s="103">
        <f t="shared" si="0"/>
        <v>0</v>
      </c>
      <c r="L7" s="104">
        <v>0</v>
      </c>
      <c r="M7" s="105">
        <f t="shared" si="21"/>
        <v>5.2631578947368418E-2</v>
      </c>
      <c r="N7" s="103">
        <f t="shared" si="22"/>
        <v>5.2631578947368418E-2</v>
      </c>
      <c r="O7" s="103">
        <f t="shared" si="23"/>
        <v>-0.24508754753068146</v>
      </c>
      <c r="P7" s="106">
        <f t="shared" si="1"/>
        <v>1</v>
      </c>
      <c r="Q7" s="107">
        <f t="shared" si="2"/>
        <v>16.577500000000001</v>
      </c>
      <c r="R7" s="140">
        <f t="shared" si="3"/>
        <v>16.577500000000001</v>
      </c>
      <c r="S7" s="108">
        <f t="shared" si="4"/>
        <v>2.8571428571428572</v>
      </c>
      <c r="T7" s="146">
        <f t="shared" si="5"/>
        <v>6</v>
      </c>
      <c r="U7" s="110">
        <f t="shared" si="6"/>
        <v>0.3</v>
      </c>
      <c r="V7" s="71">
        <f t="shared" si="7"/>
        <v>0.28315818499341283</v>
      </c>
      <c r="W7" s="68">
        <v>14676</v>
      </c>
      <c r="X7" s="68">
        <v>82</v>
      </c>
      <c r="Y7" s="68">
        <v>14</v>
      </c>
      <c r="Z7" s="41">
        <v>92.42</v>
      </c>
      <c r="AA7" s="69">
        <v>228.76</v>
      </c>
      <c r="AB7" s="68">
        <v>1.1299999999999999</v>
      </c>
      <c r="AC7" s="48">
        <f t="shared" si="8"/>
        <v>0.4040041965378563</v>
      </c>
      <c r="AD7" s="49">
        <f t="shared" ref="AD7:AF7" si="26">X7/W7</f>
        <v>5.587353502316708E-3</v>
      </c>
      <c r="AE7" s="112">
        <f t="shared" si="26"/>
        <v>0.17073170731707318</v>
      </c>
      <c r="AF7" s="107">
        <f t="shared" si="26"/>
        <v>6.6014285714285714</v>
      </c>
      <c r="AG7" s="113">
        <v>19</v>
      </c>
      <c r="AH7" s="115">
        <v>1</v>
      </c>
      <c r="AI7" s="116">
        <f>AG7*产品成本!$D$9+AH7*产品成本!$D$10</f>
        <v>47.323943661971768</v>
      </c>
      <c r="AJ7" s="116">
        <f>AG7*产品成本!$E$9+AH7*产品成本!$E$10</f>
        <v>6.09</v>
      </c>
      <c r="AK7" s="116">
        <f>AG7*产品成本!$F$9+AH7*产品成本!$F$10</f>
        <v>6.8000000000000007</v>
      </c>
      <c r="AL7" s="116">
        <f>AG7*产品成本!$G$9+AH7*产品成本!$G$10</f>
        <v>98.000000000000014</v>
      </c>
      <c r="AM7" s="116">
        <f t="shared" si="10"/>
        <v>48.958499999999994</v>
      </c>
      <c r="AN7" s="117">
        <f t="shared" si="11"/>
        <v>207.17244366197176</v>
      </c>
      <c r="AO7" s="147">
        <v>0</v>
      </c>
      <c r="AP7" s="119">
        <v>0</v>
      </c>
      <c r="AQ7" s="120">
        <f t="shared" si="12"/>
        <v>0</v>
      </c>
      <c r="AR7" s="116">
        <f>AO7*产品成本!$D$9+AP7*产品成本!$D$10</f>
        <v>0</v>
      </c>
      <c r="AS7" s="116">
        <f>AO7*产品成本!$E$9+AP7*产品成本!$E$10</f>
        <v>0</v>
      </c>
      <c r="AT7" s="116">
        <f>AO7*产品成本!$F$9+AP7*产品成本!$F$10</f>
        <v>0</v>
      </c>
      <c r="AU7" s="116"/>
      <c r="AV7" s="116">
        <f t="shared" si="13"/>
        <v>0</v>
      </c>
      <c r="AW7" s="116">
        <f t="shared" si="14"/>
        <v>0</v>
      </c>
      <c r="AX7" s="117">
        <f t="shared" si="15"/>
        <v>0</v>
      </c>
      <c r="AY7" s="122">
        <f t="shared" si="16"/>
        <v>207.17244366197176</v>
      </c>
      <c r="AZ7" s="122">
        <f t="shared" si="17"/>
        <v>326.39</v>
      </c>
      <c r="BA7" s="122">
        <f t="shared" si="18"/>
        <v>326.39</v>
      </c>
      <c r="BB7" s="121">
        <f t="shared" si="19"/>
        <v>26.79755633802823</v>
      </c>
      <c r="BC7" s="123">
        <f t="shared" si="20"/>
        <v>8.2102871834395144E-2</v>
      </c>
    </row>
    <row r="8" spans="1:58" ht="29.1" customHeight="1" x14ac:dyDescent="0.15">
      <c r="A8" s="38" t="s">
        <v>221</v>
      </c>
      <c r="B8" s="38" t="s">
        <v>222</v>
      </c>
      <c r="C8" s="67">
        <v>26</v>
      </c>
      <c r="D8" s="68">
        <v>26</v>
      </c>
      <c r="E8" s="41">
        <v>501.24</v>
      </c>
      <c r="F8" s="101">
        <v>2</v>
      </c>
      <c r="G8" s="101">
        <v>2</v>
      </c>
      <c r="H8" s="41">
        <v>55.98</v>
      </c>
      <c r="I8" s="41">
        <v>7</v>
      </c>
      <c r="J8" s="102">
        <v>2</v>
      </c>
      <c r="K8" s="103">
        <f t="shared" si="0"/>
        <v>7.6923076923076927E-2</v>
      </c>
      <c r="L8" s="104">
        <v>27.7</v>
      </c>
      <c r="M8" s="105">
        <f t="shared" si="21"/>
        <v>0.3</v>
      </c>
      <c r="N8" s="103">
        <f t="shared" si="22"/>
        <v>0.3</v>
      </c>
      <c r="O8" s="103">
        <f t="shared" si="23"/>
        <v>0.51180817372945253</v>
      </c>
      <c r="P8" s="106">
        <f t="shared" si="1"/>
        <v>1</v>
      </c>
      <c r="Q8" s="107">
        <f t="shared" si="2"/>
        <v>19.278461538461539</v>
      </c>
      <c r="R8" s="140">
        <f t="shared" si="3"/>
        <v>19.278461538461539</v>
      </c>
      <c r="S8" s="108">
        <f t="shared" si="4"/>
        <v>3.7142857142857144</v>
      </c>
      <c r="T8" s="146">
        <f t="shared" si="5"/>
        <v>10</v>
      </c>
      <c r="U8" s="110">
        <f t="shared" si="6"/>
        <v>0.38461538461538464</v>
      </c>
      <c r="V8" s="71">
        <f t="shared" si="7"/>
        <v>0.24823972159274846</v>
      </c>
      <c r="W8" s="68">
        <v>2533</v>
      </c>
      <c r="X8" s="68">
        <v>107</v>
      </c>
      <c r="Y8" s="68">
        <v>16</v>
      </c>
      <c r="Z8" s="41">
        <v>122.69</v>
      </c>
      <c r="AA8" s="69">
        <v>284.14999999999998</v>
      </c>
      <c r="AB8" s="68">
        <v>1.1499999999999999</v>
      </c>
      <c r="AC8" s="48">
        <f t="shared" si="8"/>
        <v>0.43177898997008624</v>
      </c>
      <c r="AD8" s="49">
        <f t="shared" ref="AD8:AF8" si="27">X8/W8</f>
        <v>4.2242400315831027E-2</v>
      </c>
      <c r="AE8" s="112">
        <f t="shared" si="27"/>
        <v>0.14953271028037382</v>
      </c>
      <c r="AF8" s="107">
        <f t="shared" si="27"/>
        <v>7.6681249999999999</v>
      </c>
      <c r="AG8" s="113">
        <v>18</v>
      </c>
      <c r="AH8" s="115">
        <v>8</v>
      </c>
      <c r="AI8" s="116">
        <f>AG8*产品成本!$D$9+AH8*产品成本!$D$10</f>
        <v>76.61971830985911</v>
      </c>
      <c r="AJ8" s="116">
        <f>AG8*产品成本!$E$9+AH8*产品成本!$E$10</f>
        <v>9.86</v>
      </c>
      <c r="AK8" s="116">
        <f>AG8*产品成本!$F$9+AH8*产品成本!$F$10</f>
        <v>8.84</v>
      </c>
      <c r="AL8" s="116">
        <f>AG8*产品成本!$G$9+AH8*产品成本!$G$10</f>
        <v>127.4</v>
      </c>
      <c r="AM8" s="116">
        <f t="shared" si="10"/>
        <v>74.135999999999996</v>
      </c>
      <c r="AN8" s="117">
        <f t="shared" si="11"/>
        <v>296.85571830985907</v>
      </c>
      <c r="AO8" s="147">
        <v>2</v>
      </c>
      <c r="AP8" s="119">
        <v>0</v>
      </c>
      <c r="AQ8" s="120">
        <f t="shared" si="12"/>
        <v>33.780487804878049</v>
      </c>
      <c r="AR8" s="116">
        <f>AO8*产品成本!$D$9+AP8*产品成本!$D$10</f>
        <v>4.5070422535211199</v>
      </c>
      <c r="AS8" s="116">
        <f>AO8*产品成本!$E$9+AP8*产品成本!$E$10</f>
        <v>0.57999999999999996</v>
      </c>
      <c r="AT8" s="116">
        <f>AO8*产品成本!$F$9+AP8*产品成本!$F$10</f>
        <v>0.68</v>
      </c>
      <c r="AU8" s="116"/>
      <c r="AV8" s="116">
        <f t="shared" si="13"/>
        <v>5.0670731707317076</v>
      </c>
      <c r="AW8" s="116">
        <f t="shared" si="14"/>
        <v>-1.0134146341463415</v>
      </c>
      <c r="AX8" s="117">
        <f t="shared" si="15"/>
        <v>9.8207007901064856</v>
      </c>
      <c r="AY8" s="122">
        <f t="shared" si="16"/>
        <v>287.03501751975261</v>
      </c>
      <c r="AZ8" s="122">
        <f t="shared" si="17"/>
        <v>494.24</v>
      </c>
      <c r="BA8" s="122">
        <f t="shared" si="18"/>
        <v>460.45951219512199</v>
      </c>
      <c r="BB8" s="121">
        <f t="shared" si="19"/>
        <v>50.734494675369376</v>
      </c>
      <c r="BC8" s="123">
        <f t="shared" si="20"/>
        <v>0.11018231425713361</v>
      </c>
    </row>
    <row r="9" spans="1:58" ht="29.1" customHeight="1" x14ac:dyDescent="0.15">
      <c r="A9" s="38" t="s">
        <v>223</v>
      </c>
      <c r="B9" s="38" t="s">
        <v>224</v>
      </c>
      <c r="C9" s="67">
        <v>12</v>
      </c>
      <c r="D9" s="68">
        <v>12</v>
      </c>
      <c r="E9" s="41">
        <v>278.37</v>
      </c>
      <c r="F9" s="101">
        <v>3</v>
      </c>
      <c r="G9" s="101">
        <v>3</v>
      </c>
      <c r="H9" s="41">
        <v>59.77</v>
      </c>
      <c r="I9" s="41">
        <v>6.18</v>
      </c>
      <c r="J9" s="102">
        <v>0</v>
      </c>
      <c r="K9" s="103">
        <f t="shared" si="0"/>
        <v>0</v>
      </c>
      <c r="L9" s="104">
        <v>0</v>
      </c>
      <c r="M9" s="105">
        <f t="shared" si="21"/>
        <v>-0.53846153846153844</v>
      </c>
      <c r="N9" s="103">
        <f t="shared" si="22"/>
        <v>-0.53846153846153844</v>
      </c>
      <c r="O9" s="103">
        <f t="shared" si="23"/>
        <v>-0.44463729949724684</v>
      </c>
      <c r="P9" s="106">
        <f t="shared" si="1"/>
        <v>1</v>
      </c>
      <c r="Q9" s="107">
        <f t="shared" si="2"/>
        <v>23.197500000000002</v>
      </c>
      <c r="R9" s="140">
        <f t="shared" si="3"/>
        <v>23.197500000000002</v>
      </c>
      <c r="S9" s="108">
        <f t="shared" si="4"/>
        <v>1.7142857142857142</v>
      </c>
      <c r="T9" s="146">
        <f t="shared" si="5"/>
        <v>2</v>
      </c>
      <c r="U9" s="110">
        <f t="shared" si="6"/>
        <v>0.16666666666666666</v>
      </c>
      <c r="V9" s="71">
        <f t="shared" si="7"/>
        <v>0.26455784562254309</v>
      </c>
      <c r="W9" s="68">
        <v>12725</v>
      </c>
      <c r="X9" s="68">
        <v>68</v>
      </c>
      <c r="Y9" s="68">
        <v>10</v>
      </c>
      <c r="Z9" s="41">
        <v>72.010000000000005</v>
      </c>
      <c r="AA9" s="69">
        <v>212.34</v>
      </c>
      <c r="AB9" s="68">
        <v>1.06</v>
      </c>
      <c r="AC9" s="48">
        <f t="shared" si="8"/>
        <v>0.33912593011208442</v>
      </c>
      <c r="AD9" s="49">
        <f t="shared" ref="AD9:AF9" si="28">X9/W9</f>
        <v>5.3438113948919451E-3</v>
      </c>
      <c r="AE9" s="112">
        <f t="shared" si="28"/>
        <v>0.14705882352941177</v>
      </c>
      <c r="AF9" s="107">
        <f t="shared" si="28"/>
        <v>7.2010000000000005</v>
      </c>
      <c r="AG9" s="113">
        <v>9</v>
      </c>
      <c r="AH9" s="115">
        <v>3</v>
      </c>
      <c r="AI9" s="116">
        <f>AG9*产品成本!$D$9+AH9*产品成本!$D$10</f>
        <v>33.802816901408427</v>
      </c>
      <c r="AJ9" s="116">
        <f>AG9*产品成本!$E$9+AH9*产品成本!$E$10</f>
        <v>4.3499999999999996</v>
      </c>
      <c r="AK9" s="116">
        <f>AG9*产品成本!$F$9+AH9*产品成本!$F$10</f>
        <v>4.08</v>
      </c>
      <c r="AL9" s="116">
        <f>AG9*产品成本!$G$9+AH9*产品成本!$G$10</f>
        <v>58.800000000000004</v>
      </c>
      <c r="AM9" s="116">
        <f t="shared" si="10"/>
        <v>40.828499999999998</v>
      </c>
      <c r="AN9" s="117">
        <f t="shared" si="11"/>
        <v>141.86131690140843</v>
      </c>
      <c r="AO9" s="147">
        <v>0</v>
      </c>
      <c r="AP9" s="119">
        <v>0</v>
      </c>
      <c r="AQ9" s="120">
        <f t="shared" si="12"/>
        <v>0</v>
      </c>
      <c r="AR9" s="116">
        <f>AO9*产品成本!$D$9+AP9*产品成本!$D$10</f>
        <v>0</v>
      </c>
      <c r="AS9" s="116">
        <f>AO9*产品成本!$E$9+AP9*产品成本!$E$10</f>
        <v>0</v>
      </c>
      <c r="AT9" s="116">
        <f>AO9*产品成本!$F$9+AP9*产品成本!$F$10</f>
        <v>0</v>
      </c>
      <c r="AU9" s="116"/>
      <c r="AV9" s="116">
        <f t="shared" si="13"/>
        <v>0</v>
      </c>
      <c r="AW9" s="116">
        <f t="shared" si="14"/>
        <v>0</v>
      </c>
      <c r="AX9" s="117">
        <f t="shared" si="15"/>
        <v>0</v>
      </c>
      <c r="AY9" s="122">
        <f t="shared" si="16"/>
        <v>141.86131690140843</v>
      </c>
      <c r="AZ9" s="122">
        <f t="shared" si="17"/>
        <v>272.19</v>
      </c>
      <c r="BA9" s="122">
        <f t="shared" si="18"/>
        <v>272.19</v>
      </c>
      <c r="BB9" s="121">
        <f t="shared" si="19"/>
        <v>58.318683098591563</v>
      </c>
      <c r="BC9" s="123">
        <f t="shared" si="20"/>
        <v>0.21425725816007776</v>
      </c>
      <c r="BE9" t="s">
        <v>225</v>
      </c>
    </row>
    <row r="10" spans="1:58" ht="29.1" customHeight="1" x14ac:dyDescent="0.15">
      <c r="A10" s="56" t="s">
        <v>226</v>
      </c>
      <c r="B10" s="57" t="s">
        <v>227</v>
      </c>
      <c r="C10" s="67">
        <v>15</v>
      </c>
      <c r="D10" s="68">
        <v>15</v>
      </c>
      <c r="E10" s="41">
        <v>275.77999999999997</v>
      </c>
      <c r="F10" s="101">
        <v>8</v>
      </c>
      <c r="G10" s="101">
        <v>8</v>
      </c>
      <c r="H10" s="41">
        <v>147.11199999999999</v>
      </c>
      <c r="I10" s="41">
        <v>14.72</v>
      </c>
      <c r="J10" s="102">
        <v>0</v>
      </c>
      <c r="K10" s="103">
        <f t="shared" si="0"/>
        <v>0</v>
      </c>
      <c r="L10" s="104">
        <v>0</v>
      </c>
      <c r="M10" s="105">
        <f t="shared" si="21"/>
        <v>0.25</v>
      </c>
      <c r="N10" s="103">
        <f t="shared" si="22"/>
        <v>0.25</v>
      </c>
      <c r="O10" s="103">
        <f t="shared" si="23"/>
        <v>-9.3041635233682939E-3</v>
      </c>
      <c r="P10" s="106">
        <f t="shared" si="1"/>
        <v>1</v>
      </c>
      <c r="Q10" s="107">
        <f t="shared" si="2"/>
        <v>18.385333333333332</v>
      </c>
      <c r="R10" s="140">
        <f t="shared" si="3"/>
        <v>18.385333333333332</v>
      </c>
      <c r="S10" s="108">
        <f t="shared" si="4"/>
        <v>2.1428571428571428</v>
      </c>
      <c r="T10" s="146">
        <f t="shared" si="5"/>
        <v>1</v>
      </c>
      <c r="U10" s="110">
        <f t="shared" si="6"/>
        <v>6.6666666666666666E-2</v>
      </c>
      <c r="V10" s="71">
        <f t="shared" si="7"/>
        <v>0.3264766720294186</v>
      </c>
      <c r="W10" s="68">
        <v>17816</v>
      </c>
      <c r="X10" s="68">
        <v>85</v>
      </c>
      <c r="Y10" s="68">
        <v>14</v>
      </c>
      <c r="Z10" s="41">
        <v>85.23</v>
      </c>
      <c r="AA10" s="69">
        <v>245.19</v>
      </c>
      <c r="AB10" s="41">
        <v>1</v>
      </c>
      <c r="AC10" s="48">
        <f t="shared" si="8"/>
        <v>0.34760797748684696</v>
      </c>
      <c r="AD10" s="49">
        <f t="shared" ref="AD10:AF10" si="29">X10/W10</f>
        <v>4.7709923664122139E-3</v>
      </c>
      <c r="AE10" s="112">
        <f t="shared" si="29"/>
        <v>0.16470588235294117</v>
      </c>
      <c r="AF10" s="107">
        <f t="shared" si="29"/>
        <v>6.0878571428571435</v>
      </c>
      <c r="AG10" s="113">
        <v>15</v>
      </c>
      <c r="AH10" s="115">
        <v>0</v>
      </c>
      <c r="AI10" s="116">
        <f>AG10*产品成本!$D$9+AH10*产品成本!$D$10</f>
        <v>33.802816901408399</v>
      </c>
      <c r="AJ10" s="116">
        <f>AG10*产品成本!$E$9+AH10*产品成本!$E$10</f>
        <v>4.3499999999999996</v>
      </c>
      <c r="AK10" s="116">
        <f>AG10*产品成本!$F$9+AH10*产品成本!$F$10</f>
        <v>5.1000000000000005</v>
      </c>
      <c r="AL10" s="116">
        <f>AG10*产品成本!$G$9+AH10*产品成本!$G$10</f>
        <v>73.5</v>
      </c>
      <c r="AM10" s="116">
        <f t="shared" si="10"/>
        <v>39.158999999999992</v>
      </c>
      <c r="AN10" s="117">
        <f t="shared" si="11"/>
        <v>155.9118169014084</v>
      </c>
      <c r="AO10" s="147">
        <v>0</v>
      </c>
      <c r="AP10" s="119">
        <v>0</v>
      </c>
      <c r="AQ10" s="120">
        <f t="shared" si="12"/>
        <v>0</v>
      </c>
      <c r="AR10" s="116">
        <f>AO10*产品成本!$D$9+AP10*产品成本!$D$10</f>
        <v>0</v>
      </c>
      <c r="AS10" s="116">
        <f>AO10*产品成本!$E$9+AP10*产品成本!$E$10</f>
        <v>0</v>
      </c>
      <c r="AT10" s="116">
        <f>AO10*产品成本!$F$9+AP10*产品成本!$F$10</f>
        <v>0</v>
      </c>
      <c r="AU10" s="116"/>
      <c r="AV10" s="116">
        <f t="shared" si="13"/>
        <v>0</v>
      </c>
      <c r="AW10" s="116">
        <f t="shared" si="14"/>
        <v>0</v>
      </c>
      <c r="AX10" s="117">
        <f t="shared" si="15"/>
        <v>0</v>
      </c>
      <c r="AY10" s="122">
        <f t="shared" si="16"/>
        <v>155.9118169014084</v>
      </c>
      <c r="AZ10" s="122">
        <f t="shared" si="17"/>
        <v>261.05999999999995</v>
      </c>
      <c r="BA10" s="122">
        <f t="shared" si="18"/>
        <v>261.05999999999995</v>
      </c>
      <c r="BB10" s="121">
        <f t="shared" si="19"/>
        <v>19.918183098591541</v>
      </c>
      <c r="BC10" s="123">
        <f t="shared" si="20"/>
        <v>7.6297338154414862E-2</v>
      </c>
    </row>
    <row r="11" spans="1:58" ht="29.1" customHeight="1" x14ac:dyDescent="0.15">
      <c r="A11" s="38" t="s">
        <v>228</v>
      </c>
      <c r="B11" s="58" t="s">
        <v>229</v>
      </c>
      <c r="C11" s="67">
        <v>16</v>
      </c>
      <c r="D11" s="68">
        <v>16</v>
      </c>
      <c r="E11" s="41">
        <v>333.46</v>
      </c>
      <c r="F11" s="101">
        <v>12</v>
      </c>
      <c r="G11" s="101">
        <v>12</v>
      </c>
      <c r="H11" s="41">
        <v>246.78</v>
      </c>
      <c r="I11" s="41">
        <v>23.74</v>
      </c>
      <c r="J11" s="102">
        <v>0</v>
      </c>
      <c r="K11" s="103">
        <f t="shared" si="0"/>
        <v>0</v>
      </c>
      <c r="L11" s="104">
        <v>0</v>
      </c>
      <c r="M11" s="105">
        <f t="shared" si="21"/>
        <v>6.6666666666666666E-2</v>
      </c>
      <c r="N11" s="103">
        <f t="shared" si="22"/>
        <v>6.6666666666666666E-2</v>
      </c>
      <c r="O11" s="103">
        <f t="shared" si="23"/>
        <v>0.20915222278627896</v>
      </c>
      <c r="P11" s="106">
        <f t="shared" si="1"/>
        <v>1</v>
      </c>
      <c r="Q11" s="107">
        <f t="shared" si="2"/>
        <v>20.841249999999999</v>
      </c>
      <c r="R11" s="140">
        <f t="shared" si="3"/>
        <v>20.841249999999999</v>
      </c>
      <c r="S11" s="108">
        <f t="shared" si="4"/>
        <v>2.2857142857142856</v>
      </c>
      <c r="T11" s="146">
        <f t="shared" si="5"/>
        <v>2</v>
      </c>
      <c r="U11" s="110">
        <f t="shared" si="6"/>
        <v>0.125</v>
      </c>
      <c r="V11" s="71">
        <f t="shared" si="7"/>
        <v>0.25820095570192436</v>
      </c>
      <c r="W11" s="68">
        <v>13816</v>
      </c>
      <c r="X11" s="68">
        <v>84</v>
      </c>
      <c r="Y11" s="68">
        <v>14</v>
      </c>
      <c r="Z11" s="41">
        <v>79.97</v>
      </c>
      <c r="AA11" s="69">
        <v>288.39999999999998</v>
      </c>
      <c r="AB11" s="41">
        <v>0.95</v>
      </c>
      <c r="AC11" s="48">
        <f t="shared" si="8"/>
        <v>0.27728848821081831</v>
      </c>
      <c r="AD11" s="49">
        <f t="shared" ref="AD11:AF11" si="30">X11/W11</f>
        <v>6.0799073537927042E-3</v>
      </c>
      <c r="AE11" s="112">
        <f t="shared" si="30"/>
        <v>0.16666666666666666</v>
      </c>
      <c r="AF11" s="107">
        <f t="shared" si="30"/>
        <v>5.7121428571428572</v>
      </c>
      <c r="AG11" s="113">
        <v>13</v>
      </c>
      <c r="AH11" s="115">
        <v>3</v>
      </c>
      <c r="AI11" s="116">
        <f>AG11*产品成本!$D$9+AH11*产品成本!$D$10</f>
        <v>42.816901408450668</v>
      </c>
      <c r="AJ11" s="116">
        <f>AG11*产品成本!$E$9+AH11*产品成本!$E$10</f>
        <v>5.51</v>
      </c>
      <c r="AK11" s="116">
        <f>AG11*产品成本!$F$9+AH11*产品成本!$F$10</f>
        <v>5.4399999999999995</v>
      </c>
      <c r="AL11" s="116">
        <f>AG11*产品成本!$G$9+AH11*产品成本!$G$10</f>
        <v>78.400000000000006</v>
      </c>
      <c r="AM11" s="116">
        <f t="shared" si="10"/>
        <v>46.457999999999991</v>
      </c>
      <c r="AN11" s="117">
        <f t="shared" si="11"/>
        <v>178.62490140845065</v>
      </c>
      <c r="AO11" s="147">
        <v>0</v>
      </c>
      <c r="AP11" s="119">
        <v>0</v>
      </c>
      <c r="AQ11" s="120">
        <f t="shared" si="12"/>
        <v>0</v>
      </c>
      <c r="AR11" s="116">
        <f>AO11*产品成本!$D$9+AP11*产品成本!$D$10</f>
        <v>0</v>
      </c>
      <c r="AS11" s="116">
        <f>AO11*产品成本!$E$9+AP11*产品成本!$E$10</f>
        <v>0</v>
      </c>
      <c r="AT11" s="116">
        <f>AO11*产品成本!$F$9+AP11*产品成本!$F$10</f>
        <v>0</v>
      </c>
      <c r="AU11" s="116"/>
      <c r="AV11" s="116">
        <f t="shared" si="13"/>
        <v>0</v>
      </c>
      <c r="AW11" s="116">
        <f t="shared" si="14"/>
        <v>0</v>
      </c>
      <c r="AX11" s="117">
        <f t="shared" si="15"/>
        <v>0</v>
      </c>
      <c r="AY11" s="122">
        <f t="shared" si="16"/>
        <v>178.62490140845065</v>
      </c>
      <c r="AZ11" s="122">
        <f t="shared" si="17"/>
        <v>309.71999999999997</v>
      </c>
      <c r="BA11" s="122">
        <f t="shared" si="18"/>
        <v>309.71999999999997</v>
      </c>
      <c r="BB11" s="121">
        <f t="shared" si="19"/>
        <v>51.125098591549317</v>
      </c>
      <c r="BC11" s="123">
        <f t="shared" si="20"/>
        <v>0.16506876724638164</v>
      </c>
    </row>
    <row r="12" spans="1:58" ht="29.1" customHeight="1" x14ac:dyDescent="0.15">
      <c r="A12" s="38" t="s">
        <v>230</v>
      </c>
      <c r="B12" s="58" t="s">
        <v>231</v>
      </c>
      <c r="C12" s="67">
        <v>12</v>
      </c>
      <c r="D12" s="68">
        <v>12</v>
      </c>
      <c r="E12" s="41">
        <v>233.73</v>
      </c>
      <c r="F12" s="101">
        <v>7</v>
      </c>
      <c r="G12" s="101">
        <v>7</v>
      </c>
      <c r="H12" s="41">
        <v>128.66</v>
      </c>
      <c r="I12" s="41">
        <v>10.94</v>
      </c>
      <c r="J12" s="102">
        <v>2</v>
      </c>
      <c r="K12" s="103">
        <f t="shared" si="0"/>
        <v>0.16666666666666666</v>
      </c>
      <c r="L12" s="104">
        <v>26.61</v>
      </c>
      <c r="M12" s="105">
        <f t="shared" si="21"/>
        <v>-0.25</v>
      </c>
      <c r="N12" s="103">
        <f t="shared" si="22"/>
        <v>-0.25</v>
      </c>
      <c r="O12" s="103">
        <f t="shared" si="23"/>
        <v>-0.29907635098662505</v>
      </c>
      <c r="P12" s="106">
        <f t="shared" si="1"/>
        <v>1</v>
      </c>
      <c r="Q12" s="107">
        <f t="shared" si="2"/>
        <v>19.477499999999999</v>
      </c>
      <c r="R12" s="140">
        <f t="shared" si="3"/>
        <v>19.477499999999999</v>
      </c>
      <c r="S12" s="108">
        <f t="shared" si="4"/>
        <v>1.7142857142857142</v>
      </c>
      <c r="T12" s="146">
        <f t="shared" si="5"/>
        <v>0</v>
      </c>
      <c r="U12" s="110">
        <f t="shared" si="6"/>
        <v>0</v>
      </c>
      <c r="V12" s="71">
        <f t="shared" si="7"/>
        <v>0.39386866555949551</v>
      </c>
      <c r="W12" s="68">
        <v>17964</v>
      </c>
      <c r="X12" s="68">
        <v>87</v>
      </c>
      <c r="Y12" s="68">
        <v>12</v>
      </c>
      <c r="Z12" s="41">
        <v>87.75</v>
      </c>
      <c r="AA12" s="69">
        <v>226.09</v>
      </c>
      <c r="AB12" s="41">
        <v>1.01</v>
      </c>
      <c r="AC12" s="48">
        <f t="shared" si="8"/>
        <v>0.38811977531071695</v>
      </c>
      <c r="AD12" s="49">
        <f t="shared" ref="AD12:AF12" si="31">X12/W12</f>
        <v>4.8430193720774882E-3</v>
      </c>
      <c r="AE12" s="112">
        <f t="shared" si="31"/>
        <v>0.13793103448275862</v>
      </c>
      <c r="AF12" s="107">
        <f t="shared" si="31"/>
        <v>7.3125</v>
      </c>
      <c r="AG12" s="113">
        <v>11</v>
      </c>
      <c r="AH12" s="115">
        <v>1</v>
      </c>
      <c r="AI12" s="116">
        <f>AG12*产品成本!$D$9+AH12*产品成本!$D$10</f>
        <v>29.295774647887292</v>
      </c>
      <c r="AJ12" s="116">
        <f>AG12*产品成本!$E$9+AH12*产品成本!$E$10</f>
        <v>3.77</v>
      </c>
      <c r="AK12" s="116">
        <f>AG12*产品成本!$F$9+AH12*产品成本!$F$10</f>
        <v>4.08</v>
      </c>
      <c r="AL12" s="116">
        <f>AG12*产品成本!$G$9+AH12*产品成本!$G$10</f>
        <v>58.800000000000004</v>
      </c>
      <c r="AM12" s="116">
        <f t="shared" si="10"/>
        <v>33.418499999999995</v>
      </c>
      <c r="AN12" s="117">
        <f t="shared" si="11"/>
        <v>129.3642746478873</v>
      </c>
      <c r="AO12" s="147">
        <v>2</v>
      </c>
      <c r="AP12" s="119">
        <v>0</v>
      </c>
      <c r="AQ12" s="120">
        <f t="shared" si="12"/>
        <v>32.451219512195124</v>
      </c>
      <c r="AR12" s="116">
        <f>AO12*产品成本!$D$9+AP12*产品成本!$D$10</f>
        <v>4.5070422535211199</v>
      </c>
      <c r="AS12" s="116">
        <f>AO12*产品成本!$E$9+AP12*产品成本!$E$10</f>
        <v>0.57999999999999996</v>
      </c>
      <c r="AT12" s="116">
        <f>AO12*产品成本!$F$9+AP12*产品成本!$F$10</f>
        <v>0.68</v>
      </c>
      <c r="AU12" s="116"/>
      <c r="AV12" s="116">
        <f t="shared" si="13"/>
        <v>4.8676829268292687</v>
      </c>
      <c r="AW12" s="116">
        <f t="shared" si="14"/>
        <v>-0.97353658536585375</v>
      </c>
      <c r="AX12" s="117">
        <f t="shared" si="15"/>
        <v>9.6611885949845338</v>
      </c>
      <c r="AY12" s="122">
        <f t="shared" si="16"/>
        <v>119.70308605290276</v>
      </c>
      <c r="AZ12" s="122">
        <f t="shared" si="17"/>
        <v>222.79</v>
      </c>
      <c r="BA12" s="122">
        <f t="shared" si="18"/>
        <v>190.33878048780485</v>
      </c>
      <c r="BB12" s="121">
        <f t="shared" si="19"/>
        <v>-17.114305565097908</v>
      </c>
      <c r="BC12" s="123">
        <f t="shared" si="20"/>
        <v>-8.9914969094773797E-2</v>
      </c>
    </row>
    <row r="13" spans="1:58" ht="29.1" customHeight="1" x14ac:dyDescent="0.15">
      <c r="A13" s="38" t="s">
        <v>232</v>
      </c>
      <c r="B13" s="58" t="s">
        <v>233</v>
      </c>
      <c r="C13" s="67">
        <v>19</v>
      </c>
      <c r="D13" s="68">
        <v>18</v>
      </c>
      <c r="E13" s="41">
        <v>388.56</v>
      </c>
      <c r="F13" s="101">
        <v>6</v>
      </c>
      <c r="G13" s="101">
        <v>6</v>
      </c>
      <c r="H13" s="41">
        <v>123.32</v>
      </c>
      <c r="I13" s="41">
        <v>12.33</v>
      </c>
      <c r="J13" s="102">
        <v>1</v>
      </c>
      <c r="K13" s="103">
        <f t="shared" si="0"/>
        <v>5.2631578947368418E-2</v>
      </c>
      <c r="L13" s="104">
        <v>15.4</v>
      </c>
      <c r="M13" s="105">
        <f t="shared" si="21"/>
        <v>0.58333333333333337</v>
      </c>
      <c r="N13" s="103">
        <f t="shared" si="22"/>
        <v>0.5</v>
      </c>
      <c r="O13" s="103">
        <f t="shared" si="23"/>
        <v>0.66243101013990513</v>
      </c>
      <c r="P13" s="106">
        <f t="shared" si="1"/>
        <v>1.0555555555555556</v>
      </c>
      <c r="Q13" s="107">
        <f t="shared" si="2"/>
        <v>21.586666666666666</v>
      </c>
      <c r="R13" s="140">
        <f t="shared" si="3"/>
        <v>20.450526315789475</v>
      </c>
      <c r="S13" s="108">
        <f t="shared" si="4"/>
        <v>2.7142857142857144</v>
      </c>
      <c r="T13" s="146">
        <f t="shared" si="5"/>
        <v>9</v>
      </c>
      <c r="U13" s="110">
        <f t="shared" si="6"/>
        <v>0.5</v>
      </c>
      <c r="V13" s="71">
        <f t="shared" si="7"/>
        <v>0.25752863939611409</v>
      </c>
      <c r="W13" s="68">
        <v>23192</v>
      </c>
      <c r="X13" s="68">
        <v>98</v>
      </c>
      <c r="Y13" s="68">
        <v>9</v>
      </c>
      <c r="Z13" s="41">
        <v>96.89</v>
      </c>
      <c r="AA13" s="69">
        <v>188.15</v>
      </c>
      <c r="AB13" s="41">
        <v>0.99</v>
      </c>
      <c r="AC13" s="48">
        <f t="shared" si="8"/>
        <v>0.51496146691469569</v>
      </c>
      <c r="AD13" s="49">
        <f t="shared" ref="AD13:AF13" si="32">X13/W13</f>
        <v>4.2255950327699209E-3</v>
      </c>
      <c r="AE13" s="112">
        <f t="shared" si="32"/>
        <v>9.1836734693877556E-2</v>
      </c>
      <c r="AF13" s="107">
        <f t="shared" si="32"/>
        <v>10.765555555555556</v>
      </c>
      <c r="AG13" s="113">
        <v>16</v>
      </c>
      <c r="AH13" s="115">
        <v>3</v>
      </c>
      <c r="AI13" s="116">
        <f>AG13*产品成本!$D$9+AH13*产品成本!$D$10</f>
        <v>49.57746478873235</v>
      </c>
      <c r="AJ13" s="116">
        <f>AG13*产品成本!$E$9+AH13*产品成本!$E$10</f>
        <v>6.379999999999999</v>
      </c>
      <c r="AK13" s="116">
        <f>AG13*产品成本!$F$9+AH13*产品成本!$F$10</f>
        <v>6.4600000000000009</v>
      </c>
      <c r="AL13" s="116">
        <f>AG13*产品成本!$G$9+AH13*产品成本!$G$10</f>
        <v>93.100000000000009</v>
      </c>
      <c r="AM13" s="116">
        <f t="shared" si="10"/>
        <v>56.4345</v>
      </c>
      <c r="AN13" s="117">
        <f t="shared" si="11"/>
        <v>211.95196478873237</v>
      </c>
      <c r="AO13" s="147">
        <v>1</v>
      </c>
      <c r="AP13" s="119">
        <v>0</v>
      </c>
      <c r="AQ13" s="120">
        <f t="shared" si="12"/>
        <v>18.780487804878049</v>
      </c>
      <c r="AR13" s="116">
        <f>AO13*产品成本!$D$9+AP13*产品成本!$D$10</f>
        <v>2.2535211267605599</v>
      </c>
      <c r="AS13" s="116">
        <f>AO13*产品成本!$E$9+AP13*产品成本!$E$10</f>
        <v>0.28999999999999998</v>
      </c>
      <c r="AT13" s="116">
        <f>AO13*产品成本!$F$9+AP13*产品成本!$F$10</f>
        <v>0.34</v>
      </c>
      <c r="AU13" s="116"/>
      <c r="AV13" s="116">
        <f t="shared" si="13"/>
        <v>2.8170731707317072</v>
      </c>
      <c r="AW13" s="116">
        <f t="shared" si="14"/>
        <v>-0.56341463414634141</v>
      </c>
      <c r="AX13" s="117">
        <f t="shared" si="15"/>
        <v>5.1371796633459255</v>
      </c>
      <c r="AY13" s="122">
        <f t="shared" si="16"/>
        <v>206.81478512538644</v>
      </c>
      <c r="AZ13" s="122">
        <f t="shared" si="17"/>
        <v>376.23</v>
      </c>
      <c r="BA13" s="122">
        <f t="shared" si="18"/>
        <v>357.44951219512194</v>
      </c>
      <c r="BB13" s="121">
        <f t="shared" si="19"/>
        <v>53.744727069735504</v>
      </c>
      <c r="BC13" s="123">
        <f t="shared" si="20"/>
        <v>0.15035613488373631</v>
      </c>
    </row>
    <row r="14" spans="1:58" ht="29.1" customHeight="1" x14ac:dyDescent="0.15">
      <c r="A14" s="38" t="s">
        <v>236</v>
      </c>
      <c r="B14" s="58" t="s">
        <v>237</v>
      </c>
      <c r="C14" s="67">
        <v>20</v>
      </c>
      <c r="D14" s="68">
        <v>20</v>
      </c>
      <c r="E14" s="41">
        <v>419.88</v>
      </c>
      <c r="F14" s="101">
        <v>3</v>
      </c>
      <c r="G14" s="101">
        <v>3</v>
      </c>
      <c r="H14" s="41">
        <v>89.29</v>
      </c>
      <c r="I14" s="41">
        <v>11.82</v>
      </c>
      <c r="J14" s="102">
        <v>1</v>
      </c>
      <c r="K14" s="103">
        <f t="shared" si="0"/>
        <v>0.05</v>
      </c>
      <c r="L14" s="104">
        <v>14.57</v>
      </c>
      <c r="M14" s="105">
        <f t="shared" si="21"/>
        <v>5.2631578947368418E-2</v>
      </c>
      <c r="N14" s="103">
        <f t="shared" si="22"/>
        <v>0.1111111111111111</v>
      </c>
      <c r="O14" s="103">
        <f t="shared" si="23"/>
        <v>8.0605311920938838E-2</v>
      </c>
      <c r="P14" s="106">
        <f t="shared" si="1"/>
        <v>1</v>
      </c>
      <c r="Q14" s="107">
        <f t="shared" si="2"/>
        <v>20.994</v>
      </c>
      <c r="R14" s="140">
        <f t="shared" si="3"/>
        <v>20.994</v>
      </c>
      <c r="S14" s="108">
        <f t="shared" si="4"/>
        <v>2.8571428571428572</v>
      </c>
      <c r="T14" s="146">
        <f t="shared" si="5"/>
        <v>6</v>
      </c>
      <c r="U14" s="110">
        <f t="shared" si="6"/>
        <v>0.3</v>
      </c>
      <c r="V14" s="71">
        <f t="shared" si="7"/>
        <v>0.19455472234475321</v>
      </c>
      <c r="W14" s="68">
        <v>23242</v>
      </c>
      <c r="X14" s="68">
        <v>83</v>
      </c>
      <c r="Y14" s="68">
        <v>14</v>
      </c>
      <c r="Z14" s="41">
        <v>79.39</v>
      </c>
      <c r="AA14" s="69">
        <v>303.18</v>
      </c>
      <c r="AB14" s="41">
        <v>0.96</v>
      </c>
      <c r="AC14" s="48">
        <f t="shared" si="8"/>
        <v>0.26185764232469161</v>
      </c>
      <c r="AD14" s="49">
        <f t="shared" ref="AD14:AF14" si="33">X14/W14</f>
        <v>3.5711212460201361E-3</v>
      </c>
      <c r="AE14" s="112">
        <f t="shared" si="33"/>
        <v>0.16867469879518071</v>
      </c>
      <c r="AF14" s="107">
        <f t="shared" si="33"/>
        <v>5.6707142857142854</v>
      </c>
      <c r="AG14" s="113">
        <v>18</v>
      </c>
      <c r="AH14" s="115">
        <v>2</v>
      </c>
      <c r="AI14" s="116">
        <f>AG14*产品成本!$D$9+AH14*产品成本!$D$10</f>
        <v>49.577464788732343</v>
      </c>
      <c r="AJ14" s="116">
        <f>AG14*产品成本!$E$9+AH14*产品成本!$E$10</f>
        <v>6.38</v>
      </c>
      <c r="AK14" s="116">
        <f>AG14*产品成本!$F$9+AH14*产品成本!$F$10</f>
        <v>6.8</v>
      </c>
      <c r="AL14" s="116">
        <f>AG14*产品成本!$G$9+AH14*产品成本!$G$10</f>
        <v>98</v>
      </c>
      <c r="AM14" s="116">
        <f t="shared" si="10"/>
        <v>61.208999999999996</v>
      </c>
      <c r="AN14" s="117">
        <f t="shared" si="11"/>
        <v>221.96646478873234</v>
      </c>
      <c r="AO14" s="147">
        <v>1</v>
      </c>
      <c r="AP14" s="119">
        <v>0</v>
      </c>
      <c r="AQ14" s="120">
        <f t="shared" si="12"/>
        <v>17.76829268292683</v>
      </c>
      <c r="AR14" s="116">
        <f>AO14*产品成本!$D$9+AP14*产品成本!$D$10</f>
        <v>2.2535211267605599</v>
      </c>
      <c r="AS14" s="116">
        <f>AO14*产品成本!$E$9+AP14*产品成本!$E$10</f>
        <v>0.28999999999999998</v>
      </c>
      <c r="AT14" s="116">
        <f>AO14*产品成本!$F$9+AP14*产品成本!$F$10</f>
        <v>0.34</v>
      </c>
      <c r="AU14" s="116"/>
      <c r="AV14" s="116">
        <f t="shared" si="13"/>
        <v>2.6652439024390246</v>
      </c>
      <c r="AW14" s="116">
        <f t="shared" si="14"/>
        <v>-0.53304878048780491</v>
      </c>
      <c r="AX14" s="117">
        <f t="shared" si="15"/>
        <v>5.0157162487117795</v>
      </c>
      <c r="AY14" s="122">
        <f t="shared" si="16"/>
        <v>216.95074854002056</v>
      </c>
      <c r="AZ14" s="122">
        <f t="shared" si="17"/>
        <v>408.06</v>
      </c>
      <c r="BA14" s="122">
        <f t="shared" si="18"/>
        <v>390.29170731707319</v>
      </c>
      <c r="BB14" s="121">
        <f t="shared" si="19"/>
        <v>93.950958777052634</v>
      </c>
      <c r="BC14" s="123">
        <f t="shared" si="20"/>
        <v>0.24071984368534591</v>
      </c>
    </row>
    <row r="15" spans="1:58" ht="29.1" customHeight="1" x14ac:dyDescent="0.15">
      <c r="A15" s="38" t="s">
        <v>240</v>
      </c>
      <c r="B15" s="58" t="s">
        <v>241</v>
      </c>
      <c r="C15" s="67">
        <v>13</v>
      </c>
      <c r="D15" s="68">
        <v>13</v>
      </c>
      <c r="E15" s="41">
        <v>264.10000000000002</v>
      </c>
      <c r="F15" s="101">
        <v>7</v>
      </c>
      <c r="G15" s="101">
        <v>7</v>
      </c>
      <c r="H15" s="41">
        <v>134.36000000000001</v>
      </c>
      <c r="I15" s="41">
        <v>12.52</v>
      </c>
      <c r="J15" s="102">
        <v>0</v>
      </c>
      <c r="K15" s="103">
        <f t="shared" si="0"/>
        <v>0</v>
      </c>
      <c r="L15" s="104">
        <v>0</v>
      </c>
      <c r="M15" s="105">
        <f t="shared" si="21"/>
        <v>-0.35</v>
      </c>
      <c r="N15" s="103">
        <f t="shared" si="22"/>
        <v>-0.35</v>
      </c>
      <c r="O15" s="103">
        <f t="shared" si="23"/>
        <v>-0.37101076498047053</v>
      </c>
      <c r="P15" s="106">
        <f t="shared" si="1"/>
        <v>1</v>
      </c>
      <c r="Q15" s="107">
        <f t="shared" si="2"/>
        <v>20.315384615384616</v>
      </c>
      <c r="R15" s="140">
        <f t="shared" si="3"/>
        <v>20.315384615384616</v>
      </c>
      <c r="S15" s="108">
        <f t="shared" si="4"/>
        <v>1.8571428571428572</v>
      </c>
      <c r="T15" s="146">
        <f t="shared" si="5"/>
        <v>8</v>
      </c>
      <c r="U15" s="110">
        <f t="shared" si="6"/>
        <v>0.61538461538461542</v>
      </c>
      <c r="V15" s="71">
        <f t="shared" si="7"/>
        <v>0.25717465617298674</v>
      </c>
      <c r="W15" s="68">
        <v>11812</v>
      </c>
      <c r="X15" s="68">
        <v>72</v>
      </c>
      <c r="Y15" s="68">
        <v>5</v>
      </c>
      <c r="Z15" s="41">
        <v>64.7</v>
      </c>
      <c r="AA15" s="69">
        <v>87.35</v>
      </c>
      <c r="AB15" s="41">
        <v>0.9</v>
      </c>
      <c r="AC15" s="48">
        <f t="shared" si="8"/>
        <v>0.7406983400114483</v>
      </c>
      <c r="AD15" s="49">
        <f t="shared" ref="AD15:AF15" si="34">X15/W15</f>
        <v>6.0954961056552655E-3</v>
      </c>
      <c r="AE15" s="112">
        <f t="shared" si="34"/>
        <v>6.9444444444444448E-2</v>
      </c>
      <c r="AF15" s="107">
        <f t="shared" si="34"/>
        <v>12.940000000000001</v>
      </c>
      <c r="AG15" s="113">
        <v>10</v>
      </c>
      <c r="AH15" s="115">
        <v>3</v>
      </c>
      <c r="AI15" s="116">
        <f>AG15*产品成本!$D$9+AH15*产品成本!$D$10</f>
        <v>36.056338028168987</v>
      </c>
      <c r="AJ15" s="116">
        <f>AG15*产品成本!$E$9+AH15*产品成本!$E$10</f>
        <v>4.6399999999999997</v>
      </c>
      <c r="AK15" s="116">
        <f>AG15*产品成本!$F$9+AH15*产品成本!$F$10</f>
        <v>4.42</v>
      </c>
      <c r="AL15" s="116">
        <f>AG15*产品成本!$G$9+AH15*产品成本!$G$10</f>
        <v>63.7</v>
      </c>
      <c r="AM15" s="116">
        <f t="shared" si="10"/>
        <v>37.737000000000002</v>
      </c>
      <c r="AN15" s="117">
        <f t="shared" si="11"/>
        <v>146.55333802816898</v>
      </c>
      <c r="AO15" s="147">
        <v>0</v>
      </c>
      <c r="AP15" s="119">
        <v>0</v>
      </c>
      <c r="AQ15" s="120">
        <f t="shared" si="12"/>
        <v>0</v>
      </c>
      <c r="AR15" s="116">
        <f>AO15*产品成本!$D$9+AP15*产品成本!$D$10</f>
        <v>0</v>
      </c>
      <c r="AS15" s="116">
        <f>AO15*产品成本!$E$9+AP15*产品成本!$E$10</f>
        <v>0</v>
      </c>
      <c r="AT15" s="116">
        <f>AO15*产品成本!$F$9+AP15*产品成本!$F$10</f>
        <v>0</v>
      </c>
      <c r="AU15" s="116"/>
      <c r="AV15" s="116">
        <f t="shared" si="13"/>
        <v>0</v>
      </c>
      <c r="AW15" s="116">
        <f t="shared" si="14"/>
        <v>0</v>
      </c>
      <c r="AX15" s="117">
        <f t="shared" si="15"/>
        <v>0</v>
      </c>
      <c r="AY15" s="122">
        <f t="shared" si="16"/>
        <v>146.55333802816898</v>
      </c>
      <c r="AZ15" s="122">
        <f t="shared" si="17"/>
        <v>251.58</v>
      </c>
      <c r="BA15" s="122">
        <f t="shared" si="18"/>
        <v>251.58</v>
      </c>
      <c r="BB15" s="121">
        <f t="shared" si="19"/>
        <v>40.32666197183103</v>
      </c>
      <c r="BC15" s="123">
        <f t="shared" si="20"/>
        <v>0.16029359238346064</v>
      </c>
      <c r="BE15" t="s">
        <v>316</v>
      </c>
      <c r="BF15" t="s">
        <v>317</v>
      </c>
    </row>
    <row r="16" spans="1:58" ht="29.1" customHeight="1" x14ac:dyDescent="0.15">
      <c r="A16" s="38" t="s">
        <v>244</v>
      </c>
      <c r="B16" s="58" t="s">
        <v>245</v>
      </c>
      <c r="C16" s="67">
        <v>21</v>
      </c>
      <c r="D16" s="68">
        <v>21</v>
      </c>
      <c r="E16" s="41">
        <v>403.08</v>
      </c>
      <c r="F16" s="101">
        <v>15</v>
      </c>
      <c r="G16" s="101">
        <v>15</v>
      </c>
      <c r="H16" s="41">
        <v>286.19</v>
      </c>
      <c r="I16" s="41">
        <v>26.74</v>
      </c>
      <c r="J16" s="102">
        <v>1</v>
      </c>
      <c r="K16" s="103">
        <f t="shared" si="0"/>
        <v>4.7619047619047616E-2</v>
      </c>
      <c r="L16" s="104">
        <v>26.34</v>
      </c>
      <c r="M16" s="105">
        <f t="shared" si="21"/>
        <v>0.61538461538461542</v>
      </c>
      <c r="N16" s="103">
        <f t="shared" si="22"/>
        <v>0.61538461538461542</v>
      </c>
      <c r="O16" s="103">
        <f t="shared" si="23"/>
        <v>0.52624006058311223</v>
      </c>
      <c r="P16" s="106">
        <f t="shared" si="1"/>
        <v>1</v>
      </c>
      <c r="Q16" s="107">
        <f t="shared" si="2"/>
        <v>19.194285714285712</v>
      </c>
      <c r="R16" s="140">
        <f t="shared" si="3"/>
        <v>19.194285714285712</v>
      </c>
      <c r="S16" s="108">
        <f t="shared" si="4"/>
        <v>3</v>
      </c>
      <c r="T16" s="146">
        <f t="shared" si="5"/>
        <v>1</v>
      </c>
      <c r="U16" s="110">
        <f t="shared" si="6"/>
        <v>4.7619047619047616E-2</v>
      </c>
      <c r="V16" s="71">
        <f t="shared" si="7"/>
        <v>0.24865812828824999</v>
      </c>
      <c r="W16" s="68">
        <v>13071</v>
      </c>
      <c r="X16" s="68">
        <v>97</v>
      </c>
      <c r="Y16" s="68">
        <v>20</v>
      </c>
      <c r="Z16" s="41">
        <v>93.58</v>
      </c>
      <c r="AA16" s="69">
        <v>386.45</v>
      </c>
      <c r="AB16" s="41">
        <v>0.96</v>
      </c>
      <c r="AC16" s="48">
        <f t="shared" si="8"/>
        <v>0.24215293052141287</v>
      </c>
      <c r="AD16" s="49">
        <f t="shared" ref="AD16:AF16" si="35">X16/W16</f>
        <v>7.4210083390712266E-3</v>
      </c>
      <c r="AE16" s="112">
        <f t="shared" si="35"/>
        <v>0.20618556701030927</v>
      </c>
      <c r="AF16" s="107">
        <f t="shared" si="35"/>
        <v>4.6790000000000003</v>
      </c>
      <c r="AG16" s="113">
        <v>18</v>
      </c>
      <c r="AH16" s="115">
        <v>3</v>
      </c>
      <c r="AI16" s="116">
        <f>AG16*产品成本!$D$9+AH16*产品成本!$D$10</f>
        <v>54.08450704225347</v>
      </c>
      <c r="AJ16" s="116">
        <f>AG16*产品成本!$E$9+AH16*产品成本!$E$10</f>
        <v>6.9599999999999991</v>
      </c>
      <c r="AK16" s="116">
        <f>AG16*产品成本!$F$9+AH16*产品成本!$F$10</f>
        <v>7.1400000000000006</v>
      </c>
      <c r="AL16" s="116">
        <f>AG16*产品成本!$G$9+AH16*产品成本!$G$10</f>
        <v>102.9</v>
      </c>
      <c r="AM16" s="116">
        <f t="shared" si="10"/>
        <v>56.450999999999993</v>
      </c>
      <c r="AN16" s="117">
        <f t="shared" si="11"/>
        <v>227.53550704225347</v>
      </c>
      <c r="AO16" s="147">
        <v>0</v>
      </c>
      <c r="AP16" s="119">
        <v>1</v>
      </c>
      <c r="AQ16" s="120">
        <f t="shared" si="12"/>
        <v>32.121951219512198</v>
      </c>
      <c r="AR16" s="116">
        <f>AO16*产品成本!$D$9+AP16*产品成本!$D$10</f>
        <v>4.5070422535211296</v>
      </c>
      <c r="AS16" s="116">
        <f>AO16*产品成本!$E$9+AP16*产品成本!$E$10</f>
        <v>0.57999999999999996</v>
      </c>
      <c r="AT16" s="116">
        <f>AO16*产品成本!$F$9+AP16*产品成本!$F$10</f>
        <v>0.34</v>
      </c>
      <c r="AU16" s="116"/>
      <c r="AV16" s="116">
        <f t="shared" si="13"/>
        <v>4.8182926829268293</v>
      </c>
      <c r="AW16" s="116">
        <f t="shared" si="14"/>
        <v>-0.96365853658536593</v>
      </c>
      <c r="AX16" s="117">
        <f t="shared" si="15"/>
        <v>9.2816763998625937</v>
      </c>
      <c r="AY16" s="122">
        <f t="shared" si="16"/>
        <v>218.25383064239088</v>
      </c>
      <c r="AZ16" s="122">
        <f t="shared" si="17"/>
        <v>376.34</v>
      </c>
      <c r="BA16" s="122">
        <f t="shared" si="18"/>
        <v>344.21804878048778</v>
      </c>
      <c r="BB16" s="121">
        <f t="shared" si="19"/>
        <v>32.384218138096898</v>
      </c>
      <c r="BC16" s="123">
        <f t="shared" si="20"/>
        <v>9.4080534861054679E-2</v>
      </c>
      <c r="BE16" t="s">
        <v>316</v>
      </c>
      <c r="BF16" t="s">
        <v>317</v>
      </c>
    </row>
    <row r="17" spans="1:58" ht="29.1" customHeight="1" x14ac:dyDescent="0.15">
      <c r="A17" s="38" t="s">
        <v>247</v>
      </c>
      <c r="B17" s="58" t="s">
        <v>248</v>
      </c>
      <c r="C17" s="67">
        <v>15</v>
      </c>
      <c r="D17" s="68">
        <v>15</v>
      </c>
      <c r="E17" s="41">
        <v>274.12</v>
      </c>
      <c r="F17" s="101">
        <v>9</v>
      </c>
      <c r="G17" s="101">
        <v>9</v>
      </c>
      <c r="H17" s="41">
        <v>157.22999999999999</v>
      </c>
      <c r="I17" s="41">
        <v>15.63</v>
      </c>
      <c r="J17" s="102">
        <v>1</v>
      </c>
      <c r="K17" s="103">
        <f t="shared" si="0"/>
        <v>6.6666666666666666E-2</v>
      </c>
      <c r="L17" s="104">
        <v>23.4</v>
      </c>
      <c r="M17" s="105">
        <f t="shared" si="21"/>
        <v>-0.2857142857142857</v>
      </c>
      <c r="N17" s="103">
        <f t="shared" si="22"/>
        <v>-0.2857142857142857</v>
      </c>
      <c r="O17" s="103">
        <f t="shared" si="23"/>
        <v>-0.31993648903443483</v>
      </c>
      <c r="P17" s="106">
        <f t="shared" si="1"/>
        <v>1</v>
      </c>
      <c r="Q17" s="107">
        <f t="shared" si="2"/>
        <v>18.274666666666668</v>
      </c>
      <c r="R17" s="140">
        <f t="shared" si="3"/>
        <v>18.274666666666668</v>
      </c>
      <c r="S17" s="108">
        <f t="shared" si="4"/>
        <v>2.1428571428571428</v>
      </c>
      <c r="T17" s="146">
        <f t="shared" si="5"/>
        <v>9</v>
      </c>
      <c r="U17" s="110">
        <f t="shared" si="6"/>
        <v>0.6</v>
      </c>
      <c r="V17" s="71">
        <f t="shared" si="7"/>
        <v>0.30875469070370226</v>
      </c>
      <c r="W17" s="68">
        <v>17455</v>
      </c>
      <c r="X17" s="68">
        <v>78</v>
      </c>
      <c r="Y17" s="68">
        <v>6</v>
      </c>
      <c r="Z17" s="41">
        <v>79.81</v>
      </c>
      <c r="AA17" s="69">
        <v>121.05</v>
      </c>
      <c r="AB17" s="41">
        <v>1.02</v>
      </c>
      <c r="AC17" s="48">
        <f t="shared" si="8"/>
        <v>0.65931433292028085</v>
      </c>
      <c r="AD17" s="49">
        <f t="shared" ref="AD17:AF17" si="36">X17/W17</f>
        <v>4.4686336293325692E-3</v>
      </c>
      <c r="AE17" s="112">
        <f t="shared" si="36"/>
        <v>7.6923076923076927E-2</v>
      </c>
      <c r="AF17" s="107">
        <f t="shared" si="36"/>
        <v>13.301666666666668</v>
      </c>
      <c r="AG17" s="113">
        <v>14</v>
      </c>
      <c r="AH17" s="115">
        <v>1</v>
      </c>
      <c r="AI17" s="116">
        <f>AG17*产品成本!$D$9+AH17*产品成本!$D$10</f>
        <v>36.056338028168966</v>
      </c>
      <c r="AJ17" s="116">
        <f>AG17*产品成本!$E$9+AH17*产品成本!$E$10</f>
        <v>4.6399999999999997</v>
      </c>
      <c r="AK17" s="116">
        <f>AG17*产品成本!$F$9+AH17*产品成本!$F$10</f>
        <v>5.1000000000000005</v>
      </c>
      <c r="AL17" s="116">
        <f>AG17*产品成本!$G$9+AH17*产品成本!$G$10</f>
        <v>73.500000000000014</v>
      </c>
      <c r="AM17" s="116">
        <f t="shared" si="10"/>
        <v>38.773499999999999</v>
      </c>
      <c r="AN17" s="117">
        <f t="shared" si="11"/>
        <v>158.06983802816899</v>
      </c>
      <c r="AO17" s="147">
        <v>0</v>
      </c>
      <c r="AP17" s="119">
        <v>1</v>
      </c>
      <c r="AQ17" s="120">
        <f t="shared" si="12"/>
        <v>28.536585365853657</v>
      </c>
      <c r="AR17" s="116">
        <f>AO17*产品成本!$D$9+AP17*产品成本!$D$10</f>
        <v>4.5070422535211296</v>
      </c>
      <c r="AS17" s="116">
        <f>AO17*产品成本!$E$9+AP17*产品成本!$E$10</f>
        <v>0.57999999999999996</v>
      </c>
      <c r="AT17" s="116">
        <f>AO17*产品成本!$F$9+AP17*产品成本!$F$10</f>
        <v>0.34</v>
      </c>
      <c r="AU17" s="116"/>
      <c r="AV17" s="116">
        <f t="shared" si="13"/>
        <v>4.2804878048780486</v>
      </c>
      <c r="AW17" s="116">
        <f t="shared" si="14"/>
        <v>-0.85609756097560974</v>
      </c>
      <c r="AX17" s="117">
        <f t="shared" si="15"/>
        <v>8.8514324974235699</v>
      </c>
      <c r="AY17" s="122">
        <f t="shared" si="16"/>
        <v>149.21840553074543</v>
      </c>
      <c r="AZ17" s="122">
        <f t="shared" si="17"/>
        <v>258.49</v>
      </c>
      <c r="BA17" s="122">
        <f t="shared" si="18"/>
        <v>229.95341463414636</v>
      </c>
      <c r="BB17" s="121">
        <f t="shared" si="19"/>
        <v>0.92500910340092446</v>
      </c>
      <c r="BC17" s="123">
        <f t="shared" si="20"/>
        <v>4.0225934669098299E-3</v>
      </c>
      <c r="BD17" s="154">
        <v>62218257</v>
      </c>
      <c r="BE17" t="s">
        <v>316</v>
      </c>
      <c r="BF17" t="s">
        <v>317</v>
      </c>
    </row>
    <row r="18" spans="1:58" ht="29.1" customHeight="1" x14ac:dyDescent="0.15">
      <c r="A18" s="38" t="s">
        <v>250</v>
      </c>
      <c r="B18" s="58" t="s">
        <v>251</v>
      </c>
      <c r="C18" s="67">
        <v>26</v>
      </c>
      <c r="D18" s="68">
        <v>25</v>
      </c>
      <c r="E18" s="41">
        <v>490.43</v>
      </c>
      <c r="F18" s="101">
        <v>15</v>
      </c>
      <c r="G18" s="101">
        <v>14</v>
      </c>
      <c r="H18" s="41">
        <v>274.12</v>
      </c>
      <c r="I18" s="41">
        <v>24.78</v>
      </c>
      <c r="J18" s="102">
        <v>0</v>
      </c>
      <c r="K18" s="103">
        <f t="shared" si="0"/>
        <v>0</v>
      </c>
      <c r="L18" s="104">
        <v>0</v>
      </c>
      <c r="M18" s="105">
        <f t="shared" si="21"/>
        <v>0.73333333333333328</v>
      </c>
      <c r="N18" s="103">
        <f t="shared" si="22"/>
        <v>0.66666666666666663</v>
      </c>
      <c r="O18" s="103">
        <f t="shared" si="23"/>
        <v>0.78910696045527506</v>
      </c>
      <c r="P18" s="106">
        <f t="shared" si="1"/>
        <v>1.04</v>
      </c>
      <c r="Q18" s="107">
        <f t="shared" si="2"/>
        <v>19.6172</v>
      </c>
      <c r="R18" s="140">
        <f t="shared" si="3"/>
        <v>18.862692307692306</v>
      </c>
      <c r="S18" s="108">
        <f t="shared" si="4"/>
        <v>3.7142857142857144</v>
      </c>
      <c r="T18" s="146">
        <f t="shared" si="5"/>
        <v>8</v>
      </c>
      <c r="U18" s="110">
        <f t="shared" si="6"/>
        <v>0.32</v>
      </c>
      <c r="V18" s="71">
        <f t="shared" si="7"/>
        <v>0.24404595726403952</v>
      </c>
      <c r="W18" s="68">
        <v>15771</v>
      </c>
      <c r="X18" s="68">
        <v>112</v>
      </c>
      <c r="Y18" s="68">
        <v>17</v>
      </c>
      <c r="Z18" s="41">
        <v>113.64</v>
      </c>
      <c r="AA18" s="155">
        <v>312.7</v>
      </c>
      <c r="AB18" s="41">
        <v>1.01</v>
      </c>
      <c r="AC18" s="48">
        <f t="shared" si="8"/>
        <v>0.36341541413495365</v>
      </c>
      <c r="AD18" s="49">
        <f t="shared" ref="AD18:AF18" si="37">X18/W18</f>
        <v>7.1016422547714158E-3</v>
      </c>
      <c r="AE18" s="112">
        <f t="shared" si="37"/>
        <v>0.15178571428571427</v>
      </c>
      <c r="AF18" s="107">
        <f t="shared" si="37"/>
        <v>6.6847058823529411</v>
      </c>
      <c r="AG18" s="113">
        <v>23</v>
      </c>
      <c r="AH18" s="115">
        <v>3</v>
      </c>
      <c r="AI18" s="116">
        <f>AG18*产品成本!$D$9+AH18*产品成本!$D$10</f>
        <v>65.352112676056265</v>
      </c>
      <c r="AJ18" s="116">
        <f>AG18*产品成本!$E$9+AH18*产品成本!$E$10</f>
        <v>8.41</v>
      </c>
      <c r="AK18" s="116">
        <f>AG18*产品成本!$F$9+AH18*产品成本!$F$10</f>
        <v>8.84</v>
      </c>
      <c r="AL18" s="116">
        <f>AG18*产品成本!$G$9+AH18*产品成本!$G$10</f>
        <v>127.4</v>
      </c>
      <c r="AM18" s="116">
        <f t="shared" si="10"/>
        <v>69.847499999999997</v>
      </c>
      <c r="AN18" s="117">
        <f t="shared" si="11"/>
        <v>279.84961267605627</v>
      </c>
      <c r="AO18" s="147">
        <v>0</v>
      </c>
      <c r="AP18" s="119">
        <v>0</v>
      </c>
      <c r="AQ18" s="120">
        <f t="shared" si="12"/>
        <v>0</v>
      </c>
      <c r="AR18" s="116">
        <f>AO18*产品成本!$D$9+AP18*产品成本!$D$10</f>
        <v>0</v>
      </c>
      <c r="AS18" s="116">
        <f>AO18*产品成本!$E$9+AP18*产品成本!$E$10</f>
        <v>0</v>
      </c>
      <c r="AT18" s="116">
        <f>AO18*产品成本!$F$9+AP18*产品成本!$F$10</f>
        <v>0</v>
      </c>
      <c r="AU18" s="116"/>
      <c r="AV18" s="116">
        <f t="shared" si="13"/>
        <v>0</v>
      </c>
      <c r="AW18" s="116">
        <f t="shared" si="14"/>
        <v>0</v>
      </c>
      <c r="AX18" s="117">
        <f t="shared" si="15"/>
        <v>0</v>
      </c>
      <c r="AY18" s="122">
        <f t="shared" si="16"/>
        <v>279.84961267605627</v>
      </c>
      <c r="AZ18" s="122">
        <f t="shared" si="17"/>
        <v>465.65</v>
      </c>
      <c r="BA18" s="122">
        <f t="shared" si="18"/>
        <v>465.65</v>
      </c>
      <c r="BB18" s="121">
        <f t="shared" si="19"/>
        <v>72.160387323943709</v>
      </c>
      <c r="BC18" s="123">
        <f t="shared" si="20"/>
        <v>0.15496700810467887</v>
      </c>
      <c r="BD18" s="154">
        <v>40945146</v>
      </c>
      <c r="BE18" t="s">
        <v>316</v>
      </c>
      <c r="BF18" t="s">
        <v>317</v>
      </c>
    </row>
    <row r="19" spans="1:58" ht="29.1" customHeight="1" x14ac:dyDescent="0.15">
      <c r="A19" s="38" t="s">
        <v>254</v>
      </c>
      <c r="B19" s="58" t="s">
        <v>255</v>
      </c>
      <c r="C19" s="67">
        <v>23</v>
      </c>
      <c r="D19" s="68">
        <v>23</v>
      </c>
      <c r="E19" s="41">
        <v>482.48</v>
      </c>
      <c r="F19" s="101">
        <v>4</v>
      </c>
      <c r="G19" s="101">
        <v>4</v>
      </c>
      <c r="H19" s="41">
        <v>94.02</v>
      </c>
      <c r="I19" s="41">
        <v>8.64</v>
      </c>
      <c r="J19" s="102">
        <v>1</v>
      </c>
      <c r="K19" s="103">
        <f t="shared" si="0"/>
        <v>4.3478260869565216E-2</v>
      </c>
      <c r="L19" s="104">
        <v>20.23</v>
      </c>
      <c r="M19" s="105">
        <f t="shared" si="21"/>
        <v>-0.11538461538461539</v>
      </c>
      <c r="N19" s="103">
        <f t="shared" si="22"/>
        <v>-0.08</v>
      </c>
      <c r="O19" s="103">
        <f t="shared" si="23"/>
        <v>-1.6210264461798806E-2</v>
      </c>
      <c r="P19" s="106">
        <f t="shared" si="1"/>
        <v>1</v>
      </c>
      <c r="Q19" s="107">
        <f t="shared" si="2"/>
        <v>20.977391304347826</v>
      </c>
      <c r="R19" s="140">
        <f t="shared" si="3"/>
        <v>20.977391304347826</v>
      </c>
      <c r="S19" s="108">
        <f t="shared" si="4"/>
        <v>3.2857142857142856</v>
      </c>
      <c r="T19" s="146">
        <f t="shared" si="5"/>
        <v>4</v>
      </c>
      <c r="U19" s="110">
        <f t="shared" si="6"/>
        <v>0.17391304347826086</v>
      </c>
      <c r="V19" s="71">
        <f t="shared" si="7"/>
        <v>0.18660307276717877</v>
      </c>
      <c r="W19" s="68">
        <v>14434</v>
      </c>
      <c r="X19" s="68">
        <v>87</v>
      </c>
      <c r="Y19" s="68">
        <v>19</v>
      </c>
      <c r="Z19" s="41">
        <v>88.42</v>
      </c>
      <c r="AA19" s="69">
        <v>455.05</v>
      </c>
      <c r="AB19" s="41">
        <v>1.02</v>
      </c>
      <c r="AC19" s="48">
        <f t="shared" si="8"/>
        <v>0.19430831776727833</v>
      </c>
      <c r="AD19" s="49">
        <f t="shared" ref="AD19:AF19" si="38">X19/W19</f>
        <v>6.027435222391575E-3</v>
      </c>
      <c r="AE19" s="112">
        <f t="shared" si="38"/>
        <v>0.21839080459770116</v>
      </c>
      <c r="AF19" s="107">
        <f t="shared" si="38"/>
        <v>4.6536842105263156</v>
      </c>
      <c r="AG19" s="113">
        <v>20</v>
      </c>
      <c r="AH19" s="115">
        <v>3</v>
      </c>
      <c r="AI19" s="116">
        <f>AG19*产品成本!$D$9+AH19*产品成本!$D$10</f>
        <v>58.591549295774591</v>
      </c>
      <c r="AJ19" s="116">
        <f>AG19*产品成本!$E$9+AH19*产品成本!$E$10</f>
        <v>7.5399999999999991</v>
      </c>
      <c r="AK19" s="116">
        <f>AG19*产品成本!$F$9+AH19*产品成本!$F$10</f>
        <v>7.82</v>
      </c>
      <c r="AL19" s="116">
        <f>AG19*产品成本!$G$9+AH19*产品成本!$G$10</f>
        <v>112.7</v>
      </c>
      <c r="AM19" s="116">
        <f t="shared" si="10"/>
        <v>71.076000000000008</v>
      </c>
      <c r="AN19" s="117">
        <f t="shared" si="11"/>
        <v>257.72754929577462</v>
      </c>
      <c r="AO19" s="147">
        <v>1</v>
      </c>
      <c r="AP19" s="119">
        <v>0</v>
      </c>
      <c r="AQ19" s="120">
        <f t="shared" si="12"/>
        <v>24.670731707317074</v>
      </c>
      <c r="AR19" s="116">
        <f>AO19*产品成本!$D$9+AP19*产品成本!$D$10</f>
        <v>2.2535211267605599</v>
      </c>
      <c r="AS19" s="116">
        <f>AO19*产品成本!$E$9+AP19*产品成本!$E$10</f>
        <v>0.28999999999999998</v>
      </c>
      <c r="AT19" s="116">
        <f>AO19*产品成本!$F$9+AP19*产品成本!$F$10</f>
        <v>0.34</v>
      </c>
      <c r="AU19" s="116"/>
      <c r="AV19" s="116">
        <f t="shared" si="13"/>
        <v>3.700609756097561</v>
      </c>
      <c r="AW19" s="116">
        <f t="shared" si="14"/>
        <v>-0.7401219512195123</v>
      </c>
      <c r="AX19" s="117">
        <f t="shared" si="15"/>
        <v>5.8440089316386086</v>
      </c>
      <c r="AY19" s="122">
        <f t="shared" si="16"/>
        <v>251.88354036413602</v>
      </c>
      <c r="AZ19" s="122">
        <f t="shared" si="17"/>
        <v>473.84000000000003</v>
      </c>
      <c r="BA19" s="122">
        <f t="shared" si="18"/>
        <v>449.16926829268294</v>
      </c>
      <c r="BB19" s="121">
        <f t="shared" si="19"/>
        <v>108.86572792854692</v>
      </c>
      <c r="BC19" s="123">
        <f t="shared" si="20"/>
        <v>0.24237127429120769</v>
      </c>
      <c r="BD19" s="154">
        <v>45001172</v>
      </c>
      <c r="BE19" t="s">
        <v>318</v>
      </c>
      <c r="BF19" t="s">
        <v>306</v>
      </c>
    </row>
    <row r="20" spans="1:58" ht="29.1" customHeight="1" x14ac:dyDescent="0.15">
      <c r="A20" s="38" t="s">
        <v>258</v>
      </c>
      <c r="B20" s="58" t="s">
        <v>259</v>
      </c>
      <c r="C20" s="67">
        <v>25</v>
      </c>
      <c r="D20" s="68">
        <v>25</v>
      </c>
      <c r="E20" s="41">
        <v>474.13</v>
      </c>
      <c r="F20" s="101">
        <v>18</v>
      </c>
      <c r="G20" s="101">
        <v>18</v>
      </c>
      <c r="H20" s="41">
        <v>339.38</v>
      </c>
      <c r="I20" s="41">
        <v>18.850000000000001</v>
      </c>
      <c r="J20" s="102">
        <v>1</v>
      </c>
      <c r="K20" s="103">
        <f t="shared" ref="K20" si="39">J20/C20</f>
        <v>0.04</v>
      </c>
      <c r="L20" s="104">
        <v>13.83</v>
      </c>
      <c r="M20" s="105">
        <f t="shared" ref="M20" si="40">(C20-C19)/C19</f>
        <v>8.6956521739130432E-2</v>
      </c>
      <c r="N20" s="103">
        <f t="shared" ref="N20" si="41">(D20-D19)/D19</f>
        <v>8.6956521739130432E-2</v>
      </c>
      <c r="O20" s="103">
        <f t="shared" ref="O20" si="42">(E20-E19)/E19</f>
        <v>-1.7306416846294193E-2</v>
      </c>
      <c r="P20" s="106">
        <f t="shared" ref="P20" si="43">C20/D20</f>
        <v>1</v>
      </c>
      <c r="Q20" s="107">
        <f t="shared" ref="Q20" si="44">E20/D20</f>
        <v>18.965199999999999</v>
      </c>
      <c r="R20" s="140">
        <f t="shared" ref="R20" si="45">E20/C20</f>
        <v>18.965199999999999</v>
      </c>
      <c r="S20" s="108">
        <f t="shared" ref="S20" si="46">C20/7</f>
        <v>3.5714285714285716</v>
      </c>
      <c r="T20" s="146">
        <f t="shared" ref="T20" si="47">D20-Y20</f>
        <v>1</v>
      </c>
      <c r="U20" s="110">
        <f t="shared" ref="U20" si="48">T20/D20</f>
        <v>0.04</v>
      </c>
      <c r="V20" s="71">
        <f t="shared" ref="V20" si="49">Z20/(E20-I20)</f>
        <v>0.171608680372518</v>
      </c>
      <c r="W20" s="68">
        <v>16178</v>
      </c>
      <c r="X20" s="68">
        <v>74</v>
      </c>
      <c r="Y20" s="68">
        <v>24</v>
      </c>
      <c r="Z20" s="41">
        <v>78.13</v>
      </c>
      <c r="AA20" s="69">
        <v>486.26</v>
      </c>
      <c r="AB20" s="41">
        <v>1.06</v>
      </c>
      <c r="AC20" s="48">
        <f t="shared" ref="AC20" si="50">Z20/AA20</f>
        <v>0.16067535886151441</v>
      </c>
      <c r="AD20" s="49">
        <f t="shared" ref="AD20" si="51">X20/W20</f>
        <v>4.5741129929533931E-3</v>
      </c>
      <c r="AE20" s="112">
        <f t="shared" ref="AE20" si="52">Y20/X20</f>
        <v>0.32432432432432434</v>
      </c>
      <c r="AF20" s="107">
        <f t="shared" ref="AF20" si="53">Z20/Y20</f>
        <v>3.2554166666666666</v>
      </c>
      <c r="AG20" s="113">
        <v>22</v>
      </c>
      <c r="AH20" s="115">
        <v>3</v>
      </c>
      <c r="AI20" s="116">
        <f>AG20*产品成本!$D$9+AH20*产品成本!$D$10</f>
        <v>63.098591549295712</v>
      </c>
      <c r="AJ20" s="116">
        <f>AG20*产品成本!$E$9+AH20*产品成本!$E$10</f>
        <v>8.1199999999999992</v>
      </c>
      <c r="AK20" s="116">
        <f>AG20*产品成本!$F$9+AH20*产品成本!$F$10</f>
        <v>8.5</v>
      </c>
      <c r="AL20" s="116">
        <f>AG20*产品成本!$G$9+AH20*产品成本!$G$10</f>
        <v>122.50000000000001</v>
      </c>
      <c r="AM20" s="116">
        <f t="shared" ref="AM20" si="54">(E20-I20)*0.15</f>
        <v>68.291999999999987</v>
      </c>
      <c r="AN20" s="117">
        <f t="shared" ref="AN20" si="55">SUM(AI20:AM20)</f>
        <v>270.51059154929573</v>
      </c>
      <c r="AO20" s="147">
        <v>1</v>
      </c>
      <c r="AP20" s="119">
        <v>0</v>
      </c>
      <c r="AQ20" s="120">
        <f t="shared" ref="AQ20" si="56">L20/(1-0.15-0.15*0.2)</f>
        <v>16.865853658536587</v>
      </c>
      <c r="AR20" s="116">
        <f>AO20*产品成本!$D$9+AP20*产品成本!$D$10</f>
        <v>2.2535211267605599</v>
      </c>
      <c r="AS20" s="116">
        <f>AO20*产品成本!$E$9+AP20*产品成本!$E$10</f>
        <v>0.28999999999999998</v>
      </c>
      <c r="AT20" s="116">
        <f>AO20*产品成本!$F$9+AP20*产品成本!$F$10</f>
        <v>0.34</v>
      </c>
      <c r="AU20" s="116"/>
      <c r="AV20" s="116">
        <f t="shared" ref="AV20" si="57">AQ20*0.15</f>
        <v>2.5298780487804877</v>
      </c>
      <c r="AW20" s="116">
        <f t="shared" ref="AW20" si="58">-AV20*0.2</f>
        <v>-0.50597560975609757</v>
      </c>
      <c r="AX20" s="117">
        <f t="shared" ref="AX20" si="59">SUM(AR20:AW20)</f>
        <v>4.9074235657849501</v>
      </c>
      <c r="AY20" s="122">
        <f t="shared" ref="AY20" si="60">AN20-AX20</f>
        <v>265.60316798351079</v>
      </c>
      <c r="AZ20" s="122">
        <f t="shared" ref="AZ20" si="61">E20-I20</f>
        <v>455.28</v>
      </c>
      <c r="BA20" s="122">
        <f t="shared" ref="BA20" si="62">E20-AQ20-I20</f>
        <v>438.41414634146338</v>
      </c>
      <c r="BB20" s="121">
        <f t="shared" ref="BB20" si="63">BA20-AY20-Z20</f>
        <v>94.680978357952597</v>
      </c>
      <c r="BC20" s="123">
        <f t="shared" ref="BC20" si="64">BB20/BA20</f>
        <v>0.21596241624057755</v>
      </c>
      <c r="BD20" s="154">
        <v>46066169</v>
      </c>
      <c r="BE20" t="s">
        <v>319</v>
      </c>
      <c r="BF20" t="s">
        <v>306</v>
      </c>
    </row>
    <row r="21" spans="1:58" ht="29.1" customHeight="1" x14ac:dyDescent="0.15">
      <c r="A21" s="38" t="s">
        <v>262</v>
      </c>
      <c r="B21" s="58" t="s">
        <v>263</v>
      </c>
      <c r="C21" s="67">
        <v>7</v>
      </c>
      <c r="D21" s="68">
        <v>7</v>
      </c>
      <c r="E21" s="41">
        <v>134.36000000000001</v>
      </c>
      <c r="F21" s="101">
        <v>4</v>
      </c>
      <c r="G21" s="101">
        <v>4</v>
      </c>
      <c r="H21" s="41">
        <v>69.88</v>
      </c>
      <c r="I21" s="41">
        <v>17.47</v>
      </c>
      <c r="J21" s="102">
        <v>0</v>
      </c>
      <c r="K21" s="103">
        <f t="shared" ref="K21" si="65">J21/C21</f>
        <v>0</v>
      </c>
      <c r="L21" s="104">
        <v>0</v>
      </c>
      <c r="M21" s="105">
        <f t="shared" ref="M21" si="66">(C21-C20)/C20</f>
        <v>-0.72</v>
      </c>
      <c r="N21" s="103">
        <f t="shared" ref="N21" si="67">(D21-D20)/D20</f>
        <v>-0.72</v>
      </c>
      <c r="O21" s="103">
        <f t="shared" ref="O21" si="68">(E21-E20)/E20</f>
        <v>-0.71661780524328766</v>
      </c>
      <c r="P21" s="106">
        <f t="shared" ref="P21" si="69">C21/D21</f>
        <v>1</v>
      </c>
      <c r="Q21" s="107">
        <f t="shared" ref="Q21" si="70">E21/D21</f>
        <v>19.194285714285716</v>
      </c>
      <c r="R21" s="140">
        <f t="shared" ref="R21" si="71">E21/C21</f>
        <v>19.194285714285716</v>
      </c>
      <c r="S21" s="108">
        <f t="shared" ref="S21" si="72">C21/7</f>
        <v>1</v>
      </c>
      <c r="T21" s="146">
        <f t="shared" ref="T21" si="73">D21-Y21</f>
        <v>2</v>
      </c>
      <c r="U21" s="110">
        <f t="shared" ref="U21" si="74">T21/D21</f>
        <v>0.2857142857142857</v>
      </c>
      <c r="V21" s="71">
        <f t="shared" ref="V21" si="75">Z21/(E21-I21)</f>
        <v>0.39464453759945245</v>
      </c>
      <c r="W21" s="68">
        <v>10453</v>
      </c>
      <c r="X21" s="68">
        <v>44</v>
      </c>
      <c r="Y21" s="68">
        <v>5</v>
      </c>
      <c r="Z21" s="41">
        <v>46.13</v>
      </c>
      <c r="AA21" s="69">
        <v>104.56</v>
      </c>
      <c r="AB21" s="41">
        <v>1.05</v>
      </c>
      <c r="AC21" s="48">
        <f t="shared" ref="AC21" si="76">Z21/AA21</f>
        <v>0.4411820964039786</v>
      </c>
      <c r="AD21" s="49">
        <f t="shared" ref="AD21" si="77">X21/W21</f>
        <v>4.2093178991677027E-3</v>
      </c>
      <c r="AE21" s="112">
        <f t="shared" ref="AE21" si="78">Y21/X21</f>
        <v>0.11363636363636363</v>
      </c>
      <c r="AF21" s="107">
        <f t="shared" ref="AF21" si="79">Z21/Y21</f>
        <v>9.2260000000000009</v>
      </c>
      <c r="AG21" s="113">
        <v>6</v>
      </c>
      <c r="AH21" s="115">
        <v>1</v>
      </c>
      <c r="AI21" s="116">
        <f>AG21*产品成本!$D$9+AH21*产品成本!$D$10</f>
        <v>18.02816901408449</v>
      </c>
      <c r="AJ21" s="116">
        <f>AG21*产品成本!$E$9+AH21*产品成本!$E$10</f>
        <v>2.3199999999999998</v>
      </c>
      <c r="AK21" s="116">
        <f>AG21*产品成本!$F$9+AH21*产品成本!$F$10</f>
        <v>2.38</v>
      </c>
      <c r="AL21" s="116">
        <f>AG21*产品成本!$G$9+AH21*产品成本!$G$10</f>
        <v>34.300000000000004</v>
      </c>
      <c r="AM21" s="116">
        <f t="shared" ref="AM21" si="80">(E21-I21)*0.15</f>
        <v>17.5335</v>
      </c>
      <c r="AN21" s="117">
        <f t="shared" ref="AN21" si="81">SUM(AI21:AM21)</f>
        <v>74.561669014084501</v>
      </c>
      <c r="AO21" s="147">
        <v>0</v>
      </c>
      <c r="AP21" s="119">
        <v>0</v>
      </c>
      <c r="AQ21" s="120">
        <f t="shared" ref="AQ21" si="82">L21/(1-0.15-0.15*0.2)</f>
        <v>0</v>
      </c>
      <c r="AR21" s="116">
        <f>AO21*产品成本!$D$9+AP21*产品成本!$D$10</f>
        <v>0</v>
      </c>
      <c r="AS21" s="116">
        <f>AO21*产品成本!$E$9+AP21*产品成本!$E$10</f>
        <v>0</v>
      </c>
      <c r="AT21" s="116">
        <f>AO21*产品成本!$F$9+AP21*产品成本!$F$10</f>
        <v>0</v>
      </c>
      <c r="AU21" s="116"/>
      <c r="AV21" s="116">
        <f t="shared" ref="AV21" si="83">AQ21*0.15</f>
        <v>0</v>
      </c>
      <c r="AW21" s="116">
        <f t="shared" ref="AW21" si="84">-AV21*0.2</f>
        <v>0</v>
      </c>
      <c r="AX21" s="117">
        <f t="shared" ref="AX21" si="85">SUM(AR21:AW21)</f>
        <v>0</v>
      </c>
      <c r="AY21" s="122">
        <f t="shared" ref="AY21" si="86">AN21-AX21</f>
        <v>74.561669014084501</v>
      </c>
      <c r="AZ21" s="122">
        <f t="shared" ref="AZ21" si="87">E21-I21</f>
        <v>116.89000000000001</v>
      </c>
      <c r="BA21" s="122">
        <f t="shared" ref="BA21" si="88">E21-AQ21-I21</f>
        <v>116.89000000000001</v>
      </c>
      <c r="BB21" s="121">
        <f t="shared" ref="BB21" si="89">BA21-AY21-Z21</f>
        <v>-3.8016690140844887</v>
      </c>
      <c r="BC21" s="123">
        <f t="shared" ref="BC21" si="90">BB21/BA21</f>
        <v>-3.252347518251765E-2</v>
      </c>
      <c r="BD21" s="154">
        <v>76140312</v>
      </c>
      <c r="BE21" t="s">
        <v>319</v>
      </c>
      <c r="BF21" t="s">
        <v>306</v>
      </c>
    </row>
    <row r="22" spans="1:58" ht="29.1" customHeight="1" x14ac:dyDescent="0.15">
      <c r="A22" s="38" t="s">
        <v>458</v>
      </c>
      <c r="B22" s="58" t="s">
        <v>459</v>
      </c>
      <c r="C22" s="67">
        <v>14</v>
      </c>
      <c r="D22" s="68">
        <v>14</v>
      </c>
      <c r="E22" s="41">
        <v>293.64</v>
      </c>
      <c r="F22" s="101">
        <v>9</v>
      </c>
      <c r="G22" s="101">
        <v>9</v>
      </c>
      <c r="H22" s="41">
        <v>193.83</v>
      </c>
      <c r="I22" s="41">
        <v>21.54</v>
      </c>
      <c r="J22" s="102">
        <v>0</v>
      </c>
      <c r="K22" s="103">
        <f t="shared" ref="K22" si="91">J22/C22</f>
        <v>0</v>
      </c>
      <c r="L22" s="104">
        <v>0</v>
      </c>
      <c r="M22" s="105">
        <f t="shared" ref="M22" si="92">(C22-C21)/C21</f>
        <v>1</v>
      </c>
      <c r="N22" s="103">
        <f t="shared" ref="N22" si="93">(D22-D21)/D21</f>
        <v>1</v>
      </c>
      <c r="O22" s="103">
        <f t="shared" ref="O22" si="94">(E22-E21)/E21</f>
        <v>1.1854718666269719</v>
      </c>
      <c r="P22" s="106">
        <f t="shared" ref="P22" si="95">C22/D22</f>
        <v>1</v>
      </c>
      <c r="Q22" s="107">
        <f t="shared" ref="Q22" si="96">E22/D22</f>
        <v>20.974285714285713</v>
      </c>
      <c r="R22" s="140">
        <f t="shared" ref="R22" si="97">E22/C22</f>
        <v>20.974285714285713</v>
      </c>
      <c r="S22" s="108">
        <f t="shared" ref="S22" si="98">C22/7</f>
        <v>2</v>
      </c>
      <c r="T22" s="146">
        <f t="shared" ref="T22" si="99">D22-Y22</f>
        <v>5</v>
      </c>
      <c r="U22" s="110">
        <f t="shared" ref="U22" si="100">T22/D22</f>
        <v>0.35714285714285715</v>
      </c>
      <c r="V22" s="71">
        <f t="shared" ref="V22" si="101">Z22/(E22-I22)</f>
        <v>0.20249908122013968</v>
      </c>
      <c r="W22" s="68">
        <v>10469</v>
      </c>
      <c r="X22" s="68">
        <v>58</v>
      </c>
      <c r="Y22" s="68">
        <v>9</v>
      </c>
      <c r="Z22" s="41">
        <v>55.1</v>
      </c>
      <c r="AA22" s="69">
        <v>199.35</v>
      </c>
      <c r="AB22" s="41">
        <v>0.95</v>
      </c>
      <c r="AC22" s="48">
        <f t="shared" ref="AC22" si="102">Z22/AA22</f>
        <v>0.27639829445698522</v>
      </c>
      <c r="AD22" s="49">
        <f t="shared" ref="AD22" si="103">X22/W22</f>
        <v>5.5401662049861496E-3</v>
      </c>
      <c r="AE22" s="112">
        <f t="shared" ref="AE22" si="104">Y22/X22</f>
        <v>0.15517241379310345</v>
      </c>
      <c r="AF22" s="107">
        <f t="shared" ref="AF22" si="105">Z22/Y22</f>
        <v>6.1222222222222227</v>
      </c>
      <c r="AG22" s="113">
        <v>10</v>
      </c>
      <c r="AH22" s="115">
        <v>4</v>
      </c>
      <c r="AI22" s="116">
        <f>AG22*产品成本!$D$9+AH22*产品成本!$D$10</f>
        <v>40.563380281690115</v>
      </c>
      <c r="AJ22" s="116">
        <f>AG22*产品成本!$E$9+AH22*产品成本!$E$10</f>
        <v>5.22</v>
      </c>
      <c r="AK22" s="116">
        <f>AG22*产品成本!$F$9+AH22*产品成本!$F$10</f>
        <v>4.7600000000000007</v>
      </c>
      <c r="AL22" s="116">
        <f>AG22*产品成本!$G$9+AH22*产品成本!$G$10</f>
        <v>68.599999999999994</v>
      </c>
      <c r="AM22" s="116">
        <f t="shared" ref="AM22" si="106">(E22-I22)*0.15</f>
        <v>40.814999999999991</v>
      </c>
      <c r="AN22" s="117">
        <f t="shared" ref="AN22" si="107">SUM(AI22:AM22)</f>
        <v>159.9583802816901</v>
      </c>
      <c r="AO22" s="147">
        <v>0</v>
      </c>
      <c r="AP22" s="119">
        <v>0</v>
      </c>
      <c r="AQ22" s="120">
        <f t="shared" ref="AQ22" si="108">L22/(1-0.15-0.15*0.2)</f>
        <v>0</v>
      </c>
      <c r="AR22" s="116">
        <f>AO22*产品成本!$D$9+AP22*产品成本!$D$10</f>
        <v>0</v>
      </c>
      <c r="AS22" s="116">
        <f>AO22*产品成本!$E$9+AP22*产品成本!$E$10</f>
        <v>0</v>
      </c>
      <c r="AT22" s="116">
        <f>AO22*产品成本!$F$9+AP22*产品成本!$F$10</f>
        <v>0</v>
      </c>
      <c r="AU22" s="116"/>
      <c r="AV22" s="116">
        <f t="shared" ref="AV22" si="109">AQ22*0.15</f>
        <v>0</v>
      </c>
      <c r="AW22" s="116">
        <f t="shared" ref="AW22" si="110">-AV22*0.2</f>
        <v>0</v>
      </c>
      <c r="AX22" s="117">
        <f t="shared" ref="AX22" si="111">SUM(AR22:AW22)</f>
        <v>0</v>
      </c>
      <c r="AY22" s="122">
        <f t="shared" ref="AY22" si="112">AN22-AX22</f>
        <v>159.9583802816901</v>
      </c>
      <c r="AZ22" s="122">
        <f t="shared" ref="AZ22" si="113">E22-I22</f>
        <v>272.09999999999997</v>
      </c>
      <c r="BA22" s="122">
        <f t="shared" ref="BA22" si="114">E22-AQ22-I22</f>
        <v>272.09999999999997</v>
      </c>
      <c r="BB22" s="121">
        <f t="shared" ref="BB22" si="115">BA22-AY22-Z22</f>
        <v>57.041619718309867</v>
      </c>
      <c r="BC22" s="123">
        <f t="shared" ref="BC22" si="116">BB22/BA22</f>
        <v>0.20963476559467062</v>
      </c>
      <c r="BD22" s="154">
        <v>76140312</v>
      </c>
      <c r="BE22" t="s">
        <v>319</v>
      </c>
      <c r="BF22" t="s">
        <v>306</v>
      </c>
    </row>
    <row r="23" spans="1:58" ht="29.1" customHeight="1" x14ac:dyDescent="0.15">
      <c r="A23" s="127" t="s">
        <v>266</v>
      </c>
      <c r="B23" s="128"/>
      <c r="C23" s="128">
        <f>SUBTOTAL(109,表3_391418[销量])</f>
        <v>360</v>
      </c>
      <c r="D23" s="128">
        <f>SUBTOTAL(109,表3_391418[订单量])</f>
        <v>356</v>
      </c>
      <c r="E23" s="128">
        <f>SUBTOTAL(109,表3_391418[销售额])</f>
        <v>6956.0700000000006</v>
      </c>
      <c r="F23" s="128">
        <f>SUBTOTAL(109,表3_391418[促销销量])</f>
        <v>128</v>
      </c>
      <c r="G23" s="128">
        <f>SUBTOTAL(109,表3_391418[促销订单量])</f>
        <v>127</v>
      </c>
      <c r="H23" s="128">
        <f>SUBTOTAL(109,表3_391418[促销销售额])</f>
        <v>2501.1120000000001</v>
      </c>
      <c r="I23" s="128">
        <f>SUBTOTAL(109,表3_391418[促销折扣])</f>
        <v>242.99999999999997</v>
      </c>
      <c r="J23" s="128">
        <f>SUBTOTAL(109,表3_391418[退款量])</f>
        <v>12</v>
      </c>
      <c r="K23" s="129">
        <f t="shared" si="0"/>
        <v>3.3333333333333333E-2</v>
      </c>
      <c r="L23" s="130">
        <f>SUBTOTAL(109,表3_391418[退款金额])</f>
        <v>202.07000000000002</v>
      </c>
      <c r="M23" s="128"/>
      <c r="N23" s="128"/>
      <c r="O23" s="128"/>
      <c r="P23" s="131">
        <f>SUBTOTAL(101,表3_391418[客单
销量])</f>
        <v>1.0088684132967254</v>
      </c>
      <c r="Q23" s="131">
        <f>SUBTOTAL(101,表3_391418[客单
价格($)])</f>
        <v>19.740443635132756</v>
      </c>
      <c r="R23" s="131">
        <f>SUBTOTAL(101,表3_391418[销售
均价($)])</f>
        <v>19.577793786209639</v>
      </c>
      <c r="S23" s="131">
        <f>SUBTOTAL(101,表3_391418[日均
销量])</f>
        <v>2.7067669172932334</v>
      </c>
      <c r="T23" s="132">
        <f>SUBTOTAL(109,表3_391418[自然
订单])</f>
        <v>100</v>
      </c>
      <c r="U23" s="133">
        <f t="shared" si="6"/>
        <v>0.2808988764044944</v>
      </c>
      <c r="V23" s="129">
        <f>SUBTOTAL(101,表3_391418[TAcos
(%)])</f>
        <v>0.25429311162261881</v>
      </c>
      <c r="W23" s="128">
        <f>SUBTOTAL(109,表3_391418[展示])</f>
        <v>277241</v>
      </c>
      <c r="X23" s="128">
        <f>SUBTOTAL(109,表3_391418[点击])</f>
        <v>1564</v>
      </c>
      <c r="Y23" s="128">
        <f>SUBTOTAL(109,表3_391418[广告订单量])</f>
        <v>256</v>
      </c>
      <c r="Z23" s="128">
        <f>SUBTOTAL(109,表3_391418[广告花费])</f>
        <v>1605.04</v>
      </c>
      <c r="AA23" s="128">
        <f>SUBTOTAL(109,表3_391418[广告销售额])</f>
        <v>5012.1000000000004</v>
      </c>
      <c r="AB23" s="128">
        <f>SUBTOTAL(101,表3_391418[CPC])</f>
        <v>1.0257894736842104</v>
      </c>
      <c r="AC23" s="129">
        <f t="shared" si="8"/>
        <v>0.32023303605275233</v>
      </c>
      <c r="AD23" s="129">
        <f t="shared" ref="AD23:AF23" si="117">X23/W23</f>
        <v>5.6413012505365364E-3</v>
      </c>
      <c r="AE23" s="129">
        <f t="shared" si="117"/>
        <v>0.16368286445012789</v>
      </c>
      <c r="AF23" s="131">
        <f t="shared" si="117"/>
        <v>6.2696874999999999</v>
      </c>
      <c r="AG23" s="128">
        <f>SUBTOTAL(109,表3_391418[1Pack])</f>
        <v>305</v>
      </c>
      <c r="AH23" s="128">
        <f>SUBTOTAL(109,表3_391418[2Pack])</f>
        <v>55</v>
      </c>
      <c r="AI23" s="130">
        <f>SUBTOTAL(109,表3_391418[产品成本])</f>
        <v>935.21126760563277</v>
      </c>
      <c r="AJ23" s="130">
        <f>SUBTOTAL(109,表3_391418[头程])</f>
        <v>120.35</v>
      </c>
      <c r="AK23" s="130">
        <f>SUBTOTAL(109,表3_391418[入仓费])</f>
        <v>122.39999999999999</v>
      </c>
      <c r="AL23" s="130">
        <f>SUBTOTAL(109,表3_391418[FBA物流])</f>
        <v>1764</v>
      </c>
      <c r="AM23" s="130">
        <f>SUBTOTAL(109,表3_391418[佣金])</f>
        <v>1006.9604999999999</v>
      </c>
      <c r="AN23" s="130">
        <f>SUBTOTAL(109,表3_391418[成本小结])</f>
        <v>3948.9217676056337</v>
      </c>
      <c r="AO23" s="135">
        <f>SUBTOTAL(109,表3_391418[退款1Pack])</f>
        <v>10</v>
      </c>
      <c r="AP23" s="135">
        <f>SUBTOTAL(109,表3_391418[退款2Pack])</f>
        <v>2</v>
      </c>
      <c r="AQ23" s="130">
        <f>SUBTOTAL(109,表3_391418[退款
销售金额])</f>
        <v>246.42682926829269</v>
      </c>
      <c r="AR23" s="130">
        <f>SUBTOTAL(109,表3_391418[退款
产品成本])</f>
        <v>31.54929577464786</v>
      </c>
      <c r="AS23" s="130">
        <f>SUBTOTAL(109,表3_391418[退款头程])</f>
        <v>4.0599999999999996</v>
      </c>
      <c r="AT23" s="130">
        <f>SUBTOTAL(109,表3_391418[退款
入仓费])</f>
        <v>4.0799999999999992</v>
      </c>
      <c r="AU23" s="130">
        <f>SUBTOTAL(109,表3_391418[退款
FBA物流])</f>
        <v>0</v>
      </c>
      <c r="AV23" s="130">
        <f>SUBTOTAL(109,表3_391418[退款佣金])</f>
        <v>36.964024390243907</v>
      </c>
      <c r="AW23" s="130">
        <f>SUBTOTAL(109,表3_391418[退款
管理费用
佣金的20%])</f>
        <v>-7.3928048780487812</v>
      </c>
      <c r="AX23" s="130">
        <f>SUBTOTAL(109,表3_391418[退款
成本小结])</f>
        <v>69.260515286842988</v>
      </c>
      <c r="AY23" s="130">
        <f>SUBTOTAL(109,表3_391418[净成本])</f>
        <v>3879.66125231879</v>
      </c>
      <c r="AZ23" s="130">
        <f>SUBTOTAL(109,表3_391418[净销售额])</f>
        <v>6713.0700000000006</v>
      </c>
      <c r="BA23" s="130">
        <f>SUBTOTAL(109,表3_391418[净销售额
(-退款金额)])</f>
        <v>6466.6431707317088</v>
      </c>
      <c r="BB23" s="130">
        <f>SUBTOTAL(109,表3_391418[毛利])</f>
        <v>981.94191841291729</v>
      </c>
      <c r="BC23" s="129">
        <f>SUBTOTAL(101,表3_391418[毛利率])</f>
        <v>0.13411248029958978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9" tint="0.39988402966399123"/>
  </sheetPr>
  <dimension ref="A1:BI78"/>
  <sheetViews>
    <sheetView workbookViewId="0">
      <pane xSplit="12" ySplit="3" topLeftCell="BD65" activePane="bottomRight" state="frozen"/>
      <selection pane="topRight"/>
      <selection pane="bottomLeft"/>
      <selection pane="bottomRight" activeCell="A77" sqref="A77:XFD77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25" customWidth="1"/>
    <col min="8" max="9" width="9.37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11.375" customWidth="1"/>
    <col min="34" max="34" width="9.625" customWidth="1"/>
    <col min="35" max="35" width="11.75" customWidth="1"/>
    <col min="36" max="36" width="9.875" customWidth="1"/>
    <col min="37" max="39" width="10.375" customWidth="1"/>
    <col min="40" max="42" width="11.5" customWidth="1"/>
    <col min="43" max="46" width="8.875" customWidth="1"/>
    <col min="47" max="47" width="10.375" customWidth="1"/>
    <col min="48" max="48" width="9.25" customWidth="1"/>
    <col min="49" max="49" width="8.625" customWidth="1"/>
    <col min="50" max="50" width="8.125" customWidth="1"/>
    <col min="51" max="51" width="8" customWidth="1"/>
    <col min="52" max="54" width="9.375" customWidth="1"/>
    <col min="55" max="55" width="10.375" customWidth="1"/>
    <col min="56" max="56" width="12.875" customWidth="1"/>
    <col min="57" max="57" width="12" customWidth="1"/>
    <col min="58" max="58" width="12.875" customWidth="1"/>
    <col min="59" max="59" width="9.25" customWidth="1"/>
    <col min="60" max="60" width="10" customWidth="1"/>
    <col min="61" max="61" width="67.375" customWidth="1"/>
  </cols>
  <sheetData>
    <row r="1" spans="1:61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79"/>
      <c r="AP1" s="280"/>
      <c r="AQ1" s="281" t="s">
        <v>4</v>
      </c>
      <c r="AR1" s="282"/>
      <c r="AS1" s="282"/>
      <c r="AT1" s="282"/>
      <c r="AU1" s="282"/>
      <c r="AV1" s="282"/>
      <c r="AW1" s="282"/>
      <c r="AX1" s="282"/>
      <c r="AY1" s="282"/>
      <c r="AZ1" s="282"/>
      <c r="BA1" s="282"/>
      <c r="BB1" s="282"/>
      <c r="BC1" s="269" t="s">
        <v>5</v>
      </c>
      <c r="BD1" s="270"/>
      <c r="BE1" s="270"/>
      <c r="BF1" s="270"/>
      <c r="BG1" s="270"/>
    </row>
    <row r="2" spans="1:61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294"/>
      <c r="AJ2" s="294"/>
      <c r="AK2" s="295" t="s">
        <v>7</v>
      </c>
      <c r="AL2" s="295"/>
      <c r="AM2" s="295"/>
      <c r="AN2" s="295"/>
      <c r="AO2" s="295"/>
      <c r="AP2" s="295"/>
      <c r="AQ2" s="296" t="s">
        <v>6</v>
      </c>
      <c r="AR2" s="297"/>
      <c r="AS2" s="297"/>
      <c r="AT2" s="297"/>
      <c r="AU2" s="298" t="s">
        <v>7</v>
      </c>
      <c r="AV2" s="298"/>
      <c r="AW2" s="298"/>
      <c r="AX2" s="298"/>
      <c r="AY2" s="298"/>
      <c r="AZ2" s="298"/>
      <c r="BA2" s="298"/>
      <c r="BB2" s="298"/>
      <c r="BC2" s="269"/>
      <c r="BD2" s="270"/>
      <c r="BE2" s="270"/>
      <c r="BF2" s="270"/>
      <c r="BG2" s="270"/>
    </row>
    <row r="3" spans="1:61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320</v>
      </c>
      <c r="AH3" s="148" t="s">
        <v>321</v>
      </c>
      <c r="AI3" s="149" t="s">
        <v>322</v>
      </c>
      <c r="AJ3" s="150" t="s">
        <v>323</v>
      </c>
      <c r="AK3" s="92" t="s">
        <v>43</v>
      </c>
      <c r="AL3" s="92" t="s">
        <v>44</v>
      </c>
      <c r="AM3" s="92" t="s">
        <v>45</v>
      </c>
      <c r="AN3" s="92" t="s">
        <v>46</v>
      </c>
      <c r="AO3" s="92" t="s">
        <v>47</v>
      </c>
      <c r="AP3" s="93" t="s">
        <v>48</v>
      </c>
      <c r="AQ3" s="145" t="s">
        <v>324</v>
      </c>
      <c r="AR3" s="95" t="s">
        <v>325</v>
      </c>
      <c r="AS3" s="96" t="s">
        <v>326</v>
      </c>
      <c r="AT3" s="96" t="s">
        <v>327</v>
      </c>
      <c r="AU3" s="97" t="s">
        <v>52</v>
      </c>
      <c r="AV3" s="97" t="s">
        <v>53</v>
      </c>
      <c r="AW3" s="97" t="s">
        <v>54</v>
      </c>
      <c r="AX3" s="97" t="s">
        <v>55</v>
      </c>
      <c r="AY3" s="97" t="s">
        <v>56</v>
      </c>
      <c r="AZ3" s="98" t="s">
        <v>57</v>
      </c>
      <c r="BA3" s="97" t="s">
        <v>58</v>
      </c>
      <c r="BB3" s="97" t="s">
        <v>59</v>
      </c>
      <c r="BC3" s="99" t="s">
        <v>60</v>
      </c>
      <c r="BD3" s="99" t="s">
        <v>61</v>
      </c>
      <c r="BE3" s="99" t="s">
        <v>62</v>
      </c>
      <c r="BF3" s="100" t="s">
        <v>63</v>
      </c>
      <c r="BG3" s="100" t="s">
        <v>64</v>
      </c>
      <c r="BH3" s="1" t="s">
        <v>65</v>
      </c>
      <c r="BI3" s="1" t="s">
        <v>66</v>
      </c>
    </row>
    <row r="4" spans="1:61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101"/>
      <c r="G4" s="101"/>
      <c r="H4" s="41"/>
      <c r="I4" s="41"/>
      <c r="J4" s="102">
        <v>2</v>
      </c>
      <c r="K4" s="103">
        <f t="shared" ref="K4:K35" si="0">J4/C4</f>
        <v>6.0606060606060608E-2</v>
      </c>
      <c r="L4" s="104">
        <v>28.14</v>
      </c>
      <c r="M4" s="105" t="e">
        <f t="shared" ref="M4:M45" si="1">(C4-C3)/C3</f>
        <v>#VALUE!</v>
      </c>
      <c r="N4" s="103" t="e">
        <f t="shared" ref="N4:N45" si="2">(D4-D3)/D3</f>
        <v>#VALUE!</v>
      </c>
      <c r="O4" s="103" t="e">
        <f t="shared" ref="O4:O45" si="3">(E4-E3)/E3</f>
        <v>#VALUE!</v>
      </c>
      <c r="P4" s="106">
        <f t="shared" ref="P4:P35" si="4">C4/D4</f>
        <v>1</v>
      </c>
      <c r="Q4" s="107">
        <f t="shared" ref="Q4:Q35" si="5">E4/D4</f>
        <v>16.081212121212118</v>
      </c>
      <c r="R4" s="107">
        <f t="shared" ref="R4:R35" si="6">E4/C4</f>
        <v>16.081212121212118</v>
      </c>
      <c r="S4" s="107">
        <f t="shared" ref="S4:S35" si="7">C4/7</f>
        <v>4.7142857142857144</v>
      </c>
      <c r="T4" s="146">
        <f t="shared" ref="T4:T35" si="8">D4-Y4</f>
        <v>7</v>
      </c>
      <c r="U4" s="110">
        <f t="shared" ref="U4:U35" si="9">T4/D4</f>
        <v>0.21212121212121213</v>
      </c>
      <c r="V4" s="71">
        <f t="shared" ref="V4:V35" si="10">Z4/(E4-I4)</f>
        <v>0.5440189944976257</v>
      </c>
      <c r="W4" s="68">
        <v>51372</v>
      </c>
      <c r="X4" s="68">
        <v>301</v>
      </c>
      <c r="Y4" s="68">
        <v>26</v>
      </c>
      <c r="Z4" s="68">
        <v>288.7</v>
      </c>
      <c r="AA4" s="69">
        <v>429.74</v>
      </c>
      <c r="AB4" s="68">
        <v>0.96</v>
      </c>
      <c r="AC4" s="48">
        <f t="shared" ref="AC4:AC35" si="11">Z4/AA4</f>
        <v>0.67180155442825895</v>
      </c>
      <c r="AD4" s="49">
        <f t="shared" ref="AD4:AD35" si="12">X4/W4</f>
        <v>5.8592229229930699E-3</v>
      </c>
      <c r="AE4" s="49">
        <f t="shared" ref="AE4:AE35" si="13">Y4/X4</f>
        <v>8.6378737541528236E-2</v>
      </c>
      <c r="AF4" s="107">
        <f t="shared" ref="AF4:AF35" si="14">Z4/Y4</f>
        <v>11.103846153846153</v>
      </c>
      <c r="AG4" s="113">
        <v>0</v>
      </c>
      <c r="AH4" s="114">
        <v>33</v>
      </c>
      <c r="AI4" s="118"/>
      <c r="AJ4" s="119"/>
      <c r="AK4" s="116">
        <f>AG4*产品成本!$D$11+AH4*产品成本!$D$12+AI4*产品成本!$D$13+AJ4*产品成本!$D$14</f>
        <v>204.50704225352115</v>
      </c>
      <c r="AL4" s="116">
        <f>AG4*产品成本!$E$11+AH4*产品成本!$E$12+AI4*产品成本!$E$13+AJ4*产品成本!$E$14</f>
        <v>11.816788732394381</v>
      </c>
      <c r="AM4" s="116">
        <f>AG4*产品成本!$F$11+AH4*产品成本!$F$12+AI4*产品成本!$F$13+AJ4*产品成本!$F$14</f>
        <v>11.22</v>
      </c>
      <c r="AN4" s="116">
        <f>AG4*产品成本!$G$11+AH4*产品成本!$G$12+AI4*产品成本!$G$13+AJ4*产品成本!$G$14</f>
        <v>128.69999999999999</v>
      </c>
      <c r="AO4" s="116">
        <f t="shared" ref="AO4:AO35" si="15">(E4-I4)*0.15</f>
        <v>79.60199999999999</v>
      </c>
      <c r="AP4" s="117">
        <f t="shared" ref="AP4:AP35" si="16">SUM(AK4:AO4)</f>
        <v>435.84583098591548</v>
      </c>
      <c r="AQ4" s="118">
        <v>0</v>
      </c>
      <c r="AR4" s="118">
        <v>2</v>
      </c>
      <c r="AS4" s="118"/>
      <c r="AT4" s="119"/>
      <c r="AU4" s="120">
        <f t="shared" ref="AU4:AU35" si="17">L4/(1-0.15-0.15*0.2)</f>
        <v>34.31707317073171</v>
      </c>
      <c r="AV4" s="116">
        <f>AQ4*产品成本!$D$11+AR4*产品成本!$D$12+AS4*产品成本!$D$13+AT4*产品成本!$D$14</f>
        <v>12.3943661971831</v>
      </c>
      <c r="AW4" s="116">
        <f>AQ4*产品成本!$E$11+AR4*产品成本!$E$12+AS4*产品成本!$E$13+AT4*产品成本!$E$14</f>
        <v>0.71616901408450795</v>
      </c>
      <c r="AX4" s="116">
        <f>AQ4*产品成本!$F$11+AR4*产品成本!$F$12+AS4*产品成本!$F$13+AT4*产品成本!$F$14</f>
        <v>0.68</v>
      </c>
      <c r="AY4" s="116">
        <v>0</v>
      </c>
      <c r="AZ4" s="116">
        <f t="shared" ref="AZ4:AZ35" si="18">AU4*0.15</f>
        <v>5.147560975609756</v>
      </c>
      <c r="BA4" s="116">
        <f t="shared" ref="BA4:BA35" si="19">-AZ4*0.2</f>
        <v>-1.0295121951219512</v>
      </c>
      <c r="BB4" s="117">
        <f t="shared" ref="BB4:BB35" si="20">SUM(AV4:BA4)</f>
        <v>17.90858399175541</v>
      </c>
      <c r="BC4" s="122">
        <f t="shared" ref="BC4:BC35" si="21">AP4-BB4</f>
        <v>417.93724699416009</v>
      </c>
      <c r="BD4" s="122">
        <f t="shared" ref="BD4:BD35" si="22">E4-I4</f>
        <v>530.67999999999995</v>
      </c>
      <c r="BE4" s="122">
        <f t="shared" ref="BE4:BE35" si="23">E4-AU4-I4</f>
        <v>496.36292682926825</v>
      </c>
      <c r="BF4" s="121">
        <f t="shared" ref="BF4:BF35" si="24">BE4-BC4-Z4</f>
        <v>-210.27432016489183</v>
      </c>
      <c r="BG4" s="123">
        <f t="shared" ref="BG4:BG35" si="25">BF4/BE4</f>
        <v>-0.42363018831424321</v>
      </c>
    </row>
    <row r="5" spans="1:61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101"/>
      <c r="G5" s="101"/>
      <c r="H5" s="41"/>
      <c r="I5" s="41"/>
      <c r="J5" s="102">
        <v>3</v>
      </c>
      <c r="K5" s="103">
        <f t="shared" si="0"/>
        <v>0.10344827586206896</v>
      </c>
      <c r="L5" s="104">
        <v>43.97</v>
      </c>
      <c r="M5" s="105">
        <f t="shared" si="1"/>
        <v>-0.12121212121212122</v>
      </c>
      <c r="N5" s="103">
        <f t="shared" si="2"/>
        <v>-0.12121212121212122</v>
      </c>
      <c r="O5" s="103">
        <f t="shared" si="3"/>
        <v>-7.0607522424059654E-2</v>
      </c>
      <c r="P5" s="106">
        <f t="shared" si="4"/>
        <v>1</v>
      </c>
      <c r="Q5" s="107">
        <f t="shared" si="5"/>
        <v>17.007241379310344</v>
      </c>
      <c r="R5" s="107">
        <f t="shared" si="6"/>
        <v>17.007241379310344</v>
      </c>
      <c r="S5" s="107">
        <f t="shared" si="7"/>
        <v>4.1428571428571432</v>
      </c>
      <c r="T5" s="146">
        <f t="shared" si="8"/>
        <v>8</v>
      </c>
      <c r="U5" s="110">
        <f t="shared" si="9"/>
        <v>0.27586206896551724</v>
      </c>
      <c r="V5" s="71">
        <f t="shared" si="10"/>
        <v>0.37779039354433208</v>
      </c>
      <c r="W5" s="68">
        <v>30309</v>
      </c>
      <c r="X5" s="68">
        <v>207</v>
      </c>
      <c r="Y5" s="68">
        <v>21</v>
      </c>
      <c r="Z5" s="68">
        <v>186.33</v>
      </c>
      <c r="AA5" s="69">
        <v>354.29</v>
      </c>
      <c r="AB5" s="68">
        <v>0.9</v>
      </c>
      <c r="AC5" s="48">
        <f t="shared" si="11"/>
        <v>0.52592508961585138</v>
      </c>
      <c r="AD5" s="49">
        <f t="shared" si="12"/>
        <v>6.8296545580520639E-3</v>
      </c>
      <c r="AE5" s="49">
        <f t="shared" si="13"/>
        <v>0.10144927536231885</v>
      </c>
      <c r="AF5" s="107">
        <f t="shared" si="14"/>
        <v>8.8728571428571428</v>
      </c>
      <c r="AG5" s="113">
        <v>0</v>
      </c>
      <c r="AH5" s="114">
        <v>29</v>
      </c>
      <c r="AI5" s="118"/>
      <c r="AJ5" s="119"/>
      <c r="AK5" s="116">
        <f>AG5*产品成本!$D$11+AH5*产品成本!$D$12+AI5*产品成本!$D$13+AJ5*产品成本!$D$14</f>
        <v>179.71830985915494</v>
      </c>
      <c r="AL5" s="116">
        <f>AG5*产品成本!$E$11+AH5*产品成本!$E$12+AI5*产品成本!$E$13+AJ5*产品成本!$E$14</f>
        <v>10.384450704225365</v>
      </c>
      <c r="AM5" s="116">
        <f>AG5*产品成本!$F$11+AH5*产品成本!$F$12+AI5*产品成本!$F$13+AJ5*产品成本!$F$14</f>
        <v>9.8600000000000012</v>
      </c>
      <c r="AN5" s="116">
        <f>AG5*产品成本!$G$11+AH5*产品成本!$G$12+AI5*产品成本!$G$13+AJ5*产品成本!$G$14</f>
        <v>113.1</v>
      </c>
      <c r="AO5" s="116">
        <f t="shared" si="15"/>
        <v>73.981499999999997</v>
      </c>
      <c r="AP5" s="117">
        <f t="shared" si="16"/>
        <v>387.04426056338031</v>
      </c>
      <c r="AQ5" s="118">
        <v>0</v>
      </c>
      <c r="AR5" s="118">
        <v>3</v>
      </c>
      <c r="AS5" s="118"/>
      <c r="AT5" s="119"/>
      <c r="AU5" s="120">
        <f t="shared" si="17"/>
        <v>53.621951219512198</v>
      </c>
      <c r="AV5" s="116">
        <f>AQ5*产品成本!$D$11+AR5*产品成本!$D$12+AS5*产品成本!$D$13+AT5*产品成本!$D$14</f>
        <v>18.591549295774648</v>
      </c>
      <c r="AW5" s="116">
        <f>AQ5*产品成本!$E$11+AR5*产品成本!$E$12+AS5*产品成本!$E$13+AT5*产品成本!$E$14</f>
        <v>1.0742535211267619</v>
      </c>
      <c r="AX5" s="116">
        <f>AQ5*产品成本!$F$11+AR5*产品成本!$F$12+AS5*产品成本!$F$13+AT5*产品成本!$F$14</f>
        <v>1.02</v>
      </c>
      <c r="AY5" s="116">
        <v>0</v>
      </c>
      <c r="AZ5" s="116">
        <f t="shared" si="18"/>
        <v>8.043292682926829</v>
      </c>
      <c r="BA5" s="116">
        <f t="shared" si="19"/>
        <v>-1.6086585365853658</v>
      </c>
      <c r="BB5" s="117">
        <f t="shared" si="20"/>
        <v>27.120436963242874</v>
      </c>
      <c r="BC5" s="122">
        <f t="shared" si="21"/>
        <v>359.92382360013744</v>
      </c>
      <c r="BD5" s="122">
        <f t="shared" si="22"/>
        <v>493.21</v>
      </c>
      <c r="BE5" s="122">
        <f t="shared" si="23"/>
        <v>439.58804878048778</v>
      </c>
      <c r="BF5" s="121">
        <f t="shared" si="24"/>
        <v>-106.66577481964967</v>
      </c>
      <c r="BG5" s="123">
        <f t="shared" si="25"/>
        <v>-0.24264939666936708</v>
      </c>
    </row>
    <row r="6" spans="1:61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101"/>
      <c r="G6" s="101"/>
      <c r="H6" s="41"/>
      <c r="I6" s="41"/>
      <c r="J6" s="102">
        <v>3</v>
      </c>
      <c r="K6" s="103">
        <f t="shared" si="0"/>
        <v>0.27272727272727271</v>
      </c>
      <c r="L6" s="104">
        <v>37.92</v>
      </c>
      <c r="M6" s="105">
        <f t="shared" si="1"/>
        <v>-0.62068965517241381</v>
      </c>
      <c r="N6" s="103">
        <f t="shared" si="2"/>
        <v>-0.62068965517241381</v>
      </c>
      <c r="O6" s="103">
        <f t="shared" si="3"/>
        <v>-0.59149246771152253</v>
      </c>
      <c r="P6" s="106">
        <f t="shared" si="4"/>
        <v>1</v>
      </c>
      <c r="Q6" s="107">
        <f t="shared" si="5"/>
        <v>18.316363636363636</v>
      </c>
      <c r="R6" s="107">
        <f t="shared" si="6"/>
        <v>18.316363636363636</v>
      </c>
      <c r="S6" s="107">
        <f t="shared" si="7"/>
        <v>1.5714285714285714</v>
      </c>
      <c r="T6" s="146">
        <f t="shared" si="8"/>
        <v>2</v>
      </c>
      <c r="U6" s="110">
        <f t="shared" si="9"/>
        <v>0.18181818181818182</v>
      </c>
      <c r="V6" s="71">
        <f t="shared" si="10"/>
        <v>0.40574746873138773</v>
      </c>
      <c r="W6" s="68">
        <v>19912</v>
      </c>
      <c r="X6" s="68">
        <v>103</v>
      </c>
      <c r="Y6" s="68">
        <v>9</v>
      </c>
      <c r="Z6" s="68">
        <v>81.75</v>
      </c>
      <c r="AA6" s="69">
        <v>163.5</v>
      </c>
      <c r="AB6" s="68">
        <v>0.79</v>
      </c>
      <c r="AC6" s="48">
        <f t="shared" si="11"/>
        <v>0.5</v>
      </c>
      <c r="AD6" s="49">
        <f t="shared" si="12"/>
        <v>5.1727601446364003E-3</v>
      </c>
      <c r="AE6" s="49">
        <f t="shared" si="13"/>
        <v>8.7378640776699032E-2</v>
      </c>
      <c r="AF6" s="107">
        <f t="shared" si="14"/>
        <v>9.0833333333333339</v>
      </c>
      <c r="AG6" s="113">
        <v>0</v>
      </c>
      <c r="AH6" s="114">
        <v>11</v>
      </c>
      <c r="AI6" s="118"/>
      <c r="AJ6" s="119"/>
      <c r="AK6" s="116">
        <f>AG6*产品成本!$D$11+AH6*产品成本!$D$12+AI6*产品成本!$D$13+AJ6*产品成本!$D$14</f>
        <v>68.169014084507054</v>
      </c>
      <c r="AL6" s="116">
        <f>AG6*产品成本!$E$11+AH6*产品成本!$E$12+AI6*产品成本!$E$13+AJ6*产品成本!$E$14</f>
        <v>3.9389295774647937</v>
      </c>
      <c r="AM6" s="116">
        <f>AG6*产品成本!$F$11+AH6*产品成本!$F$12+AI6*产品成本!$F$13+AJ6*产品成本!$F$14</f>
        <v>3.74</v>
      </c>
      <c r="AN6" s="116">
        <f>AG6*产品成本!$G$11+AH6*产品成本!$G$12+AI6*产品成本!$G$13+AJ6*产品成本!$G$14</f>
        <v>42.9</v>
      </c>
      <c r="AO6" s="116">
        <f t="shared" si="15"/>
        <v>30.221999999999998</v>
      </c>
      <c r="AP6" s="117">
        <f t="shared" si="16"/>
        <v>148.96994366197185</v>
      </c>
      <c r="AQ6" s="118">
        <v>0</v>
      </c>
      <c r="AR6" s="118">
        <v>3</v>
      </c>
      <c r="AS6" s="118"/>
      <c r="AT6" s="119"/>
      <c r="AU6" s="120">
        <f t="shared" si="17"/>
        <v>46.243902439024396</v>
      </c>
      <c r="AV6" s="116">
        <f>AQ6*产品成本!$D$11+AR6*产品成本!$D$12+AS6*产品成本!$D$13+AT6*产品成本!$D$14</f>
        <v>18.591549295774648</v>
      </c>
      <c r="AW6" s="116">
        <f>AQ6*产品成本!$E$11+AR6*产品成本!$E$12+AS6*产品成本!$E$13+AT6*产品成本!$E$14</f>
        <v>1.0742535211267619</v>
      </c>
      <c r="AX6" s="116">
        <f>AQ6*产品成本!$F$11+AR6*产品成本!$F$12+AS6*产品成本!$F$13+AT6*产品成本!$F$14</f>
        <v>1.02</v>
      </c>
      <c r="AY6" s="116">
        <v>0</v>
      </c>
      <c r="AZ6" s="116">
        <f t="shared" si="18"/>
        <v>6.9365853658536594</v>
      </c>
      <c r="BA6" s="116">
        <f t="shared" si="19"/>
        <v>-1.3873170731707321</v>
      </c>
      <c r="BB6" s="117">
        <f t="shared" si="20"/>
        <v>26.235071109584339</v>
      </c>
      <c r="BC6" s="122">
        <f t="shared" si="21"/>
        <v>122.73487255238751</v>
      </c>
      <c r="BD6" s="122">
        <f t="shared" si="22"/>
        <v>201.48</v>
      </c>
      <c r="BE6" s="122">
        <f t="shared" si="23"/>
        <v>155.23609756097559</v>
      </c>
      <c r="BF6" s="121">
        <f t="shared" si="24"/>
        <v>-49.248774991411921</v>
      </c>
      <c r="BG6" s="123">
        <f t="shared" si="25"/>
        <v>-0.31725079260039607</v>
      </c>
    </row>
    <row r="7" spans="1:61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1"/>
        <v>1.9090909090909092</v>
      </c>
      <c r="N7" s="103">
        <f t="shared" si="2"/>
        <v>1.9090909090909092</v>
      </c>
      <c r="O7" s="103">
        <f t="shared" si="3"/>
        <v>1.6507841969426247</v>
      </c>
      <c r="P7" s="106">
        <f t="shared" si="4"/>
        <v>1</v>
      </c>
      <c r="Q7" s="107">
        <f t="shared" si="5"/>
        <v>16.690000000000001</v>
      </c>
      <c r="R7" s="107">
        <f t="shared" si="6"/>
        <v>16.690000000000001</v>
      </c>
      <c r="S7" s="107">
        <f t="shared" si="7"/>
        <v>4.5714285714285712</v>
      </c>
      <c r="T7" s="146">
        <f t="shared" si="8"/>
        <v>0</v>
      </c>
      <c r="U7" s="110">
        <f t="shared" si="9"/>
        <v>0</v>
      </c>
      <c r="V7" s="71">
        <f t="shared" si="10"/>
        <v>0.57118783702816056</v>
      </c>
      <c r="W7" s="68">
        <v>37460</v>
      </c>
      <c r="X7" s="68">
        <v>295</v>
      </c>
      <c r="Y7" s="68">
        <v>32</v>
      </c>
      <c r="Z7" s="68">
        <v>305.06</v>
      </c>
      <c r="AA7" s="69">
        <v>554.77</v>
      </c>
      <c r="AB7" s="68">
        <v>1.03</v>
      </c>
      <c r="AC7" s="48">
        <f t="shared" si="11"/>
        <v>0.54988553815094543</v>
      </c>
      <c r="AD7" s="49">
        <f t="shared" si="12"/>
        <v>7.8750667378537104E-3</v>
      </c>
      <c r="AE7" s="49">
        <f t="shared" si="13"/>
        <v>0.10847457627118644</v>
      </c>
      <c r="AF7" s="107">
        <f t="shared" si="14"/>
        <v>9.5331250000000001</v>
      </c>
      <c r="AG7" s="113">
        <v>0</v>
      </c>
      <c r="AH7" s="114">
        <v>32</v>
      </c>
      <c r="AI7" s="118"/>
      <c r="AJ7" s="119"/>
      <c r="AK7" s="116">
        <f>AG7*产品成本!$D$11+AH7*产品成本!$D$12+AI7*产品成本!$D$13+AJ7*产品成本!$D$14</f>
        <v>198.3098591549296</v>
      </c>
      <c r="AL7" s="116">
        <f>AG7*产品成本!$E$11+AH7*产品成本!$E$12+AI7*产品成本!$E$13+AJ7*产品成本!$E$14</f>
        <v>11.458704225352127</v>
      </c>
      <c r="AM7" s="116">
        <f>AG7*产品成本!$F$11+AH7*产品成本!$F$12+AI7*产品成本!$F$13+AJ7*产品成本!$F$14</f>
        <v>10.88</v>
      </c>
      <c r="AN7" s="116">
        <f>AG7*产品成本!$G$11+AH7*产品成本!$G$12+AI7*产品成本!$G$13+AJ7*产品成本!$G$14</f>
        <v>124.8</v>
      </c>
      <c r="AO7" s="116">
        <f t="shared" si="15"/>
        <v>80.112000000000009</v>
      </c>
      <c r="AP7" s="117">
        <f t="shared" si="16"/>
        <v>425.56056338028174</v>
      </c>
      <c r="AQ7" s="118">
        <v>0</v>
      </c>
      <c r="AR7" s="118">
        <v>0</v>
      </c>
      <c r="AS7" s="118"/>
      <c r="AT7" s="119"/>
      <c r="AU7" s="120">
        <f t="shared" si="17"/>
        <v>0</v>
      </c>
      <c r="AV7" s="116">
        <f>AQ7*产品成本!$D$11+AR7*产品成本!$D$12+AS7*产品成本!$D$13+AT7*产品成本!$D$14</f>
        <v>0</v>
      </c>
      <c r="AW7" s="116">
        <f>AQ7*产品成本!$E$11+AR7*产品成本!$E$12+AS7*产品成本!$E$13+AT7*产品成本!$E$14</f>
        <v>0</v>
      </c>
      <c r="AX7" s="116">
        <f>AQ7*产品成本!$F$11+AR7*产品成本!$F$12+AS7*产品成本!$F$13+AT7*产品成本!$F$14</f>
        <v>0</v>
      </c>
      <c r="AY7" s="116">
        <v>0</v>
      </c>
      <c r="AZ7" s="116">
        <f t="shared" si="18"/>
        <v>0</v>
      </c>
      <c r="BA7" s="116">
        <f t="shared" si="19"/>
        <v>0</v>
      </c>
      <c r="BB7" s="117">
        <f t="shared" si="20"/>
        <v>0</v>
      </c>
      <c r="BC7" s="122">
        <f t="shared" si="21"/>
        <v>425.56056338028174</v>
      </c>
      <c r="BD7" s="122">
        <f t="shared" si="22"/>
        <v>534.08000000000004</v>
      </c>
      <c r="BE7" s="122">
        <f t="shared" si="23"/>
        <v>534.08000000000004</v>
      </c>
      <c r="BF7" s="121">
        <f t="shared" si="24"/>
        <v>-196.5405633802817</v>
      </c>
      <c r="BG7" s="123">
        <f t="shared" si="25"/>
        <v>-0.36799835863593783</v>
      </c>
    </row>
    <row r="8" spans="1:61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101"/>
      <c r="G8" s="101"/>
      <c r="H8" s="41"/>
      <c r="I8" s="41"/>
      <c r="J8" s="102">
        <v>3</v>
      </c>
      <c r="K8" s="103">
        <f t="shared" si="0"/>
        <v>9.6774193548387094E-2</v>
      </c>
      <c r="L8" s="104">
        <v>47.49</v>
      </c>
      <c r="M8" s="105">
        <f t="shared" si="1"/>
        <v>-3.125E-2</v>
      </c>
      <c r="N8" s="103">
        <f t="shared" si="2"/>
        <v>-9.375E-2</v>
      </c>
      <c r="O8" s="103">
        <f t="shared" si="3"/>
        <v>3.3159826243259291E-2</v>
      </c>
      <c r="P8" s="106">
        <f t="shared" si="4"/>
        <v>1.0689655172413792</v>
      </c>
      <c r="Q8" s="107">
        <f t="shared" si="5"/>
        <v>19.027241379310343</v>
      </c>
      <c r="R8" s="107">
        <f t="shared" si="6"/>
        <v>17.799677419354836</v>
      </c>
      <c r="S8" s="107">
        <f t="shared" si="7"/>
        <v>4.4285714285714288</v>
      </c>
      <c r="T8" s="146">
        <f t="shared" si="8"/>
        <v>8</v>
      </c>
      <c r="U8" s="110">
        <f t="shared" si="9"/>
        <v>0.27586206896551724</v>
      </c>
      <c r="V8" s="71">
        <f t="shared" si="10"/>
        <v>0.54698345385019664</v>
      </c>
      <c r="W8" s="68">
        <v>60281</v>
      </c>
      <c r="X8" s="68">
        <v>304</v>
      </c>
      <c r="Y8" s="68">
        <v>21</v>
      </c>
      <c r="Z8" s="68">
        <v>301.82</v>
      </c>
      <c r="AA8" s="69">
        <v>391.28</v>
      </c>
      <c r="AB8" s="68">
        <v>0.99</v>
      </c>
      <c r="AC8" s="48">
        <f t="shared" si="11"/>
        <v>0.77136577387037419</v>
      </c>
      <c r="AD8" s="49">
        <f t="shared" si="12"/>
        <v>5.0430483900399791E-3</v>
      </c>
      <c r="AE8" s="49">
        <f t="shared" si="13"/>
        <v>6.9078947368421059E-2</v>
      </c>
      <c r="AF8" s="107">
        <f t="shared" si="14"/>
        <v>14.372380952380952</v>
      </c>
      <c r="AG8" s="113">
        <v>0</v>
      </c>
      <c r="AH8" s="114">
        <v>31</v>
      </c>
      <c r="AI8" s="118"/>
      <c r="AJ8" s="119"/>
      <c r="AK8" s="116">
        <f>AG8*产品成本!$D$11+AH8*产品成本!$D$12+AI8*产品成本!$D$13+AJ8*产品成本!$D$14</f>
        <v>192.11267605633805</v>
      </c>
      <c r="AL8" s="116">
        <f>AG8*产品成本!$E$11+AH8*产品成本!$E$12+AI8*产品成本!$E$13+AJ8*产品成本!$E$14</f>
        <v>11.100619718309874</v>
      </c>
      <c r="AM8" s="116">
        <f>AG8*产品成本!$F$11+AH8*产品成本!$F$12+AI8*产品成本!$F$13+AJ8*产品成本!$F$14</f>
        <v>10.540000000000001</v>
      </c>
      <c r="AN8" s="116">
        <f>AG8*产品成本!$G$11+AH8*产品成本!$G$12+AI8*产品成本!$G$13+AJ8*产品成本!$G$14</f>
        <v>120.89999999999999</v>
      </c>
      <c r="AO8" s="116">
        <f t="shared" si="15"/>
        <v>82.768499999999989</v>
      </c>
      <c r="AP8" s="117">
        <f t="shared" si="16"/>
        <v>417.42179577464788</v>
      </c>
      <c r="AQ8" s="118">
        <v>0</v>
      </c>
      <c r="AR8" s="118">
        <v>3</v>
      </c>
      <c r="AS8" s="118"/>
      <c r="AT8" s="119"/>
      <c r="AU8" s="120">
        <f t="shared" si="17"/>
        <v>57.91463414634147</v>
      </c>
      <c r="AV8" s="116">
        <f>AQ8*产品成本!$D$11+AR8*产品成本!$D$12+AS8*产品成本!$D$13+AT8*产品成本!$D$14</f>
        <v>18.591549295774648</v>
      </c>
      <c r="AW8" s="116">
        <f>AQ8*产品成本!$E$11+AR8*产品成本!$E$12+AS8*产品成本!$E$13+AT8*产品成本!$E$14</f>
        <v>1.0742535211267619</v>
      </c>
      <c r="AX8" s="116">
        <f>AQ8*产品成本!$F$11+AR8*产品成本!$F$12+AS8*产品成本!$F$13+AT8*产品成本!$F$14</f>
        <v>1.02</v>
      </c>
      <c r="AY8" s="116">
        <v>0</v>
      </c>
      <c r="AZ8" s="116">
        <f t="shared" si="18"/>
        <v>8.6871951219512198</v>
      </c>
      <c r="BA8" s="116">
        <f t="shared" si="19"/>
        <v>-1.737439024390244</v>
      </c>
      <c r="BB8" s="117">
        <f t="shared" si="20"/>
        <v>27.635558914462386</v>
      </c>
      <c r="BC8" s="122">
        <f t="shared" si="21"/>
        <v>389.78623686018551</v>
      </c>
      <c r="BD8" s="122">
        <f t="shared" si="22"/>
        <v>551.79</v>
      </c>
      <c r="BE8" s="122">
        <f t="shared" si="23"/>
        <v>493.87536585365848</v>
      </c>
      <c r="BF8" s="121">
        <f t="shared" si="24"/>
        <v>-197.73087100652702</v>
      </c>
      <c r="BG8" s="123">
        <f t="shared" si="25"/>
        <v>-0.40036593172601603</v>
      </c>
    </row>
    <row r="9" spans="1:61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101"/>
      <c r="G9" s="101"/>
      <c r="H9" s="41"/>
      <c r="I9" s="41"/>
      <c r="J9" s="102">
        <v>4</v>
      </c>
      <c r="K9" s="103">
        <f t="shared" si="0"/>
        <v>0.1111111111111111</v>
      </c>
      <c r="L9" s="104">
        <v>66.84</v>
      </c>
      <c r="M9" s="105">
        <f t="shared" si="1"/>
        <v>0.16129032258064516</v>
      </c>
      <c r="N9" s="103">
        <f t="shared" si="2"/>
        <v>0.2413793103448276</v>
      </c>
      <c r="O9" s="103">
        <f t="shared" si="3"/>
        <v>0.17733195599775281</v>
      </c>
      <c r="P9" s="106">
        <f t="shared" si="4"/>
        <v>1</v>
      </c>
      <c r="Q9" s="107">
        <f t="shared" si="5"/>
        <v>18.045555555555556</v>
      </c>
      <c r="R9" s="107">
        <f t="shared" si="6"/>
        <v>18.045555555555556</v>
      </c>
      <c r="S9" s="107">
        <f t="shared" si="7"/>
        <v>5.1428571428571432</v>
      </c>
      <c r="T9" s="146">
        <f t="shared" si="8"/>
        <v>12</v>
      </c>
      <c r="U9" s="110">
        <f t="shared" si="9"/>
        <v>0.33333333333333331</v>
      </c>
      <c r="V9" s="71">
        <f t="shared" si="10"/>
        <v>0.3901853334154301</v>
      </c>
      <c r="W9" s="68">
        <v>42587</v>
      </c>
      <c r="X9" s="68">
        <v>273</v>
      </c>
      <c r="Y9" s="68">
        <v>24</v>
      </c>
      <c r="Z9" s="68">
        <v>253.48</v>
      </c>
      <c r="AA9" s="69">
        <v>425.76</v>
      </c>
      <c r="AB9" s="68">
        <v>0.93</v>
      </c>
      <c r="AC9" s="48">
        <f t="shared" si="11"/>
        <v>0.59535888763622702</v>
      </c>
      <c r="AD9" s="49">
        <f t="shared" si="12"/>
        <v>6.4104069316927702E-3</v>
      </c>
      <c r="AE9" s="49">
        <f t="shared" si="13"/>
        <v>8.7912087912087919E-2</v>
      </c>
      <c r="AF9" s="107">
        <f t="shared" si="14"/>
        <v>10.561666666666666</v>
      </c>
      <c r="AG9" s="113">
        <v>12</v>
      </c>
      <c r="AH9" s="114">
        <v>24</v>
      </c>
      <c r="AI9" s="118"/>
      <c r="AJ9" s="119"/>
      <c r="AK9" s="116">
        <f>AG9*产品成本!$D$11+AH9*产品成本!$D$12+AI9*产品成本!$D$13+AJ9*产品成本!$D$14</f>
        <v>211.26760563380279</v>
      </c>
      <c r="AL9" s="116">
        <f>AG9*产品成本!$E$11+AH9*产品成本!$E$12+AI9*产品成本!$E$13+AJ9*产品成本!$E$14</f>
        <v>12.891042253521142</v>
      </c>
      <c r="AM9" s="116">
        <f>AG9*产品成本!$F$11+AH9*产品成本!$F$12+AI9*产品成本!$F$13+AJ9*产品成本!$F$14</f>
        <v>12.24</v>
      </c>
      <c r="AN9" s="116">
        <f>AG9*产品成本!$G$11+AH9*产品成本!$G$12+AI9*产品成本!$G$13+AJ9*产品成本!$G$14</f>
        <v>140.39999999999998</v>
      </c>
      <c r="AO9" s="116">
        <f t="shared" si="15"/>
        <v>97.445999999999998</v>
      </c>
      <c r="AP9" s="117">
        <f t="shared" si="16"/>
        <v>474.24464788732394</v>
      </c>
      <c r="AQ9" s="118">
        <v>0</v>
      </c>
      <c r="AR9" s="118">
        <v>4</v>
      </c>
      <c r="AS9" s="118"/>
      <c r="AT9" s="119"/>
      <c r="AU9" s="120">
        <f t="shared" si="17"/>
        <v>81.512195121951223</v>
      </c>
      <c r="AV9" s="116">
        <f>AQ9*产品成本!$D$11+AR9*产品成本!$D$12+AS9*产品成本!$D$13+AT9*产品成本!$D$14</f>
        <v>24.7887323943662</v>
      </c>
      <c r="AW9" s="116">
        <f>AQ9*产品成本!$E$11+AR9*产品成本!$E$12+AS9*产品成本!$E$13+AT9*产品成本!$E$14</f>
        <v>1.4323380281690159</v>
      </c>
      <c r="AX9" s="116">
        <f>AQ9*产品成本!$F$11+AR9*产品成本!$F$12+AS9*产品成本!$F$13+AT9*产品成本!$F$14</f>
        <v>1.36</v>
      </c>
      <c r="AY9" s="116">
        <v>0</v>
      </c>
      <c r="AZ9" s="116">
        <f t="shared" si="18"/>
        <v>12.226829268292683</v>
      </c>
      <c r="BA9" s="116">
        <f t="shared" si="19"/>
        <v>-2.4453658536585365</v>
      </c>
      <c r="BB9" s="117">
        <f t="shared" si="20"/>
        <v>37.362533837169359</v>
      </c>
      <c r="BC9" s="122">
        <f t="shared" si="21"/>
        <v>436.8821140501546</v>
      </c>
      <c r="BD9" s="122">
        <f t="shared" si="22"/>
        <v>649.64</v>
      </c>
      <c r="BE9" s="122">
        <f t="shared" si="23"/>
        <v>568.12780487804878</v>
      </c>
      <c r="BF9" s="121">
        <f t="shared" si="24"/>
        <v>-122.23430917210581</v>
      </c>
      <c r="BG9" s="123">
        <f t="shared" si="25"/>
        <v>-0.21515283730628879</v>
      </c>
    </row>
    <row r="10" spans="1:61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101"/>
      <c r="G10" s="101"/>
      <c r="H10" s="41"/>
      <c r="I10" s="41"/>
      <c r="J10" s="102">
        <v>2</v>
      </c>
      <c r="K10" s="103">
        <f t="shared" si="0"/>
        <v>2.6666666666666668E-2</v>
      </c>
      <c r="L10" s="104">
        <v>29.9</v>
      </c>
      <c r="M10" s="105">
        <f t="shared" si="1"/>
        <v>1.0833333333333333</v>
      </c>
      <c r="N10" s="103">
        <f t="shared" si="2"/>
        <v>1.0833333333333333</v>
      </c>
      <c r="O10" s="103">
        <f t="shared" si="3"/>
        <v>1.054599470475956</v>
      </c>
      <c r="P10" s="106">
        <f t="shared" si="4"/>
        <v>1</v>
      </c>
      <c r="Q10" s="107">
        <f t="shared" si="5"/>
        <v>17.796666666666667</v>
      </c>
      <c r="R10" s="107">
        <f t="shared" si="6"/>
        <v>17.796666666666667</v>
      </c>
      <c r="S10" s="107">
        <f t="shared" si="7"/>
        <v>10.714285714285714</v>
      </c>
      <c r="T10" s="146">
        <f t="shared" si="8"/>
        <v>40</v>
      </c>
      <c r="U10" s="110">
        <f t="shared" si="9"/>
        <v>0.53333333333333333</v>
      </c>
      <c r="V10" s="71">
        <f t="shared" si="10"/>
        <v>0.1992657801086346</v>
      </c>
      <c r="W10" s="68">
        <v>61553</v>
      </c>
      <c r="X10" s="68">
        <v>276</v>
      </c>
      <c r="Y10" s="68">
        <v>35</v>
      </c>
      <c r="Z10" s="68">
        <v>265.97000000000003</v>
      </c>
      <c r="AA10" s="69">
        <v>627.65</v>
      </c>
      <c r="AB10" s="68">
        <v>0.96</v>
      </c>
      <c r="AC10" s="48">
        <f t="shared" si="11"/>
        <v>0.42375527762287907</v>
      </c>
      <c r="AD10" s="49">
        <f t="shared" si="12"/>
        <v>4.4839406690169448E-3</v>
      </c>
      <c r="AE10" s="49">
        <f t="shared" si="13"/>
        <v>0.12681159420289856</v>
      </c>
      <c r="AF10" s="107">
        <f t="shared" si="14"/>
        <v>7.5991428571428576</v>
      </c>
      <c r="AG10" s="113">
        <v>18</v>
      </c>
      <c r="AH10" s="114">
        <v>57</v>
      </c>
      <c r="AI10" s="118"/>
      <c r="AJ10" s="119"/>
      <c r="AK10" s="116">
        <f>AG10*产品成本!$D$11+AH10*产品成本!$D$12+AI10*产品成本!$D$13+AJ10*产品成本!$D$14</f>
        <v>447.04225352112672</v>
      </c>
      <c r="AL10" s="116">
        <f>AG10*产品成本!$E$11+AH10*产品成本!$E$12+AI10*产品成本!$E$13+AJ10*产品成本!$E$14</f>
        <v>26.856338028169048</v>
      </c>
      <c r="AM10" s="116">
        <f>AG10*产品成本!$F$11+AH10*产品成本!$F$12+AI10*产品成本!$F$13+AJ10*产品成本!$F$14</f>
        <v>25.500000000000004</v>
      </c>
      <c r="AN10" s="116">
        <f>AG10*产品成本!$G$11+AH10*产品成本!$G$12+AI10*产品成本!$G$13+AJ10*产品成本!$G$14</f>
        <v>292.5</v>
      </c>
      <c r="AO10" s="116">
        <f t="shared" si="15"/>
        <v>200.21250000000001</v>
      </c>
      <c r="AP10" s="117">
        <f t="shared" si="16"/>
        <v>992.11109154929579</v>
      </c>
      <c r="AQ10" s="118">
        <v>0</v>
      </c>
      <c r="AR10" s="118">
        <v>2</v>
      </c>
      <c r="AS10" s="118"/>
      <c r="AT10" s="119"/>
      <c r="AU10" s="120">
        <f t="shared" si="17"/>
        <v>36.463414634146339</v>
      </c>
      <c r="AV10" s="116">
        <f>AQ10*产品成本!$D$11+AR10*产品成本!$D$12+AS10*产品成本!$D$13+AT10*产品成本!$D$14</f>
        <v>12.3943661971831</v>
      </c>
      <c r="AW10" s="116">
        <f>AQ10*产品成本!$E$11+AR10*产品成本!$E$12+AS10*产品成本!$E$13+AT10*产品成本!$E$14</f>
        <v>0.71616901408450795</v>
      </c>
      <c r="AX10" s="116">
        <f>AQ10*产品成本!$F$11+AR10*产品成本!$F$12+AS10*产品成本!$F$13+AT10*产品成本!$F$14</f>
        <v>0.68</v>
      </c>
      <c r="AY10" s="116">
        <v>0</v>
      </c>
      <c r="AZ10" s="116">
        <f t="shared" si="18"/>
        <v>5.4695121951219505</v>
      </c>
      <c r="BA10" s="116">
        <f t="shared" si="19"/>
        <v>-1.0939024390243901</v>
      </c>
      <c r="BB10" s="117">
        <f t="shared" si="20"/>
        <v>18.16614496736517</v>
      </c>
      <c r="BC10" s="122">
        <f t="shared" si="21"/>
        <v>973.94494658193059</v>
      </c>
      <c r="BD10" s="122">
        <f t="shared" si="22"/>
        <v>1334.75</v>
      </c>
      <c r="BE10" s="122">
        <f t="shared" si="23"/>
        <v>1298.2865853658536</v>
      </c>
      <c r="BF10" s="121">
        <f t="shared" si="24"/>
        <v>58.371638783923004</v>
      </c>
      <c r="BG10" s="123">
        <f t="shared" si="25"/>
        <v>4.4960519073278443E-2</v>
      </c>
    </row>
    <row r="11" spans="1:61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101"/>
      <c r="G11" s="101"/>
      <c r="H11" s="41"/>
      <c r="I11" s="41"/>
      <c r="J11" s="102">
        <v>1</v>
      </c>
      <c r="K11" s="103">
        <f t="shared" si="0"/>
        <v>4.1666666666666664E-2</v>
      </c>
      <c r="L11" s="104">
        <v>22.56</v>
      </c>
      <c r="M11" s="105">
        <f t="shared" si="1"/>
        <v>-0.68</v>
      </c>
      <c r="N11" s="103">
        <f t="shared" si="2"/>
        <v>-0.68</v>
      </c>
      <c r="O11" s="103">
        <f t="shared" si="3"/>
        <v>-0.67351938565274394</v>
      </c>
      <c r="P11" s="106">
        <f t="shared" si="4"/>
        <v>1</v>
      </c>
      <c r="Q11" s="107">
        <f t="shared" si="5"/>
        <v>18.157083333333333</v>
      </c>
      <c r="R11" s="107">
        <f t="shared" si="6"/>
        <v>18.157083333333333</v>
      </c>
      <c r="S11" s="107">
        <f t="shared" si="7"/>
        <v>3.4285714285714284</v>
      </c>
      <c r="T11" s="146">
        <f t="shared" si="8"/>
        <v>4</v>
      </c>
      <c r="U11" s="110">
        <f t="shared" si="9"/>
        <v>0.16666666666666666</v>
      </c>
      <c r="V11" s="71">
        <f t="shared" si="10"/>
        <v>0.5259884801615532</v>
      </c>
      <c r="W11" s="68">
        <v>41499</v>
      </c>
      <c r="X11" s="68">
        <v>243</v>
      </c>
      <c r="Y11" s="68">
        <v>20</v>
      </c>
      <c r="Z11" s="68">
        <v>229.21</v>
      </c>
      <c r="AA11" s="69">
        <v>413.09</v>
      </c>
      <c r="AB11" s="68">
        <v>0.94</v>
      </c>
      <c r="AC11" s="48">
        <f t="shared" si="11"/>
        <v>0.5548669781403569</v>
      </c>
      <c r="AD11" s="49">
        <f t="shared" si="12"/>
        <v>5.8555627846454128E-3</v>
      </c>
      <c r="AE11" s="49">
        <f t="shared" si="13"/>
        <v>8.2304526748971193E-2</v>
      </c>
      <c r="AF11" s="107">
        <f t="shared" si="14"/>
        <v>11.4605</v>
      </c>
      <c r="AG11" s="113">
        <v>6</v>
      </c>
      <c r="AH11" s="114">
        <v>18</v>
      </c>
      <c r="AI11" s="118"/>
      <c r="AJ11" s="119"/>
      <c r="AK11" s="116">
        <f>AG11*产品成本!$D$11+AH11*产品成本!$D$12+AI11*产品成本!$D$13+AJ11*产品成本!$D$14</f>
        <v>142.81690140845069</v>
      </c>
      <c r="AL11" s="116">
        <f>AG11*产品成本!$E$11+AH11*产品成本!$E$12+AI11*产品成本!$E$13+AJ11*产品成本!$E$14</f>
        <v>8.5940281690140949</v>
      </c>
      <c r="AM11" s="116">
        <f>AG11*产品成本!$F$11+AH11*产品成本!$F$12+AI11*产品成本!$F$13+AJ11*产品成本!$F$14</f>
        <v>8.16</v>
      </c>
      <c r="AN11" s="116">
        <f>AG11*产品成本!$G$11+AH11*产品成本!$G$12+AI11*产品成本!$G$13+AJ11*产品成本!$G$14</f>
        <v>93.6</v>
      </c>
      <c r="AO11" s="116">
        <f t="shared" si="15"/>
        <v>65.365499999999997</v>
      </c>
      <c r="AP11" s="117">
        <f t="shared" si="16"/>
        <v>318.53642957746479</v>
      </c>
      <c r="AQ11" s="118">
        <v>0</v>
      </c>
      <c r="AR11" s="118">
        <v>1</v>
      </c>
      <c r="AS11" s="118"/>
      <c r="AT11" s="119"/>
      <c r="AU11" s="120">
        <f t="shared" si="17"/>
        <v>27.512195121951219</v>
      </c>
      <c r="AV11" s="116">
        <f>AQ11*产品成本!$D$11+AR11*产品成本!$D$12+AS11*产品成本!$D$13+AT11*产品成本!$D$14</f>
        <v>6.1971830985915499</v>
      </c>
      <c r="AW11" s="116">
        <f>AQ11*产品成本!$E$11+AR11*产品成本!$E$12+AS11*产品成本!$E$13+AT11*产品成本!$E$14</f>
        <v>0.35808450704225397</v>
      </c>
      <c r="AX11" s="116">
        <f>AQ11*产品成本!$F$11+AR11*产品成本!$F$12+AS11*产品成本!$F$13+AT11*产品成本!$F$14</f>
        <v>0.34</v>
      </c>
      <c r="AY11" s="116">
        <v>0</v>
      </c>
      <c r="AZ11" s="116">
        <f t="shared" si="18"/>
        <v>4.126829268292683</v>
      </c>
      <c r="BA11" s="116">
        <f t="shared" si="19"/>
        <v>-0.82536585365853665</v>
      </c>
      <c r="BB11" s="117">
        <f t="shared" si="20"/>
        <v>10.196731020267949</v>
      </c>
      <c r="BC11" s="122">
        <f t="shared" si="21"/>
        <v>308.33969855719681</v>
      </c>
      <c r="BD11" s="122">
        <f t="shared" si="22"/>
        <v>435.77</v>
      </c>
      <c r="BE11" s="122">
        <f t="shared" si="23"/>
        <v>408.25780487804877</v>
      </c>
      <c r="BF11" s="121">
        <f t="shared" si="24"/>
        <v>-129.29189367914805</v>
      </c>
      <c r="BG11" s="123">
        <f t="shared" si="25"/>
        <v>-0.31669178674433179</v>
      </c>
    </row>
    <row r="12" spans="1:61" ht="29.1" customHeight="1" x14ac:dyDescent="0.15">
      <c r="A12" s="70" t="s">
        <v>89</v>
      </c>
      <c r="B12" s="67" t="s">
        <v>90</v>
      </c>
      <c r="C12" s="67">
        <v>50</v>
      </c>
      <c r="D12" s="68">
        <v>43</v>
      </c>
      <c r="E12" s="41">
        <v>864.14</v>
      </c>
      <c r="F12" s="101"/>
      <c r="G12" s="101"/>
      <c r="H12" s="41"/>
      <c r="I12" s="41"/>
      <c r="J12" s="102">
        <v>0</v>
      </c>
      <c r="K12" s="103">
        <f t="shared" si="0"/>
        <v>0</v>
      </c>
      <c r="L12" s="104">
        <v>0</v>
      </c>
      <c r="M12" s="105">
        <f t="shared" si="1"/>
        <v>1.0833333333333333</v>
      </c>
      <c r="N12" s="103">
        <f t="shared" si="2"/>
        <v>0.79166666666666663</v>
      </c>
      <c r="O12" s="103">
        <f t="shared" si="3"/>
        <v>0.9830185648392501</v>
      </c>
      <c r="P12" s="106">
        <f t="shared" si="4"/>
        <v>1.1627906976744187</v>
      </c>
      <c r="Q12" s="107">
        <f t="shared" si="5"/>
        <v>20.096279069767441</v>
      </c>
      <c r="R12" s="107">
        <f t="shared" si="6"/>
        <v>17.282799999999998</v>
      </c>
      <c r="S12" s="107">
        <f t="shared" si="7"/>
        <v>7.1428571428571432</v>
      </c>
      <c r="T12" s="146">
        <f t="shared" si="8"/>
        <v>6</v>
      </c>
      <c r="U12" s="110">
        <f t="shared" si="9"/>
        <v>0.13953488372093023</v>
      </c>
      <c r="V12" s="71">
        <f t="shared" si="10"/>
        <v>0.46309625755085981</v>
      </c>
      <c r="W12" s="68">
        <v>69054</v>
      </c>
      <c r="X12" s="68">
        <v>405</v>
      </c>
      <c r="Y12" s="68">
        <v>37</v>
      </c>
      <c r="Z12" s="68">
        <v>400.18</v>
      </c>
      <c r="AA12" s="69">
        <v>739.13</v>
      </c>
      <c r="AB12" s="68">
        <v>0.99</v>
      </c>
      <c r="AC12" s="48">
        <f t="shared" si="11"/>
        <v>0.54142031848254024</v>
      </c>
      <c r="AD12" s="49">
        <f t="shared" si="12"/>
        <v>5.8649752367712221E-3</v>
      </c>
      <c r="AE12" s="49">
        <f t="shared" si="13"/>
        <v>9.1358024691358022E-2</v>
      </c>
      <c r="AF12" s="107">
        <f t="shared" si="14"/>
        <v>10.815675675675676</v>
      </c>
      <c r="AG12" s="113">
        <v>7</v>
      </c>
      <c r="AH12" s="114">
        <v>43</v>
      </c>
      <c r="AI12" s="118"/>
      <c r="AJ12" s="119"/>
      <c r="AK12" s="116">
        <f>AG12*产品成本!$D$11+AH12*产品成本!$D$12+AI12*产品成本!$D$13+AJ12*产品成本!$D$14</f>
        <v>302.95774647887328</v>
      </c>
      <c r="AL12" s="116">
        <f>AG12*产品成本!$E$11+AH12*产品成本!$E$12+AI12*产品成本!$E$13+AJ12*产品成本!$E$14</f>
        <v>17.9042253521127</v>
      </c>
      <c r="AM12" s="116">
        <f>AG12*产品成本!$F$11+AH12*产品成本!$F$12+AI12*产品成本!$F$13+AJ12*产品成本!$F$14</f>
        <v>17</v>
      </c>
      <c r="AN12" s="116">
        <f>AG12*产品成本!$G$11+AH12*产品成本!$G$12+AI12*产品成本!$G$13+AJ12*产品成本!$G$14</f>
        <v>195</v>
      </c>
      <c r="AO12" s="116">
        <f t="shared" si="15"/>
        <v>129.62099999999998</v>
      </c>
      <c r="AP12" s="117">
        <f t="shared" si="16"/>
        <v>662.482971830986</v>
      </c>
      <c r="AQ12" s="118">
        <v>0</v>
      </c>
      <c r="AR12" s="118">
        <v>0</v>
      </c>
      <c r="AS12" s="118"/>
      <c r="AT12" s="119"/>
      <c r="AU12" s="120">
        <f t="shared" si="17"/>
        <v>0</v>
      </c>
      <c r="AV12" s="116">
        <f>AQ12*产品成本!$D$11+AR12*产品成本!$D$12+AS12*产品成本!$D$13+AT12*产品成本!$D$14</f>
        <v>0</v>
      </c>
      <c r="AW12" s="116">
        <f>AQ12*产品成本!$E$11+AR12*产品成本!$E$12+AS12*产品成本!$E$13+AT12*产品成本!$E$14</f>
        <v>0</v>
      </c>
      <c r="AX12" s="116">
        <f>AQ12*产品成本!$F$11+AR12*产品成本!$F$12+AS12*产品成本!$F$13+AT12*产品成本!$F$14</f>
        <v>0</v>
      </c>
      <c r="AY12" s="116">
        <v>0</v>
      </c>
      <c r="AZ12" s="116">
        <f t="shared" si="18"/>
        <v>0</v>
      </c>
      <c r="BA12" s="116">
        <f t="shared" si="19"/>
        <v>0</v>
      </c>
      <c r="BB12" s="117">
        <f t="shared" si="20"/>
        <v>0</v>
      </c>
      <c r="BC12" s="122">
        <f t="shared" si="21"/>
        <v>662.482971830986</v>
      </c>
      <c r="BD12" s="122">
        <f t="shared" si="22"/>
        <v>864.14</v>
      </c>
      <c r="BE12" s="122">
        <f t="shared" si="23"/>
        <v>864.14</v>
      </c>
      <c r="BF12" s="121">
        <f t="shared" si="24"/>
        <v>-198.52297183098602</v>
      </c>
      <c r="BG12" s="123">
        <f t="shared" si="25"/>
        <v>-0.22973473260233992</v>
      </c>
      <c r="BI12" t="s">
        <v>276</v>
      </c>
    </row>
    <row r="13" spans="1:61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101"/>
      <c r="G13" s="101"/>
      <c r="H13" s="41"/>
      <c r="I13" s="41"/>
      <c r="J13" s="102">
        <v>3</v>
      </c>
      <c r="K13" s="103">
        <f t="shared" si="0"/>
        <v>5.5555555555555552E-2</v>
      </c>
      <c r="L13" s="104">
        <v>44.77</v>
      </c>
      <c r="M13" s="105">
        <f t="shared" si="1"/>
        <v>0.08</v>
      </c>
      <c r="N13" s="103">
        <f t="shared" si="2"/>
        <v>0.2558139534883721</v>
      </c>
      <c r="O13" s="103">
        <f t="shared" si="3"/>
        <v>0.30772791445830533</v>
      </c>
      <c r="P13" s="106">
        <f t="shared" si="4"/>
        <v>1</v>
      </c>
      <c r="Q13" s="107">
        <f t="shared" si="5"/>
        <v>20.927037037037035</v>
      </c>
      <c r="R13" s="140">
        <f t="shared" si="6"/>
        <v>20.927037037037035</v>
      </c>
      <c r="S13" s="108">
        <f t="shared" si="7"/>
        <v>7.7142857142857144</v>
      </c>
      <c r="T13" s="146">
        <f t="shared" si="8"/>
        <v>5</v>
      </c>
      <c r="U13" s="110">
        <f t="shared" si="9"/>
        <v>9.2592592592592587E-2</v>
      </c>
      <c r="V13" s="71">
        <f t="shared" si="10"/>
        <v>0.30501035343256111</v>
      </c>
      <c r="W13" s="68">
        <v>48538</v>
      </c>
      <c r="X13" s="68">
        <v>311</v>
      </c>
      <c r="Y13" s="68">
        <v>49</v>
      </c>
      <c r="Z13" s="68">
        <v>344.68</v>
      </c>
      <c r="AA13" s="69">
        <v>1028.6099999999999</v>
      </c>
      <c r="AB13" s="68">
        <v>1.1100000000000001</v>
      </c>
      <c r="AC13" s="48">
        <f t="shared" si="11"/>
        <v>0.3350929895684468</v>
      </c>
      <c r="AD13" s="49">
        <f t="shared" si="12"/>
        <v>6.4073509415303476E-3</v>
      </c>
      <c r="AE13" s="151">
        <f t="shared" si="13"/>
        <v>0.15755627009646303</v>
      </c>
      <c r="AF13" s="107">
        <f t="shared" si="14"/>
        <v>7.0342857142857147</v>
      </c>
      <c r="AG13" s="113">
        <v>14</v>
      </c>
      <c r="AH13" s="114">
        <v>40</v>
      </c>
      <c r="AI13" s="118"/>
      <c r="AJ13" s="119"/>
      <c r="AK13" s="116">
        <f>AG13*产品成本!$D$11+AH13*产品成本!$D$12+AI13*产品成本!$D$13+AJ13*产品成本!$D$14</f>
        <v>320.84507042253523</v>
      </c>
      <c r="AL13" s="116">
        <f>AG13*产品成本!$E$11+AH13*产品成本!$E$12+AI13*产品成本!$E$13+AJ13*产品成本!$E$14</f>
        <v>19.336563380281717</v>
      </c>
      <c r="AM13" s="116">
        <f>AG13*产品成本!$F$11+AH13*产品成本!$F$12+AI13*产品成本!$F$13+AJ13*产品成本!$F$14</f>
        <v>18.360000000000003</v>
      </c>
      <c r="AN13" s="116">
        <f>AG13*产品成本!$G$11+AH13*产品成本!$G$12+AI13*产品成本!$G$13+AJ13*产品成本!$G$14</f>
        <v>210.6</v>
      </c>
      <c r="AO13" s="116">
        <f t="shared" si="15"/>
        <v>169.50899999999999</v>
      </c>
      <c r="AP13" s="117">
        <f t="shared" si="16"/>
        <v>738.65063380281697</v>
      </c>
      <c r="AQ13" s="118">
        <v>0</v>
      </c>
      <c r="AR13" s="118">
        <v>3</v>
      </c>
      <c r="AS13" s="118"/>
      <c r="AT13" s="119"/>
      <c r="AU13" s="120">
        <f t="shared" si="17"/>
        <v>54.59756097560976</v>
      </c>
      <c r="AV13" s="116">
        <f>AQ13*产品成本!$D$11+AR13*产品成本!$D$12+AS13*产品成本!$D$13+AT13*产品成本!$D$14</f>
        <v>18.591549295774648</v>
      </c>
      <c r="AW13" s="116">
        <f>AQ13*产品成本!$E$11+AR13*产品成本!$E$12+AS13*产品成本!$E$13+AT13*产品成本!$E$14</f>
        <v>1.0742535211267619</v>
      </c>
      <c r="AX13" s="116">
        <f>AQ13*产品成本!$F$11+AR13*产品成本!$F$12+AS13*产品成本!$F$13+AT13*产品成本!$F$14</f>
        <v>1.02</v>
      </c>
      <c r="AY13" s="116">
        <v>0</v>
      </c>
      <c r="AZ13" s="116">
        <f t="shared" si="18"/>
        <v>8.1896341463414632</v>
      </c>
      <c r="BA13" s="116">
        <f t="shared" si="19"/>
        <v>-1.6379268292682927</v>
      </c>
      <c r="BB13" s="117">
        <f t="shared" si="20"/>
        <v>27.237510133974585</v>
      </c>
      <c r="BC13" s="122">
        <f t="shared" si="21"/>
        <v>711.41312366884233</v>
      </c>
      <c r="BD13" s="122">
        <f t="shared" si="22"/>
        <v>1130.06</v>
      </c>
      <c r="BE13" s="122">
        <f t="shared" si="23"/>
        <v>1075.4624390243903</v>
      </c>
      <c r="BF13" s="121">
        <f t="shared" si="24"/>
        <v>19.36931535554794</v>
      </c>
      <c r="BG13" s="123">
        <f t="shared" si="25"/>
        <v>1.8010220211055337E-2</v>
      </c>
      <c r="BI13" t="s">
        <v>328</v>
      </c>
    </row>
    <row r="14" spans="1:61" ht="29.1" customHeight="1" x14ac:dyDescent="0.15">
      <c r="A14" s="70" t="s">
        <v>95</v>
      </c>
      <c r="B14" s="67" t="s">
        <v>96</v>
      </c>
      <c r="C14" s="67">
        <v>82</v>
      </c>
      <c r="D14" s="68">
        <v>80</v>
      </c>
      <c r="E14" s="41">
        <v>1727.38</v>
      </c>
      <c r="F14" s="101"/>
      <c r="G14" s="101"/>
      <c r="H14" s="41"/>
      <c r="I14" s="41"/>
      <c r="J14" s="102">
        <v>5</v>
      </c>
      <c r="K14" s="103">
        <f t="shared" si="0"/>
        <v>6.097560975609756E-2</v>
      </c>
      <c r="L14" s="104">
        <v>91.95</v>
      </c>
      <c r="M14" s="105">
        <f t="shared" si="1"/>
        <v>0.51851851851851849</v>
      </c>
      <c r="N14" s="103">
        <f t="shared" si="2"/>
        <v>0.48148148148148145</v>
      </c>
      <c r="O14" s="103">
        <f t="shared" si="3"/>
        <v>0.52857370405111248</v>
      </c>
      <c r="P14" s="106">
        <f t="shared" si="4"/>
        <v>1.0249999999999999</v>
      </c>
      <c r="Q14" s="107">
        <f t="shared" si="5"/>
        <v>21.59225</v>
      </c>
      <c r="R14" s="140">
        <f t="shared" si="6"/>
        <v>21.065609756097562</v>
      </c>
      <c r="S14" s="108">
        <f t="shared" si="7"/>
        <v>11.714285714285714</v>
      </c>
      <c r="T14" s="146">
        <f t="shared" si="8"/>
        <v>8</v>
      </c>
      <c r="U14" s="110">
        <f t="shared" si="9"/>
        <v>0.1</v>
      </c>
      <c r="V14" s="71">
        <f t="shared" si="10"/>
        <v>0.44694276881751549</v>
      </c>
      <c r="W14" s="68">
        <v>94641</v>
      </c>
      <c r="X14" s="68">
        <v>652</v>
      </c>
      <c r="Y14" s="68">
        <v>72</v>
      </c>
      <c r="Z14" s="68">
        <v>772.04</v>
      </c>
      <c r="AA14" s="69">
        <v>1438.36</v>
      </c>
      <c r="AB14" s="68">
        <v>1.18</v>
      </c>
      <c r="AC14" s="48">
        <f t="shared" si="11"/>
        <v>0.53675018771378513</v>
      </c>
      <c r="AD14" s="49">
        <f t="shared" si="12"/>
        <v>6.8891917879143286E-3</v>
      </c>
      <c r="AE14" s="112">
        <f t="shared" si="13"/>
        <v>0.11042944785276074</v>
      </c>
      <c r="AF14" s="107">
        <f t="shared" si="14"/>
        <v>10.722777777777777</v>
      </c>
      <c r="AG14" s="113">
        <v>7</v>
      </c>
      <c r="AH14" s="114">
        <v>70</v>
      </c>
      <c r="AI14" s="118"/>
      <c r="AJ14" s="119"/>
      <c r="AK14" s="116">
        <f>AG14*产品成本!$D$11+AH14*产品成本!$D$12+AI14*产品成本!$D$13+AJ14*产品成本!$D$14</f>
        <v>470.28169014084511</v>
      </c>
      <c r="AL14" s="116">
        <f>AG14*产品成本!$E$11+AH14*产品成本!$E$12+AI14*产品成本!$E$13+AJ14*产品成本!$E$14</f>
        <v>27.572507042253555</v>
      </c>
      <c r="AM14" s="116">
        <f>AG14*产品成本!$F$11+AH14*产品成本!$F$12+AI14*产品成本!$F$13+AJ14*产品成本!$F$14</f>
        <v>26.18</v>
      </c>
      <c r="AN14" s="116">
        <f>AG14*产品成本!$G$11+AH14*产品成本!$G$12+AI14*产品成本!$G$13+AJ14*产品成本!$G$14</f>
        <v>300.3</v>
      </c>
      <c r="AO14" s="116">
        <f t="shared" si="15"/>
        <v>259.10700000000003</v>
      </c>
      <c r="AP14" s="117">
        <f t="shared" si="16"/>
        <v>1083.4411971830987</v>
      </c>
      <c r="AQ14" s="118">
        <v>0</v>
      </c>
      <c r="AR14" s="118">
        <v>5</v>
      </c>
      <c r="AS14" s="118"/>
      <c r="AT14" s="119"/>
      <c r="AU14" s="120">
        <f t="shared" si="17"/>
        <v>112.13414634146342</v>
      </c>
      <c r="AV14" s="116">
        <f>AQ14*产品成本!$D$11+AR14*产品成本!$D$12+AS14*产品成本!$D$13+AT14*产品成本!$D$14</f>
        <v>30.985915492957751</v>
      </c>
      <c r="AW14" s="116">
        <f>AQ14*产品成本!$E$11+AR14*产品成本!$E$12+AS14*产品成本!$E$13+AT14*产品成本!$E$14</f>
        <v>1.7904225352112699</v>
      </c>
      <c r="AX14" s="116">
        <f>AQ14*产品成本!$F$11+AR14*产品成本!$F$12+AS14*产品成本!$F$13+AT14*产品成本!$F$14</f>
        <v>1.7000000000000002</v>
      </c>
      <c r="AY14" s="116">
        <v>0</v>
      </c>
      <c r="AZ14" s="116">
        <f t="shared" si="18"/>
        <v>16.820121951219512</v>
      </c>
      <c r="BA14" s="116">
        <f t="shared" si="19"/>
        <v>-3.3640243902439027</v>
      </c>
      <c r="BB14" s="117">
        <f t="shared" si="20"/>
        <v>47.932435589144632</v>
      </c>
      <c r="BC14" s="122">
        <f t="shared" si="21"/>
        <v>1035.508761593954</v>
      </c>
      <c r="BD14" s="122">
        <f t="shared" si="22"/>
        <v>1727.38</v>
      </c>
      <c r="BE14" s="122">
        <f t="shared" si="23"/>
        <v>1615.2458536585366</v>
      </c>
      <c r="BF14" s="121">
        <f t="shared" si="24"/>
        <v>-192.30290793541735</v>
      </c>
      <c r="BG14" s="123">
        <f t="shared" si="25"/>
        <v>-0.11905488412172717</v>
      </c>
      <c r="BH14" s="125"/>
      <c r="BI14" s="125" t="s">
        <v>329</v>
      </c>
    </row>
    <row r="15" spans="1:61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101"/>
      <c r="G15" s="101"/>
      <c r="H15" s="41"/>
      <c r="I15" s="41"/>
      <c r="J15" s="102">
        <v>5</v>
      </c>
      <c r="K15" s="103">
        <f t="shared" si="0"/>
        <v>7.2463768115942032E-2</v>
      </c>
      <c r="L15" s="104">
        <v>65.89</v>
      </c>
      <c r="M15" s="105">
        <f t="shared" si="1"/>
        <v>-0.15853658536585366</v>
      </c>
      <c r="N15" s="103">
        <f t="shared" si="2"/>
        <v>-0.17499999999999999</v>
      </c>
      <c r="O15" s="103">
        <f t="shared" si="3"/>
        <v>-0.22114416052055713</v>
      </c>
      <c r="P15" s="106">
        <f t="shared" si="4"/>
        <v>1.0454545454545454</v>
      </c>
      <c r="Q15" s="107">
        <f t="shared" si="5"/>
        <v>20.384545454545457</v>
      </c>
      <c r="R15" s="140">
        <f t="shared" si="6"/>
        <v>19.498260869565218</v>
      </c>
      <c r="S15" s="108">
        <f t="shared" si="7"/>
        <v>9.8571428571428577</v>
      </c>
      <c r="T15" s="146">
        <f t="shared" si="8"/>
        <v>16</v>
      </c>
      <c r="U15" s="110">
        <f t="shared" si="9"/>
        <v>0.24242424242424243</v>
      </c>
      <c r="V15" s="71">
        <f t="shared" si="10"/>
        <v>0.43744518277364008</v>
      </c>
      <c r="W15" s="68">
        <v>64444</v>
      </c>
      <c r="X15" s="68">
        <v>508</v>
      </c>
      <c r="Y15" s="68">
        <v>50</v>
      </c>
      <c r="Z15" s="68">
        <v>588.53</v>
      </c>
      <c r="AA15" s="69">
        <v>1004.18</v>
      </c>
      <c r="AB15" s="68">
        <v>1.1599999999999999</v>
      </c>
      <c r="AC15" s="48">
        <f t="shared" si="11"/>
        <v>0.58608018482742141</v>
      </c>
      <c r="AD15" s="49">
        <f t="shared" si="12"/>
        <v>7.8828129849171369E-3</v>
      </c>
      <c r="AE15" s="112">
        <f t="shared" si="13"/>
        <v>9.8425196850393706E-2</v>
      </c>
      <c r="AF15" s="107">
        <f t="shared" si="14"/>
        <v>11.7706</v>
      </c>
      <c r="AG15" s="113">
        <v>10</v>
      </c>
      <c r="AH15" s="114">
        <v>59</v>
      </c>
      <c r="AI15" s="118"/>
      <c r="AJ15" s="119"/>
      <c r="AK15" s="116">
        <f>AG15*产品成本!$D$11+AH15*产品成本!$D$12+AI15*产品成本!$D$13+AJ15*产品成本!$D$14</f>
        <v>417.74647887323943</v>
      </c>
      <c r="AL15" s="116">
        <f>AG15*产品成本!$E$11+AH15*产品成本!$E$12+AI15*产品成本!$E$13+AJ15*产品成本!$E$14</f>
        <v>24.707830985915525</v>
      </c>
      <c r="AM15" s="116">
        <f>AG15*产品成本!$F$11+AH15*产品成本!$F$12+AI15*产品成本!$F$13+AJ15*产品成本!$F$14</f>
        <v>23.46</v>
      </c>
      <c r="AN15" s="116">
        <f>AG15*产品成本!$G$11+AH15*产品成本!$G$12+AI15*产品成本!$G$13+AJ15*产品成本!$G$14</f>
        <v>269.10000000000002</v>
      </c>
      <c r="AO15" s="116">
        <f t="shared" si="15"/>
        <v>201.80700000000002</v>
      </c>
      <c r="AP15" s="117">
        <f t="shared" si="16"/>
        <v>936.82130985915501</v>
      </c>
      <c r="AQ15" s="118">
        <v>1</v>
      </c>
      <c r="AR15" s="118">
        <v>4</v>
      </c>
      <c r="AS15" s="118"/>
      <c r="AT15" s="119"/>
      <c r="AU15" s="120">
        <f t="shared" si="17"/>
        <v>80.353658536585371</v>
      </c>
      <c r="AV15" s="116">
        <f>AQ15*产品成本!$D$11+AR15*产品成本!$D$12+AS15*产品成本!$D$13+AT15*产品成本!$D$14</f>
        <v>30</v>
      </c>
      <c r="AW15" s="116">
        <f>AQ15*产品成本!$E$11+AR15*产品成本!$E$12+AS15*产品成本!$E$13+AT15*产品成本!$E$14</f>
        <v>1.7904225352112699</v>
      </c>
      <c r="AX15" s="116">
        <f>AQ15*产品成本!$F$11+AR15*产品成本!$F$12+AS15*产品成本!$F$13+AT15*产品成本!$F$14</f>
        <v>1.7000000000000002</v>
      </c>
      <c r="AY15" s="116">
        <v>0</v>
      </c>
      <c r="AZ15" s="116">
        <f t="shared" si="18"/>
        <v>12.053048780487805</v>
      </c>
      <c r="BA15" s="116">
        <f t="shared" si="19"/>
        <v>-2.410609756097561</v>
      </c>
      <c r="BB15" s="117">
        <f t="shared" si="20"/>
        <v>43.132861559601515</v>
      </c>
      <c r="BC15" s="122">
        <f t="shared" si="21"/>
        <v>893.68844829955344</v>
      </c>
      <c r="BD15" s="122">
        <f t="shared" si="22"/>
        <v>1345.38</v>
      </c>
      <c r="BE15" s="122">
        <f t="shared" si="23"/>
        <v>1265.0263414634148</v>
      </c>
      <c r="BF15" s="121">
        <f t="shared" si="24"/>
        <v>-217.19210683613858</v>
      </c>
      <c r="BG15" s="123">
        <f t="shared" si="25"/>
        <v>-0.17168978994135822</v>
      </c>
      <c r="BH15" s="125"/>
      <c r="BI15" s="125" t="s">
        <v>330</v>
      </c>
    </row>
    <row r="16" spans="1:61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101"/>
      <c r="G16" s="101"/>
      <c r="H16" s="41"/>
      <c r="I16" s="41"/>
      <c r="J16" s="102">
        <v>7</v>
      </c>
      <c r="K16" s="103">
        <f t="shared" si="0"/>
        <v>9.5890410958904104E-2</v>
      </c>
      <c r="L16" s="104">
        <v>121.93</v>
      </c>
      <c r="M16" s="105">
        <f t="shared" si="1"/>
        <v>5.7971014492753624E-2</v>
      </c>
      <c r="N16" s="103">
        <f t="shared" si="2"/>
        <v>0.10606060606060606</v>
      </c>
      <c r="O16" s="103">
        <f t="shared" si="3"/>
        <v>-6.4665744993988182E-4</v>
      </c>
      <c r="P16" s="106">
        <f t="shared" si="4"/>
        <v>1</v>
      </c>
      <c r="Q16" s="107">
        <f t="shared" si="5"/>
        <v>18.417945205479452</v>
      </c>
      <c r="R16" s="140">
        <f t="shared" si="6"/>
        <v>18.417945205479452</v>
      </c>
      <c r="S16" s="108">
        <f t="shared" si="7"/>
        <v>10.428571428571429</v>
      </c>
      <c r="T16" s="146">
        <f t="shared" si="8"/>
        <v>15</v>
      </c>
      <c r="U16" s="110">
        <f t="shared" si="9"/>
        <v>0.20547945205479451</v>
      </c>
      <c r="V16" s="71">
        <f t="shared" si="10"/>
        <v>0.49340651984737932</v>
      </c>
      <c r="W16" s="68">
        <v>67700</v>
      </c>
      <c r="X16" s="68">
        <v>587</v>
      </c>
      <c r="Y16" s="68">
        <v>58</v>
      </c>
      <c r="Z16" s="68">
        <v>663.39</v>
      </c>
      <c r="AA16" s="69">
        <v>1028.93</v>
      </c>
      <c r="AB16" s="68">
        <v>1.1299999999999999</v>
      </c>
      <c r="AC16" s="48">
        <f t="shared" si="11"/>
        <v>0.64473773726103811</v>
      </c>
      <c r="AD16" s="49">
        <f t="shared" si="12"/>
        <v>8.6706056129985231E-3</v>
      </c>
      <c r="AE16" s="112">
        <f t="shared" si="13"/>
        <v>9.8807495741056212E-2</v>
      </c>
      <c r="AF16" s="107">
        <f t="shared" si="14"/>
        <v>11.437758620689655</v>
      </c>
      <c r="AG16" s="113">
        <v>9</v>
      </c>
      <c r="AH16" s="114">
        <v>64</v>
      </c>
      <c r="AI16" s="118"/>
      <c r="AJ16" s="119"/>
      <c r="AK16" s="116">
        <f>AG16*产品成本!$D$11+AH16*产品成本!$D$12+AI16*产品成本!$D$13+AJ16*产品成本!$D$14</f>
        <v>443.52112676056339</v>
      </c>
      <c r="AL16" s="116">
        <f>AG16*产品成本!$E$11+AH16*产品成本!$E$12+AI16*产品成本!$E$13+AJ16*产品成本!$E$14</f>
        <v>26.140169014084542</v>
      </c>
      <c r="AM16" s="116">
        <f>AG16*产品成本!$F$11+AH16*产品成本!$F$12+AI16*产品成本!$F$13+AJ16*产品成本!$F$14</f>
        <v>24.82</v>
      </c>
      <c r="AN16" s="116">
        <f>AG16*产品成本!$G$11+AH16*产品成本!$G$12+AI16*产品成本!$G$13+AJ16*产品成本!$G$14</f>
        <v>284.7</v>
      </c>
      <c r="AO16" s="116">
        <f t="shared" si="15"/>
        <v>201.6765</v>
      </c>
      <c r="AP16" s="117">
        <f t="shared" si="16"/>
        <v>980.85779577464791</v>
      </c>
      <c r="AQ16" s="118">
        <v>3</v>
      </c>
      <c r="AR16" s="118">
        <v>4</v>
      </c>
      <c r="AS16" s="118"/>
      <c r="AT16" s="119"/>
      <c r="AU16" s="120">
        <f t="shared" si="17"/>
        <v>148.69512195121953</v>
      </c>
      <c r="AV16" s="116">
        <f>AQ16*产品成本!$D$11+AR16*产品成本!$D$12+AS16*产品成本!$D$13+AT16*产品成本!$D$14</f>
        <v>40.422535211267601</v>
      </c>
      <c r="AW16" s="116">
        <f>AQ16*产品成本!$E$11+AR16*产品成本!$E$12+AS16*产品成本!$E$13+AT16*产品成本!$E$14</f>
        <v>2.506591549295778</v>
      </c>
      <c r="AX16" s="116">
        <f>AQ16*产品成本!$F$11+AR16*产品成本!$F$12+AS16*产品成本!$F$13+AT16*产品成本!$F$14</f>
        <v>2.38</v>
      </c>
      <c r="AY16" s="116">
        <v>0</v>
      </c>
      <c r="AZ16" s="116">
        <f t="shared" si="18"/>
        <v>22.304268292682931</v>
      </c>
      <c r="BA16" s="116">
        <f t="shared" si="19"/>
        <v>-4.4608536585365863</v>
      </c>
      <c r="BB16" s="117">
        <f t="shared" si="20"/>
        <v>63.152541394709722</v>
      </c>
      <c r="BC16" s="122">
        <f t="shared" si="21"/>
        <v>917.7052543799382</v>
      </c>
      <c r="BD16" s="122">
        <f t="shared" si="22"/>
        <v>1344.51</v>
      </c>
      <c r="BE16" s="122">
        <f t="shared" si="23"/>
        <v>1195.8148780487804</v>
      </c>
      <c r="BF16" s="121">
        <f t="shared" si="24"/>
        <v>-385.28037633115775</v>
      </c>
      <c r="BG16" s="123">
        <f t="shared" si="25"/>
        <v>-0.32219065292097926</v>
      </c>
      <c r="BI16" t="s">
        <v>331</v>
      </c>
    </row>
    <row r="17" spans="1:61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101"/>
      <c r="G17" s="101"/>
      <c r="H17" s="41"/>
      <c r="I17" s="41"/>
      <c r="J17" s="102">
        <v>7</v>
      </c>
      <c r="K17" s="103">
        <f t="shared" si="0"/>
        <v>0.16279069767441862</v>
      </c>
      <c r="L17" s="104">
        <v>115.35</v>
      </c>
      <c r="M17" s="105">
        <f t="shared" si="1"/>
        <v>-0.41095890410958902</v>
      </c>
      <c r="N17" s="103">
        <f t="shared" si="2"/>
        <v>-0.42465753424657532</v>
      </c>
      <c r="O17" s="103">
        <f t="shared" si="3"/>
        <v>-0.39891856512781609</v>
      </c>
      <c r="P17" s="106">
        <f t="shared" si="4"/>
        <v>1.0238095238095237</v>
      </c>
      <c r="Q17" s="107">
        <f t="shared" si="5"/>
        <v>19.24190476190476</v>
      </c>
      <c r="R17" s="140">
        <f t="shared" si="6"/>
        <v>18.794418604651163</v>
      </c>
      <c r="S17" s="108">
        <f t="shared" si="7"/>
        <v>6.1428571428571432</v>
      </c>
      <c r="T17" s="146">
        <f t="shared" si="8"/>
        <v>8</v>
      </c>
      <c r="U17" s="110">
        <f t="shared" si="9"/>
        <v>0.19047619047619047</v>
      </c>
      <c r="V17" s="71">
        <f t="shared" si="10"/>
        <v>0.52841021579885172</v>
      </c>
      <c r="W17" s="68">
        <v>42564</v>
      </c>
      <c r="X17" s="68">
        <v>394</v>
      </c>
      <c r="Y17" s="68">
        <v>34</v>
      </c>
      <c r="Z17" s="68">
        <v>427.04</v>
      </c>
      <c r="AA17" s="69">
        <v>654.69000000000005</v>
      </c>
      <c r="AB17" s="68">
        <v>1.08</v>
      </c>
      <c r="AC17" s="48">
        <f t="shared" si="11"/>
        <v>0.65227817745803351</v>
      </c>
      <c r="AD17" s="49">
        <f t="shared" si="12"/>
        <v>9.2566488112019556E-3</v>
      </c>
      <c r="AE17" s="112">
        <f t="shared" si="13"/>
        <v>8.6294416243654817E-2</v>
      </c>
      <c r="AF17" s="107">
        <f t="shared" si="14"/>
        <v>12.56</v>
      </c>
      <c r="AG17" s="113">
        <v>6</v>
      </c>
      <c r="AH17" s="114">
        <v>37</v>
      </c>
      <c r="AI17" s="118"/>
      <c r="AJ17" s="119"/>
      <c r="AK17" s="116">
        <f>AG17*产品成本!$D$11+AH17*产品成本!$D$12+AI17*产品成本!$D$13+AJ17*产品成本!$D$14</f>
        <v>260.56338028169017</v>
      </c>
      <c r="AL17" s="116">
        <f>AG17*产品成本!$E$11+AH17*产品成本!$E$12+AI17*产品成本!$E$13+AJ17*产品成本!$E$14</f>
        <v>15.397633802816921</v>
      </c>
      <c r="AM17" s="116">
        <f>AG17*产品成本!$F$11+AH17*产品成本!$F$12+AI17*产品成本!$F$13+AJ17*产品成本!$F$14</f>
        <v>14.620000000000001</v>
      </c>
      <c r="AN17" s="116">
        <f>AG17*产品成本!$G$11+AH17*产品成本!$G$12+AI17*产品成本!$G$13+AJ17*产品成本!$G$14</f>
        <v>167.7</v>
      </c>
      <c r="AO17" s="116">
        <f t="shared" si="15"/>
        <v>121.22399999999999</v>
      </c>
      <c r="AP17" s="117">
        <f t="shared" si="16"/>
        <v>579.50501408450714</v>
      </c>
      <c r="AQ17" s="118">
        <v>2</v>
      </c>
      <c r="AR17" s="118">
        <v>5</v>
      </c>
      <c r="AS17" s="118"/>
      <c r="AT17" s="119"/>
      <c r="AU17" s="120">
        <f t="shared" si="17"/>
        <v>140.67073170731709</v>
      </c>
      <c r="AV17" s="116">
        <f>AQ17*产品成本!$D$11+AR17*产品成本!$D$12+AS17*产品成本!$D$13+AT17*产品成本!$D$14</f>
        <v>41.408450704225352</v>
      </c>
      <c r="AW17" s="116">
        <f>AQ17*产品成本!$E$11+AR17*产品成本!$E$12+AS17*产品成本!$E$13+AT17*产品成本!$E$14</f>
        <v>2.506591549295778</v>
      </c>
      <c r="AX17" s="116">
        <f>AQ17*产品成本!$F$11+AR17*产品成本!$F$12+AS17*产品成本!$F$13+AT17*产品成本!$F$14</f>
        <v>2.3800000000000003</v>
      </c>
      <c r="AY17" s="116">
        <v>0</v>
      </c>
      <c r="AZ17" s="116">
        <f t="shared" si="18"/>
        <v>21.100609756097562</v>
      </c>
      <c r="BA17" s="116">
        <f t="shared" si="19"/>
        <v>-4.2201219512195127</v>
      </c>
      <c r="BB17" s="117">
        <f t="shared" si="20"/>
        <v>63.175530058399175</v>
      </c>
      <c r="BC17" s="122">
        <f t="shared" si="21"/>
        <v>516.32948402610793</v>
      </c>
      <c r="BD17" s="122">
        <f t="shared" si="22"/>
        <v>808.16</v>
      </c>
      <c r="BE17" s="122">
        <f t="shared" si="23"/>
        <v>667.48926829268294</v>
      </c>
      <c r="BF17" s="121">
        <f t="shared" si="24"/>
        <v>-275.88021573342502</v>
      </c>
      <c r="BG17" s="123">
        <f t="shared" si="25"/>
        <v>-0.41331033896481484</v>
      </c>
      <c r="BH17" s="125"/>
      <c r="BI17" s="125" t="s">
        <v>332</v>
      </c>
    </row>
    <row r="18" spans="1:61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101"/>
      <c r="G18" s="101"/>
      <c r="H18" s="41"/>
      <c r="I18" s="41"/>
      <c r="J18" s="102">
        <v>9</v>
      </c>
      <c r="K18" s="103">
        <f t="shared" si="0"/>
        <v>0.39130434782608697</v>
      </c>
      <c r="L18" s="104">
        <v>149.31</v>
      </c>
      <c r="M18" s="105">
        <f t="shared" si="1"/>
        <v>-0.46511627906976744</v>
      </c>
      <c r="N18" s="103">
        <f t="shared" si="2"/>
        <v>-0.47619047619047616</v>
      </c>
      <c r="O18" s="103">
        <f t="shared" si="3"/>
        <v>-0.41413828944763409</v>
      </c>
      <c r="P18" s="106">
        <f t="shared" si="4"/>
        <v>1.0454545454545454</v>
      </c>
      <c r="Q18" s="107">
        <f t="shared" si="5"/>
        <v>21.521363636363638</v>
      </c>
      <c r="R18" s="140">
        <f t="shared" si="6"/>
        <v>20.585652173913044</v>
      </c>
      <c r="S18" s="108">
        <f t="shared" si="7"/>
        <v>3.2857142857142856</v>
      </c>
      <c r="T18" s="146">
        <f t="shared" si="8"/>
        <v>5</v>
      </c>
      <c r="U18" s="110">
        <f t="shared" si="9"/>
        <v>0.22727272727272727</v>
      </c>
      <c r="V18" s="71">
        <f t="shared" si="10"/>
        <v>0.55133376982702176</v>
      </c>
      <c r="W18" s="68">
        <v>30607</v>
      </c>
      <c r="X18" s="68">
        <v>255</v>
      </c>
      <c r="Y18" s="68">
        <v>17</v>
      </c>
      <c r="Z18" s="68">
        <v>261.04000000000002</v>
      </c>
      <c r="AA18" s="69">
        <v>349.13</v>
      </c>
      <c r="AB18" s="68">
        <v>1.02</v>
      </c>
      <c r="AC18" s="48">
        <f t="shared" si="11"/>
        <v>0.74768710795405735</v>
      </c>
      <c r="AD18" s="49">
        <f t="shared" si="12"/>
        <v>8.3314274512366459E-3</v>
      </c>
      <c r="AE18" s="112">
        <f t="shared" si="13"/>
        <v>6.6666666666666666E-2</v>
      </c>
      <c r="AF18" s="107">
        <f t="shared" si="14"/>
        <v>15.355294117647061</v>
      </c>
      <c r="AG18" s="113">
        <v>1</v>
      </c>
      <c r="AH18" s="114">
        <v>22</v>
      </c>
      <c r="AI18" s="118"/>
      <c r="AJ18" s="119"/>
      <c r="AK18" s="116">
        <f>AG18*产品成本!$D$11+AH18*产品成本!$D$12+AI18*产品成本!$D$13+AJ18*产品成本!$D$14</f>
        <v>141.5492957746479</v>
      </c>
      <c r="AL18" s="116">
        <f>AG18*产品成本!$E$11+AH18*产品成本!$E$12+AI18*产品成本!$E$13+AJ18*产品成本!$E$14</f>
        <v>8.2359436619718416</v>
      </c>
      <c r="AM18" s="116">
        <f>AG18*产品成本!$F$11+AH18*产品成本!$F$12+AI18*产品成本!$F$13+AJ18*产品成本!$F$14</f>
        <v>7.82</v>
      </c>
      <c r="AN18" s="116">
        <f>AG18*产品成本!$G$11+AH18*产品成本!$G$12+AI18*产品成本!$G$13+AJ18*产品成本!$G$14</f>
        <v>89.7</v>
      </c>
      <c r="AO18" s="116">
        <f t="shared" si="15"/>
        <v>71.020499999999998</v>
      </c>
      <c r="AP18" s="117">
        <f t="shared" si="16"/>
        <v>318.32573943661976</v>
      </c>
      <c r="AQ18" s="118">
        <v>3</v>
      </c>
      <c r="AR18" s="118">
        <v>6</v>
      </c>
      <c r="AS18" s="118"/>
      <c r="AT18" s="119"/>
      <c r="AU18" s="120">
        <f t="shared" si="17"/>
        <v>182.08536585365854</v>
      </c>
      <c r="AV18" s="116">
        <f>AQ18*产品成本!$D$11+AR18*产品成本!$D$12+AS18*产品成本!$D$13+AT18*产品成本!$D$14</f>
        <v>52.816901408450697</v>
      </c>
      <c r="AW18" s="116">
        <f>AQ18*产品成本!$E$11+AR18*产品成本!$E$12+AS18*产品成本!$E$13+AT18*产品成本!$E$14</f>
        <v>3.2227605633802856</v>
      </c>
      <c r="AX18" s="116">
        <f>AQ18*产品成本!$F$11+AR18*产品成本!$F$12+AS18*产品成本!$F$13+AT18*产品成本!$F$14</f>
        <v>3.06</v>
      </c>
      <c r="AY18" s="116">
        <v>0</v>
      </c>
      <c r="AZ18" s="116">
        <f t="shared" si="18"/>
        <v>27.31280487804878</v>
      </c>
      <c r="BA18" s="116">
        <f t="shared" si="19"/>
        <v>-5.4625609756097564</v>
      </c>
      <c r="BB18" s="117">
        <f t="shared" si="20"/>
        <v>80.949905874270002</v>
      </c>
      <c r="BC18" s="122">
        <f t="shared" si="21"/>
        <v>237.37583356234975</v>
      </c>
      <c r="BD18" s="122">
        <f t="shared" si="22"/>
        <v>473.47</v>
      </c>
      <c r="BE18" s="122">
        <f t="shared" si="23"/>
        <v>291.38463414634145</v>
      </c>
      <c r="BF18" s="121">
        <f t="shared" si="24"/>
        <v>-207.03119941600832</v>
      </c>
      <c r="BG18" s="123">
        <f t="shared" si="25"/>
        <v>-0.71050829438051799</v>
      </c>
      <c r="BI18" t="s">
        <v>333</v>
      </c>
    </row>
    <row r="19" spans="1:61" ht="29.1" customHeight="1" x14ac:dyDescent="0.15">
      <c r="A19" s="38" t="s">
        <v>110</v>
      </c>
      <c r="B19" s="66" t="s">
        <v>111</v>
      </c>
      <c r="C19" s="67">
        <v>25</v>
      </c>
      <c r="D19" s="68">
        <v>25</v>
      </c>
      <c r="E19" s="41">
        <v>487.45</v>
      </c>
      <c r="F19" s="101"/>
      <c r="G19" s="101"/>
      <c r="H19" s="41"/>
      <c r="I19" s="41"/>
      <c r="J19" s="102">
        <v>0</v>
      </c>
      <c r="K19" s="103">
        <f t="shared" si="0"/>
        <v>0</v>
      </c>
      <c r="L19" s="104">
        <v>0</v>
      </c>
      <c r="M19" s="105">
        <f t="shared" si="1"/>
        <v>8.6956521739130432E-2</v>
      </c>
      <c r="N19" s="103">
        <f t="shared" si="2"/>
        <v>0.13636363636363635</v>
      </c>
      <c r="O19" s="103">
        <f t="shared" si="3"/>
        <v>2.9526685956871523E-2</v>
      </c>
      <c r="P19" s="106">
        <f t="shared" si="4"/>
        <v>1</v>
      </c>
      <c r="Q19" s="107">
        <f t="shared" si="5"/>
        <v>19.498000000000001</v>
      </c>
      <c r="R19" s="140">
        <f t="shared" si="6"/>
        <v>19.498000000000001</v>
      </c>
      <c r="S19" s="108">
        <f t="shared" si="7"/>
        <v>3.5714285714285716</v>
      </c>
      <c r="T19" s="146">
        <f t="shared" si="8"/>
        <v>8</v>
      </c>
      <c r="U19" s="110">
        <f t="shared" si="9"/>
        <v>0.32</v>
      </c>
      <c r="V19" s="71">
        <f t="shared" si="10"/>
        <v>0.58373166478613192</v>
      </c>
      <c r="W19" s="68">
        <v>36519</v>
      </c>
      <c r="X19" s="68">
        <v>293</v>
      </c>
      <c r="Y19" s="68">
        <v>17</v>
      </c>
      <c r="Z19" s="68">
        <v>284.54000000000002</v>
      </c>
      <c r="AA19" s="69">
        <v>340.43</v>
      </c>
      <c r="AB19" s="68">
        <v>0.97</v>
      </c>
      <c r="AC19" s="48">
        <f t="shared" si="11"/>
        <v>0.83582527979320276</v>
      </c>
      <c r="AD19" s="49">
        <f t="shared" si="12"/>
        <v>8.023220789178236E-3</v>
      </c>
      <c r="AE19" s="112">
        <f t="shared" si="13"/>
        <v>5.8020477815699661E-2</v>
      </c>
      <c r="AF19" s="107">
        <f t="shared" si="14"/>
        <v>16.73764705882353</v>
      </c>
      <c r="AG19" s="113">
        <v>7</v>
      </c>
      <c r="AH19" s="114">
        <v>18</v>
      </c>
      <c r="AI19" s="118"/>
      <c r="AJ19" s="119"/>
      <c r="AK19" s="116">
        <f>AG19*产品成本!$D$11+AH19*产品成本!$D$12+AI19*产品成本!$D$13+AJ19*产品成本!$D$14</f>
        <v>148.02816901408451</v>
      </c>
      <c r="AL19" s="116">
        <f>AG19*产品成本!$E$11+AH19*产品成本!$E$12+AI19*产品成本!$E$13+AJ19*产品成本!$E$14</f>
        <v>8.9521126760563483</v>
      </c>
      <c r="AM19" s="116">
        <f>AG19*产品成本!$F$11+AH19*产品成本!$F$12+AI19*产品成本!$F$13+AJ19*产品成本!$F$14</f>
        <v>8.5</v>
      </c>
      <c r="AN19" s="116">
        <f>AG19*产品成本!$G$11+AH19*产品成本!$G$12+AI19*产品成本!$G$13+AJ19*产品成本!$G$14</f>
        <v>97.5</v>
      </c>
      <c r="AO19" s="116">
        <f t="shared" si="15"/>
        <v>73.117499999999993</v>
      </c>
      <c r="AP19" s="117">
        <f t="shared" si="16"/>
        <v>336.09778169014083</v>
      </c>
      <c r="AQ19" s="118">
        <v>0</v>
      </c>
      <c r="AR19" s="118">
        <v>0</v>
      </c>
      <c r="AS19" s="118"/>
      <c r="AT19" s="119"/>
      <c r="AU19" s="120">
        <f t="shared" si="17"/>
        <v>0</v>
      </c>
      <c r="AV19" s="116">
        <f>AQ19*产品成本!$D$11+AR19*产品成本!$D$12+AS19*产品成本!$D$13+AT19*产品成本!$D$14</f>
        <v>0</v>
      </c>
      <c r="AW19" s="116">
        <f>AQ19*产品成本!$E$11+AR19*产品成本!$E$12+AS19*产品成本!$E$13+AT19*产品成本!$E$14</f>
        <v>0</v>
      </c>
      <c r="AX19" s="116">
        <f>AQ19*产品成本!$F$11+AR19*产品成本!$F$12+AS19*产品成本!$F$13+AT19*产品成本!$F$14</f>
        <v>0</v>
      </c>
      <c r="AY19" s="116">
        <v>0</v>
      </c>
      <c r="AZ19" s="116">
        <f t="shared" si="18"/>
        <v>0</v>
      </c>
      <c r="BA19" s="116">
        <f t="shared" si="19"/>
        <v>0</v>
      </c>
      <c r="BB19" s="117">
        <f t="shared" si="20"/>
        <v>0</v>
      </c>
      <c r="BC19" s="122">
        <f t="shared" si="21"/>
        <v>336.09778169014083</v>
      </c>
      <c r="BD19" s="122">
        <f t="shared" si="22"/>
        <v>487.45</v>
      </c>
      <c r="BE19" s="122">
        <f t="shared" si="23"/>
        <v>487.45</v>
      </c>
      <c r="BF19" s="121">
        <f t="shared" si="24"/>
        <v>-133.18778169014087</v>
      </c>
      <c r="BG19" s="123">
        <f t="shared" si="25"/>
        <v>-0.2732337300033662</v>
      </c>
      <c r="BI19" t="s">
        <v>334</v>
      </c>
    </row>
    <row r="20" spans="1:61" ht="29.1" customHeight="1" x14ac:dyDescent="0.15">
      <c r="A20" s="38" t="s">
        <v>113</v>
      </c>
      <c r="B20" s="66" t="s">
        <v>114</v>
      </c>
      <c r="C20" s="67">
        <v>39</v>
      </c>
      <c r="D20" s="68">
        <v>39</v>
      </c>
      <c r="E20" s="41">
        <v>754.32</v>
      </c>
      <c r="F20" s="101"/>
      <c r="G20" s="101"/>
      <c r="H20" s="41"/>
      <c r="I20" s="41"/>
      <c r="J20" s="102">
        <v>2</v>
      </c>
      <c r="K20" s="103">
        <f t="shared" si="0"/>
        <v>5.128205128205128E-2</v>
      </c>
      <c r="L20" s="104">
        <v>34.14</v>
      </c>
      <c r="M20" s="105">
        <f t="shared" si="1"/>
        <v>0.56000000000000005</v>
      </c>
      <c r="N20" s="103">
        <f t="shared" si="2"/>
        <v>0.56000000000000005</v>
      </c>
      <c r="O20" s="103">
        <f t="shared" si="3"/>
        <v>0.5474817930044108</v>
      </c>
      <c r="P20" s="106">
        <f t="shared" si="4"/>
        <v>1</v>
      </c>
      <c r="Q20" s="107">
        <f t="shared" si="5"/>
        <v>19.341538461538462</v>
      </c>
      <c r="R20" s="140">
        <f t="shared" si="6"/>
        <v>19.341538461538462</v>
      </c>
      <c r="S20" s="108">
        <f t="shared" si="7"/>
        <v>5.5714285714285712</v>
      </c>
      <c r="T20" s="146">
        <f t="shared" si="8"/>
        <v>12</v>
      </c>
      <c r="U20" s="110">
        <f t="shared" si="9"/>
        <v>0.30769230769230771</v>
      </c>
      <c r="V20" s="71">
        <f t="shared" si="10"/>
        <v>0.48390603457418596</v>
      </c>
      <c r="W20" s="68">
        <v>49340</v>
      </c>
      <c r="X20" s="68">
        <v>368</v>
      </c>
      <c r="Y20" s="68">
        <v>27</v>
      </c>
      <c r="Z20" s="68">
        <v>365.02</v>
      </c>
      <c r="AA20" s="69">
        <v>536.92999999999995</v>
      </c>
      <c r="AB20" s="68">
        <v>0.99</v>
      </c>
      <c r="AC20" s="48">
        <f t="shared" si="11"/>
        <v>0.67982791052837432</v>
      </c>
      <c r="AD20" s="49">
        <f t="shared" si="12"/>
        <v>7.4584515605999185E-3</v>
      </c>
      <c r="AE20" s="112">
        <f t="shared" si="13"/>
        <v>7.3369565217391311E-2</v>
      </c>
      <c r="AF20" s="107">
        <f t="shared" si="14"/>
        <v>13.519259259259259</v>
      </c>
      <c r="AG20" s="113">
        <v>10</v>
      </c>
      <c r="AH20" s="114">
        <v>29</v>
      </c>
      <c r="AI20" s="118"/>
      <c r="AJ20" s="119"/>
      <c r="AK20" s="116">
        <f>AG20*产品成本!$D$11+AH20*产品成本!$D$12+AI20*产品成本!$D$13+AJ20*产品成本!$D$14</f>
        <v>231.83098591549293</v>
      </c>
      <c r="AL20" s="116">
        <f>AG20*产品成本!$E$11+AH20*产品成本!$E$12+AI20*产品成本!$E$13+AJ20*产品成本!$E$14</f>
        <v>13.965295774647906</v>
      </c>
      <c r="AM20" s="116">
        <f>AG20*产品成本!$F$11+AH20*产品成本!$F$12+AI20*产品成本!$F$13+AJ20*产品成本!$F$14</f>
        <v>13.260000000000002</v>
      </c>
      <c r="AN20" s="116">
        <f>AG20*产品成本!$G$11+AH20*产品成本!$G$12+AI20*产品成本!$G$13+AJ20*产品成本!$G$14</f>
        <v>152.1</v>
      </c>
      <c r="AO20" s="116">
        <f t="shared" si="15"/>
        <v>113.14800000000001</v>
      </c>
      <c r="AP20" s="117">
        <f t="shared" si="16"/>
        <v>524.3042816901409</v>
      </c>
      <c r="AQ20" s="118">
        <v>0</v>
      </c>
      <c r="AR20" s="118">
        <v>2</v>
      </c>
      <c r="AS20" s="118"/>
      <c r="AT20" s="119"/>
      <c r="AU20" s="120">
        <f t="shared" si="17"/>
        <v>41.634146341463421</v>
      </c>
      <c r="AV20" s="116">
        <f>AQ20*产品成本!$D$11+AR20*产品成本!$D$12+AS20*产品成本!$D$13+AT20*产品成本!$D$14</f>
        <v>12.3943661971831</v>
      </c>
      <c r="AW20" s="116">
        <f>AQ20*产品成本!$E$11+AR20*产品成本!$E$12+AS20*产品成本!$E$13+AT20*产品成本!$E$14</f>
        <v>0.71616901408450795</v>
      </c>
      <c r="AX20" s="116">
        <f>AQ20*产品成本!$F$11+AR20*产品成本!$F$12+AS20*产品成本!$F$13+AT20*产品成本!$F$14</f>
        <v>0.68</v>
      </c>
      <c r="AY20" s="116">
        <v>0</v>
      </c>
      <c r="AZ20" s="116">
        <f t="shared" si="18"/>
        <v>6.2451219512195131</v>
      </c>
      <c r="BA20" s="116">
        <f t="shared" si="19"/>
        <v>-1.2490243902439027</v>
      </c>
      <c r="BB20" s="117">
        <f t="shared" si="20"/>
        <v>18.786632772243216</v>
      </c>
      <c r="BC20" s="122">
        <f t="shared" si="21"/>
        <v>505.5176489178977</v>
      </c>
      <c r="BD20" s="122">
        <f t="shared" si="22"/>
        <v>754.32</v>
      </c>
      <c r="BE20" s="122">
        <f t="shared" si="23"/>
        <v>712.68585365853664</v>
      </c>
      <c r="BF20" s="121">
        <f t="shared" si="24"/>
        <v>-157.85179525936104</v>
      </c>
      <c r="BG20" s="123">
        <f t="shared" si="25"/>
        <v>-0.2214886046201659</v>
      </c>
      <c r="BI20" t="s">
        <v>335</v>
      </c>
    </row>
    <row r="21" spans="1:61" ht="29.1" customHeight="1" x14ac:dyDescent="0.15">
      <c r="A21" s="38" t="s">
        <v>115</v>
      </c>
      <c r="B21" s="66" t="s">
        <v>116</v>
      </c>
      <c r="C21" s="67">
        <v>50</v>
      </c>
      <c r="D21" s="68">
        <v>50</v>
      </c>
      <c r="E21" s="41">
        <v>1040.5</v>
      </c>
      <c r="F21" s="101"/>
      <c r="G21" s="101"/>
      <c r="H21" s="41"/>
      <c r="I21" s="41"/>
      <c r="J21" s="102">
        <v>2</v>
      </c>
      <c r="K21" s="103">
        <f t="shared" si="0"/>
        <v>0.04</v>
      </c>
      <c r="L21" s="104">
        <v>34.14</v>
      </c>
      <c r="M21" s="105">
        <f t="shared" si="1"/>
        <v>0.28205128205128205</v>
      </c>
      <c r="N21" s="103">
        <f t="shared" si="2"/>
        <v>0.28205128205128205</v>
      </c>
      <c r="O21" s="103">
        <f t="shared" si="3"/>
        <v>0.37938805811857029</v>
      </c>
      <c r="P21" s="106">
        <f t="shared" si="4"/>
        <v>1</v>
      </c>
      <c r="Q21" s="107">
        <f t="shared" si="5"/>
        <v>20.81</v>
      </c>
      <c r="R21" s="140">
        <f t="shared" si="6"/>
        <v>20.81</v>
      </c>
      <c r="S21" s="108">
        <f t="shared" si="7"/>
        <v>7.1428571428571432</v>
      </c>
      <c r="T21" s="146">
        <f t="shared" si="8"/>
        <v>16</v>
      </c>
      <c r="U21" s="110">
        <f t="shared" si="9"/>
        <v>0.32</v>
      </c>
      <c r="V21" s="71">
        <f t="shared" si="10"/>
        <v>0.3928880345987506</v>
      </c>
      <c r="W21" s="68">
        <v>63704</v>
      </c>
      <c r="X21" s="68">
        <v>398</v>
      </c>
      <c r="Y21" s="68">
        <v>34</v>
      </c>
      <c r="Z21" s="68">
        <v>408.8</v>
      </c>
      <c r="AA21" s="69">
        <v>720.36</v>
      </c>
      <c r="AB21" s="68">
        <v>1.03</v>
      </c>
      <c r="AC21" s="48">
        <f t="shared" si="11"/>
        <v>0.56749403076239657</v>
      </c>
      <c r="AD21" s="49">
        <f t="shared" si="12"/>
        <v>6.2476453597890245E-3</v>
      </c>
      <c r="AE21" s="112">
        <f t="shared" si="13"/>
        <v>8.5427135678391955E-2</v>
      </c>
      <c r="AF21" s="107">
        <f t="shared" si="14"/>
        <v>12.023529411764706</v>
      </c>
      <c r="AG21" s="113">
        <v>9</v>
      </c>
      <c r="AH21" s="114">
        <v>41</v>
      </c>
      <c r="AI21" s="118"/>
      <c r="AJ21" s="119"/>
      <c r="AK21" s="116">
        <f>AG21*产品成本!$D$11+AH21*产品成本!$D$12+AI21*产品成本!$D$13+AJ21*产品成本!$D$14</f>
        <v>300.98591549295776</v>
      </c>
      <c r="AL21" s="116">
        <f>AG21*产品成本!$E$11+AH21*产品成本!$E$12+AI21*产品成本!$E$13+AJ21*产品成本!$E$14</f>
        <v>17.904225352112697</v>
      </c>
      <c r="AM21" s="116">
        <f>AG21*产品成本!$F$11+AH21*产品成本!$F$12+AI21*产品成本!$F$13+AJ21*产品成本!$F$14</f>
        <v>17</v>
      </c>
      <c r="AN21" s="116">
        <f>AG21*产品成本!$G$11+AH21*产品成本!$G$12+AI21*产品成本!$G$13+AJ21*产品成本!$G$14</f>
        <v>195</v>
      </c>
      <c r="AO21" s="116">
        <f t="shared" si="15"/>
        <v>156.07499999999999</v>
      </c>
      <c r="AP21" s="117">
        <f t="shared" si="16"/>
        <v>686.96514084507044</v>
      </c>
      <c r="AQ21" s="118">
        <v>1</v>
      </c>
      <c r="AR21" s="118">
        <v>1</v>
      </c>
      <c r="AS21" s="118"/>
      <c r="AT21" s="119"/>
      <c r="AU21" s="120">
        <f t="shared" si="17"/>
        <v>41.634146341463421</v>
      </c>
      <c r="AV21" s="116">
        <f>AQ21*产品成本!$D$11+AR21*产品成本!$D$12+AS21*产品成本!$D$13+AT21*产品成本!$D$14</f>
        <v>11.40845070422535</v>
      </c>
      <c r="AW21" s="116">
        <f>AQ21*产品成本!$E$11+AR21*产品成本!$E$12+AS21*产品成本!$E$13+AT21*产品成本!$E$14</f>
        <v>0.71616901408450795</v>
      </c>
      <c r="AX21" s="116">
        <f>AQ21*产品成本!$F$11+AR21*产品成本!$F$12+AS21*产品成本!$F$13+AT21*产品成本!$F$14</f>
        <v>0.68</v>
      </c>
      <c r="AY21" s="116">
        <v>0</v>
      </c>
      <c r="AZ21" s="116">
        <f t="shared" si="18"/>
        <v>6.2451219512195131</v>
      </c>
      <c r="BA21" s="116">
        <f t="shared" si="19"/>
        <v>-1.2490243902439027</v>
      </c>
      <c r="BB21" s="117">
        <f t="shared" si="20"/>
        <v>17.800717279285468</v>
      </c>
      <c r="BC21" s="122">
        <f t="shared" si="21"/>
        <v>669.164423565785</v>
      </c>
      <c r="BD21" s="122">
        <f t="shared" si="22"/>
        <v>1040.5</v>
      </c>
      <c r="BE21" s="122">
        <f t="shared" si="23"/>
        <v>998.86585365853659</v>
      </c>
      <c r="BF21" s="121">
        <f t="shared" si="24"/>
        <v>-79.098569907248418</v>
      </c>
      <c r="BG21" s="123">
        <f t="shared" si="25"/>
        <v>-7.9188381119982054E-2</v>
      </c>
      <c r="BI21" t="s">
        <v>336</v>
      </c>
    </row>
    <row r="22" spans="1:61" ht="29.1" customHeight="1" x14ac:dyDescent="0.15">
      <c r="A22" s="38" t="s">
        <v>118</v>
      </c>
      <c r="B22" s="66" t="s">
        <v>119</v>
      </c>
      <c r="C22" s="67">
        <v>65</v>
      </c>
      <c r="D22" s="68">
        <v>64</v>
      </c>
      <c r="E22" s="41">
        <v>1312.36</v>
      </c>
      <c r="F22" s="101"/>
      <c r="G22" s="101"/>
      <c r="H22" s="41"/>
      <c r="I22" s="41"/>
      <c r="J22" s="102">
        <v>4</v>
      </c>
      <c r="K22" s="103">
        <f t="shared" si="0"/>
        <v>6.1538461538461542E-2</v>
      </c>
      <c r="L22" s="104">
        <v>72.680000000000007</v>
      </c>
      <c r="M22" s="105">
        <f t="shared" si="1"/>
        <v>0.3</v>
      </c>
      <c r="N22" s="103">
        <f t="shared" si="2"/>
        <v>0.28000000000000003</v>
      </c>
      <c r="O22" s="103">
        <f t="shared" si="3"/>
        <v>0.26127823161941366</v>
      </c>
      <c r="P22" s="106">
        <f t="shared" si="4"/>
        <v>1.015625</v>
      </c>
      <c r="Q22" s="107">
        <f t="shared" si="5"/>
        <v>20.505624999999998</v>
      </c>
      <c r="R22" s="140">
        <f t="shared" si="6"/>
        <v>20.190153846153844</v>
      </c>
      <c r="S22" s="108">
        <f t="shared" si="7"/>
        <v>9.2857142857142865</v>
      </c>
      <c r="T22" s="146">
        <f t="shared" si="8"/>
        <v>13</v>
      </c>
      <c r="U22" s="110">
        <f t="shared" si="9"/>
        <v>0.203125</v>
      </c>
      <c r="V22" s="71">
        <f t="shared" si="10"/>
        <v>0.57665579566582348</v>
      </c>
      <c r="W22" s="68">
        <v>75311</v>
      </c>
      <c r="X22" s="68">
        <v>732</v>
      </c>
      <c r="Y22" s="68">
        <v>51</v>
      </c>
      <c r="Z22" s="68">
        <v>756.78</v>
      </c>
      <c r="AA22" s="69">
        <v>1049.0899999999999</v>
      </c>
      <c r="AB22" s="68">
        <v>1.03</v>
      </c>
      <c r="AC22" s="48">
        <f t="shared" si="11"/>
        <v>0.72136804277993316</v>
      </c>
      <c r="AD22" s="49">
        <f t="shared" si="12"/>
        <v>9.7196956619882893E-3</v>
      </c>
      <c r="AE22" s="112">
        <f t="shared" si="13"/>
        <v>6.9672131147540978E-2</v>
      </c>
      <c r="AF22" s="107">
        <f t="shared" si="14"/>
        <v>14.838823529411764</v>
      </c>
      <c r="AG22" s="113">
        <v>10</v>
      </c>
      <c r="AH22" s="114">
        <v>55</v>
      </c>
      <c r="AI22" s="118"/>
      <c r="AJ22" s="119"/>
      <c r="AK22" s="116">
        <f>AG22*产品成本!$D$11+AH22*产品成本!$D$12+AI22*产品成本!$D$13+AJ22*产品成本!$D$14</f>
        <v>392.95774647887322</v>
      </c>
      <c r="AL22" s="116">
        <f>AG22*产品成本!$E$11+AH22*产品成本!$E$12+AI22*产品成本!$E$13+AJ22*产品成本!$E$14</f>
        <v>23.275492957746508</v>
      </c>
      <c r="AM22" s="116">
        <f>AG22*产品成本!$F$11+AH22*产品成本!$F$12+AI22*产品成本!$F$13+AJ22*产品成本!$F$14</f>
        <v>22.1</v>
      </c>
      <c r="AN22" s="116">
        <f>AG22*产品成本!$G$11+AH22*产品成本!$G$12+AI22*产品成本!$G$13+AJ22*产品成本!$G$14</f>
        <v>253.5</v>
      </c>
      <c r="AO22" s="116">
        <f t="shared" si="15"/>
        <v>196.85399999999998</v>
      </c>
      <c r="AP22" s="117">
        <f t="shared" si="16"/>
        <v>888.68723943661985</v>
      </c>
      <c r="AQ22" s="118">
        <v>1</v>
      </c>
      <c r="AR22" s="118">
        <v>3</v>
      </c>
      <c r="AS22" s="118"/>
      <c r="AT22" s="119"/>
      <c r="AU22" s="120">
        <f t="shared" si="17"/>
        <v>88.634146341463435</v>
      </c>
      <c r="AV22" s="116">
        <f>AQ22*产品成本!$D$11+AR22*产品成本!$D$12+AS22*产品成本!$D$13+AT22*产品成本!$D$14</f>
        <v>23.802816901408448</v>
      </c>
      <c r="AW22" s="116">
        <f>AQ22*产品成本!$E$11+AR22*产品成本!$E$12+AS22*产品成本!$E$13+AT22*产品成本!$E$14</f>
        <v>1.4323380281690159</v>
      </c>
      <c r="AX22" s="116">
        <f>AQ22*产品成本!$F$11+AR22*产品成本!$F$12+AS22*产品成本!$F$13+AT22*产品成本!$F$14</f>
        <v>1.36</v>
      </c>
      <c r="AY22" s="116">
        <v>0</v>
      </c>
      <c r="AZ22" s="116">
        <f t="shared" si="18"/>
        <v>13.295121951219516</v>
      </c>
      <c r="BA22" s="116">
        <f t="shared" si="19"/>
        <v>-2.6590243902439035</v>
      </c>
      <c r="BB22" s="117">
        <f t="shared" si="20"/>
        <v>37.231252490553075</v>
      </c>
      <c r="BC22" s="122">
        <f t="shared" si="21"/>
        <v>851.45598694606679</v>
      </c>
      <c r="BD22" s="122">
        <f t="shared" si="22"/>
        <v>1312.36</v>
      </c>
      <c r="BE22" s="122">
        <f t="shared" si="23"/>
        <v>1223.7258536585364</v>
      </c>
      <c r="BF22" s="121">
        <f t="shared" si="24"/>
        <v>-384.51013328753038</v>
      </c>
      <c r="BG22" s="123">
        <f t="shared" si="25"/>
        <v>-0.31421264177591085</v>
      </c>
      <c r="BI22" t="s">
        <v>337</v>
      </c>
    </row>
    <row r="23" spans="1:61" ht="29.1" customHeight="1" x14ac:dyDescent="0.15">
      <c r="A23" s="38" t="s">
        <v>121</v>
      </c>
      <c r="B23" s="66" t="s">
        <v>122</v>
      </c>
      <c r="C23" s="67">
        <v>55</v>
      </c>
      <c r="D23" s="68">
        <v>55</v>
      </c>
      <c r="E23" s="41">
        <v>1155.95</v>
      </c>
      <c r="F23" s="101"/>
      <c r="G23" s="101"/>
      <c r="H23" s="41"/>
      <c r="I23" s="41"/>
      <c r="J23" s="102">
        <v>8</v>
      </c>
      <c r="K23" s="103">
        <f t="shared" si="0"/>
        <v>0.14545454545454545</v>
      </c>
      <c r="L23" s="104">
        <v>142.72</v>
      </c>
      <c r="M23" s="105">
        <f t="shared" si="1"/>
        <v>-0.15384615384615385</v>
      </c>
      <c r="N23" s="103">
        <f t="shared" si="2"/>
        <v>-0.140625</v>
      </c>
      <c r="O23" s="103">
        <f t="shared" si="3"/>
        <v>-0.11918223658142572</v>
      </c>
      <c r="P23" s="106">
        <f t="shared" si="4"/>
        <v>1</v>
      </c>
      <c r="Q23" s="107">
        <f t="shared" si="5"/>
        <v>21.017272727272729</v>
      </c>
      <c r="R23" s="140">
        <f t="shared" si="6"/>
        <v>21.017272727272729</v>
      </c>
      <c r="S23" s="108">
        <f t="shared" si="7"/>
        <v>7.8571428571428568</v>
      </c>
      <c r="T23" s="146">
        <f t="shared" si="8"/>
        <v>16</v>
      </c>
      <c r="U23" s="110">
        <f t="shared" si="9"/>
        <v>0.29090909090909089</v>
      </c>
      <c r="V23" s="71">
        <f t="shared" si="10"/>
        <v>0.51948613694363943</v>
      </c>
      <c r="W23" s="68">
        <v>68475</v>
      </c>
      <c r="X23" s="68">
        <v>656</v>
      </c>
      <c r="Y23" s="68">
        <v>39</v>
      </c>
      <c r="Z23" s="68">
        <v>600.5</v>
      </c>
      <c r="AA23" s="69">
        <v>825.71</v>
      </c>
      <c r="AB23" s="68">
        <v>0.92</v>
      </c>
      <c r="AC23" s="48">
        <f t="shared" si="11"/>
        <v>0.72725290961717792</v>
      </c>
      <c r="AD23" s="49">
        <f t="shared" si="12"/>
        <v>9.5801387367652428E-3</v>
      </c>
      <c r="AE23" s="112">
        <f t="shared" si="13"/>
        <v>5.9451219512195119E-2</v>
      </c>
      <c r="AF23" s="107">
        <f t="shared" si="14"/>
        <v>15.397435897435898</v>
      </c>
      <c r="AG23" s="113">
        <v>17</v>
      </c>
      <c r="AH23" s="114">
        <v>38</v>
      </c>
      <c r="AI23" s="118"/>
      <c r="AJ23" s="119"/>
      <c r="AK23" s="116">
        <f>AG23*产品成本!$D$11+AH23*产品成本!$D$12+AI23*产品成本!$D$13+AJ23*产品成本!$D$14</f>
        <v>324.08450704225351</v>
      </c>
      <c r="AL23" s="116">
        <f>AG23*产品成本!$E$11+AH23*产品成本!$E$12+AI23*产品成本!$E$13+AJ23*产品成本!$E$14</f>
        <v>19.694647887323967</v>
      </c>
      <c r="AM23" s="116">
        <f>AG23*产品成本!$F$11+AH23*产品成本!$F$12+AI23*产品成本!$F$13+AJ23*产品成本!$F$14</f>
        <v>18.700000000000003</v>
      </c>
      <c r="AN23" s="116">
        <f>AG23*产品成本!$G$11+AH23*产品成本!$G$12+AI23*产品成本!$G$13+AJ23*产品成本!$G$14</f>
        <v>214.5</v>
      </c>
      <c r="AO23" s="116">
        <f t="shared" si="15"/>
        <v>173.39250000000001</v>
      </c>
      <c r="AP23" s="117">
        <f t="shared" si="16"/>
        <v>750.37165492957752</v>
      </c>
      <c r="AQ23" s="118">
        <v>2</v>
      </c>
      <c r="AR23" s="118">
        <v>6</v>
      </c>
      <c r="AS23" s="118"/>
      <c r="AT23" s="119"/>
      <c r="AU23" s="120">
        <f t="shared" si="17"/>
        <v>174.04878048780489</v>
      </c>
      <c r="AV23" s="116">
        <f>AQ23*产品成本!$D$11+AR23*产品成本!$D$12+AS23*产品成本!$D$13+AT23*产品成本!$D$14</f>
        <v>47.605633802816897</v>
      </c>
      <c r="AW23" s="116">
        <f>AQ23*产品成本!$E$11+AR23*产品成本!$E$12+AS23*产品成本!$E$13+AT23*产品成本!$E$14</f>
        <v>2.8646760563380318</v>
      </c>
      <c r="AX23" s="116">
        <f>AQ23*产品成本!$F$11+AR23*产品成本!$F$12+AS23*产品成本!$F$13+AT23*产品成本!$F$14</f>
        <v>2.72</v>
      </c>
      <c r="AY23" s="116">
        <v>0</v>
      </c>
      <c r="AZ23" s="116">
        <f t="shared" si="18"/>
        <v>26.107317073170734</v>
      </c>
      <c r="BA23" s="116">
        <f t="shared" si="19"/>
        <v>-5.2214634146341474</v>
      </c>
      <c r="BB23" s="117">
        <f t="shared" si="20"/>
        <v>74.076163517691526</v>
      </c>
      <c r="BC23" s="122">
        <f t="shared" si="21"/>
        <v>676.29549141188602</v>
      </c>
      <c r="BD23" s="122">
        <f t="shared" si="22"/>
        <v>1155.95</v>
      </c>
      <c r="BE23" s="122">
        <f t="shared" si="23"/>
        <v>981.90121951219521</v>
      </c>
      <c r="BF23" s="121">
        <f t="shared" si="24"/>
        <v>-294.89427189969081</v>
      </c>
      <c r="BG23" s="123">
        <f t="shared" si="25"/>
        <v>-0.30032987640670533</v>
      </c>
      <c r="BI23" t="s">
        <v>338</v>
      </c>
    </row>
    <row r="24" spans="1:61" ht="29.1" customHeight="1" x14ac:dyDescent="0.15">
      <c r="A24" s="38" t="s">
        <v>124</v>
      </c>
      <c r="B24" s="66" t="s">
        <v>125</v>
      </c>
      <c r="C24" s="67">
        <v>80</v>
      </c>
      <c r="D24" s="68">
        <v>72</v>
      </c>
      <c r="E24" s="41">
        <v>1298.1199999999999</v>
      </c>
      <c r="F24" s="101"/>
      <c r="G24" s="101"/>
      <c r="H24" s="41"/>
      <c r="I24" s="41"/>
      <c r="J24" s="102">
        <v>6</v>
      </c>
      <c r="K24" s="103">
        <f t="shared" si="0"/>
        <v>7.4999999999999997E-2</v>
      </c>
      <c r="L24" s="104">
        <v>103.6</v>
      </c>
      <c r="M24" s="105">
        <f t="shared" si="1"/>
        <v>0.45454545454545453</v>
      </c>
      <c r="N24" s="103">
        <f t="shared" si="2"/>
        <v>0.30909090909090908</v>
      </c>
      <c r="O24" s="103">
        <f t="shared" si="3"/>
        <v>0.12298974869155227</v>
      </c>
      <c r="P24" s="106">
        <f t="shared" si="4"/>
        <v>1.1111111111111112</v>
      </c>
      <c r="Q24" s="107">
        <f t="shared" si="5"/>
        <v>18.029444444444444</v>
      </c>
      <c r="R24" s="140">
        <f t="shared" si="6"/>
        <v>16.226499999999998</v>
      </c>
      <c r="S24" s="108">
        <f t="shared" si="7"/>
        <v>11.428571428571429</v>
      </c>
      <c r="T24" s="146">
        <f t="shared" si="8"/>
        <v>17</v>
      </c>
      <c r="U24" s="110">
        <f t="shared" si="9"/>
        <v>0.2361111111111111</v>
      </c>
      <c r="V24" s="71">
        <f t="shared" si="10"/>
        <v>0.55151295719964255</v>
      </c>
      <c r="W24" s="68">
        <v>81114</v>
      </c>
      <c r="X24" s="68">
        <v>711</v>
      </c>
      <c r="Y24" s="68">
        <v>55</v>
      </c>
      <c r="Z24" s="68">
        <v>715.93</v>
      </c>
      <c r="AA24" s="69">
        <v>1025.31</v>
      </c>
      <c r="AB24" s="68">
        <v>1.01</v>
      </c>
      <c r="AC24" s="48">
        <f t="shared" si="11"/>
        <v>0.69825711248305389</v>
      </c>
      <c r="AD24" s="49">
        <f t="shared" si="12"/>
        <v>8.7654412308602707E-3</v>
      </c>
      <c r="AE24" s="112">
        <f t="shared" si="13"/>
        <v>7.7355836849507739E-2</v>
      </c>
      <c r="AF24" s="107">
        <f t="shared" si="14"/>
        <v>13.01690909090909</v>
      </c>
      <c r="AG24" s="113">
        <v>13</v>
      </c>
      <c r="AH24" s="114">
        <v>67</v>
      </c>
      <c r="AI24" s="118"/>
      <c r="AJ24" s="119"/>
      <c r="AK24" s="116">
        <f>AG24*产品成本!$D$11+AH24*产品成本!$D$12+AI24*产品成本!$D$13+AJ24*产品成本!$D$14</f>
        <v>482.95774647887322</v>
      </c>
      <c r="AL24" s="116">
        <f>AG24*产品成本!$E$11+AH24*产品成本!$E$12+AI24*产品成本!$E$13+AJ24*产品成本!$E$14</f>
        <v>28.646760563380319</v>
      </c>
      <c r="AM24" s="116">
        <f>AG24*产品成本!$F$11+AH24*产品成本!$F$12+AI24*产品成本!$F$13+AJ24*产品成本!$F$14</f>
        <v>27.200000000000003</v>
      </c>
      <c r="AN24" s="116">
        <f>AG24*产品成本!$G$11+AH24*产品成本!$G$12+AI24*产品成本!$G$13+AJ24*产品成本!$G$14</f>
        <v>312</v>
      </c>
      <c r="AO24" s="116">
        <f t="shared" si="15"/>
        <v>194.71799999999999</v>
      </c>
      <c r="AP24" s="117">
        <f t="shared" si="16"/>
        <v>1045.5225070422537</v>
      </c>
      <c r="AQ24" s="118">
        <v>2</v>
      </c>
      <c r="AR24" s="118">
        <v>4</v>
      </c>
      <c r="AS24" s="118"/>
      <c r="AT24" s="119"/>
      <c r="AU24" s="120">
        <f t="shared" si="17"/>
        <v>126.34146341463415</v>
      </c>
      <c r="AV24" s="116">
        <f>AQ24*产品成本!$D$11+AR24*产品成本!$D$12+AS24*产品成本!$D$13+AT24*产品成本!$D$14</f>
        <v>35.2112676056338</v>
      </c>
      <c r="AW24" s="116">
        <f>AQ24*产品成本!$E$11+AR24*产品成本!$E$12+AS24*产品成本!$E$13+AT24*产品成本!$E$14</f>
        <v>2.1485070422535237</v>
      </c>
      <c r="AX24" s="116">
        <f>AQ24*产品成本!$F$11+AR24*产品成本!$F$12+AS24*产品成本!$F$13+AT24*产品成本!$F$14</f>
        <v>2.04</v>
      </c>
      <c r="AY24" s="116">
        <v>0</v>
      </c>
      <c r="AZ24" s="116">
        <f t="shared" si="18"/>
        <v>18.95121951219512</v>
      </c>
      <c r="BA24" s="116">
        <f t="shared" si="19"/>
        <v>-3.7902439024390242</v>
      </c>
      <c r="BB24" s="117">
        <f t="shared" si="20"/>
        <v>54.560750257643413</v>
      </c>
      <c r="BC24" s="122">
        <f t="shared" si="21"/>
        <v>990.9617567846102</v>
      </c>
      <c r="BD24" s="122">
        <f t="shared" si="22"/>
        <v>1298.1199999999999</v>
      </c>
      <c r="BE24" s="122">
        <f t="shared" si="23"/>
        <v>1171.7785365853658</v>
      </c>
      <c r="BF24" s="121">
        <f t="shared" si="24"/>
        <v>-535.11322019924432</v>
      </c>
      <c r="BG24" s="123">
        <f t="shared" si="25"/>
        <v>-0.45666753869600385</v>
      </c>
      <c r="BI24" t="s">
        <v>339</v>
      </c>
    </row>
    <row r="25" spans="1:61" ht="29.1" customHeight="1" x14ac:dyDescent="0.15">
      <c r="A25" s="38" t="s">
        <v>128</v>
      </c>
      <c r="B25" s="66" t="s">
        <v>129</v>
      </c>
      <c r="C25" s="67">
        <v>56</v>
      </c>
      <c r="D25" s="68">
        <v>56</v>
      </c>
      <c r="E25" s="41">
        <v>1077.08</v>
      </c>
      <c r="F25" s="101"/>
      <c r="G25" s="101"/>
      <c r="H25" s="41"/>
      <c r="I25" s="41"/>
      <c r="J25" s="102">
        <v>6</v>
      </c>
      <c r="K25" s="103">
        <f t="shared" si="0"/>
        <v>0.10714285714285714</v>
      </c>
      <c r="L25" s="104">
        <v>98.35</v>
      </c>
      <c r="M25" s="105">
        <f t="shared" si="1"/>
        <v>-0.3</v>
      </c>
      <c r="N25" s="103">
        <f t="shared" si="2"/>
        <v>-0.22222222222222221</v>
      </c>
      <c r="O25" s="103">
        <f t="shared" si="3"/>
        <v>-0.17027701599235817</v>
      </c>
      <c r="P25" s="106">
        <f t="shared" si="4"/>
        <v>1</v>
      </c>
      <c r="Q25" s="107">
        <f t="shared" si="5"/>
        <v>19.233571428571427</v>
      </c>
      <c r="R25" s="140">
        <f t="shared" si="6"/>
        <v>19.233571428571427</v>
      </c>
      <c r="S25" s="108">
        <f t="shared" si="7"/>
        <v>8</v>
      </c>
      <c r="T25" s="146">
        <f t="shared" si="8"/>
        <v>17</v>
      </c>
      <c r="U25" s="110">
        <f t="shared" si="9"/>
        <v>0.30357142857142855</v>
      </c>
      <c r="V25" s="71">
        <f t="shared" si="10"/>
        <v>0.57211163516173369</v>
      </c>
      <c r="W25" s="68">
        <v>55573</v>
      </c>
      <c r="X25" s="68">
        <v>642</v>
      </c>
      <c r="Y25" s="68">
        <v>39</v>
      </c>
      <c r="Z25" s="68">
        <v>616.21</v>
      </c>
      <c r="AA25" s="69">
        <v>760.04</v>
      </c>
      <c r="AB25" s="68">
        <v>0.96</v>
      </c>
      <c r="AC25" s="48">
        <f t="shared" si="11"/>
        <v>0.81075996000210526</v>
      </c>
      <c r="AD25" s="49">
        <f t="shared" si="12"/>
        <v>1.1552372555017724E-2</v>
      </c>
      <c r="AE25" s="112">
        <f t="shared" si="13"/>
        <v>6.0747663551401869E-2</v>
      </c>
      <c r="AF25" s="107">
        <f t="shared" si="14"/>
        <v>15.800256410256411</v>
      </c>
      <c r="AG25" s="113">
        <v>1</v>
      </c>
      <c r="AH25" s="114">
        <v>55</v>
      </c>
      <c r="AI25" s="118"/>
      <c r="AJ25" s="119"/>
      <c r="AK25" s="116">
        <f>AG25*产品成本!$D$11+AH25*产品成本!$D$12+AI25*产品成本!$D$13+AJ25*产品成本!$D$14</f>
        <v>346.05633802816902</v>
      </c>
      <c r="AL25" s="116">
        <f>AG25*产品成本!$E$11+AH25*产品成本!$E$12+AI25*产品成本!$E$13+AJ25*产品成本!$E$14</f>
        <v>20.05273239436622</v>
      </c>
      <c r="AM25" s="116">
        <f>AG25*产品成本!$F$11+AH25*产品成本!$F$12+AI25*产品成本!$F$13+AJ25*产品成本!$F$14</f>
        <v>19.040000000000003</v>
      </c>
      <c r="AN25" s="116">
        <f>AG25*产品成本!$G$11+AH25*产品成本!$G$12+AI25*产品成本!$G$13+AJ25*产品成本!$G$14</f>
        <v>218.4</v>
      </c>
      <c r="AO25" s="116">
        <f t="shared" si="15"/>
        <v>161.56199999999998</v>
      </c>
      <c r="AP25" s="117">
        <f t="shared" si="16"/>
        <v>765.11107042253525</v>
      </c>
      <c r="AQ25" s="118">
        <v>2</v>
      </c>
      <c r="AR25" s="118">
        <v>4</v>
      </c>
      <c r="AS25" s="118"/>
      <c r="AT25" s="119"/>
      <c r="AU25" s="120">
        <f t="shared" si="17"/>
        <v>119.9390243902439</v>
      </c>
      <c r="AV25" s="116">
        <f>AQ25*产品成本!$D$11+AR25*产品成本!$D$12+AS25*产品成本!$D$13+AT25*产品成本!$D$14</f>
        <v>35.2112676056338</v>
      </c>
      <c r="AW25" s="116">
        <f>AQ25*产品成本!$E$11+AR25*产品成本!$E$12+AS25*产品成本!$E$13+AT25*产品成本!$E$14</f>
        <v>2.1485070422535237</v>
      </c>
      <c r="AX25" s="116">
        <f>AQ25*产品成本!$F$11+AR25*产品成本!$F$12+AS25*产品成本!$F$13+AT25*产品成本!$F$14</f>
        <v>2.04</v>
      </c>
      <c r="AY25" s="116">
        <v>0</v>
      </c>
      <c r="AZ25" s="116">
        <f t="shared" si="18"/>
        <v>17.990853658536583</v>
      </c>
      <c r="BA25" s="116">
        <f t="shared" si="19"/>
        <v>-3.5981707317073166</v>
      </c>
      <c r="BB25" s="117">
        <f t="shared" si="20"/>
        <v>53.792457574716593</v>
      </c>
      <c r="BC25" s="122">
        <f t="shared" si="21"/>
        <v>711.31861284781871</v>
      </c>
      <c r="BD25" s="122">
        <f t="shared" si="22"/>
        <v>1077.08</v>
      </c>
      <c r="BE25" s="122">
        <f t="shared" si="23"/>
        <v>957.14097560975597</v>
      </c>
      <c r="BF25" s="121">
        <f t="shared" si="24"/>
        <v>-370.38763723806278</v>
      </c>
      <c r="BG25" s="123">
        <f t="shared" si="25"/>
        <v>-0.38697291901237824</v>
      </c>
    </row>
    <row r="26" spans="1:61" ht="29.1" customHeight="1" x14ac:dyDescent="0.15">
      <c r="A26" s="38" t="s">
        <v>130</v>
      </c>
      <c r="B26" s="66" t="s">
        <v>131</v>
      </c>
      <c r="C26" s="67">
        <v>56</v>
      </c>
      <c r="D26" s="68">
        <v>56</v>
      </c>
      <c r="E26" s="41">
        <v>1135.95</v>
      </c>
      <c r="F26" s="101"/>
      <c r="G26" s="101"/>
      <c r="H26" s="41"/>
      <c r="I26" s="41"/>
      <c r="J26" s="102">
        <v>7</v>
      </c>
      <c r="K26" s="103">
        <f t="shared" si="0"/>
        <v>0.125</v>
      </c>
      <c r="L26" s="104">
        <v>128.58000000000001</v>
      </c>
      <c r="M26" s="105">
        <f t="shared" si="1"/>
        <v>0</v>
      </c>
      <c r="N26" s="103">
        <f t="shared" si="2"/>
        <v>0</v>
      </c>
      <c r="O26" s="103">
        <f t="shared" si="3"/>
        <v>5.465703568908542E-2</v>
      </c>
      <c r="P26" s="106">
        <f t="shared" si="4"/>
        <v>1</v>
      </c>
      <c r="Q26" s="107">
        <f t="shared" si="5"/>
        <v>20.28482142857143</v>
      </c>
      <c r="R26" s="140">
        <f t="shared" si="6"/>
        <v>20.28482142857143</v>
      </c>
      <c r="S26" s="108">
        <f t="shared" si="7"/>
        <v>8</v>
      </c>
      <c r="T26" s="146">
        <f t="shared" si="8"/>
        <v>8</v>
      </c>
      <c r="U26" s="110">
        <f t="shared" si="9"/>
        <v>0.14285714285714285</v>
      </c>
      <c r="V26" s="71">
        <f t="shared" si="10"/>
        <v>0.49056736652141375</v>
      </c>
      <c r="W26" s="68">
        <v>63886</v>
      </c>
      <c r="X26" s="68">
        <v>584</v>
      </c>
      <c r="Y26" s="68">
        <v>48</v>
      </c>
      <c r="Z26" s="68">
        <v>557.26</v>
      </c>
      <c r="AA26" s="69">
        <v>1011.11</v>
      </c>
      <c r="AB26" s="68">
        <v>0.95</v>
      </c>
      <c r="AC26" s="48">
        <f t="shared" si="11"/>
        <v>0.55113686938117512</v>
      </c>
      <c r="AD26" s="49">
        <f t="shared" si="12"/>
        <v>9.141282910183764E-3</v>
      </c>
      <c r="AE26" s="112">
        <f t="shared" si="13"/>
        <v>8.2191780821917804E-2</v>
      </c>
      <c r="AF26" s="107">
        <f t="shared" si="14"/>
        <v>11.609583333333333</v>
      </c>
      <c r="AG26" s="113">
        <v>2</v>
      </c>
      <c r="AH26" s="114">
        <v>54</v>
      </c>
      <c r="AI26" s="118"/>
      <c r="AJ26" s="119"/>
      <c r="AK26" s="116">
        <f>AG26*产品成本!$D$11+AH26*产品成本!$D$12+AI26*产品成本!$D$13+AJ26*产品成本!$D$14</f>
        <v>345.07042253521126</v>
      </c>
      <c r="AL26" s="116">
        <f>AG26*产品成本!$E$11+AH26*产品成本!$E$12+AI26*产品成本!$E$13+AJ26*产品成本!$E$14</f>
        <v>20.05273239436622</v>
      </c>
      <c r="AM26" s="116">
        <f>AG26*产品成本!$F$11+AH26*产品成本!$F$12+AI26*产品成本!$F$13+AJ26*产品成本!$F$14</f>
        <v>19.040000000000003</v>
      </c>
      <c r="AN26" s="116">
        <f>AG26*产品成本!$G$11+AH26*产品成本!$G$12+AI26*产品成本!$G$13+AJ26*产品成本!$G$14</f>
        <v>218.4</v>
      </c>
      <c r="AO26" s="116">
        <f t="shared" si="15"/>
        <v>170.39250000000001</v>
      </c>
      <c r="AP26" s="117">
        <f t="shared" si="16"/>
        <v>772.95565492957758</v>
      </c>
      <c r="AQ26" s="118">
        <v>0</v>
      </c>
      <c r="AR26" s="118">
        <v>7</v>
      </c>
      <c r="AS26" s="118"/>
      <c r="AT26" s="119"/>
      <c r="AU26" s="120">
        <f t="shared" si="17"/>
        <v>156.80487804878052</v>
      </c>
      <c r="AV26" s="116">
        <f>AQ26*产品成本!$D$11+AR26*产品成本!$D$12+AS26*产品成本!$D$13+AT26*产品成本!$D$14</f>
        <v>43.380281690140848</v>
      </c>
      <c r="AW26" s="116">
        <f>AQ26*产品成本!$E$11+AR26*产品成本!$E$12+AS26*产品成本!$E$13+AT26*产品成本!$E$14</f>
        <v>2.506591549295778</v>
      </c>
      <c r="AX26" s="116">
        <f>AQ26*产品成本!$F$11+AR26*产品成本!$F$12+AS26*产品成本!$F$13+AT26*产品成本!$F$14</f>
        <v>2.3800000000000003</v>
      </c>
      <c r="AY26" s="116">
        <v>0</v>
      </c>
      <c r="AZ26" s="116">
        <f t="shared" si="18"/>
        <v>23.520731707317079</v>
      </c>
      <c r="BA26" s="116">
        <f t="shared" si="19"/>
        <v>-4.7041463414634164</v>
      </c>
      <c r="BB26" s="117">
        <f t="shared" si="20"/>
        <v>67.083458605290289</v>
      </c>
      <c r="BC26" s="122">
        <f t="shared" si="21"/>
        <v>705.8721963242873</v>
      </c>
      <c r="BD26" s="122">
        <f t="shared" si="22"/>
        <v>1135.95</v>
      </c>
      <c r="BE26" s="122">
        <f t="shared" si="23"/>
        <v>979.14512195121949</v>
      </c>
      <c r="BF26" s="121">
        <f t="shared" si="24"/>
        <v>-283.9870743730678</v>
      </c>
      <c r="BG26" s="123">
        <f t="shared" si="25"/>
        <v>-0.29003573424044071</v>
      </c>
    </row>
    <row r="27" spans="1:61" ht="29.1" customHeight="1" x14ac:dyDescent="0.15">
      <c r="A27" s="38" t="s">
        <v>133</v>
      </c>
      <c r="B27" s="66" t="s">
        <v>134</v>
      </c>
      <c r="C27" s="67">
        <v>59</v>
      </c>
      <c r="D27" s="68">
        <v>59</v>
      </c>
      <c r="E27" s="41">
        <v>1231.51</v>
      </c>
      <c r="F27" s="101"/>
      <c r="G27" s="101"/>
      <c r="H27" s="41"/>
      <c r="I27" s="41"/>
      <c r="J27" s="102">
        <v>4</v>
      </c>
      <c r="K27" s="103">
        <f t="shared" si="0"/>
        <v>6.7796610169491525E-2</v>
      </c>
      <c r="L27" s="104">
        <v>66.08</v>
      </c>
      <c r="M27" s="105">
        <f t="shared" si="1"/>
        <v>5.3571428571428568E-2</v>
      </c>
      <c r="N27" s="103">
        <f t="shared" si="2"/>
        <v>5.3571428571428568E-2</v>
      </c>
      <c r="O27" s="103">
        <f t="shared" si="3"/>
        <v>8.4123420925216727E-2</v>
      </c>
      <c r="P27" s="106">
        <f t="shared" si="4"/>
        <v>1</v>
      </c>
      <c r="Q27" s="107">
        <f t="shared" si="5"/>
        <v>20.873050847457627</v>
      </c>
      <c r="R27" s="140">
        <f t="shared" si="6"/>
        <v>20.873050847457627</v>
      </c>
      <c r="S27" s="108">
        <f t="shared" si="7"/>
        <v>8.4285714285714288</v>
      </c>
      <c r="T27" s="146">
        <f t="shared" si="8"/>
        <v>14</v>
      </c>
      <c r="U27" s="110">
        <f t="shared" si="9"/>
        <v>0.23728813559322035</v>
      </c>
      <c r="V27" s="71">
        <f t="shared" si="10"/>
        <v>0.43910321475262076</v>
      </c>
      <c r="W27" s="68">
        <v>67100</v>
      </c>
      <c r="X27" s="68">
        <v>580</v>
      </c>
      <c r="Y27" s="68">
        <v>45</v>
      </c>
      <c r="Z27" s="68">
        <v>540.76</v>
      </c>
      <c r="AA27" s="69">
        <v>949.25</v>
      </c>
      <c r="AB27" s="68">
        <v>0.93</v>
      </c>
      <c r="AC27" s="48">
        <f t="shared" si="11"/>
        <v>0.56967079273110355</v>
      </c>
      <c r="AD27" s="49">
        <f t="shared" si="12"/>
        <v>8.6438152011922512E-3</v>
      </c>
      <c r="AE27" s="112">
        <f t="shared" si="13"/>
        <v>7.7586206896551727E-2</v>
      </c>
      <c r="AF27" s="107">
        <f t="shared" si="14"/>
        <v>12.016888888888889</v>
      </c>
      <c r="AG27" s="113">
        <v>0</v>
      </c>
      <c r="AH27" s="114">
        <v>59</v>
      </c>
      <c r="AI27" s="118"/>
      <c r="AJ27" s="119"/>
      <c r="AK27" s="116">
        <f>AG27*产品成本!$D$11+AH27*产品成本!$D$12+AI27*产品成本!$D$13+AJ27*产品成本!$D$14</f>
        <v>365.63380281690144</v>
      </c>
      <c r="AL27" s="116">
        <f>AG27*产品成本!$E$11+AH27*产品成本!$E$12+AI27*产品成本!$E$13+AJ27*产品成本!$E$14</f>
        <v>21.126985915492984</v>
      </c>
      <c r="AM27" s="116">
        <f>AG27*产品成本!$F$11+AH27*产品成本!$F$12+AI27*产品成本!$F$13+AJ27*产品成本!$F$14</f>
        <v>20.060000000000002</v>
      </c>
      <c r="AN27" s="116">
        <f>AG27*产品成本!$G$11+AH27*产品成本!$G$12+AI27*产品成本!$G$13+AJ27*产品成本!$G$14</f>
        <v>230.1</v>
      </c>
      <c r="AO27" s="116">
        <f t="shared" si="15"/>
        <v>184.72649999999999</v>
      </c>
      <c r="AP27" s="117">
        <f t="shared" si="16"/>
        <v>821.64728873239437</v>
      </c>
      <c r="AQ27" s="118">
        <v>0</v>
      </c>
      <c r="AR27" s="118">
        <v>4</v>
      </c>
      <c r="AS27" s="118"/>
      <c r="AT27" s="119"/>
      <c r="AU27" s="120">
        <f t="shared" si="17"/>
        <v>80.585365853658544</v>
      </c>
      <c r="AV27" s="116">
        <f>AQ27*产品成本!$D$11+AR27*产品成本!$D$12+AS27*产品成本!$D$13+AT27*产品成本!$D$14</f>
        <v>24.7887323943662</v>
      </c>
      <c r="AW27" s="116">
        <f>AQ27*产品成本!$E$11+AR27*产品成本!$E$12+AS27*产品成本!$E$13+AT27*产品成本!$E$14</f>
        <v>1.4323380281690159</v>
      </c>
      <c r="AX27" s="116">
        <f>AQ27*产品成本!$F$11+AR27*产品成本!$F$12+AS27*产品成本!$F$13+AT27*产品成本!$F$14</f>
        <v>1.36</v>
      </c>
      <c r="AY27" s="116">
        <v>0</v>
      </c>
      <c r="AZ27" s="116">
        <f t="shared" si="18"/>
        <v>12.087804878048781</v>
      </c>
      <c r="BA27" s="116">
        <f t="shared" si="19"/>
        <v>-2.4175609756097565</v>
      </c>
      <c r="BB27" s="117">
        <f t="shared" si="20"/>
        <v>37.251314324974246</v>
      </c>
      <c r="BC27" s="122">
        <f t="shared" si="21"/>
        <v>784.39597440742011</v>
      </c>
      <c r="BD27" s="122">
        <f t="shared" si="22"/>
        <v>1231.51</v>
      </c>
      <c r="BE27" s="122">
        <f t="shared" si="23"/>
        <v>1150.9246341463415</v>
      </c>
      <c r="BF27" s="121">
        <f t="shared" si="24"/>
        <v>-174.23134026107857</v>
      </c>
      <c r="BG27" s="123">
        <f t="shared" si="25"/>
        <v>-0.15138379620339662</v>
      </c>
    </row>
    <row r="28" spans="1:61" ht="29.1" customHeight="1" x14ac:dyDescent="0.15">
      <c r="A28" s="38" t="s">
        <v>136</v>
      </c>
      <c r="B28" s="66" t="s">
        <v>137</v>
      </c>
      <c r="C28" s="67">
        <v>54</v>
      </c>
      <c r="D28" s="68">
        <v>53</v>
      </c>
      <c r="E28" s="41">
        <v>1120.06</v>
      </c>
      <c r="F28" s="101"/>
      <c r="G28" s="101"/>
      <c r="H28" s="41"/>
      <c r="I28" s="41"/>
      <c r="J28" s="102">
        <v>7</v>
      </c>
      <c r="K28" s="103">
        <f t="shared" si="0"/>
        <v>0.12962962962962962</v>
      </c>
      <c r="L28" s="104">
        <v>113.8</v>
      </c>
      <c r="M28" s="105">
        <f t="shared" si="1"/>
        <v>-8.4745762711864403E-2</v>
      </c>
      <c r="N28" s="103">
        <f t="shared" si="2"/>
        <v>-0.10169491525423729</v>
      </c>
      <c r="O28" s="103">
        <f t="shared" si="3"/>
        <v>-9.0498656121346999E-2</v>
      </c>
      <c r="P28" s="106">
        <f t="shared" si="4"/>
        <v>1.0188679245283019</v>
      </c>
      <c r="Q28" s="107">
        <f t="shared" si="5"/>
        <v>21.13320754716981</v>
      </c>
      <c r="R28" s="140">
        <f t="shared" si="6"/>
        <v>20.741851851851852</v>
      </c>
      <c r="S28" s="108">
        <f t="shared" si="7"/>
        <v>7.7142857142857144</v>
      </c>
      <c r="T28" s="146">
        <f t="shared" si="8"/>
        <v>16</v>
      </c>
      <c r="U28" s="110">
        <f t="shared" si="9"/>
        <v>0.30188679245283018</v>
      </c>
      <c r="V28" s="71">
        <f t="shared" si="10"/>
        <v>0.42552184704390839</v>
      </c>
      <c r="W28" s="68">
        <v>58548</v>
      </c>
      <c r="X28" s="68">
        <v>525</v>
      </c>
      <c r="Y28" s="68">
        <v>37</v>
      </c>
      <c r="Z28" s="68">
        <v>476.61</v>
      </c>
      <c r="AA28" s="69">
        <v>761.93</v>
      </c>
      <c r="AB28" s="68">
        <v>0.91</v>
      </c>
      <c r="AC28" s="48">
        <f t="shared" si="11"/>
        <v>0.62552990432191935</v>
      </c>
      <c r="AD28" s="49">
        <f t="shared" si="12"/>
        <v>8.9670014347202291E-3</v>
      </c>
      <c r="AE28" s="112">
        <f t="shared" si="13"/>
        <v>7.047619047619047E-2</v>
      </c>
      <c r="AF28" s="107">
        <f t="shared" si="14"/>
        <v>12.881351351351352</v>
      </c>
      <c r="AG28" s="113">
        <v>0</v>
      </c>
      <c r="AH28" s="114">
        <v>54</v>
      </c>
      <c r="AI28" s="118"/>
      <c r="AJ28" s="119"/>
      <c r="AK28" s="116">
        <f>AG28*产品成本!$D$11+AH28*产品成本!$D$12+AI28*产品成本!$D$13+AJ28*产品成本!$D$14</f>
        <v>334.64788732394368</v>
      </c>
      <c r="AL28" s="116">
        <f>AG28*产品成本!$E$11+AH28*产品成本!$E$12+AI28*产品成本!$E$13+AJ28*产品成本!$E$14</f>
        <v>19.336563380281714</v>
      </c>
      <c r="AM28" s="116">
        <f>AG28*产品成本!$F$11+AH28*产品成本!$F$12+AI28*产品成本!$F$13+AJ28*产品成本!$F$14</f>
        <v>18.360000000000003</v>
      </c>
      <c r="AN28" s="116">
        <f>AG28*产品成本!$G$11+AH28*产品成本!$G$12+AI28*产品成本!$G$13+AJ28*产品成本!$G$14</f>
        <v>210.6</v>
      </c>
      <c r="AO28" s="116">
        <f t="shared" si="15"/>
        <v>168.00899999999999</v>
      </c>
      <c r="AP28" s="117">
        <f t="shared" si="16"/>
        <v>750.95345070422536</v>
      </c>
      <c r="AQ28" s="118">
        <v>0</v>
      </c>
      <c r="AR28" s="118">
        <v>7</v>
      </c>
      <c r="AS28" s="118"/>
      <c r="AT28" s="119"/>
      <c r="AU28" s="120">
        <f t="shared" si="17"/>
        <v>138.78048780487805</v>
      </c>
      <c r="AV28" s="116">
        <f>AQ28*产品成本!$D$11+AR28*产品成本!$D$12+AS28*产品成本!$D$13+AT28*产品成本!$D$14</f>
        <v>43.380281690140848</v>
      </c>
      <c r="AW28" s="116">
        <f>AQ28*产品成本!$E$11+AR28*产品成本!$E$12+AS28*产品成本!$E$13+AT28*产品成本!$E$14</f>
        <v>2.506591549295778</v>
      </c>
      <c r="AX28" s="116">
        <f>AQ28*产品成本!$F$11+AR28*产品成本!$F$12+AS28*产品成本!$F$13+AT28*产品成本!$F$14</f>
        <v>2.3800000000000003</v>
      </c>
      <c r="AY28" s="116">
        <v>0</v>
      </c>
      <c r="AZ28" s="116">
        <f t="shared" si="18"/>
        <v>20.817073170731707</v>
      </c>
      <c r="BA28" s="116">
        <f t="shared" si="19"/>
        <v>-4.1634146341463412</v>
      </c>
      <c r="BB28" s="117">
        <f t="shared" si="20"/>
        <v>64.920531776022003</v>
      </c>
      <c r="BC28" s="122">
        <f t="shared" si="21"/>
        <v>686.03291892820334</v>
      </c>
      <c r="BD28" s="122">
        <f t="shared" si="22"/>
        <v>1120.06</v>
      </c>
      <c r="BE28" s="122">
        <f t="shared" si="23"/>
        <v>981.27951219512192</v>
      </c>
      <c r="BF28" s="121">
        <f t="shared" si="24"/>
        <v>-181.36340673308143</v>
      </c>
      <c r="BG28" s="123">
        <f t="shared" si="25"/>
        <v>-0.18482339076597204</v>
      </c>
      <c r="BI28" t="s">
        <v>340</v>
      </c>
    </row>
    <row r="29" spans="1:61" ht="29.1" customHeight="1" x14ac:dyDescent="0.15">
      <c r="A29" s="38" t="s">
        <v>139</v>
      </c>
      <c r="B29" s="66" t="s">
        <v>140</v>
      </c>
      <c r="C29" s="67">
        <v>56</v>
      </c>
      <c r="D29" s="68">
        <v>55</v>
      </c>
      <c r="E29" s="41">
        <v>1273.8399999999999</v>
      </c>
      <c r="F29" s="101"/>
      <c r="G29" s="101"/>
      <c r="H29" s="41"/>
      <c r="I29" s="41"/>
      <c r="J29" s="102">
        <v>2</v>
      </c>
      <c r="K29" s="103">
        <f t="shared" si="0"/>
        <v>3.5714285714285712E-2</v>
      </c>
      <c r="L29" s="104">
        <v>33.11</v>
      </c>
      <c r="M29" s="105">
        <f t="shared" si="1"/>
        <v>3.7037037037037035E-2</v>
      </c>
      <c r="N29" s="103">
        <f t="shared" si="2"/>
        <v>3.7735849056603772E-2</v>
      </c>
      <c r="O29" s="103">
        <f t="shared" si="3"/>
        <v>0.13729621627412816</v>
      </c>
      <c r="P29" s="106">
        <f t="shared" si="4"/>
        <v>1.0181818181818181</v>
      </c>
      <c r="Q29" s="107">
        <f t="shared" si="5"/>
        <v>23.160727272727271</v>
      </c>
      <c r="R29" s="140">
        <f t="shared" si="6"/>
        <v>22.747142857142855</v>
      </c>
      <c r="S29" s="108">
        <f t="shared" si="7"/>
        <v>8</v>
      </c>
      <c r="T29" s="146">
        <f t="shared" si="8"/>
        <v>16</v>
      </c>
      <c r="U29" s="110">
        <f t="shared" si="9"/>
        <v>0.29090909090909089</v>
      </c>
      <c r="V29" s="71">
        <f t="shared" si="10"/>
        <v>0.49539188595113987</v>
      </c>
      <c r="W29" s="68">
        <v>71343</v>
      </c>
      <c r="X29" s="68">
        <v>593</v>
      </c>
      <c r="Y29" s="68">
        <v>39</v>
      </c>
      <c r="Z29" s="68">
        <v>631.04999999999995</v>
      </c>
      <c r="AA29" s="69">
        <v>923.8</v>
      </c>
      <c r="AB29" s="68">
        <v>1.06</v>
      </c>
      <c r="AC29" s="48">
        <f t="shared" si="11"/>
        <v>0.68310240311755788</v>
      </c>
      <c r="AD29" s="49">
        <f t="shared" si="12"/>
        <v>8.3119577253549758E-3</v>
      </c>
      <c r="AE29" s="112">
        <f t="shared" si="13"/>
        <v>6.5767284991568295E-2</v>
      </c>
      <c r="AF29" s="107">
        <f t="shared" si="14"/>
        <v>16.180769230769229</v>
      </c>
      <c r="AG29" s="113">
        <v>4</v>
      </c>
      <c r="AH29" s="114">
        <v>52</v>
      </c>
      <c r="AI29" s="118"/>
      <c r="AJ29" s="119"/>
      <c r="AK29" s="116">
        <f>AG29*产品成本!$D$11+AH29*产品成本!$D$12+AI29*产品成本!$D$13+AJ29*产品成本!$D$14</f>
        <v>343.09859154929575</v>
      </c>
      <c r="AL29" s="116">
        <f>AG29*产品成本!$E$11+AH29*产品成本!$E$12+AI29*产品成本!$E$13+AJ29*产品成本!$E$14</f>
        <v>20.052732394366224</v>
      </c>
      <c r="AM29" s="116">
        <f>AG29*产品成本!$F$11+AH29*产品成本!$F$12+AI29*产品成本!$F$13+AJ29*产品成本!$F$14</f>
        <v>19.04</v>
      </c>
      <c r="AN29" s="116">
        <f>AG29*产品成本!$G$11+AH29*产品成本!$G$12+AI29*产品成本!$G$13+AJ29*产品成本!$G$14</f>
        <v>218.39999999999998</v>
      </c>
      <c r="AO29" s="116">
        <f t="shared" si="15"/>
        <v>191.07599999999999</v>
      </c>
      <c r="AP29" s="117">
        <f t="shared" si="16"/>
        <v>791.66732394366204</v>
      </c>
      <c r="AQ29" s="118">
        <v>0</v>
      </c>
      <c r="AR29" s="118">
        <v>2</v>
      </c>
      <c r="AS29" s="118"/>
      <c r="AT29" s="119"/>
      <c r="AU29" s="120">
        <f t="shared" si="17"/>
        <v>40.378048780487809</v>
      </c>
      <c r="AV29" s="116">
        <f>AQ29*产品成本!$D$11+AR29*产品成本!$D$12+AS29*产品成本!$D$13+AT29*产品成本!$D$14</f>
        <v>12.3943661971831</v>
      </c>
      <c r="AW29" s="116">
        <f>AQ29*产品成本!$E$11+AR29*产品成本!$E$12+AS29*产品成本!$E$13+AT29*产品成本!$E$14</f>
        <v>0.71616901408450795</v>
      </c>
      <c r="AX29" s="116">
        <f>AQ29*产品成本!$F$11+AR29*产品成本!$F$12+AS29*产品成本!$F$13+AT29*产品成本!$F$14</f>
        <v>0.68</v>
      </c>
      <c r="AY29" s="116">
        <v>0</v>
      </c>
      <c r="AZ29" s="116">
        <f t="shared" si="18"/>
        <v>6.0567073170731716</v>
      </c>
      <c r="BA29" s="116">
        <f t="shared" si="19"/>
        <v>-1.2113414634146344</v>
      </c>
      <c r="BB29" s="117">
        <f t="shared" si="20"/>
        <v>18.635901064926145</v>
      </c>
      <c r="BC29" s="122">
        <f t="shared" si="21"/>
        <v>773.03142287873584</v>
      </c>
      <c r="BD29" s="122">
        <f t="shared" si="22"/>
        <v>1273.8399999999999</v>
      </c>
      <c r="BE29" s="122">
        <f t="shared" si="23"/>
        <v>1233.461951219512</v>
      </c>
      <c r="BF29" s="121">
        <f t="shared" si="24"/>
        <v>-170.61947165922379</v>
      </c>
      <c r="BG29" s="123">
        <f t="shared" si="25"/>
        <v>-0.13832568689332814</v>
      </c>
      <c r="BI29" t="s">
        <v>341</v>
      </c>
    </row>
    <row r="30" spans="1:61" ht="29.1" customHeight="1" x14ac:dyDescent="0.15">
      <c r="A30" s="38" t="s">
        <v>142</v>
      </c>
      <c r="B30" s="66" t="s">
        <v>143</v>
      </c>
      <c r="C30" s="67">
        <v>57</v>
      </c>
      <c r="D30" s="68">
        <v>57</v>
      </c>
      <c r="E30" s="41">
        <v>1329.62</v>
      </c>
      <c r="F30" s="101"/>
      <c r="G30" s="101"/>
      <c r="H30" s="41"/>
      <c r="I30" s="41"/>
      <c r="J30" s="102">
        <v>3</v>
      </c>
      <c r="K30" s="103">
        <f t="shared" si="0"/>
        <v>5.2631578947368418E-2</v>
      </c>
      <c r="L30" s="104">
        <v>54.29</v>
      </c>
      <c r="M30" s="105">
        <f t="shared" si="1"/>
        <v>1.7857142857142856E-2</v>
      </c>
      <c r="N30" s="103">
        <f t="shared" si="2"/>
        <v>3.6363636363636362E-2</v>
      </c>
      <c r="O30" s="103">
        <f t="shared" si="3"/>
        <v>4.3788858883376226E-2</v>
      </c>
      <c r="P30" s="106">
        <f t="shared" si="4"/>
        <v>1</v>
      </c>
      <c r="Q30" s="107">
        <f t="shared" si="5"/>
        <v>23.326666666666664</v>
      </c>
      <c r="R30" s="140">
        <f t="shared" si="6"/>
        <v>23.326666666666664</v>
      </c>
      <c r="S30" s="108">
        <f t="shared" si="7"/>
        <v>8.1428571428571423</v>
      </c>
      <c r="T30" s="146">
        <f t="shared" si="8"/>
        <v>11</v>
      </c>
      <c r="U30" s="110">
        <f t="shared" si="9"/>
        <v>0.19298245614035087</v>
      </c>
      <c r="V30" s="71">
        <f t="shared" si="10"/>
        <v>0.51612490786841358</v>
      </c>
      <c r="W30" s="68">
        <v>90603</v>
      </c>
      <c r="X30" s="68">
        <v>660</v>
      </c>
      <c r="Y30" s="68">
        <v>46</v>
      </c>
      <c r="Z30" s="68">
        <v>686.25</v>
      </c>
      <c r="AA30" s="69">
        <v>1065.04</v>
      </c>
      <c r="AB30" s="68">
        <v>1.04</v>
      </c>
      <c r="AC30" s="48">
        <f t="shared" si="11"/>
        <v>0.64434199654473079</v>
      </c>
      <c r="AD30" s="49">
        <f t="shared" si="12"/>
        <v>7.2845270024171384E-3</v>
      </c>
      <c r="AE30" s="112">
        <f t="shared" si="13"/>
        <v>6.9696969696969702E-2</v>
      </c>
      <c r="AF30" s="107">
        <f t="shared" si="14"/>
        <v>14.918478260869565</v>
      </c>
      <c r="AG30" s="113">
        <v>5</v>
      </c>
      <c r="AH30" s="114">
        <v>52</v>
      </c>
      <c r="AI30" s="118"/>
      <c r="AJ30" s="119"/>
      <c r="AK30" s="116">
        <f>AG30*产品成本!$D$11+AH30*产品成本!$D$12+AI30*产品成本!$D$13+AJ30*产品成本!$D$14</f>
        <v>348.3098591549296</v>
      </c>
      <c r="AL30" s="116">
        <f>AG30*产品成本!$E$11+AH30*产品成本!$E$12+AI30*产品成本!$E$13+AJ30*产品成本!$E$14</f>
        <v>20.410816901408477</v>
      </c>
      <c r="AM30" s="116">
        <f>AG30*产品成本!$F$11+AH30*产品成本!$F$12+AI30*产品成本!$F$13+AJ30*产品成本!$F$14</f>
        <v>19.38</v>
      </c>
      <c r="AN30" s="116">
        <f>AG30*产品成本!$G$11+AH30*产品成本!$G$12+AI30*产品成本!$G$13+AJ30*产品成本!$G$14</f>
        <v>222.29999999999998</v>
      </c>
      <c r="AO30" s="116">
        <f t="shared" si="15"/>
        <v>199.44299999999998</v>
      </c>
      <c r="AP30" s="117">
        <f t="shared" si="16"/>
        <v>809.84367605633804</v>
      </c>
      <c r="AQ30" s="118">
        <v>0</v>
      </c>
      <c r="AR30" s="118">
        <v>3</v>
      </c>
      <c r="AS30" s="118"/>
      <c r="AT30" s="119"/>
      <c r="AU30" s="120">
        <f t="shared" si="17"/>
        <v>66.207317073170728</v>
      </c>
      <c r="AV30" s="116">
        <f>AQ30*产品成本!$D$11+AR30*产品成本!$D$12+AS30*产品成本!$D$13+AT30*产品成本!$D$14</f>
        <v>18.591549295774648</v>
      </c>
      <c r="AW30" s="116">
        <f>AQ30*产品成本!$E$11+AR30*产品成本!$E$12+AS30*产品成本!$E$13+AT30*产品成本!$E$14</f>
        <v>1.0742535211267619</v>
      </c>
      <c r="AX30" s="116">
        <f>AQ30*产品成本!$F$11+AR30*产品成本!$F$12+AS30*产品成本!$F$13+AT30*产品成本!$F$14</f>
        <v>1.02</v>
      </c>
      <c r="AY30" s="116">
        <v>0</v>
      </c>
      <c r="AZ30" s="116">
        <f t="shared" si="18"/>
        <v>9.9310975609756085</v>
      </c>
      <c r="BA30" s="116">
        <f t="shared" si="19"/>
        <v>-1.9862195121951218</v>
      </c>
      <c r="BB30" s="117">
        <f t="shared" si="20"/>
        <v>28.630680865681899</v>
      </c>
      <c r="BC30" s="122">
        <f t="shared" si="21"/>
        <v>781.2129951906561</v>
      </c>
      <c r="BD30" s="122">
        <f t="shared" si="22"/>
        <v>1329.62</v>
      </c>
      <c r="BE30" s="122">
        <f t="shared" si="23"/>
        <v>1263.4126829268291</v>
      </c>
      <c r="BF30" s="121">
        <f t="shared" si="24"/>
        <v>-204.05031226382698</v>
      </c>
      <c r="BG30" s="123">
        <f t="shared" si="25"/>
        <v>-0.16150725334743582</v>
      </c>
      <c r="BI30" t="s">
        <v>284</v>
      </c>
    </row>
    <row r="31" spans="1:61" ht="29.1" customHeight="1" x14ac:dyDescent="0.15">
      <c r="A31" s="38" t="s">
        <v>144</v>
      </c>
      <c r="B31" s="66" t="s">
        <v>145</v>
      </c>
      <c r="C31" s="67">
        <v>84</v>
      </c>
      <c r="D31" s="68">
        <v>84</v>
      </c>
      <c r="E31" s="41">
        <v>1898.87</v>
      </c>
      <c r="F31" s="101"/>
      <c r="G31" s="101"/>
      <c r="H31" s="41"/>
      <c r="I31" s="41"/>
      <c r="J31" s="102">
        <v>2</v>
      </c>
      <c r="K31" s="103">
        <f t="shared" si="0"/>
        <v>2.3809523809523808E-2</v>
      </c>
      <c r="L31" s="104">
        <v>42.06</v>
      </c>
      <c r="M31" s="105">
        <f t="shared" si="1"/>
        <v>0.47368421052631576</v>
      </c>
      <c r="N31" s="103">
        <f t="shared" si="2"/>
        <v>0.47368421052631576</v>
      </c>
      <c r="O31" s="103">
        <f t="shared" si="3"/>
        <v>0.42812984160888079</v>
      </c>
      <c r="P31" s="106">
        <f t="shared" si="4"/>
        <v>1</v>
      </c>
      <c r="Q31" s="107">
        <f t="shared" si="5"/>
        <v>22.605595238095237</v>
      </c>
      <c r="R31" s="140">
        <f t="shared" si="6"/>
        <v>22.605595238095237</v>
      </c>
      <c r="S31" s="108">
        <f t="shared" si="7"/>
        <v>12</v>
      </c>
      <c r="T31" s="146">
        <f t="shared" si="8"/>
        <v>20</v>
      </c>
      <c r="U31" s="110">
        <f t="shared" si="9"/>
        <v>0.23809523809523808</v>
      </c>
      <c r="V31" s="71">
        <f t="shared" si="10"/>
        <v>0.41048097026126068</v>
      </c>
      <c r="W31" s="68">
        <v>103147</v>
      </c>
      <c r="X31" s="68">
        <v>762</v>
      </c>
      <c r="Y31" s="68">
        <v>64</v>
      </c>
      <c r="Z31" s="68">
        <v>779.45</v>
      </c>
      <c r="AA31" s="69">
        <v>1483.16</v>
      </c>
      <c r="AB31" s="68">
        <v>1.02</v>
      </c>
      <c r="AC31" s="48">
        <f t="shared" si="11"/>
        <v>0.52553332074759296</v>
      </c>
      <c r="AD31" s="49">
        <f t="shared" si="12"/>
        <v>7.3875149059109812E-3</v>
      </c>
      <c r="AE31" s="112">
        <f t="shared" si="13"/>
        <v>8.3989501312335957E-2</v>
      </c>
      <c r="AF31" s="107">
        <f t="shared" si="14"/>
        <v>12.178906250000001</v>
      </c>
      <c r="AG31" s="113">
        <v>16</v>
      </c>
      <c r="AH31" s="114">
        <v>68</v>
      </c>
      <c r="AI31" s="118"/>
      <c r="AJ31" s="119"/>
      <c r="AK31" s="116">
        <f>AG31*产品成本!$D$11+AH31*产品成本!$D$12+AI31*产品成本!$D$13+AJ31*产品成本!$D$14</f>
        <v>504.78873239436621</v>
      </c>
      <c r="AL31" s="116">
        <f>AG31*产品成本!$E$11+AH31*产品成本!$E$12+AI31*产品成本!$E$13+AJ31*产品成本!$E$14</f>
        <v>30.079098591549336</v>
      </c>
      <c r="AM31" s="116">
        <f>AG31*产品成本!$F$11+AH31*产品成本!$F$12+AI31*产品成本!$F$13+AJ31*产品成本!$F$14</f>
        <v>28.560000000000002</v>
      </c>
      <c r="AN31" s="116">
        <f>AG31*产品成本!$G$11+AH31*产品成本!$G$12+AI31*产品成本!$G$13+AJ31*产品成本!$G$14</f>
        <v>327.59999999999997</v>
      </c>
      <c r="AO31" s="116">
        <f t="shared" si="15"/>
        <v>284.83049999999997</v>
      </c>
      <c r="AP31" s="117">
        <f t="shared" si="16"/>
        <v>1175.8583309859155</v>
      </c>
      <c r="AQ31" s="118">
        <v>0</v>
      </c>
      <c r="AR31" s="118">
        <v>2</v>
      </c>
      <c r="AS31" s="118"/>
      <c r="AT31" s="119"/>
      <c r="AU31" s="120">
        <f t="shared" si="17"/>
        <v>51.292682926829272</v>
      </c>
      <c r="AV31" s="116">
        <f>AQ31*产品成本!$D$11+AR31*产品成本!$D$12+AS31*产品成本!$D$13+AT31*产品成本!$D$14</f>
        <v>12.3943661971831</v>
      </c>
      <c r="AW31" s="116">
        <f>AQ31*产品成本!$E$11+AR31*产品成本!$E$12+AS31*产品成本!$E$13+AT31*产品成本!$E$14</f>
        <v>0.71616901408450795</v>
      </c>
      <c r="AX31" s="116">
        <f>AQ31*产品成本!$F$11+AR31*产品成本!$F$12+AS31*产品成本!$F$13+AT31*产品成本!$F$14</f>
        <v>0.68</v>
      </c>
      <c r="AY31" s="116">
        <v>0</v>
      </c>
      <c r="AZ31" s="116">
        <f t="shared" si="18"/>
        <v>7.6939024390243906</v>
      </c>
      <c r="BA31" s="116">
        <f t="shared" si="19"/>
        <v>-1.5387804878048783</v>
      </c>
      <c r="BB31" s="117">
        <f t="shared" si="20"/>
        <v>19.94565716248712</v>
      </c>
      <c r="BC31" s="122">
        <f t="shared" si="21"/>
        <v>1155.9126738234283</v>
      </c>
      <c r="BD31" s="122">
        <f t="shared" si="22"/>
        <v>1898.87</v>
      </c>
      <c r="BE31" s="122">
        <f t="shared" si="23"/>
        <v>1847.5773170731707</v>
      </c>
      <c r="BF31" s="121">
        <f t="shared" si="24"/>
        <v>-87.785356750257733</v>
      </c>
      <c r="BG31" s="123">
        <f t="shared" si="25"/>
        <v>-4.7513766238114687E-2</v>
      </c>
      <c r="BI31" t="s">
        <v>342</v>
      </c>
    </row>
    <row r="32" spans="1:61" ht="29.1" customHeight="1" x14ac:dyDescent="0.15">
      <c r="A32" s="38" t="s">
        <v>147</v>
      </c>
      <c r="B32" s="66" t="s">
        <v>148</v>
      </c>
      <c r="C32" s="67">
        <v>111</v>
      </c>
      <c r="D32" s="68">
        <v>111</v>
      </c>
      <c r="E32" s="41">
        <v>2516.9899999999998</v>
      </c>
      <c r="F32" s="101"/>
      <c r="G32" s="101"/>
      <c r="H32" s="41"/>
      <c r="I32" s="41"/>
      <c r="J32" s="102">
        <v>10</v>
      </c>
      <c r="K32" s="103">
        <f t="shared" si="0"/>
        <v>9.0090090090090086E-2</v>
      </c>
      <c r="L32" s="104">
        <v>201.5</v>
      </c>
      <c r="M32" s="105">
        <f t="shared" si="1"/>
        <v>0.32142857142857145</v>
      </c>
      <c r="N32" s="103">
        <f t="shared" si="2"/>
        <v>0.32142857142857145</v>
      </c>
      <c r="O32" s="103">
        <f t="shared" si="3"/>
        <v>0.32551991447545114</v>
      </c>
      <c r="P32" s="106">
        <f t="shared" si="4"/>
        <v>1</v>
      </c>
      <c r="Q32" s="107">
        <f t="shared" si="5"/>
        <v>22.675585585585583</v>
      </c>
      <c r="R32" s="140">
        <f t="shared" si="6"/>
        <v>22.675585585585583</v>
      </c>
      <c r="S32" s="108">
        <f t="shared" si="7"/>
        <v>15.857142857142858</v>
      </c>
      <c r="T32" s="146">
        <f t="shared" si="8"/>
        <v>20</v>
      </c>
      <c r="U32" s="110">
        <f t="shared" si="9"/>
        <v>0.18018018018018017</v>
      </c>
      <c r="V32" s="71">
        <f t="shared" si="10"/>
        <v>0.38818588870039217</v>
      </c>
      <c r="W32" s="68">
        <v>121904</v>
      </c>
      <c r="X32" s="68">
        <v>894</v>
      </c>
      <c r="Y32" s="68">
        <v>91</v>
      </c>
      <c r="Z32" s="68">
        <v>977.06</v>
      </c>
      <c r="AA32" s="69">
        <v>2033.9</v>
      </c>
      <c r="AB32" s="68">
        <v>1.0900000000000001</v>
      </c>
      <c r="AC32" s="48">
        <f t="shared" si="11"/>
        <v>0.48038743301047243</v>
      </c>
      <c r="AD32" s="49">
        <f t="shared" si="12"/>
        <v>7.3336395852474081E-3</v>
      </c>
      <c r="AE32" s="112">
        <f t="shared" si="13"/>
        <v>0.1017897091722595</v>
      </c>
      <c r="AF32" s="107">
        <f t="shared" si="14"/>
        <v>10.736923076923077</v>
      </c>
      <c r="AG32" s="113">
        <v>15</v>
      </c>
      <c r="AH32" s="114">
        <v>96</v>
      </c>
      <c r="AI32" s="118"/>
      <c r="AJ32" s="119"/>
      <c r="AK32" s="116">
        <f>AG32*产品成本!$D$11+AH32*产品成本!$D$12+AI32*产品成本!$D$13+AJ32*产品成本!$D$14</f>
        <v>673.09859154929575</v>
      </c>
      <c r="AL32" s="116">
        <f>AG32*产品成本!$E$11+AH32*产品成本!$E$12+AI32*产品成本!$E$13+AJ32*产品成本!$E$14</f>
        <v>39.747380281690191</v>
      </c>
      <c r="AM32" s="116">
        <f>AG32*产品成本!$F$11+AH32*产品成本!$F$12+AI32*产品成本!$F$13+AJ32*产品成本!$F$14</f>
        <v>37.74</v>
      </c>
      <c r="AN32" s="116">
        <f>AG32*产品成本!$G$11+AH32*产品成本!$G$12+AI32*产品成本!$G$13+AJ32*产品成本!$G$14</f>
        <v>432.9</v>
      </c>
      <c r="AO32" s="116">
        <f t="shared" si="15"/>
        <v>377.54849999999993</v>
      </c>
      <c r="AP32" s="117">
        <f t="shared" si="16"/>
        <v>1561.0344718309857</v>
      </c>
      <c r="AQ32" s="118">
        <v>1</v>
      </c>
      <c r="AR32" s="118">
        <v>9</v>
      </c>
      <c r="AS32" s="118"/>
      <c r="AT32" s="119"/>
      <c r="AU32" s="120">
        <f t="shared" si="17"/>
        <v>245.73170731707319</v>
      </c>
      <c r="AV32" s="116">
        <f>AQ32*产品成本!$D$11+AR32*产品成本!$D$12+AS32*产品成本!$D$13+AT32*产品成本!$D$14</f>
        <v>60.985915492957751</v>
      </c>
      <c r="AW32" s="116">
        <f>AQ32*产品成本!$E$11+AR32*产品成本!$E$12+AS32*产品成本!$E$13+AT32*产品成本!$E$14</f>
        <v>3.5808450704225394</v>
      </c>
      <c r="AX32" s="116">
        <f>AQ32*产品成本!$F$11+AR32*产品成本!$F$12+AS32*产品成本!$F$13+AT32*产品成本!$F$14</f>
        <v>3.4</v>
      </c>
      <c r="AY32" s="116">
        <v>0</v>
      </c>
      <c r="AZ32" s="116">
        <f t="shared" si="18"/>
        <v>36.859756097560975</v>
      </c>
      <c r="BA32" s="116">
        <f t="shared" si="19"/>
        <v>-7.3719512195121952</v>
      </c>
      <c r="BB32" s="117">
        <f t="shared" si="20"/>
        <v>97.454565441429068</v>
      </c>
      <c r="BC32" s="122">
        <f t="shared" si="21"/>
        <v>1463.5799063895565</v>
      </c>
      <c r="BD32" s="122">
        <f t="shared" si="22"/>
        <v>2516.9899999999998</v>
      </c>
      <c r="BE32" s="122">
        <f t="shared" si="23"/>
        <v>2271.2582926829264</v>
      </c>
      <c r="BF32" s="121">
        <f t="shared" si="24"/>
        <v>-169.38161370663011</v>
      </c>
      <c r="BG32" s="123">
        <f t="shared" si="25"/>
        <v>-7.4576112392108374E-2</v>
      </c>
      <c r="BH32" s="125"/>
      <c r="BI32" s="125" t="s">
        <v>343</v>
      </c>
    </row>
    <row r="33" spans="1:61" ht="29.1" customHeight="1" x14ac:dyDescent="0.15">
      <c r="A33" s="38" t="s">
        <v>150</v>
      </c>
      <c r="B33" s="66" t="s">
        <v>151</v>
      </c>
      <c r="C33" s="67">
        <v>124</v>
      </c>
      <c r="D33" s="68">
        <v>123</v>
      </c>
      <c r="E33" s="41">
        <v>2899.27</v>
      </c>
      <c r="F33" s="101"/>
      <c r="G33" s="101"/>
      <c r="H33" s="41"/>
      <c r="I33" s="41"/>
      <c r="J33" s="102">
        <v>9</v>
      </c>
      <c r="K33" s="103">
        <f t="shared" si="0"/>
        <v>7.2580645161290328E-2</v>
      </c>
      <c r="L33" s="104">
        <v>183.99</v>
      </c>
      <c r="M33" s="105">
        <f t="shared" si="1"/>
        <v>0.11711711711711711</v>
      </c>
      <c r="N33" s="103">
        <f t="shared" si="2"/>
        <v>0.10810810810810811</v>
      </c>
      <c r="O33" s="103">
        <f t="shared" si="3"/>
        <v>0.15187982471126235</v>
      </c>
      <c r="P33" s="106">
        <f t="shared" si="4"/>
        <v>1.0081300813008129</v>
      </c>
      <c r="Q33" s="107">
        <f t="shared" si="5"/>
        <v>23.571300813008129</v>
      </c>
      <c r="R33" s="140">
        <f t="shared" si="6"/>
        <v>23.381209677419356</v>
      </c>
      <c r="S33" s="108">
        <f t="shared" si="7"/>
        <v>17.714285714285715</v>
      </c>
      <c r="T33" s="146">
        <f t="shared" si="8"/>
        <v>10</v>
      </c>
      <c r="U33" s="110">
        <f t="shared" si="9"/>
        <v>8.1300813008130079E-2</v>
      </c>
      <c r="V33" s="71">
        <f t="shared" si="10"/>
        <v>0.54340920300627404</v>
      </c>
      <c r="W33" s="68">
        <v>171331</v>
      </c>
      <c r="X33" s="68">
        <v>1404</v>
      </c>
      <c r="Y33" s="68">
        <v>113</v>
      </c>
      <c r="Z33" s="68">
        <v>1575.49</v>
      </c>
      <c r="AA33" s="69">
        <v>2611.86</v>
      </c>
      <c r="AB33" s="68">
        <v>1.1200000000000001</v>
      </c>
      <c r="AC33" s="48">
        <f t="shared" si="11"/>
        <v>0.60320614428032127</v>
      </c>
      <c r="AD33" s="49">
        <f t="shared" si="12"/>
        <v>8.1946641296671355E-3</v>
      </c>
      <c r="AE33" s="112">
        <f t="shared" si="13"/>
        <v>8.0484330484330485E-2</v>
      </c>
      <c r="AF33" s="107">
        <f t="shared" si="14"/>
        <v>13.942389380530974</v>
      </c>
      <c r="AG33" s="113">
        <v>22</v>
      </c>
      <c r="AH33" s="114">
        <v>102</v>
      </c>
      <c r="AI33" s="118"/>
      <c r="AJ33" s="119"/>
      <c r="AK33" s="116">
        <f>AG33*产品成本!$D$11+AH33*产品成本!$D$12+AI33*产品成本!$D$13+AJ33*产品成本!$D$14</f>
        <v>746.76056338028161</v>
      </c>
      <c r="AL33" s="116">
        <f>AG33*产品成本!$E$11+AH33*产品成本!$E$12+AI33*产品成本!$E$13+AJ33*产品成本!$E$14</f>
        <v>44.402478873239495</v>
      </c>
      <c r="AM33" s="116">
        <f>AG33*产品成本!$F$11+AH33*产品成本!$F$12+AI33*产品成本!$F$13+AJ33*产品成本!$F$14</f>
        <v>42.16</v>
      </c>
      <c r="AN33" s="116">
        <f>AG33*产品成本!$G$11+AH33*产品成本!$G$12+AI33*产品成本!$G$13+AJ33*产品成本!$G$14</f>
        <v>483.6</v>
      </c>
      <c r="AO33" s="116">
        <f t="shared" si="15"/>
        <v>434.89049999999997</v>
      </c>
      <c r="AP33" s="117">
        <f t="shared" si="16"/>
        <v>1751.8135422535211</v>
      </c>
      <c r="AQ33" s="118">
        <v>2</v>
      </c>
      <c r="AR33" s="118">
        <v>7</v>
      </c>
      <c r="AS33" s="118"/>
      <c r="AT33" s="119"/>
      <c r="AU33" s="120">
        <f t="shared" si="17"/>
        <v>224.37804878048783</v>
      </c>
      <c r="AV33" s="116">
        <f>AQ33*产品成本!$D$11+AR33*产品成本!$D$12+AS33*产品成本!$D$13+AT33*产品成本!$D$14</f>
        <v>53.802816901408448</v>
      </c>
      <c r="AW33" s="116">
        <f>AQ33*产品成本!$E$11+AR33*产品成本!$E$12+AS33*产品成本!$E$13+AT33*产品成本!$E$14</f>
        <v>3.222760563380286</v>
      </c>
      <c r="AX33" s="116">
        <f>AQ33*产品成本!$F$11+AR33*产品成本!$F$12+AS33*产品成本!$F$13+AT33*产品成本!$F$14</f>
        <v>3.0600000000000005</v>
      </c>
      <c r="AY33" s="116">
        <v>0</v>
      </c>
      <c r="AZ33" s="116">
        <f t="shared" si="18"/>
        <v>33.65670731707317</v>
      </c>
      <c r="BA33" s="116">
        <f t="shared" si="19"/>
        <v>-6.7313414634146342</v>
      </c>
      <c r="BB33" s="117">
        <f t="shared" si="20"/>
        <v>87.010943318447275</v>
      </c>
      <c r="BC33" s="122">
        <f t="shared" si="21"/>
        <v>1664.8025989350738</v>
      </c>
      <c r="BD33" s="122">
        <f t="shared" si="22"/>
        <v>2899.27</v>
      </c>
      <c r="BE33" s="122">
        <f t="shared" si="23"/>
        <v>2674.8919512195121</v>
      </c>
      <c r="BF33" s="121">
        <f t="shared" si="24"/>
        <v>-565.40064771556172</v>
      </c>
      <c r="BG33" s="123">
        <f t="shared" si="25"/>
        <v>-0.21137326592118588</v>
      </c>
      <c r="BI33" t="s">
        <v>285</v>
      </c>
    </row>
    <row r="34" spans="1:61" ht="29.1" customHeight="1" x14ac:dyDescent="0.15">
      <c r="A34" s="38" t="s">
        <v>154</v>
      </c>
      <c r="B34" s="66" t="s">
        <v>155</v>
      </c>
      <c r="C34" s="67">
        <v>135</v>
      </c>
      <c r="D34" s="68">
        <v>133</v>
      </c>
      <c r="E34" s="41">
        <v>3079.15</v>
      </c>
      <c r="F34" s="101">
        <v>3</v>
      </c>
      <c r="G34" s="101">
        <v>3</v>
      </c>
      <c r="H34" s="41">
        <v>69.67</v>
      </c>
      <c r="I34" s="41">
        <v>4.58</v>
      </c>
      <c r="J34" s="102">
        <v>6</v>
      </c>
      <c r="K34" s="103">
        <f t="shared" si="0"/>
        <v>4.4444444444444446E-2</v>
      </c>
      <c r="L34" s="104">
        <v>120.9</v>
      </c>
      <c r="M34" s="105">
        <f t="shared" si="1"/>
        <v>8.8709677419354843E-2</v>
      </c>
      <c r="N34" s="103">
        <f t="shared" si="2"/>
        <v>8.1300813008130079E-2</v>
      </c>
      <c r="O34" s="103">
        <f t="shared" si="3"/>
        <v>6.2043203978932669E-2</v>
      </c>
      <c r="P34" s="106">
        <f t="shared" si="4"/>
        <v>1.0150375939849625</v>
      </c>
      <c r="Q34" s="107">
        <f t="shared" si="5"/>
        <v>23.151503759398498</v>
      </c>
      <c r="R34" s="140">
        <f t="shared" si="6"/>
        <v>22.808518518518518</v>
      </c>
      <c r="S34" s="108">
        <f t="shared" si="7"/>
        <v>19.285714285714285</v>
      </c>
      <c r="T34" s="146">
        <f t="shared" si="8"/>
        <v>20</v>
      </c>
      <c r="U34" s="110">
        <f t="shared" si="9"/>
        <v>0.15037593984962405</v>
      </c>
      <c r="V34" s="71">
        <f t="shared" si="10"/>
        <v>0.45621013670204291</v>
      </c>
      <c r="W34" s="68">
        <v>123891</v>
      </c>
      <c r="X34" s="68">
        <v>1216</v>
      </c>
      <c r="Y34" s="68">
        <v>113</v>
      </c>
      <c r="Z34" s="68">
        <v>1402.65</v>
      </c>
      <c r="AA34" s="69">
        <v>2645.34</v>
      </c>
      <c r="AB34" s="68">
        <v>1.1499999999999999</v>
      </c>
      <c r="AC34" s="48">
        <f t="shared" si="11"/>
        <v>0.53023429880469053</v>
      </c>
      <c r="AD34" s="49">
        <f t="shared" si="12"/>
        <v>9.8150793842974871E-3</v>
      </c>
      <c r="AE34" s="112">
        <f t="shared" si="13"/>
        <v>9.2927631578947373E-2</v>
      </c>
      <c r="AF34" s="107">
        <f t="shared" si="14"/>
        <v>12.412831858407081</v>
      </c>
      <c r="AG34" s="113">
        <v>32</v>
      </c>
      <c r="AH34" s="114">
        <v>103</v>
      </c>
      <c r="AI34" s="118"/>
      <c r="AJ34" s="119"/>
      <c r="AK34" s="116">
        <f>AG34*产品成本!$D$11+AH34*产品成本!$D$12+AI34*产品成本!$D$13+AJ34*产品成本!$D$14</f>
        <v>805.07042253521126</v>
      </c>
      <c r="AL34" s="116">
        <f>AG34*产品成本!$E$11+AH34*产品成本!$E$12+AI34*产品成本!$E$13+AJ34*产品成本!$E$14</f>
        <v>48.341408450704286</v>
      </c>
      <c r="AM34" s="116">
        <f>AG34*产品成本!$F$11+AH34*产品成本!$F$12+AI34*产品成本!$F$13+AJ34*产品成本!$F$14</f>
        <v>45.900000000000006</v>
      </c>
      <c r="AN34" s="116">
        <f>AG34*产品成本!$G$11+AH34*产品成本!$G$12+AI34*产品成本!$G$13+AJ34*产品成本!$G$14</f>
        <v>526.5</v>
      </c>
      <c r="AO34" s="116">
        <f t="shared" si="15"/>
        <v>461.18549999999999</v>
      </c>
      <c r="AP34" s="117">
        <f t="shared" si="16"/>
        <v>1886.9973309859156</v>
      </c>
      <c r="AQ34" s="118">
        <v>0</v>
      </c>
      <c r="AR34" s="118">
        <v>6</v>
      </c>
      <c r="AS34" s="118"/>
      <c r="AT34" s="119"/>
      <c r="AU34" s="120">
        <f t="shared" si="17"/>
        <v>147.43902439024393</v>
      </c>
      <c r="AV34" s="116">
        <f>AQ34*产品成本!$D$11+AR34*产品成本!$D$12+AS34*产品成本!$D$13+AT34*产品成本!$D$14</f>
        <v>37.183098591549296</v>
      </c>
      <c r="AW34" s="116">
        <f>AQ34*产品成本!$E$11+AR34*产品成本!$E$12+AS34*产品成本!$E$13+AT34*产品成本!$E$14</f>
        <v>2.1485070422535237</v>
      </c>
      <c r="AX34" s="116">
        <f>AQ34*产品成本!$F$11+AR34*产品成本!$F$12+AS34*产品成本!$F$13+AT34*产品成本!$F$14</f>
        <v>2.04</v>
      </c>
      <c r="AY34" s="116">
        <v>0</v>
      </c>
      <c r="AZ34" s="116">
        <f t="shared" si="18"/>
        <v>22.11585365853659</v>
      </c>
      <c r="BA34" s="116">
        <f t="shared" si="19"/>
        <v>-4.4231707317073186</v>
      </c>
      <c r="BB34" s="117">
        <f t="shared" si="20"/>
        <v>59.064288560632093</v>
      </c>
      <c r="BC34" s="122">
        <f t="shared" si="21"/>
        <v>1827.9330424252835</v>
      </c>
      <c r="BD34" s="122">
        <f t="shared" si="22"/>
        <v>3074.57</v>
      </c>
      <c r="BE34" s="122">
        <f t="shared" si="23"/>
        <v>2927.1309756097562</v>
      </c>
      <c r="BF34" s="121">
        <f t="shared" si="24"/>
        <v>-303.45206681552736</v>
      </c>
      <c r="BG34" s="123">
        <f t="shared" si="25"/>
        <v>-0.10366876963963483</v>
      </c>
    </row>
    <row r="35" spans="1:61" ht="29.1" customHeight="1" x14ac:dyDescent="0.15">
      <c r="A35" s="38" t="s">
        <v>156</v>
      </c>
      <c r="B35" s="66" t="s">
        <v>157</v>
      </c>
      <c r="C35" s="67">
        <v>121</v>
      </c>
      <c r="D35" s="68">
        <v>120</v>
      </c>
      <c r="E35" s="41">
        <v>2748.69</v>
      </c>
      <c r="F35" s="101">
        <v>1</v>
      </c>
      <c r="G35" s="101">
        <v>1</v>
      </c>
      <c r="H35" s="41">
        <v>23.89</v>
      </c>
      <c r="I35" s="41">
        <v>2.39</v>
      </c>
      <c r="J35" s="102">
        <v>10</v>
      </c>
      <c r="K35" s="103">
        <f t="shared" si="0"/>
        <v>8.2644628099173556E-2</v>
      </c>
      <c r="L35" s="104">
        <v>202.91</v>
      </c>
      <c r="M35" s="105">
        <f t="shared" si="1"/>
        <v>-0.1037037037037037</v>
      </c>
      <c r="N35" s="103">
        <f t="shared" si="2"/>
        <v>-9.7744360902255634E-2</v>
      </c>
      <c r="O35" s="103">
        <f t="shared" si="3"/>
        <v>-0.10732182582855659</v>
      </c>
      <c r="P35" s="106">
        <f t="shared" si="4"/>
        <v>1.0083333333333333</v>
      </c>
      <c r="Q35" s="107">
        <f t="shared" si="5"/>
        <v>22.905750000000001</v>
      </c>
      <c r="R35" s="140">
        <f t="shared" si="6"/>
        <v>22.716446280991736</v>
      </c>
      <c r="S35" s="108">
        <f t="shared" si="7"/>
        <v>17.285714285714285</v>
      </c>
      <c r="T35" s="146">
        <f t="shared" si="8"/>
        <v>8</v>
      </c>
      <c r="U35" s="110">
        <f t="shared" si="9"/>
        <v>6.6666666666666666E-2</v>
      </c>
      <c r="V35" s="71">
        <f t="shared" si="10"/>
        <v>0.4515020209008484</v>
      </c>
      <c r="W35" s="68">
        <v>127321</v>
      </c>
      <c r="X35" s="68">
        <v>1119</v>
      </c>
      <c r="Y35" s="68">
        <v>112</v>
      </c>
      <c r="Z35" s="68">
        <v>1239.96</v>
      </c>
      <c r="AA35" s="69">
        <v>2496.29</v>
      </c>
      <c r="AB35" s="68">
        <v>1.1100000000000001</v>
      </c>
      <c r="AC35" s="48">
        <f t="shared" si="11"/>
        <v>0.49672113416309804</v>
      </c>
      <c r="AD35" s="49">
        <f t="shared" si="12"/>
        <v>8.7888093872966755E-3</v>
      </c>
      <c r="AE35" s="112">
        <f t="shared" si="13"/>
        <v>0.10008936550491511</v>
      </c>
      <c r="AF35" s="107">
        <f t="shared" si="14"/>
        <v>11.071071428571429</v>
      </c>
      <c r="AG35" s="113">
        <v>35</v>
      </c>
      <c r="AH35" s="114">
        <v>87</v>
      </c>
      <c r="AI35" s="118"/>
      <c r="AJ35" s="119"/>
      <c r="AK35" s="116">
        <f>AG35*产品成本!$D$11+AH35*产品成本!$D$12+AI35*产品成本!$D$13+AJ35*产品成本!$D$14</f>
        <v>721.54929577464782</v>
      </c>
      <c r="AL35" s="116">
        <f>AG35*产品成本!$E$11+AH35*产品成本!$E$12+AI35*产品成本!$E$13+AJ35*产品成本!$E$14</f>
        <v>43.686309859154989</v>
      </c>
      <c r="AM35" s="116">
        <f>AG35*产品成本!$F$11+AH35*产品成本!$F$12+AI35*产品成本!$F$13+AJ35*产品成本!$F$14</f>
        <v>41.480000000000004</v>
      </c>
      <c r="AN35" s="116">
        <f>AG35*产品成本!$G$11+AH35*产品成本!$G$12+AI35*产品成本!$G$13+AJ35*产品成本!$G$14</f>
        <v>475.8</v>
      </c>
      <c r="AO35" s="116">
        <f t="shared" si="15"/>
        <v>411.94499999999999</v>
      </c>
      <c r="AP35" s="117">
        <f t="shared" si="16"/>
        <v>1694.4606056338027</v>
      </c>
      <c r="AQ35" s="118">
        <v>2</v>
      </c>
      <c r="AR35" s="118">
        <v>8</v>
      </c>
      <c r="AS35" s="118"/>
      <c r="AT35" s="119"/>
      <c r="AU35" s="120">
        <f t="shared" si="17"/>
        <v>247.45121951219514</v>
      </c>
      <c r="AV35" s="116">
        <f>AQ35*产品成本!$D$11+AR35*产品成本!$D$12+AS35*产品成本!$D$13+AT35*产品成本!$D$14</f>
        <v>60</v>
      </c>
      <c r="AW35" s="116">
        <f>AQ35*产品成本!$E$11+AR35*产品成本!$E$12+AS35*产品成本!$E$13+AT35*产品成本!$E$14</f>
        <v>3.5808450704225399</v>
      </c>
      <c r="AX35" s="116">
        <f>AQ35*产品成本!$F$11+AR35*产品成本!$F$12+AS35*产品成本!$F$13+AT35*产品成本!$F$14</f>
        <v>3.4000000000000004</v>
      </c>
      <c r="AY35" s="116">
        <v>0</v>
      </c>
      <c r="AZ35" s="116">
        <f t="shared" si="18"/>
        <v>37.117682926829268</v>
      </c>
      <c r="BA35" s="116">
        <f t="shared" si="19"/>
        <v>-7.4235365853658539</v>
      </c>
      <c r="BB35" s="117">
        <f t="shared" si="20"/>
        <v>96.674991411885955</v>
      </c>
      <c r="BC35" s="122">
        <f t="shared" si="21"/>
        <v>1597.7856142219168</v>
      </c>
      <c r="BD35" s="122">
        <f t="shared" si="22"/>
        <v>2746.3</v>
      </c>
      <c r="BE35" s="122">
        <f t="shared" si="23"/>
        <v>2498.848780487805</v>
      </c>
      <c r="BF35" s="121">
        <f t="shared" si="24"/>
        <v>-338.89683373411185</v>
      </c>
      <c r="BG35" s="123">
        <f t="shared" si="25"/>
        <v>-0.1356211853956025</v>
      </c>
    </row>
    <row r="36" spans="1:61" ht="29.1" customHeight="1" x14ac:dyDescent="0.15">
      <c r="A36" s="38" t="s">
        <v>158</v>
      </c>
      <c r="B36" s="66" t="s">
        <v>159</v>
      </c>
      <c r="C36" s="67">
        <v>119</v>
      </c>
      <c r="D36" s="68">
        <v>117</v>
      </c>
      <c r="E36" s="41">
        <v>2458.2199999999998</v>
      </c>
      <c r="F36" s="101">
        <v>4</v>
      </c>
      <c r="G36" s="101">
        <v>4</v>
      </c>
      <c r="H36" s="41">
        <v>73.760000000000005</v>
      </c>
      <c r="I36" s="41">
        <v>7.38</v>
      </c>
      <c r="J36" s="102">
        <v>8</v>
      </c>
      <c r="K36" s="103">
        <f t="shared" ref="K36:K78" si="26">J36/C36</f>
        <v>6.7226890756302518E-2</v>
      </c>
      <c r="L36" s="104">
        <v>157.68</v>
      </c>
      <c r="M36" s="105">
        <f t="shared" si="1"/>
        <v>-1.6528925619834711E-2</v>
      </c>
      <c r="N36" s="103">
        <f t="shared" si="2"/>
        <v>-2.5000000000000001E-2</v>
      </c>
      <c r="O36" s="103">
        <f t="shared" si="3"/>
        <v>-0.10567579465127033</v>
      </c>
      <c r="P36" s="106">
        <f t="shared" ref="P36:P74" si="27">C36/D36</f>
        <v>1.017094017094017</v>
      </c>
      <c r="Q36" s="107">
        <f t="shared" ref="Q36:Q74" si="28">E36/D36</f>
        <v>21.010427350427349</v>
      </c>
      <c r="R36" s="140">
        <f t="shared" ref="R36:R74" si="29">E36/C36</f>
        <v>20.657310924369746</v>
      </c>
      <c r="S36" s="108">
        <f t="shared" ref="S36:S50" si="30">G36/7</f>
        <v>0.5714285714285714</v>
      </c>
      <c r="T36" s="146">
        <f t="shared" ref="T36:T74" si="31">D36-Y36</f>
        <v>36</v>
      </c>
      <c r="U36" s="110">
        <f t="shared" ref="U36:U78" si="32">T36/D36</f>
        <v>0.30769230769230771</v>
      </c>
      <c r="V36" s="71">
        <f t="shared" ref="V36:V74" si="33">Z36/(E36-I36)</f>
        <v>0.4871880661324281</v>
      </c>
      <c r="W36" s="68">
        <v>134645</v>
      </c>
      <c r="X36" s="68">
        <v>1091</v>
      </c>
      <c r="Y36" s="68">
        <v>81</v>
      </c>
      <c r="Z36" s="68">
        <v>1194.02</v>
      </c>
      <c r="AA36" s="69">
        <v>1721.78</v>
      </c>
      <c r="AB36" s="68">
        <v>1.0900000000000001</v>
      </c>
      <c r="AC36" s="48">
        <f t="shared" ref="AC36:AC78" si="34">Z36/AA36</f>
        <v>0.69348000325244807</v>
      </c>
      <c r="AD36" s="49">
        <f t="shared" ref="AD36:AD74" si="35">X36/W36</f>
        <v>8.1027888150321213E-3</v>
      </c>
      <c r="AE36" s="112">
        <f t="shared" ref="AE36:AE74" si="36">Y36/X36</f>
        <v>7.4243813015582041E-2</v>
      </c>
      <c r="AF36" s="107">
        <f t="shared" ref="AF36:AF74" si="37">Z36/Y36</f>
        <v>14.740987654320987</v>
      </c>
      <c r="AG36" s="113">
        <v>38</v>
      </c>
      <c r="AH36" s="114">
        <v>81</v>
      </c>
      <c r="AI36" s="118"/>
      <c r="AJ36" s="119"/>
      <c r="AK36" s="116">
        <f>AG36*产品成本!$D$11+AH36*产品成本!$D$12+AI36*产品成本!$D$13+AJ36*产品成本!$D$14</f>
        <v>700</v>
      </c>
      <c r="AL36" s="116">
        <f>AG36*产品成本!$E$11+AH36*产品成本!$E$12+AI36*产品成本!$E$13+AJ36*产品成本!$E$14</f>
        <v>42.612056338028225</v>
      </c>
      <c r="AM36" s="116">
        <f>AG36*产品成本!$F$11+AH36*产品成本!$F$12+AI36*产品成本!$F$13+AJ36*产品成本!$F$14</f>
        <v>40.460000000000008</v>
      </c>
      <c r="AN36" s="116">
        <f>AG36*产品成本!$G$11+AH36*产品成本!$G$12+AI36*产品成本!$G$13+AJ36*产品成本!$G$14</f>
        <v>464.09999999999997</v>
      </c>
      <c r="AO36" s="116">
        <f t="shared" ref="AO36:AO74" si="38">(E36-I36)*0.15</f>
        <v>367.62599999999992</v>
      </c>
      <c r="AP36" s="117">
        <f t="shared" ref="AP36:AP74" si="39">SUM(AK36:AO36)</f>
        <v>1614.7980563380281</v>
      </c>
      <c r="AQ36" s="118">
        <v>3</v>
      </c>
      <c r="AR36" s="118">
        <v>5</v>
      </c>
      <c r="AS36" s="118"/>
      <c r="AT36" s="119"/>
      <c r="AU36" s="120">
        <f t="shared" ref="AU36:AU74" si="40">L36/(1-0.15-0.15*0.2)</f>
        <v>192.29268292682929</v>
      </c>
      <c r="AV36" s="116">
        <f>AQ36*产品成本!$D$11+AR36*产品成本!$D$12+AS36*产品成本!$D$13+AT36*产品成本!$D$14</f>
        <v>46.619718309859152</v>
      </c>
      <c r="AW36" s="116">
        <f>AQ36*产品成本!$E$11+AR36*产品成本!$E$12+AS36*产品成本!$E$13+AT36*产品成本!$E$14</f>
        <v>2.8646760563380318</v>
      </c>
      <c r="AX36" s="116">
        <f>AQ36*产品成本!$F$11+AR36*产品成本!$F$12+AS36*产品成本!$F$13+AT36*产品成本!$F$14</f>
        <v>2.72</v>
      </c>
      <c r="AY36" s="116">
        <v>0</v>
      </c>
      <c r="AZ36" s="116">
        <f t="shared" ref="AZ36:AZ74" si="41">AU36*0.15</f>
        <v>28.84390243902439</v>
      </c>
      <c r="BA36" s="116">
        <f t="shared" ref="BA36:BA74" si="42">-AZ36*0.2</f>
        <v>-5.7687804878048787</v>
      </c>
      <c r="BB36" s="117">
        <f t="shared" ref="BB36:BB74" si="43">SUM(AV36:BA36)</f>
        <v>75.279516317416707</v>
      </c>
      <c r="BC36" s="122">
        <f t="shared" ref="BC36:BC74" si="44">AP36-BB36</f>
        <v>1539.5185400206115</v>
      </c>
      <c r="BD36" s="122">
        <f t="shared" ref="BD36:BD74" si="45">E36-I36</f>
        <v>2450.8399999999997</v>
      </c>
      <c r="BE36" s="122">
        <f t="shared" ref="BE36:BE74" si="46">E36-AU36-I36</f>
        <v>2258.5473170731702</v>
      </c>
      <c r="BF36" s="121">
        <f t="shared" ref="BF36:BF74" si="47">BE36-BC36-Z36</f>
        <v>-474.9912229474412</v>
      </c>
      <c r="BG36" s="123">
        <f t="shared" ref="BG36:BG74" si="48">BF36/BE36</f>
        <v>-0.21030828947297758</v>
      </c>
      <c r="BI36" t="s">
        <v>344</v>
      </c>
    </row>
    <row r="37" spans="1:61" ht="29.1" customHeight="1" x14ac:dyDescent="0.15">
      <c r="A37" s="38" t="s">
        <v>160</v>
      </c>
      <c r="B37" s="66" t="s">
        <v>161</v>
      </c>
      <c r="C37" s="67">
        <v>119</v>
      </c>
      <c r="D37" s="68">
        <v>118</v>
      </c>
      <c r="E37" s="41">
        <v>2684.51</v>
      </c>
      <c r="F37" s="101">
        <v>27</v>
      </c>
      <c r="G37" s="101">
        <v>26</v>
      </c>
      <c r="H37" s="41">
        <v>620.03</v>
      </c>
      <c r="I37" s="41">
        <v>190.97</v>
      </c>
      <c r="J37" s="102">
        <v>4</v>
      </c>
      <c r="K37" s="103">
        <f t="shared" si="26"/>
        <v>3.3613445378151259E-2</v>
      </c>
      <c r="L37" s="104">
        <v>76.900000000000006</v>
      </c>
      <c r="M37" s="105">
        <f t="shared" si="1"/>
        <v>0</v>
      </c>
      <c r="N37" s="103">
        <f t="shared" si="2"/>
        <v>8.5470085470085479E-3</v>
      </c>
      <c r="O37" s="103">
        <f t="shared" si="3"/>
        <v>9.205441335600574E-2</v>
      </c>
      <c r="P37" s="106">
        <f t="shared" si="27"/>
        <v>1.0084745762711864</v>
      </c>
      <c r="Q37" s="107">
        <f t="shared" si="28"/>
        <v>22.750084745762713</v>
      </c>
      <c r="R37" s="140">
        <f t="shared" si="29"/>
        <v>22.558907563025212</v>
      </c>
      <c r="S37" s="108">
        <f t="shared" si="30"/>
        <v>3.7142857142857144</v>
      </c>
      <c r="T37" s="146">
        <f t="shared" si="31"/>
        <v>19</v>
      </c>
      <c r="U37" s="110">
        <f t="shared" si="32"/>
        <v>0.16101694915254236</v>
      </c>
      <c r="V37" s="71">
        <f t="shared" si="33"/>
        <v>0.4807622897567313</v>
      </c>
      <c r="W37" s="68">
        <v>118209</v>
      </c>
      <c r="X37" s="68">
        <v>1125</v>
      </c>
      <c r="Y37" s="68">
        <v>99</v>
      </c>
      <c r="Z37" s="68">
        <v>1198.8</v>
      </c>
      <c r="AA37" s="69">
        <v>2255.4</v>
      </c>
      <c r="AB37" s="68">
        <v>1.07</v>
      </c>
      <c r="AC37" s="48">
        <f t="shared" si="34"/>
        <v>0.53152434158020745</v>
      </c>
      <c r="AD37" s="49">
        <f t="shared" si="35"/>
        <v>9.5170418496053604E-3</v>
      </c>
      <c r="AE37" s="112">
        <f t="shared" si="36"/>
        <v>8.7999999999999995E-2</v>
      </c>
      <c r="AF37" s="107">
        <f t="shared" si="37"/>
        <v>12.109090909090909</v>
      </c>
      <c r="AG37" s="113">
        <v>43</v>
      </c>
      <c r="AH37" s="114">
        <v>76</v>
      </c>
      <c r="AI37" s="118"/>
      <c r="AJ37" s="119"/>
      <c r="AK37" s="116">
        <f>AG37*产品成本!$D$11+AH37*产品成本!$D$12+AI37*产品成本!$D$13+AJ37*产品成本!$D$14</f>
        <v>695.07042253521126</v>
      </c>
      <c r="AL37" s="116">
        <f>AG37*产品成本!$E$11+AH37*产品成本!$E$12+AI37*产品成本!$E$13+AJ37*产品成本!$E$14</f>
        <v>42.612056338028225</v>
      </c>
      <c r="AM37" s="116">
        <f>AG37*产品成本!$F$11+AH37*产品成本!$F$12+AI37*产品成本!$F$13+AJ37*产品成本!$F$14</f>
        <v>40.460000000000008</v>
      </c>
      <c r="AN37" s="116">
        <f>AG37*产品成本!$G$11+AH37*产品成本!$G$12+AI37*产品成本!$G$13+AJ37*产品成本!$G$14</f>
        <v>464.09999999999997</v>
      </c>
      <c r="AO37" s="116">
        <f t="shared" si="38"/>
        <v>374.03100000000006</v>
      </c>
      <c r="AP37" s="117">
        <f t="shared" si="39"/>
        <v>1616.2734788732396</v>
      </c>
      <c r="AQ37" s="118">
        <v>2</v>
      </c>
      <c r="AR37" s="118">
        <v>2</v>
      </c>
      <c r="AS37" s="118"/>
      <c r="AT37" s="119"/>
      <c r="AU37" s="120">
        <f t="shared" si="40"/>
        <v>93.780487804878064</v>
      </c>
      <c r="AV37" s="116">
        <f>AQ37*产品成本!$D$11+AR37*产品成本!$D$12+AS37*产品成本!$D$13+AT37*产品成本!$D$14</f>
        <v>22.8169014084507</v>
      </c>
      <c r="AW37" s="116">
        <f>AQ37*产品成本!$E$11+AR37*产品成本!$E$12+AS37*产品成本!$E$13+AT37*产品成本!$E$14</f>
        <v>1.4323380281690159</v>
      </c>
      <c r="AX37" s="116">
        <f>AQ37*产品成本!$F$11+AR37*产品成本!$F$12+AS37*产品成本!$F$13+AT37*产品成本!$F$14</f>
        <v>1.36</v>
      </c>
      <c r="AY37" s="116">
        <v>0</v>
      </c>
      <c r="AZ37" s="116">
        <f t="shared" si="41"/>
        <v>14.067073170731708</v>
      </c>
      <c r="BA37" s="116">
        <f t="shared" si="42"/>
        <v>-2.813414634146342</v>
      </c>
      <c r="BB37" s="117">
        <f t="shared" si="43"/>
        <v>36.862897973205087</v>
      </c>
      <c r="BC37" s="122">
        <f t="shared" si="44"/>
        <v>1579.4105809000346</v>
      </c>
      <c r="BD37" s="122">
        <f t="shared" si="45"/>
        <v>2493.5400000000004</v>
      </c>
      <c r="BE37" s="122">
        <f t="shared" si="46"/>
        <v>2399.7595121951222</v>
      </c>
      <c r="BF37" s="121">
        <f t="shared" si="47"/>
        <v>-378.45106870491236</v>
      </c>
      <c r="BG37" s="123">
        <f t="shared" si="48"/>
        <v>-0.15770374772209295</v>
      </c>
      <c r="BI37" t="s">
        <v>345</v>
      </c>
    </row>
    <row r="38" spans="1:61" ht="29.1" customHeight="1" x14ac:dyDescent="0.15">
      <c r="A38" s="38" t="s">
        <v>162</v>
      </c>
      <c r="B38" s="66" t="s">
        <v>163</v>
      </c>
      <c r="C38" s="67">
        <v>123</v>
      </c>
      <c r="D38" s="68">
        <v>121</v>
      </c>
      <c r="E38" s="41">
        <v>2624.18</v>
      </c>
      <c r="F38" s="101">
        <v>0</v>
      </c>
      <c r="G38" s="101">
        <v>0</v>
      </c>
      <c r="H38" s="41">
        <v>0</v>
      </c>
      <c r="I38" s="41">
        <v>0</v>
      </c>
      <c r="J38" s="102">
        <v>6</v>
      </c>
      <c r="K38" s="103">
        <f t="shared" si="26"/>
        <v>4.878048780487805E-2</v>
      </c>
      <c r="L38" s="104">
        <v>101.42</v>
      </c>
      <c r="M38" s="105">
        <f t="shared" si="1"/>
        <v>3.3613445378151259E-2</v>
      </c>
      <c r="N38" s="103">
        <f t="shared" si="2"/>
        <v>2.5423728813559324E-2</v>
      </c>
      <c r="O38" s="103">
        <f t="shared" si="3"/>
        <v>-2.2473375029335104E-2</v>
      </c>
      <c r="P38" s="106">
        <f t="shared" si="27"/>
        <v>1.0165289256198347</v>
      </c>
      <c r="Q38" s="107">
        <f t="shared" si="28"/>
        <v>21.687438016528926</v>
      </c>
      <c r="R38" s="140">
        <f t="shared" si="29"/>
        <v>21.334796747967477</v>
      </c>
      <c r="S38" s="108">
        <f t="shared" si="30"/>
        <v>0</v>
      </c>
      <c r="T38" s="146">
        <f t="shared" si="31"/>
        <v>4</v>
      </c>
      <c r="U38" s="110">
        <f t="shared" si="32"/>
        <v>3.3057851239669422E-2</v>
      </c>
      <c r="V38" s="71">
        <f t="shared" si="33"/>
        <v>0.49039700020577864</v>
      </c>
      <c r="W38" s="68">
        <v>122158</v>
      </c>
      <c r="X38" s="68">
        <v>1161</v>
      </c>
      <c r="Y38" s="68">
        <v>117</v>
      </c>
      <c r="Z38" s="68">
        <v>1286.8900000000001</v>
      </c>
      <c r="AA38" s="69">
        <v>2531.14</v>
      </c>
      <c r="AB38" s="68">
        <v>1.1100000000000001</v>
      </c>
      <c r="AC38" s="48">
        <f t="shared" si="34"/>
        <v>0.50842308208949338</v>
      </c>
      <c r="AD38" s="49">
        <f t="shared" si="35"/>
        <v>9.5040848736881751E-3</v>
      </c>
      <c r="AE38" s="112">
        <f t="shared" si="36"/>
        <v>0.10077519379844961</v>
      </c>
      <c r="AF38" s="107">
        <f t="shared" si="37"/>
        <v>10.99905982905983</v>
      </c>
      <c r="AG38" s="113">
        <v>28</v>
      </c>
      <c r="AH38" s="114">
        <v>95</v>
      </c>
      <c r="AI38" s="118"/>
      <c r="AJ38" s="119"/>
      <c r="AK38" s="116">
        <f>AG38*产品成本!$D$11+AH38*产品成本!$D$12+AI38*产品成本!$D$13+AJ38*产品成本!$D$14</f>
        <v>734.64788732394368</v>
      </c>
      <c r="AL38" s="116">
        <f>AG38*产品成本!$E$11+AH38*产品成本!$E$12+AI38*产品成本!$E$13+AJ38*产品成本!$E$14</f>
        <v>44.044394366197238</v>
      </c>
      <c r="AM38" s="116">
        <f>AG38*产品成本!$F$11+AH38*产品成本!$F$12+AI38*产品成本!$F$13+AJ38*产品成本!$F$14</f>
        <v>41.820000000000007</v>
      </c>
      <c r="AN38" s="116">
        <f>AG38*产品成本!$G$11+AH38*产品成本!$G$12+AI38*产品成本!$G$13+AJ38*产品成本!$G$14</f>
        <v>479.7</v>
      </c>
      <c r="AO38" s="116">
        <f t="shared" si="38"/>
        <v>393.62699999999995</v>
      </c>
      <c r="AP38" s="117">
        <f t="shared" si="39"/>
        <v>1693.839281690141</v>
      </c>
      <c r="AQ38" s="118">
        <v>2</v>
      </c>
      <c r="AR38" s="118">
        <v>4</v>
      </c>
      <c r="AS38" s="118"/>
      <c r="AT38" s="119"/>
      <c r="AU38" s="120">
        <f t="shared" si="40"/>
        <v>123.6829268292683</v>
      </c>
      <c r="AV38" s="116">
        <f>AQ38*产品成本!$D$11+AR38*产品成本!$D$12+AS38*产品成本!$D$13+AT38*产品成本!$D$14</f>
        <v>35.2112676056338</v>
      </c>
      <c r="AW38" s="116">
        <f>AQ38*产品成本!$E$11+AR38*产品成本!$E$12+AS38*产品成本!$E$13+AT38*产品成本!$E$14</f>
        <v>2.1485070422535237</v>
      </c>
      <c r="AX38" s="116">
        <f>AQ38*产品成本!$F$11+AR38*产品成本!$F$12+AS38*产品成本!$F$13+AT38*产品成本!$F$14</f>
        <v>2.04</v>
      </c>
      <c r="AY38" s="116">
        <v>0</v>
      </c>
      <c r="AZ38" s="116">
        <f t="shared" si="41"/>
        <v>18.552439024390242</v>
      </c>
      <c r="BA38" s="116">
        <f t="shared" si="42"/>
        <v>-3.7104878048780487</v>
      </c>
      <c r="BB38" s="117">
        <f t="shared" si="43"/>
        <v>54.241725867399516</v>
      </c>
      <c r="BC38" s="122">
        <f t="shared" si="44"/>
        <v>1639.5975558227415</v>
      </c>
      <c r="BD38" s="122">
        <f t="shared" si="45"/>
        <v>2624.18</v>
      </c>
      <c r="BE38" s="122">
        <f t="shared" si="46"/>
        <v>2500.4970731707317</v>
      </c>
      <c r="BF38" s="121">
        <f t="shared" si="47"/>
        <v>-425.99048265200986</v>
      </c>
      <c r="BG38" s="123">
        <f t="shared" si="48"/>
        <v>-0.17036232004536467</v>
      </c>
      <c r="BI38" t="s">
        <v>346</v>
      </c>
    </row>
    <row r="39" spans="1:61" ht="29.1" customHeight="1" x14ac:dyDescent="0.15">
      <c r="A39" s="38" t="s">
        <v>165</v>
      </c>
      <c r="B39" s="38" t="s">
        <v>166</v>
      </c>
      <c r="C39" s="67">
        <v>228</v>
      </c>
      <c r="D39" s="68">
        <v>225</v>
      </c>
      <c r="E39" s="41">
        <v>3680.07</v>
      </c>
      <c r="F39" s="101">
        <v>0</v>
      </c>
      <c r="G39" s="101">
        <v>0</v>
      </c>
      <c r="H39" s="41">
        <v>0</v>
      </c>
      <c r="I39" s="41">
        <v>0</v>
      </c>
      <c r="J39" s="102">
        <v>5</v>
      </c>
      <c r="K39" s="103">
        <f t="shared" si="26"/>
        <v>2.1929824561403508E-2</v>
      </c>
      <c r="L39" s="104">
        <v>101.63</v>
      </c>
      <c r="M39" s="105">
        <f t="shared" si="1"/>
        <v>0.85365853658536583</v>
      </c>
      <c r="N39" s="103">
        <f t="shared" si="2"/>
        <v>0.85950413223140498</v>
      </c>
      <c r="O39" s="103">
        <f t="shared" si="3"/>
        <v>0.40236950209208222</v>
      </c>
      <c r="P39" s="106">
        <f t="shared" si="27"/>
        <v>1.0133333333333334</v>
      </c>
      <c r="Q39" s="107">
        <f t="shared" si="28"/>
        <v>16.355866666666667</v>
      </c>
      <c r="R39" s="140">
        <f t="shared" si="29"/>
        <v>16.140657894736844</v>
      </c>
      <c r="S39" s="108">
        <f t="shared" si="30"/>
        <v>0</v>
      </c>
      <c r="T39" s="146">
        <f t="shared" si="31"/>
        <v>40</v>
      </c>
      <c r="U39" s="110">
        <f t="shared" si="32"/>
        <v>0.17777777777777778</v>
      </c>
      <c r="V39" s="71">
        <f t="shared" si="33"/>
        <v>0.43508683258742359</v>
      </c>
      <c r="W39" s="68">
        <v>151914</v>
      </c>
      <c r="X39" s="68">
        <v>1379</v>
      </c>
      <c r="Y39" s="68">
        <v>185</v>
      </c>
      <c r="Z39" s="68">
        <v>1601.15</v>
      </c>
      <c r="AA39" s="69">
        <v>3023.92</v>
      </c>
      <c r="AB39" s="68">
        <v>1.1599999999999999</v>
      </c>
      <c r="AC39" s="48">
        <f t="shared" si="34"/>
        <v>0.52949482790550018</v>
      </c>
      <c r="AD39" s="49">
        <f t="shared" si="35"/>
        <v>9.0775043774767306E-3</v>
      </c>
      <c r="AE39" s="112">
        <f t="shared" si="36"/>
        <v>0.13415518491660625</v>
      </c>
      <c r="AF39" s="107">
        <f t="shared" si="37"/>
        <v>8.6548648648648658</v>
      </c>
      <c r="AG39" s="113">
        <v>55</v>
      </c>
      <c r="AH39" s="114">
        <v>173</v>
      </c>
      <c r="AI39" s="118"/>
      <c r="AJ39" s="119"/>
      <c r="AK39" s="116">
        <f>AG39*产品成本!$D$11+AH39*产品成本!$D$12+AI39*产品成本!$D$13+AJ39*产品成本!$D$14</f>
        <v>1358.7323943661972</v>
      </c>
      <c r="AL39" s="116">
        <f>AG39*产品成本!$E$11+AH39*产品成本!$E$12+AI39*产品成本!$E$13+AJ39*产品成本!$E$14</f>
        <v>81.643267605633895</v>
      </c>
      <c r="AM39" s="116">
        <f>AG39*产品成本!$F$11+AH39*产品成本!$F$12+AI39*产品成本!$F$13+AJ39*产品成本!$F$14</f>
        <v>77.52000000000001</v>
      </c>
      <c r="AN39" s="116">
        <f>AG39*产品成本!$G$11+AH39*产品成本!$G$12+AI39*产品成本!$G$13+AJ39*产品成本!$G$14</f>
        <v>889.19999999999993</v>
      </c>
      <c r="AO39" s="116">
        <f t="shared" si="38"/>
        <v>552.01049999999998</v>
      </c>
      <c r="AP39" s="117">
        <f t="shared" si="39"/>
        <v>2959.1061619718307</v>
      </c>
      <c r="AQ39" s="118">
        <v>1</v>
      </c>
      <c r="AR39" s="118">
        <v>4</v>
      </c>
      <c r="AS39" s="118"/>
      <c r="AT39" s="119"/>
      <c r="AU39" s="120">
        <f t="shared" si="40"/>
        <v>123.9390243902439</v>
      </c>
      <c r="AV39" s="116">
        <f>AQ39*产品成本!$D$11+AR39*产品成本!$D$12+AS39*产品成本!$D$13+AT39*产品成本!$D$14</f>
        <v>30</v>
      </c>
      <c r="AW39" s="116">
        <f>AQ39*产品成本!$E$11+AR39*产品成本!$E$12+AS39*产品成本!$E$13+AT39*产品成本!$E$14</f>
        <v>1.7904225352112699</v>
      </c>
      <c r="AX39" s="116">
        <f>AQ39*产品成本!$F$11+AR39*产品成本!$F$12+AS39*产品成本!$F$13+AT39*产品成本!$F$14</f>
        <v>1.7000000000000002</v>
      </c>
      <c r="AY39" s="116">
        <v>0</v>
      </c>
      <c r="AZ39" s="116">
        <f t="shared" si="41"/>
        <v>18.590853658536584</v>
      </c>
      <c r="BA39" s="116">
        <f t="shared" si="42"/>
        <v>-3.7181707317073172</v>
      </c>
      <c r="BB39" s="117">
        <f t="shared" si="43"/>
        <v>48.363105462040537</v>
      </c>
      <c r="BC39" s="122">
        <f t="shared" si="44"/>
        <v>2910.7430565097902</v>
      </c>
      <c r="BD39" s="122">
        <f t="shared" si="45"/>
        <v>3680.07</v>
      </c>
      <c r="BE39" s="122">
        <f t="shared" si="46"/>
        <v>3556.1309756097562</v>
      </c>
      <c r="BF39" s="121">
        <f t="shared" si="47"/>
        <v>-955.76208090003411</v>
      </c>
      <c r="BG39" s="123">
        <f t="shared" si="48"/>
        <v>-0.26876458922780627</v>
      </c>
    </row>
    <row r="40" spans="1:61" ht="29.1" customHeight="1" x14ac:dyDescent="0.15">
      <c r="A40" s="38" t="s">
        <v>167</v>
      </c>
      <c r="B40" s="38" t="s">
        <v>168</v>
      </c>
      <c r="C40" s="67">
        <v>277</v>
      </c>
      <c r="D40" s="68">
        <v>274</v>
      </c>
      <c r="E40" s="41">
        <v>4734.6899999999996</v>
      </c>
      <c r="F40" s="101">
        <v>0</v>
      </c>
      <c r="G40" s="101">
        <v>0</v>
      </c>
      <c r="H40" s="41">
        <v>0</v>
      </c>
      <c r="I40" s="41">
        <v>0</v>
      </c>
      <c r="J40" s="102">
        <v>7</v>
      </c>
      <c r="K40" s="103">
        <f t="shared" si="26"/>
        <v>2.5270758122743681E-2</v>
      </c>
      <c r="L40" s="104">
        <v>117.19</v>
      </c>
      <c r="M40" s="105">
        <f t="shared" si="1"/>
        <v>0.21491228070175439</v>
      </c>
      <c r="N40" s="103">
        <f t="shared" si="2"/>
        <v>0.21777777777777776</v>
      </c>
      <c r="O40" s="103">
        <f t="shared" si="3"/>
        <v>0.28657607056387496</v>
      </c>
      <c r="P40" s="106">
        <f t="shared" si="27"/>
        <v>1.0109489051094891</v>
      </c>
      <c r="Q40" s="107">
        <f t="shared" si="28"/>
        <v>17.279890510948903</v>
      </c>
      <c r="R40" s="140">
        <f t="shared" si="29"/>
        <v>17.092743682310466</v>
      </c>
      <c r="S40" s="108">
        <f t="shared" si="30"/>
        <v>0</v>
      </c>
      <c r="T40" s="146">
        <f t="shared" si="31"/>
        <v>50</v>
      </c>
      <c r="U40" s="110">
        <f t="shared" si="32"/>
        <v>0.18248175182481752</v>
      </c>
      <c r="V40" s="71">
        <f t="shared" si="33"/>
        <v>0.45781878011020793</v>
      </c>
      <c r="W40" s="68">
        <v>206294</v>
      </c>
      <c r="X40" s="68">
        <v>1895</v>
      </c>
      <c r="Y40" s="68">
        <v>224</v>
      </c>
      <c r="Z40" s="68">
        <v>2167.63</v>
      </c>
      <c r="AA40" s="69">
        <v>3857.88</v>
      </c>
      <c r="AB40" s="68">
        <v>1.1399999999999999</v>
      </c>
      <c r="AC40" s="48">
        <f t="shared" si="34"/>
        <v>0.56187076840129813</v>
      </c>
      <c r="AD40" s="49">
        <f t="shared" si="35"/>
        <v>9.1859191251320929E-3</v>
      </c>
      <c r="AE40" s="112">
        <f t="shared" si="36"/>
        <v>0.11820580474934037</v>
      </c>
      <c r="AF40" s="107">
        <f t="shared" si="37"/>
        <v>9.6769196428571433</v>
      </c>
      <c r="AG40" s="113">
        <v>67</v>
      </c>
      <c r="AH40" s="114">
        <v>211</v>
      </c>
      <c r="AI40" s="118"/>
      <c r="AJ40" s="119"/>
      <c r="AK40" s="116">
        <f>AG40*产品成本!$D$11+AH40*产品成本!$D$12+AI40*产品成本!$D$13+AJ40*产品成本!$D$14</f>
        <v>1656.7605633802816</v>
      </c>
      <c r="AL40" s="116">
        <f>AG40*产品成本!$E$11+AH40*产品成本!$E$12+AI40*产品成本!$E$13+AJ40*产品成本!$E$14</f>
        <v>99.547492957746613</v>
      </c>
      <c r="AM40" s="116">
        <f>AG40*产品成本!$F$11+AH40*产品成本!$F$12+AI40*产品成本!$F$13+AJ40*产品成本!$F$14</f>
        <v>94.52000000000001</v>
      </c>
      <c r="AN40" s="116">
        <f>AG40*产品成本!$G$11+AH40*产品成本!$G$12+AI40*产品成本!$G$13+AJ40*产品成本!$G$14</f>
        <v>1084.2</v>
      </c>
      <c r="AO40" s="116">
        <f t="shared" si="38"/>
        <v>710.20349999999996</v>
      </c>
      <c r="AP40" s="117">
        <f t="shared" si="39"/>
        <v>3645.2315563380284</v>
      </c>
      <c r="AQ40" s="118">
        <v>1</v>
      </c>
      <c r="AR40" s="118">
        <v>5</v>
      </c>
      <c r="AS40" s="118"/>
      <c r="AT40" s="119"/>
      <c r="AU40" s="120">
        <f t="shared" si="40"/>
        <v>142.91463414634146</v>
      </c>
      <c r="AV40" s="116">
        <f>AQ40*产品成本!$D$11+AR40*产品成本!$D$12+AS40*产品成本!$D$13+AT40*产品成本!$D$14</f>
        <v>36.197183098591552</v>
      </c>
      <c r="AW40" s="116">
        <f>AQ40*产品成本!$E$11+AR40*产品成本!$E$12+AS40*产品成本!$E$13+AT40*产品成本!$E$14</f>
        <v>2.1485070422535237</v>
      </c>
      <c r="AX40" s="116">
        <f>AQ40*产品成本!$F$11+AR40*产品成本!$F$12+AS40*产品成本!$F$13+AT40*产品成本!$F$14</f>
        <v>2.04</v>
      </c>
      <c r="AY40" s="116">
        <v>0</v>
      </c>
      <c r="AZ40" s="116">
        <f t="shared" si="41"/>
        <v>21.437195121951216</v>
      </c>
      <c r="BA40" s="116">
        <f t="shared" si="42"/>
        <v>-4.2874390243902436</v>
      </c>
      <c r="BB40" s="117">
        <f t="shared" si="43"/>
        <v>57.535446238406045</v>
      </c>
      <c r="BC40" s="122">
        <f t="shared" si="44"/>
        <v>3587.6961100996223</v>
      </c>
      <c r="BD40" s="122">
        <f t="shared" si="45"/>
        <v>4734.6899999999996</v>
      </c>
      <c r="BE40" s="122">
        <f t="shared" si="46"/>
        <v>4591.7753658536585</v>
      </c>
      <c r="BF40" s="121">
        <f t="shared" si="47"/>
        <v>-1163.5507442459639</v>
      </c>
      <c r="BG40" s="123">
        <f t="shared" si="48"/>
        <v>-0.25339888203125277</v>
      </c>
    </row>
    <row r="41" spans="1:61" ht="29.1" customHeight="1" x14ac:dyDescent="0.15">
      <c r="A41" s="38" t="s">
        <v>169</v>
      </c>
      <c r="B41" s="38" t="s">
        <v>170</v>
      </c>
      <c r="C41" s="67">
        <v>77</v>
      </c>
      <c r="D41" s="68">
        <v>76</v>
      </c>
      <c r="E41" s="41">
        <v>1574.1</v>
      </c>
      <c r="F41" s="101">
        <v>1</v>
      </c>
      <c r="G41" s="101">
        <v>1</v>
      </c>
      <c r="H41" s="41">
        <v>23.89</v>
      </c>
      <c r="I41" s="41">
        <v>2.39</v>
      </c>
      <c r="J41" s="102">
        <v>14</v>
      </c>
      <c r="K41" s="103">
        <f t="shared" si="26"/>
        <v>0.18181818181818182</v>
      </c>
      <c r="L41" s="104">
        <v>229.6</v>
      </c>
      <c r="M41" s="105">
        <f t="shared" si="1"/>
        <v>-0.72202166064981954</v>
      </c>
      <c r="N41" s="103">
        <f t="shared" si="2"/>
        <v>-0.72262773722627738</v>
      </c>
      <c r="O41" s="103">
        <f t="shared" si="3"/>
        <v>-0.66753895186379675</v>
      </c>
      <c r="P41" s="106">
        <f t="shared" si="27"/>
        <v>1.013157894736842</v>
      </c>
      <c r="Q41" s="107">
        <f t="shared" si="28"/>
        <v>20.711842105263155</v>
      </c>
      <c r="R41" s="140">
        <f t="shared" si="29"/>
        <v>20.442857142857143</v>
      </c>
      <c r="S41" s="108">
        <f t="shared" si="30"/>
        <v>0.14285714285714285</v>
      </c>
      <c r="T41" s="146">
        <f t="shared" si="31"/>
        <v>22</v>
      </c>
      <c r="U41" s="110">
        <f t="shared" si="32"/>
        <v>0.28947368421052633</v>
      </c>
      <c r="V41" s="71">
        <f t="shared" si="33"/>
        <v>0.46465314848159012</v>
      </c>
      <c r="W41" s="68">
        <v>80541</v>
      </c>
      <c r="X41" s="68">
        <v>722</v>
      </c>
      <c r="Y41" s="68">
        <v>54</v>
      </c>
      <c r="Z41" s="68">
        <v>730.3</v>
      </c>
      <c r="AA41" s="69">
        <v>1113.77</v>
      </c>
      <c r="AB41" s="68">
        <v>1.01</v>
      </c>
      <c r="AC41" s="48">
        <f t="shared" si="34"/>
        <v>0.65570090772780731</v>
      </c>
      <c r="AD41" s="49">
        <f t="shared" si="35"/>
        <v>8.9643783911299828E-3</v>
      </c>
      <c r="AE41" s="112">
        <f t="shared" si="36"/>
        <v>7.4792243767313013E-2</v>
      </c>
      <c r="AF41" s="107">
        <f t="shared" si="37"/>
        <v>13.524074074074074</v>
      </c>
      <c r="AG41" s="113">
        <v>35</v>
      </c>
      <c r="AH41" s="114">
        <v>42</v>
      </c>
      <c r="AI41" s="118"/>
      <c r="AJ41" s="119"/>
      <c r="AK41" s="116">
        <f>AG41*产品成本!$D$11+AH41*产品成本!$D$12+AI41*产品成本!$D$13+AJ41*产品成本!$D$14</f>
        <v>442.67605633802816</v>
      </c>
      <c r="AL41" s="116">
        <f>AG41*产品成本!$E$11+AH41*产品成本!$E$12+AI41*产品成本!$E$13+AJ41*产品成本!$E$14</f>
        <v>27.572507042253555</v>
      </c>
      <c r="AM41" s="116">
        <f>AG41*产品成本!$F$11+AH41*产品成本!$F$12+AI41*产品成本!$F$13+AJ41*产品成本!$F$14</f>
        <v>26.18</v>
      </c>
      <c r="AN41" s="116">
        <f>AG41*产品成本!$G$11+AH41*产品成本!$G$12+AI41*产品成本!$G$13+AJ41*产品成本!$G$14</f>
        <v>300.29999999999995</v>
      </c>
      <c r="AO41" s="116">
        <f t="shared" si="38"/>
        <v>235.75649999999996</v>
      </c>
      <c r="AP41" s="117">
        <f t="shared" si="39"/>
        <v>1032.4850633802816</v>
      </c>
      <c r="AQ41" s="118">
        <v>7</v>
      </c>
      <c r="AR41" s="118">
        <v>7</v>
      </c>
      <c r="AS41" s="118"/>
      <c r="AT41" s="119"/>
      <c r="AU41" s="120">
        <f t="shared" si="40"/>
        <v>280</v>
      </c>
      <c r="AV41" s="116">
        <f>AQ41*产品成本!$D$11+AR41*产品成本!$D$12+AS41*产品成本!$D$13+AT41*产品成本!$D$14</f>
        <v>79.859154929577443</v>
      </c>
      <c r="AW41" s="116">
        <f>AQ41*产品成本!$E$11+AR41*产品成本!$E$12+AS41*产品成本!$E$13+AT41*产品成本!$E$14</f>
        <v>5.013183098591556</v>
      </c>
      <c r="AX41" s="116">
        <f>AQ41*产品成本!$F$11+AR41*产品成本!$F$12+AS41*产品成本!$F$13+AT41*产品成本!$F$14</f>
        <v>4.7600000000000007</v>
      </c>
      <c r="AY41" s="116">
        <v>0</v>
      </c>
      <c r="AZ41" s="116">
        <f t="shared" si="41"/>
        <v>42</v>
      </c>
      <c r="BA41" s="116">
        <f t="shared" si="42"/>
        <v>-8.4</v>
      </c>
      <c r="BB41" s="117">
        <f t="shared" si="43"/>
        <v>123.23233802816898</v>
      </c>
      <c r="BC41" s="122">
        <f t="shared" si="44"/>
        <v>909.25272535211263</v>
      </c>
      <c r="BD41" s="122">
        <f t="shared" si="45"/>
        <v>1571.7099999999998</v>
      </c>
      <c r="BE41" s="122">
        <f t="shared" si="46"/>
        <v>1291.7099999999998</v>
      </c>
      <c r="BF41" s="121">
        <f t="shared" si="47"/>
        <v>-347.84272535211278</v>
      </c>
      <c r="BG41" s="123">
        <f t="shared" si="48"/>
        <v>-0.2692885596241516</v>
      </c>
    </row>
    <row r="42" spans="1:61" ht="29.1" customHeight="1" x14ac:dyDescent="0.15">
      <c r="A42" s="38" t="s">
        <v>172</v>
      </c>
      <c r="B42" s="38" t="s">
        <v>173</v>
      </c>
      <c r="C42" s="67">
        <v>74</v>
      </c>
      <c r="D42" s="68">
        <v>74</v>
      </c>
      <c r="E42" s="41">
        <v>1731.86</v>
      </c>
      <c r="F42" s="101">
        <v>6</v>
      </c>
      <c r="G42" s="101">
        <v>6</v>
      </c>
      <c r="H42" s="41">
        <v>139.34</v>
      </c>
      <c r="I42" s="41">
        <v>11.75</v>
      </c>
      <c r="J42" s="102">
        <v>6</v>
      </c>
      <c r="K42" s="103">
        <f t="shared" si="26"/>
        <v>8.1081081081081086E-2</v>
      </c>
      <c r="L42" s="104">
        <v>78.48</v>
      </c>
      <c r="M42" s="105">
        <f t="shared" si="1"/>
        <v>-3.896103896103896E-2</v>
      </c>
      <c r="N42" s="103">
        <f t="shared" si="2"/>
        <v>-2.6315789473684209E-2</v>
      </c>
      <c r="O42" s="103">
        <f t="shared" si="3"/>
        <v>0.10022234927895306</v>
      </c>
      <c r="P42" s="106">
        <f t="shared" si="27"/>
        <v>1</v>
      </c>
      <c r="Q42" s="107">
        <f t="shared" si="28"/>
        <v>23.403513513513513</v>
      </c>
      <c r="R42" s="140">
        <f t="shared" si="29"/>
        <v>23.403513513513513</v>
      </c>
      <c r="S42" s="108">
        <f t="shared" si="30"/>
        <v>0.8571428571428571</v>
      </c>
      <c r="T42" s="146">
        <f t="shared" si="31"/>
        <v>16</v>
      </c>
      <c r="U42" s="110">
        <f t="shared" si="32"/>
        <v>0.21621621621621623</v>
      </c>
      <c r="V42" s="71">
        <f t="shared" si="33"/>
        <v>0.34522210788844904</v>
      </c>
      <c r="W42" s="68">
        <v>68861</v>
      </c>
      <c r="X42" s="68">
        <v>593</v>
      </c>
      <c r="Y42" s="68">
        <v>58</v>
      </c>
      <c r="Z42" s="68">
        <v>593.82000000000005</v>
      </c>
      <c r="AA42" s="69">
        <v>1351.57</v>
      </c>
      <c r="AB42" s="41">
        <v>1</v>
      </c>
      <c r="AC42" s="48">
        <f t="shared" si="34"/>
        <v>0.4393557122457587</v>
      </c>
      <c r="AD42" s="49">
        <f t="shared" si="35"/>
        <v>8.6115508052453486E-3</v>
      </c>
      <c r="AE42" s="112">
        <f t="shared" si="36"/>
        <v>9.7807757166947729E-2</v>
      </c>
      <c r="AF42" s="107">
        <f t="shared" si="37"/>
        <v>10.238275862068967</v>
      </c>
      <c r="AG42" s="113">
        <v>28</v>
      </c>
      <c r="AH42" s="114">
        <v>46</v>
      </c>
      <c r="AI42" s="118"/>
      <c r="AJ42" s="119"/>
      <c r="AK42" s="116">
        <f>AG42*产品成本!$D$11+AH42*产品成本!$D$12+AI42*产品成本!$D$13+AJ42*产品成本!$D$14</f>
        <v>430.9859154929577</v>
      </c>
      <c r="AL42" s="116">
        <f>AG42*产品成本!$E$11+AH42*产品成本!$E$12+AI42*产品成本!$E$13+AJ42*产品成本!$E$14</f>
        <v>26.498253521126795</v>
      </c>
      <c r="AM42" s="116">
        <f>AG42*产品成本!$F$11+AH42*产品成本!$F$12+AI42*产品成本!$F$13+AJ42*产品成本!$F$14</f>
        <v>25.160000000000004</v>
      </c>
      <c r="AN42" s="116">
        <f>AG42*产品成本!$G$11+AH42*产品成本!$G$12+AI42*产品成本!$G$13+AJ42*产品成本!$G$14</f>
        <v>288.60000000000002</v>
      </c>
      <c r="AO42" s="116">
        <f t="shared" si="38"/>
        <v>258.01649999999995</v>
      </c>
      <c r="AP42" s="117">
        <f t="shared" si="39"/>
        <v>1029.2606690140844</v>
      </c>
      <c r="AQ42" s="118">
        <v>2</v>
      </c>
      <c r="AR42" s="118">
        <v>4</v>
      </c>
      <c r="AS42" s="118"/>
      <c r="AT42" s="119"/>
      <c r="AU42" s="120">
        <f t="shared" si="40"/>
        <v>95.707317073170742</v>
      </c>
      <c r="AV42" s="116">
        <f>AQ42*产品成本!$D$11+AR42*产品成本!$D$12+AS42*产品成本!$D$13+AT42*产品成本!$D$14</f>
        <v>35.2112676056338</v>
      </c>
      <c r="AW42" s="116">
        <f>AQ42*产品成本!$E$11+AR42*产品成本!$E$12+AS42*产品成本!$E$13+AT42*产品成本!$E$14</f>
        <v>2.1485070422535237</v>
      </c>
      <c r="AX42" s="116">
        <f>AQ42*产品成本!$F$11+AR42*产品成本!$F$12+AS42*产品成本!$F$13+AT42*产品成本!$F$14</f>
        <v>2.04</v>
      </c>
      <c r="AY42" s="116">
        <v>0</v>
      </c>
      <c r="AZ42" s="116">
        <f t="shared" si="41"/>
        <v>14.356097560975611</v>
      </c>
      <c r="BA42" s="116">
        <f t="shared" si="42"/>
        <v>-2.8712195121951223</v>
      </c>
      <c r="BB42" s="117">
        <f t="shared" si="43"/>
        <v>50.884652696667807</v>
      </c>
      <c r="BC42" s="122">
        <f t="shared" si="44"/>
        <v>978.37601631741666</v>
      </c>
      <c r="BD42" s="122">
        <f t="shared" si="45"/>
        <v>1720.11</v>
      </c>
      <c r="BE42" s="122">
        <f t="shared" si="46"/>
        <v>1624.4026829268291</v>
      </c>
      <c r="BF42" s="121">
        <f t="shared" si="47"/>
        <v>52.206666609412423</v>
      </c>
      <c r="BG42" s="123">
        <f t="shared" si="48"/>
        <v>3.2138993094586052E-2</v>
      </c>
    </row>
    <row r="43" spans="1:61" ht="29.1" customHeight="1" x14ac:dyDescent="0.15">
      <c r="A43" s="38" t="s">
        <v>175</v>
      </c>
      <c r="B43" s="38" t="s">
        <v>176</v>
      </c>
      <c r="C43" s="67">
        <v>67</v>
      </c>
      <c r="D43" s="68">
        <v>67</v>
      </c>
      <c r="E43" s="41">
        <v>1580.23</v>
      </c>
      <c r="F43" s="101">
        <v>2</v>
      </c>
      <c r="G43" s="101">
        <v>2</v>
      </c>
      <c r="H43" s="41">
        <v>47.78</v>
      </c>
      <c r="I43" s="41">
        <v>4.78</v>
      </c>
      <c r="J43" s="102">
        <v>10</v>
      </c>
      <c r="K43" s="103">
        <f t="shared" si="26"/>
        <v>0.14925373134328357</v>
      </c>
      <c r="L43" s="104">
        <v>171.96</v>
      </c>
      <c r="M43" s="105">
        <f t="shared" si="1"/>
        <v>-9.45945945945946E-2</v>
      </c>
      <c r="N43" s="103">
        <f t="shared" si="2"/>
        <v>-9.45945945945946E-2</v>
      </c>
      <c r="O43" s="103">
        <f t="shared" si="3"/>
        <v>-8.755326643031186E-2</v>
      </c>
      <c r="P43" s="106">
        <f t="shared" si="27"/>
        <v>1</v>
      </c>
      <c r="Q43" s="107">
        <f t="shared" si="28"/>
        <v>23.585522388059701</v>
      </c>
      <c r="R43" s="140">
        <f t="shared" si="29"/>
        <v>23.585522388059701</v>
      </c>
      <c r="S43" s="108">
        <f t="shared" si="30"/>
        <v>0.2857142857142857</v>
      </c>
      <c r="T43" s="146">
        <f t="shared" si="31"/>
        <v>21</v>
      </c>
      <c r="U43" s="110">
        <f t="shared" si="32"/>
        <v>0.31343283582089554</v>
      </c>
      <c r="V43" s="71">
        <f t="shared" si="33"/>
        <v>0.37879970801993079</v>
      </c>
      <c r="W43" s="68">
        <v>64479</v>
      </c>
      <c r="X43" s="68">
        <v>604</v>
      </c>
      <c r="Y43" s="68">
        <v>46</v>
      </c>
      <c r="Z43" s="68">
        <v>596.78</v>
      </c>
      <c r="AA43" s="69">
        <v>1085.46</v>
      </c>
      <c r="AB43" s="41">
        <v>0.99</v>
      </c>
      <c r="AC43" s="48">
        <f t="shared" si="34"/>
        <v>0.54979455714627901</v>
      </c>
      <c r="AD43" s="49">
        <f t="shared" si="35"/>
        <v>9.3673909334822184E-3</v>
      </c>
      <c r="AE43" s="112">
        <f t="shared" si="36"/>
        <v>7.6158940397350994E-2</v>
      </c>
      <c r="AF43" s="107">
        <f t="shared" si="37"/>
        <v>12.973478260869564</v>
      </c>
      <c r="AG43" s="113">
        <v>21</v>
      </c>
      <c r="AH43" s="114">
        <v>46</v>
      </c>
      <c r="AI43" s="118"/>
      <c r="AJ43" s="119"/>
      <c r="AK43" s="116">
        <f>AG43*产品成本!$D$11+AH43*产品成本!$D$12+AI43*产品成本!$D$13+AJ43*产品成本!$D$14</f>
        <v>394.50704225352115</v>
      </c>
      <c r="AL43" s="116">
        <f>AG43*产品成本!$E$11+AH43*产品成本!$E$12+AI43*产品成本!$E$13+AJ43*产品成本!$E$14</f>
        <v>23.991661971831014</v>
      </c>
      <c r="AM43" s="116">
        <f>AG43*产品成本!$F$11+AH43*产品成本!$F$12+AI43*产品成本!$F$13+AJ43*产品成本!$F$14</f>
        <v>22.78</v>
      </c>
      <c r="AN43" s="116">
        <f>AG43*产品成本!$G$11+AH43*产品成本!$G$12+AI43*产品成本!$G$13+AJ43*产品成本!$G$14</f>
        <v>261.3</v>
      </c>
      <c r="AO43" s="116">
        <f t="shared" si="38"/>
        <v>236.3175</v>
      </c>
      <c r="AP43" s="117">
        <f t="shared" si="39"/>
        <v>938.89620422535211</v>
      </c>
      <c r="AQ43" s="118">
        <v>4</v>
      </c>
      <c r="AR43" s="118">
        <v>6</v>
      </c>
      <c r="AS43" s="118"/>
      <c r="AT43" s="119"/>
      <c r="AU43" s="120">
        <f t="shared" si="40"/>
        <v>209.70731707317074</v>
      </c>
      <c r="AV43" s="116">
        <f>AQ43*产品成本!$D$11+AR43*产品成本!$D$12+AS43*产品成本!$D$13+AT43*产品成本!$D$14</f>
        <v>58.028169014084497</v>
      </c>
      <c r="AW43" s="116">
        <f>AQ43*产品成本!$E$11+AR43*产品成本!$E$12+AS43*产品成本!$E$13+AT43*产品成本!$E$14</f>
        <v>3.5808450704225399</v>
      </c>
      <c r="AX43" s="116">
        <f>AQ43*产品成本!$F$11+AR43*产品成本!$F$12+AS43*产品成本!$F$13+AT43*产品成本!$F$14</f>
        <v>3.4000000000000004</v>
      </c>
      <c r="AY43" s="116">
        <v>0</v>
      </c>
      <c r="AZ43" s="116">
        <f t="shared" si="41"/>
        <v>31.456097560975611</v>
      </c>
      <c r="BA43" s="116">
        <f t="shared" si="42"/>
        <v>-6.2912195121951227</v>
      </c>
      <c r="BB43" s="117">
        <f t="shared" si="43"/>
        <v>90.173892133287524</v>
      </c>
      <c r="BC43" s="122">
        <f t="shared" si="44"/>
        <v>848.72231209206461</v>
      </c>
      <c r="BD43" s="122">
        <f t="shared" si="45"/>
        <v>1575.45</v>
      </c>
      <c r="BE43" s="122">
        <f t="shared" si="46"/>
        <v>1365.7426829268293</v>
      </c>
      <c r="BF43" s="121">
        <f t="shared" si="47"/>
        <v>-79.75962916523531</v>
      </c>
      <c r="BG43" s="123">
        <f t="shared" si="48"/>
        <v>-5.8400187796948638E-2</v>
      </c>
    </row>
    <row r="44" spans="1:61" ht="29.1" customHeight="1" x14ac:dyDescent="0.15">
      <c r="A44" s="38" t="s">
        <v>177</v>
      </c>
      <c r="B44" s="38" t="s">
        <v>178</v>
      </c>
      <c r="C44" s="67">
        <v>80</v>
      </c>
      <c r="D44" s="68">
        <v>80</v>
      </c>
      <c r="E44" s="41">
        <v>1885.2</v>
      </c>
      <c r="F44" s="101">
        <v>1</v>
      </c>
      <c r="G44" s="101">
        <v>1</v>
      </c>
      <c r="H44" s="41">
        <v>23.89</v>
      </c>
      <c r="I44" s="41">
        <v>2.39</v>
      </c>
      <c r="J44" s="102">
        <v>9</v>
      </c>
      <c r="K44" s="103">
        <f t="shared" si="26"/>
        <v>0.1125</v>
      </c>
      <c r="L44" s="104">
        <v>172.27</v>
      </c>
      <c r="M44" s="105">
        <f t="shared" si="1"/>
        <v>0.19402985074626866</v>
      </c>
      <c r="N44" s="103">
        <f t="shared" si="2"/>
        <v>0.19402985074626866</v>
      </c>
      <c r="O44" s="103">
        <f t="shared" si="3"/>
        <v>0.19299089373065947</v>
      </c>
      <c r="P44" s="106">
        <f t="shared" si="27"/>
        <v>1</v>
      </c>
      <c r="Q44" s="107">
        <f t="shared" si="28"/>
        <v>23.565000000000001</v>
      </c>
      <c r="R44" s="140">
        <f t="shared" si="29"/>
        <v>23.565000000000001</v>
      </c>
      <c r="S44" s="108">
        <f t="shared" si="30"/>
        <v>0.14285714285714285</v>
      </c>
      <c r="T44" s="146">
        <f t="shared" si="31"/>
        <v>20</v>
      </c>
      <c r="U44" s="110">
        <f t="shared" si="32"/>
        <v>0.25</v>
      </c>
      <c r="V44" s="71">
        <f t="shared" si="33"/>
        <v>0.38921611846123616</v>
      </c>
      <c r="W44" s="68">
        <v>74930</v>
      </c>
      <c r="X44" s="68">
        <v>730</v>
      </c>
      <c r="Y44" s="68">
        <v>60</v>
      </c>
      <c r="Z44" s="68">
        <v>732.82</v>
      </c>
      <c r="AA44" s="69">
        <v>1407.84</v>
      </c>
      <c r="AB44" s="41">
        <v>1</v>
      </c>
      <c r="AC44" s="48">
        <f t="shared" si="34"/>
        <v>0.52052790089782941</v>
      </c>
      <c r="AD44" s="49">
        <f t="shared" si="35"/>
        <v>9.7424262645135467E-3</v>
      </c>
      <c r="AE44" s="112">
        <f t="shared" si="36"/>
        <v>8.2191780821917804E-2</v>
      </c>
      <c r="AF44" s="107">
        <f t="shared" si="37"/>
        <v>12.213666666666667</v>
      </c>
      <c r="AG44" s="113">
        <v>29</v>
      </c>
      <c r="AH44" s="114">
        <v>51</v>
      </c>
      <c r="AI44" s="118"/>
      <c r="AJ44" s="119"/>
      <c r="AK44" s="116">
        <f>AG44*产品成本!$D$11+AH44*产品成本!$D$12+AI44*产品成本!$D$13+AJ44*产品成本!$D$14</f>
        <v>467.1830985915492</v>
      </c>
      <c r="AL44" s="116">
        <f>AG44*产品成本!$E$11+AH44*产品成本!$E$12+AI44*产品成本!$E$13+AJ44*产品成本!$E$14</f>
        <v>28.646760563380319</v>
      </c>
      <c r="AM44" s="116">
        <f>AG44*产品成本!$F$11+AH44*产品成本!$F$12+AI44*产品成本!$F$13+AJ44*产品成本!$F$14</f>
        <v>27.200000000000003</v>
      </c>
      <c r="AN44" s="116">
        <f>AG44*产品成本!$G$11+AH44*产品成本!$G$12+AI44*产品成本!$G$13+AJ44*产品成本!$G$14</f>
        <v>312</v>
      </c>
      <c r="AO44" s="116">
        <f t="shared" si="38"/>
        <v>282.42149999999998</v>
      </c>
      <c r="AP44" s="117">
        <f t="shared" si="39"/>
        <v>1117.4513591549296</v>
      </c>
      <c r="AQ44" s="118">
        <v>2</v>
      </c>
      <c r="AR44" s="118">
        <v>7</v>
      </c>
      <c r="AS44" s="118"/>
      <c r="AT44" s="119"/>
      <c r="AU44" s="120">
        <f t="shared" si="40"/>
        <v>210.08536585365857</v>
      </c>
      <c r="AV44" s="116">
        <f>AQ44*产品成本!$D$11+AR44*产品成本!$D$12+AS44*产品成本!$D$13+AT44*产品成本!$D$14</f>
        <v>53.802816901408448</v>
      </c>
      <c r="AW44" s="116">
        <f>AQ44*产品成本!$E$11+AR44*产品成本!$E$12+AS44*产品成本!$E$13+AT44*产品成本!$E$14</f>
        <v>3.222760563380286</v>
      </c>
      <c r="AX44" s="116">
        <f>AQ44*产品成本!$F$11+AR44*产品成本!$F$12+AS44*产品成本!$F$13+AT44*产品成本!$F$14</f>
        <v>3.0600000000000005</v>
      </c>
      <c r="AY44" s="116">
        <v>0</v>
      </c>
      <c r="AZ44" s="116">
        <f t="shared" si="41"/>
        <v>31.512804878048783</v>
      </c>
      <c r="BA44" s="116">
        <f t="shared" si="42"/>
        <v>-6.3025609756097571</v>
      </c>
      <c r="BB44" s="117">
        <f t="shared" si="43"/>
        <v>85.295821367227759</v>
      </c>
      <c r="BC44" s="122">
        <f t="shared" si="44"/>
        <v>1032.1555377877019</v>
      </c>
      <c r="BD44" s="122">
        <f t="shared" si="45"/>
        <v>1882.81</v>
      </c>
      <c r="BE44" s="122">
        <f t="shared" si="46"/>
        <v>1672.7246341463413</v>
      </c>
      <c r="BF44" s="121">
        <f t="shared" si="47"/>
        <v>-92.250903641360651</v>
      </c>
      <c r="BG44" s="123">
        <f t="shared" si="48"/>
        <v>-5.5150083736549983E-2</v>
      </c>
    </row>
    <row r="45" spans="1:61" ht="29.1" customHeight="1" x14ac:dyDescent="0.15">
      <c r="A45" s="38" t="s">
        <v>179</v>
      </c>
      <c r="B45" s="38" t="s">
        <v>180</v>
      </c>
      <c r="C45" s="67">
        <v>67</v>
      </c>
      <c r="D45" s="68">
        <v>66</v>
      </c>
      <c r="E45" s="41">
        <v>1554.74</v>
      </c>
      <c r="F45" s="101">
        <v>1</v>
      </c>
      <c r="G45" s="101">
        <v>1</v>
      </c>
      <c r="H45" s="41">
        <v>23.89</v>
      </c>
      <c r="I45" s="41">
        <v>23.89</v>
      </c>
      <c r="J45" s="102">
        <v>9</v>
      </c>
      <c r="K45" s="103">
        <f t="shared" si="26"/>
        <v>0.13432835820895522</v>
      </c>
      <c r="L45" s="104">
        <v>174.76</v>
      </c>
      <c r="M45" s="105">
        <f t="shared" si="1"/>
        <v>-0.16250000000000001</v>
      </c>
      <c r="N45" s="103">
        <f t="shared" si="2"/>
        <v>-0.17499999999999999</v>
      </c>
      <c r="O45" s="103">
        <f t="shared" si="3"/>
        <v>-0.17529174623382135</v>
      </c>
      <c r="P45" s="106">
        <f t="shared" si="27"/>
        <v>1.0151515151515151</v>
      </c>
      <c r="Q45" s="107">
        <f t="shared" si="28"/>
        <v>23.556666666666668</v>
      </c>
      <c r="R45" s="140">
        <f t="shared" si="29"/>
        <v>23.20507462686567</v>
      </c>
      <c r="S45" s="108">
        <f t="shared" si="30"/>
        <v>0.14285714285714285</v>
      </c>
      <c r="T45" s="146">
        <f t="shared" si="31"/>
        <v>15</v>
      </c>
      <c r="U45" s="110">
        <f t="shared" si="32"/>
        <v>0.22727272727272727</v>
      </c>
      <c r="V45" s="71">
        <f t="shared" si="33"/>
        <v>0.42448313028709544</v>
      </c>
      <c r="W45" s="68">
        <v>65149</v>
      </c>
      <c r="X45" s="68">
        <v>650</v>
      </c>
      <c r="Y45" s="68">
        <v>51</v>
      </c>
      <c r="Z45" s="68">
        <v>649.82000000000005</v>
      </c>
      <c r="AA45" s="69">
        <v>1169.43</v>
      </c>
      <c r="AB45" s="41">
        <v>1</v>
      </c>
      <c r="AC45" s="48">
        <f t="shared" si="34"/>
        <v>0.55567242160710772</v>
      </c>
      <c r="AD45" s="49">
        <f t="shared" si="35"/>
        <v>9.97712934964466E-3</v>
      </c>
      <c r="AE45" s="112">
        <f t="shared" si="36"/>
        <v>7.8461538461538458E-2</v>
      </c>
      <c r="AF45" s="107">
        <f t="shared" si="37"/>
        <v>12.741568627450981</v>
      </c>
      <c r="AG45" s="113">
        <v>21</v>
      </c>
      <c r="AH45" s="114">
        <v>46</v>
      </c>
      <c r="AI45" s="118"/>
      <c r="AJ45" s="119"/>
      <c r="AK45" s="116">
        <f>AG45*产品成本!$D$11+AH45*产品成本!$D$12+AI45*产品成本!$D$13+AJ45*产品成本!$D$14</f>
        <v>394.50704225352115</v>
      </c>
      <c r="AL45" s="116">
        <f>AG45*产品成本!$E$11+AH45*产品成本!$E$12+AI45*产品成本!$E$13+AJ45*产品成本!$E$14</f>
        <v>23.991661971831014</v>
      </c>
      <c r="AM45" s="116">
        <f>AG45*产品成本!$F$11+AH45*产品成本!$F$12+AI45*产品成本!$F$13+AJ45*产品成本!$F$14</f>
        <v>22.78</v>
      </c>
      <c r="AN45" s="116">
        <f>AG45*产品成本!$G$11+AH45*产品成本!$G$12+AI45*产品成本!$G$13+AJ45*产品成本!$G$14</f>
        <v>261.3</v>
      </c>
      <c r="AO45" s="116">
        <f t="shared" si="38"/>
        <v>229.62749999999997</v>
      </c>
      <c r="AP45" s="117">
        <f t="shared" si="39"/>
        <v>932.20620422535205</v>
      </c>
      <c r="AQ45" s="118">
        <v>2</v>
      </c>
      <c r="AR45" s="118">
        <v>7</v>
      </c>
      <c r="AS45" s="118"/>
      <c r="AT45" s="119"/>
      <c r="AU45" s="120">
        <f t="shared" si="40"/>
        <v>213.1219512195122</v>
      </c>
      <c r="AV45" s="116">
        <f>AQ45*产品成本!$D$11+AR45*产品成本!$D$12+AS45*产品成本!$D$13+AT45*产品成本!$D$14</f>
        <v>53.802816901408448</v>
      </c>
      <c r="AW45" s="116">
        <f>AQ45*产品成本!$E$11+AR45*产品成本!$E$12+AS45*产品成本!$E$13+AT45*产品成本!$E$14</f>
        <v>3.222760563380286</v>
      </c>
      <c r="AX45" s="116">
        <f>AQ45*产品成本!$F$11+AR45*产品成本!$F$12+AS45*产品成本!$F$13+AT45*产品成本!$F$14</f>
        <v>3.0600000000000005</v>
      </c>
      <c r="AY45" s="116">
        <v>0</v>
      </c>
      <c r="AZ45" s="116">
        <f t="shared" si="41"/>
        <v>31.96829268292683</v>
      </c>
      <c r="BA45" s="116">
        <f t="shared" si="42"/>
        <v>-6.3936585365853666</v>
      </c>
      <c r="BB45" s="117">
        <f t="shared" si="43"/>
        <v>85.660211611130208</v>
      </c>
      <c r="BC45" s="122">
        <f t="shared" si="44"/>
        <v>846.54599261422186</v>
      </c>
      <c r="BD45" s="122">
        <f t="shared" si="45"/>
        <v>1530.85</v>
      </c>
      <c r="BE45" s="122">
        <f t="shared" si="46"/>
        <v>1317.7280487804876</v>
      </c>
      <c r="BF45" s="121">
        <f t="shared" si="47"/>
        <v>-178.63794383373431</v>
      </c>
      <c r="BG45" s="123">
        <f t="shared" si="48"/>
        <v>-0.13556510692707621</v>
      </c>
    </row>
    <row r="46" spans="1:61" ht="29.1" customHeight="1" x14ac:dyDescent="0.15">
      <c r="A46" s="38" t="s">
        <v>181</v>
      </c>
      <c r="B46" s="38" t="s">
        <v>182</v>
      </c>
      <c r="C46" s="67">
        <v>76</v>
      </c>
      <c r="D46" s="68">
        <v>74</v>
      </c>
      <c r="E46" s="41">
        <v>1769.64</v>
      </c>
      <c r="F46" s="101">
        <v>4</v>
      </c>
      <c r="G46" s="101">
        <v>4</v>
      </c>
      <c r="H46" s="41">
        <v>95.56</v>
      </c>
      <c r="I46" s="41">
        <v>23.89</v>
      </c>
      <c r="J46" s="102">
        <v>9</v>
      </c>
      <c r="K46" s="103">
        <f t="shared" si="26"/>
        <v>0.11842105263157894</v>
      </c>
      <c r="L46" s="104">
        <v>173.8</v>
      </c>
      <c r="M46" s="105">
        <f>(C46-C44)/C44</f>
        <v>-0.05</v>
      </c>
      <c r="N46" s="103">
        <f>(D46-D44)/D44</f>
        <v>-7.4999999999999997E-2</v>
      </c>
      <c r="O46" s="103">
        <f>(E46-E44)/E44</f>
        <v>-6.1298535964353883E-2</v>
      </c>
      <c r="P46" s="106">
        <f t="shared" si="27"/>
        <v>1.027027027027027</v>
      </c>
      <c r="Q46" s="107">
        <f t="shared" si="28"/>
        <v>23.914054054054056</v>
      </c>
      <c r="R46" s="140">
        <f t="shared" si="29"/>
        <v>23.284736842105264</v>
      </c>
      <c r="S46" s="108">
        <f t="shared" si="30"/>
        <v>0.5714285714285714</v>
      </c>
      <c r="T46" s="146">
        <f t="shared" si="31"/>
        <v>18</v>
      </c>
      <c r="U46" s="110">
        <f t="shared" si="32"/>
        <v>0.24324324324324326</v>
      </c>
      <c r="V46" s="71">
        <f t="shared" si="33"/>
        <v>0.35403694687097231</v>
      </c>
      <c r="W46" s="68">
        <v>64744</v>
      </c>
      <c r="X46" s="68">
        <v>617</v>
      </c>
      <c r="Y46" s="68">
        <v>56</v>
      </c>
      <c r="Z46" s="68">
        <v>618.05999999999995</v>
      </c>
      <c r="AA46" s="69">
        <v>1339.15</v>
      </c>
      <c r="AB46" s="41">
        <v>1</v>
      </c>
      <c r="AC46" s="48">
        <f t="shared" si="34"/>
        <v>0.46153156853227789</v>
      </c>
      <c r="AD46" s="49">
        <f t="shared" si="35"/>
        <v>9.5298406029902388E-3</v>
      </c>
      <c r="AE46" s="112">
        <f t="shared" si="36"/>
        <v>9.0761750405186387E-2</v>
      </c>
      <c r="AF46" s="107">
        <f t="shared" si="37"/>
        <v>11.036785714285713</v>
      </c>
      <c r="AG46" s="113">
        <v>22</v>
      </c>
      <c r="AH46" s="114">
        <v>54</v>
      </c>
      <c r="AI46" s="118"/>
      <c r="AJ46" s="119"/>
      <c r="AK46" s="116">
        <f>AG46*产品成本!$D$11+AH46*产品成本!$D$12+AI46*产品成本!$D$13+AJ46*产品成本!$D$14</f>
        <v>449.2957746478873</v>
      </c>
      <c r="AL46" s="116">
        <f>AG46*产品成本!$E$11+AH46*产品成本!$E$12+AI46*产品成本!$E$13+AJ46*产品成本!$E$14</f>
        <v>27.214422535211302</v>
      </c>
      <c r="AM46" s="116">
        <f>AG46*产品成本!$F$11+AH46*产品成本!$F$12+AI46*产品成本!$F$13+AJ46*产品成本!$F$14</f>
        <v>25.840000000000003</v>
      </c>
      <c r="AN46" s="116">
        <f>AG46*产品成本!$G$11+AH46*产品成本!$G$12+AI46*产品成本!$G$13+AJ46*产品成本!$G$14</f>
        <v>296.39999999999998</v>
      </c>
      <c r="AO46" s="116">
        <f t="shared" si="38"/>
        <v>261.86250000000001</v>
      </c>
      <c r="AP46" s="117">
        <f t="shared" si="39"/>
        <v>1060.6126971830986</v>
      </c>
      <c r="AQ46" s="118">
        <v>2</v>
      </c>
      <c r="AR46" s="118">
        <v>7</v>
      </c>
      <c r="AS46" s="118"/>
      <c r="AT46" s="119"/>
      <c r="AU46" s="120">
        <f t="shared" si="40"/>
        <v>211.95121951219514</v>
      </c>
      <c r="AV46" s="116">
        <f>AQ46*产品成本!$D$11+AR46*产品成本!$D$12+AS46*产品成本!$D$13+AT46*产品成本!$D$14</f>
        <v>53.802816901408448</v>
      </c>
      <c r="AW46" s="116">
        <f>AQ46*产品成本!$E$11+AR46*产品成本!$E$12+AS46*产品成本!$E$13+AT46*产品成本!$E$14</f>
        <v>3.222760563380286</v>
      </c>
      <c r="AX46" s="116">
        <f>AQ46*产品成本!$F$11+AR46*产品成本!$F$12+AS46*产品成本!$F$13+AT46*产品成本!$F$14</f>
        <v>3.0600000000000005</v>
      </c>
      <c r="AY46" s="116">
        <v>0</v>
      </c>
      <c r="AZ46" s="116">
        <f t="shared" si="41"/>
        <v>31.792682926829269</v>
      </c>
      <c r="BA46" s="116">
        <f t="shared" si="42"/>
        <v>-6.3585365853658544</v>
      </c>
      <c r="BB46" s="117">
        <f t="shared" si="43"/>
        <v>85.519723806252145</v>
      </c>
      <c r="BC46" s="122">
        <f t="shared" si="44"/>
        <v>975.09297337684643</v>
      </c>
      <c r="BD46" s="122">
        <f t="shared" si="45"/>
        <v>1745.75</v>
      </c>
      <c r="BE46" s="122">
        <f t="shared" si="46"/>
        <v>1533.7987804878048</v>
      </c>
      <c r="BF46" s="121">
        <f t="shared" si="47"/>
        <v>-59.354192889041542</v>
      </c>
      <c r="BG46" s="123">
        <f t="shared" si="48"/>
        <v>-3.8697509506536908E-2</v>
      </c>
    </row>
    <row r="47" spans="1:61" ht="29.1" customHeight="1" x14ac:dyDescent="0.15">
      <c r="A47" s="38" t="s">
        <v>183</v>
      </c>
      <c r="B47" s="38" t="s">
        <v>184</v>
      </c>
      <c r="C47" s="67">
        <v>63</v>
      </c>
      <c r="D47" s="68">
        <v>62</v>
      </c>
      <c r="E47" s="41">
        <v>1470.25</v>
      </c>
      <c r="F47" s="101">
        <v>3</v>
      </c>
      <c r="G47" s="101">
        <v>3</v>
      </c>
      <c r="H47" s="41">
        <v>64.849999999999994</v>
      </c>
      <c r="I47" s="41">
        <v>21.62</v>
      </c>
      <c r="J47" s="102">
        <v>7</v>
      </c>
      <c r="K47" s="103">
        <f t="shared" si="26"/>
        <v>0.1111111111111111</v>
      </c>
      <c r="L47" s="104">
        <v>141.91999999999999</v>
      </c>
      <c r="M47" s="105">
        <f t="shared" ref="M47:M74" si="49">(C47-C45)/C45</f>
        <v>-5.9701492537313432E-2</v>
      </c>
      <c r="N47" s="103">
        <f t="shared" ref="N47:N74" si="50">(D47-D45)/D45</f>
        <v>-6.0606060606060608E-2</v>
      </c>
      <c r="O47" s="103">
        <f t="shared" ref="O47:O74" si="51">(E47-E45)/E45</f>
        <v>-5.4343491516266391E-2</v>
      </c>
      <c r="P47" s="106">
        <f t="shared" si="27"/>
        <v>1.0161290322580645</v>
      </c>
      <c r="Q47" s="107">
        <f t="shared" si="28"/>
        <v>23.713709677419356</v>
      </c>
      <c r="R47" s="140">
        <f t="shared" si="29"/>
        <v>23.337301587301589</v>
      </c>
      <c r="S47" s="108">
        <f t="shared" si="30"/>
        <v>0.42857142857142855</v>
      </c>
      <c r="T47" s="146">
        <f t="shared" si="31"/>
        <v>9</v>
      </c>
      <c r="U47" s="110">
        <f t="shared" si="32"/>
        <v>0.14516129032258066</v>
      </c>
      <c r="V47" s="71">
        <f t="shared" si="33"/>
        <v>0.4447995692481862</v>
      </c>
      <c r="W47" s="68">
        <v>76783</v>
      </c>
      <c r="X47" s="68">
        <v>640</v>
      </c>
      <c r="Y47" s="68">
        <v>53</v>
      </c>
      <c r="Z47" s="68">
        <v>644.35</v>
      </c>
      <c r="AA47" s="69">
        <v>1248.82</v>
      </c>
      <c r="AB47" s="41">
        <v>1.01</v>
      </c>
      <c r="AC47" s="48">
        <f t="shared" si="34"/>
        <v>0.51596707291683352</v>
      </c>
      <c r="AD47" s="49">
        <f t="shared" si="35"/>
        <v>8.3351783597931835E-3</v>
      </c>
      <c r="AE47" s="112">
        <f t="shared" si="36"/>
        <v>8.2812499999999997E-2</v>
      </c>
      <c r="AF47" s="107">
        <f t="shared" si="37"/>
        <v>12.157547169811322</v>
      </c>
      <c r="AG47" s="113">
        <v>24</v>
      </c>
      <c r="AH47" s="114">
        <v>39</v>
      </c>
      <c r="AI47" s="118"/>
      <c r="AJ47" s="119"/>
      <c r="AK47" s="116">
        <f>AG47*产品成本!$D$11+AH47*产品成本!$D$12+AI47*产品成本!$D$13+AJ47*产品成本!$D$14</f>
        <v>366.76056338028167</v>
      </c>
      <c r="AL47" s="116">
        <f>AG47*产品成本!$E$11+AH47*产品成本!$E$12+AI47*产品成本!$E$13+AJ47*产品成本!$E$14</f>
        <v>22.559323943662001</v>
      </c>
      <c r="AM47" s="116">
        <f>AG47*产品成本!$F$11+AH47*产品成本!$F$12+AI47*产品成本!$F$13+AJ47*产品成本!$F$14</f>
        <v>21.42</v>
      </c>
      <c r="AN47" s="116">
        <f>AG47*产品成本!$G$11+AH47*产品成本!$G$12+AI47*产品成本!$G$13+AJ47*产品成本!$G$14</f>
        <v>245.7</v>
      </c>
      <c r="AO47" s="116">
        <f t="shared" si="38"/>
        <v>217.2945</v>
      </c>
      <c r="AP47" s="117">
        <f t="shared" si="39"/>
        <v>873.73438732394357</v>
      </c>
      <c r="AQ47" s="118">
        <v>3</v>
      </c>
      <c r="AR47" s="118">
        <v>4</v>
      </c>
      <c r="AS47" s="118"/>
      <c r="AT47" s="119"/>
      <c r="AU47" s="120">
        <f t="shared" si="40"/>
        <v>173.07317073170731</v>
      </c>
      <c r="AV47" s="116">
        <f>AQ47*产品成本!$D$11+AR47*产品成本!$D$12+AS47*产品成本!$D$13+AT47*产品成本!$D$14</f>
        <v>40.422535211267601</v>
      </c>
      <c r="AW47" s="116">
        <f>AQ47*产品成本!$E$11+AR47*产品成本!$E$12+AS47*产品成本!$E$13+AT47*产品成本!$E$14</f>
        <v>2.506591549295778</v>
      </c>
      <c r="AX47" s="116">
        <f>AQ47*产品成本!$F$11+AR47*产品成本!$F$12+AS47*产品成本!$F$13+AT47*产品成本!$F$14</f>
        <v>2.38</v>
      </c>
      <c r="AY47" s="116">
        <v>0</v>
      </c>
      <c r="AZ47" s="116">
        <f t="shared" si="41"/>
        <v>25.960975609756094</v>
      </c>
      <c r="BA47" s="116">
        <f t="shared" si="42"/>
        <v>-5.1921951219512188</v>
      </c>
      <c r="BB47" s="117">
        <f t="shared" si="43"/>
        <v>66.077907248368263</v>
      </c>
      <c r="BC47" s="122">
        <f t="shared" si="44"/>
        <v>807.65648007557525</v>
      </c>
      <c r="BD47" s="122">
        <f t="shared" si="45"/>
        <v>1448.63</v>
      </c>
      <c r="BE47" s="122">
        <f t="shared" si="46"/>
        <v>1275.5568292682929</v>
      </c>
      <c r="BF47" s="121">
        <f t="shared" si="47"/>
        <v>-176.44965080728241</v>
      </c>
      <c r="BG47" s="123">
        <f t="shared" si="48"/>
        <v>-0.13833146964412438</v>
      </c>
    </row>
    <row r="48" spans="1:61" ht="29.1" customHeight="1" x14ac:dyDescent="0.15">
      <c r="A48" s="38" t="s">
        <v>185</v>
      </c>
      <c r="B48" s="38" t="s">
        <v>186</v>
      </c>
      <c r="C48" s="67">
        <v>68</v>
      </c>
      <c r="D48" s="68">
        <v>68</v>
      </c>
      <c r="E48" s="41">
        <v>1602.52</v>
      </c>
      <c r="F48" s="101">
        <v>3</v>
      </c>
      <c r="G48" s="101">
        <v>3</v>
      </c>
      <c r="H48" s="41">
        <v>71.67</v>
      </c>
      <c r="I48" s="41">
        <v>23.89</v>
      </c>
      <c r="J48" s="102">
        <v>5</v>
      </c>
      <c r="K48" s="103">
        <f t="shared" si="26"/>
        <v>7.3529411764705885E-2</v>
      </c>
      <c r="L48" s="104">
        <v>103.39</v>
      </c>
      <c r="M48" s="105">
        <f t="shared" si="49"/>
        <v>-0.10526315789473684</v>
      </c>
      <c r="N48" s="103">
        <f t="shared" si="50"/>
        <v>-8.1081081081081086E-2</v>
      </c>
      <c r="O48" s="103">
        <f t="shared" si="51"/>
        <v>-9.4437286679776744E-2</v>
      </c>
      <c r="P48" s="106">
        <f t="shared" si="27"/>
        <v>1</v>
      </c>
      <c r="Q48" s="107">
        <f t="shared" si="28"/>
        <v>23.566470588235294</v>
      </c>
      <c r="R48" s="140">
        <f t="shared" si="29"/>
        <v>23.566470588235294</v>
      </c>
      <c r="S48" s="108">
        <f t="shared" si="30"/>
        <v>0.42857142857142855</v>
      </c>
      <c r="T48" s="146">
        <f t="shared" si="31"/>
        <v>14</v>
      </c>
      <c r="U48" s="110">
        <f t="shared" si="32"/>
        <v>0.20588235294117646</v>
      </c>
      <c r="V48" s="71">
        <f t="shared" si="33"/>
        <v>0.46330045672513509</v>
      </c>
      <c r="W48" s="68">
        <v>71302</v>
      </c>
      <c r="X48" s="68">
        <v>722</v>
      </c>
      <c r="Y48" s="68">
        <v>54</v>
      </c>
      <c r="Z48" s="68">
        <v>731.38</v>
      </c>
      <c r="AA48" s="69">
        <v>1253.93</v>
      </c>
      <c r="AB48" s="41">
        <v>1.01</v>
      </c>
      <c r="AC48" s="48">
        <f t="shared" si="34"/>
        <v>0.58327019849592876</v>
      </c>
      <c r="AD48" s="49">
        <f t="shared" si="35"/>
        <v>1.0125943171299542E-2</v>
      </c>
      <c r="AE48" s="112">
        <f t="shared" si="36"/>
        <v>7.4792243767313013E-2</v>
      </c>
      <c r="AF48" s="107">
        <f t="shared" si="37"/>
        <v>13.544074074074073</v>
      </c>
      <c r="AG48" s="113">
        <v>29</v>
      </c>
      <c r="AH48" s="114">
        <v>39</v>
      </c>
      <c r="AI48" s="118"/>
      <c r="AJ48" s="119"/>
      <c r="AK48" s="116">
        <f>AG48*产品成本!$D$11+AH48*产品成本!$D$12+AI48*产品成本!$D$13+AJ48*产品成本!$D$14</f>
        <v>392.81690140845069</v>
      </c>
      <c r="AL48" s="116">
        <f>AG48*产品成本!$E$11+AH48*产品成本!$E$12+AI48*产品成本!$E$13+AJ48*产品成本!$E$14</f>
        <v>24.349746478873271</v>
      </c>
      <c r="AM48" s="116">
        <f>AG48*产品成本!$F$11+AH48*产品成本!$F$12+AI48*产品成本!$F$13+AJ48*产品成本!$F$14</f>
        <v>23.120000000000005</v>
      </c>
      <c r="AN48" s="116">
        <f>AG48*产品成本!$G$11+AH48*产品成本!$G$12+AI48*产品成本!$G$13+AJ48*产品成本!$G$14</f>
        <v>265.2</v>
      </c>
      <c r="AO48" s="116">
        <f t="shared" si="38"/>
        <v>236.79449999999997</v>
      </c>
      <c r="AP48" s="117">
        <f t="shared" si="39"/>
        <v>942.28114788732387</v>
      </c>
      <c r="AQ48" s="118">
        <v>2</v>
      </c>
      <c r="AR48" s="118">
        <v>3</v>
      </c>
      <c r="AS48" s="118"/>
      <c r="AT48" s="119"/>
      <c r="AU48" s="120">
        <f t="shared" si="40"/>
        <v>126.08536585365854</v>
      </c>
      <c r="AV48" s="116">
        <f>AQ48*产品成本!$D$11+AR48*产品成本!$D$12+AS48*产品成本!$D$13+AT48*产品成本!$D$14</f>
        <v>29.014084507042249</v>
      </c>
      <c r="AW48" s="116">
        <f>AQ48*产品成本!$E$11+AR48*产品成本!$E$12+AS48*产品成本!$E$13+AT48*产品成本!$E$14</f>
        <v>1.7904225352112699</v>
      </c>
      <c r="AX48" s="116">
        <f>AQ48*产品成本!$F$11+AR48*产品成本!$F$12+AS48*产品成本!$F$13+AT48*产品成本!$F$14</f>
        <v>1.7000000000000002</v>
      </c>
      <c r="AY48" s="116">
        <v>0</v>
      </c>
      <c r="AZ48" s="116">
        <f t="shared" si="41"/>
        <v>18.912804878048782</v>
      </c>
      <c r="BA48" s="116">
        <f t="shared" si="42"/>
        <v>-3.7825609756097567</v>
      </c>
      <c r="BB48" s="117">
        <f t="shared" si="43"/>
        <v>47.634750944692549</v>
      </c>
      <c r="BC48" s="122">
        <f t="shared" si="44"/>
        <v>894.64639694263133</v>
      </c>
      <c r="BD48" s="122">
        <f t="shared" si="45"/>
        <v>1578.6299999999999</v>
      </c>
      <c r="BE48" s="122">
        <f t="shared" si="46"/>
        <v>1452.5446341463414</v>
      </c>
      <c r="BF48" s="121">
        <f t="shared" si="47"/>
        <v>-173.4817627962899</v>
      </c>
      <c r="BG48" s="123">
        <f t="shared" si="48"/>
        <v>-0.11943299966010676</v>
      </c>
    </row>
    <row r="49" spans="1:61" ht="29.1" customHeight="1" x14ac:dyDescent="0.15">
      <c r="A49" s="38" t="s">
        <v>187</v>
      </c>
      <c r="B49" s="38" t="s">
        <v>188</v>
      </c>
      <c r="C49" s="67">
        <v>73</v>
      </c>
      <c r="D49" s="68">
        <v>70</v>
      </c>
      <c r="E49" s="41">
        <v>1703.97</v>
      </c>
      <c r="F49" s="101">
        <v>6</v>
      </c>
      <c r="G49" s="101">
        <v>6</v>
      </c>
      <c r="H49" s="41">
        <v>141.34</v>
      </c>
      <c r="I49" s="41">
        <v>23.56</v>
      </c>
      <c r="J49" s="102">
        <v>7</v>
      </c>
      <c r="K49" s="103">
        <f t="shared" si="26"/>
        <v>9.5890410958904104E-2</v>
      </c>
      <c r="L49" s="104">
        <v>145.43</v>
      </c>
      <c r="M49" s="105">
        <f t="shared" si="49"/>
        <v>0.15873015873015872</v>
      </c>
      <c r="N49" s="103">
        <f t="shared" si="50"/>
        <v>0.12903225806451613</v>
      </c>
      <c r="O49" s="103">
        <f t="shared" si="51"/>
        <v>0.15896616221731</v>
      </c>
      <c r="P49" s="106">
        <f t="shared" si="27"/>
        <v>1.0428571428571429</v>
      </c>
      <c r="Q49" s="107">
        <f t="shared" si="28"/>
        <v>24.34242857142857</v>
      </c>
      <c r="R49" s="140">
        <f t="shared" si="29"/>
        <v>23.34205479452055</v>
      </c>
      <c r="S49" s="108">
        <f t="shared" si="30"/>
        <v>0.8571428571428571</v>
      </c>
      <c r="T49" s="146">
        <f t="shared" si="31"/>
        <v>-1</v>
      </c>
      <c r="U49" s="110">
        <f t="shared" si="32"/>
        <v>-1.4285714285714285E-2</v>
      </c>
      <c r="V49" s="71">
        <f t="shared" si="33"/>
        <v>0.47511024095310073</v>
      </c>
      <c r="W49" s="68">
        <v>80078</v>
      </c>
      <c r="X49" s="68">
        <v>779</v>
      </c>
      <c r="Y49" s="68">
        <v>71</v>
      </c>
      <c r="Z49" s="68">
        <v>798.38</v>
      </c>
      <c r="AA49" s="69">
        <v>1641.78</v>
      </c>
      <c r="AB49" s="41">
        <v>1.02</v>
      </c>
      <c r="AC49" s="48">
        <f t="shared" si="34"/>
        <v>0.48628927140055306</v>
      </c>
      <c r="AD49" s="49">
        <f t="shared" si="35"/>
        <v>9.7280151851944358E-3</v>
      </c>
      <c r="AE49" s="112">
        <f t="shared" si="36"/>
        <v>9.114249037227215E-2</v>
      </c>
      <c r="AF49" s="107">
        <f t="shared" si="37"/>
        <v>11.244788732394365</v>
      </c>
      <c r="AG49" s="113">
        <v>20</v>
      </c>
      <c r="AH49" s="114">
        <v>53</v>
      </c>
      <c r="AI49" s="118"/>
      <c r="AJ49" s="119"/>
      <c r="AK49" s="116">
        <f>AG49*产品成本!$D$11+AH49*产品成本!$D$12+AI49*产品成本!$D$13+AJ49*产品成本!$D$14</f>
        <v>432.67605633802816</v>
      </c>
      <c r="AL49" s="116">
        <f>AG49*产品成本!$E$11+AH49*产品成本!$E$12+AI49*产品成本!$E$13+AJ49*产品成本!$E$14</f>
        <v>26.140169014084542</v>
      </c>
      <c r="AM49" s="116">
        <f>AG49*产品成本!$F$11+AH49*产品成本!$F$12+AI49*产品成本!$F$13+AJ49*产品成本!$F$14</f>
        <v>24.82</v>
      </c>
      <c r="AN49" s="116">
        <f>AG49*产品成本!$G$11+AH49*产品成本!$G$12+AI49*产品成本!$G$13+AJ49*产品成本!$G$14</f>
        <v>284.7</v>
      </c>
      <c r="AO49" s="116">
        <f t="shared" si="38"/>
        <v>252.0615</v>
      </c>
      <c r="AP49" s="117">
        <f t="shared" si="39"/>
        <v>1020.3977253521127</v>
      </c>
      <c r="AQ49" s="118">
        <v>3</v>
      </c>
      <c r="AR49" s="118">
        <v>4</v>
      </c>
      <c r="AS49" s="118"/>
      <c r="AT49" s="119"/>
      <c r="AU49" s="120">
        <f t="shared" si="40"/>
        <v>177.35365853658539</v>
      </c>
      <c r="AV49" s="116">
        <f>AQ49*产品成本!$D$11+AR49*产品成本!$D$12+AS49*产品成本!$D$13+AT49*产品成本!$D$14</f>
        <v>40.422535211267601</v>
      </c>
      <c r="AW49" s="116">
        <f>AQ49*产品成本!$E$11+AR49*产品成本!$E$12+AS49*产品成本!$E$13+AT49*产品成本!$E$14</f>
        <v>2.506591549295778</v>
      </c>
      <c r="AX49" s="116">
        <f>AQ49*产品成本!$F$11+AR49*产品成本!$F$12+AS49*产品成本!$F$13+AT49*产品成本!$F$14</f>
        <v>2.38</v>
      </c>
      <c r="AY49" s="116">
        <v>0</v>
      </c>
      <c r="AZ49" s="116">
        <f t="shared" si="41"/>
        <v>26.603048780487807</v>
      </c>
      <c r="BA49" s="116">
        <f t="shared" si="42"/>
        <v>-5.3206097560975616</v>
      </c>
      <c r="BB49" s="117">
        <f t="shared" si="43"/>
        <v>66.591565784953616</v>
      </c>
      <c r="BC49" s="122">
        <f t="shared" si="44"/>
        <v>953.80615956715906</v>
      </c>
      <c r="BD49" s="122">
        <f t="shared" si="45"/>
        <v>1680.41</v>
      </c>
      <c r="BE49" s="122">
        <f t="shared" si="46"/>
        <v>1503.0563414634148</v>
      </c>
      <c r="BF49" s="121">
        <f t="shared" si="47"/>
        <v>-249.12981810374424</v>
      </c>
      <c r="BG49" s="123">
        <f t="shared" si="48"/>
        <v>-0.1657488220708912</v>
      </c>
    </row>
    <row r="50" spans="1:61" ht="29.1" customHeight="1" x14ac:dyDescent="0.15">
      <c r="A50" s="38" t="s">
        <v>189</v>
      </c>
      <c r="B50" s="38" t="s">
        <v>190</v>
      </c>
      <c r="C50" s="67">
        <v>102</v>
      </c>
      <c r="D50" s="68">
        <v>99</v>
      </c>
      <c r="E50" s="41">
        <v>2362.89</v>
      </c>
      <c r="F50" s="101">
        <v>5</v>
      </c>
      <c r="G50" s="101">
        <v>5</v>
      </c>
      <c r="H50" s="41">
        <v>117.45</v>
      </c>
      <c r="I50" s="41">
        <v>23.49</v>
      </c>
      <c r="J50" s="102">
        <v>10</v>
      </c>
      <c r="K50" s="103">
        <f t="shared" si="26"/>
        <v>9.8039215686274508E-2</v>
      </c>
      <c r="L50" s="104">
        <v>198.02</v>
      </c>
      <c r="M50" s="105">
        <f t="shared" si="49"/>
        <v>0.5</v>
      </c>
      <c r="N50" s="103">
        <f t="shared" si="50"/>
        <v>0.45588235294117646</v>
      </c>
      <c r="O50" s="103">
        <f t="shared" si="51"/>
        <v>0.47448393779796816</v>
      </c>
      <c r="P50" s="106">
        <f t="shared" si="27"/>
        <v>1.0303030303030303</v>
      </c>
      <c r="Q50" s="107">
        <f t="shared" si="28"/>
        <v>23.867575757575757</v>
      </c>
      <c r="R50" s="140">
        <f t="shared" si="29"/>
        <v>23.165588235294116</v>
      </c>
      <c r="S50" s="108">
        <f t="shared" si="30"/>
        <v>0.7142857142857143</v>
      </c>
      <c r="T50" s="146">
        <f t="shared" si="31"/>
        <v>-9</v>
      </c>
      <c r="U50" s="110">
        <f t="shared" si="32"/>
        <v>-9.0909090909090912E-2</v>
      </c>
      <c r="V50" s="71">
        <f t="shared" si="33"/>
        <v>0.40981020774557581</v>
      </c>
      <c r="W50" s="68">
        <v>78513</v>
      </c>
      <c r="X50" s="68">
        <v>910</v>
      </c>
      <c r="Y50" s="68">
        <v>108</v>
      </c>
      <c r="Z50" s="68">
        <v>958.71</v>
      </c>
      <c r="AA50" s="69">
        <v>2618.83</v>
      </c>
      <c r="AB50" s="41">
        <v>1.05</v>
      </c>
      <c r="AC50" s="48">
        <f t="shared" si="34"/>
        <v>0.36608332728737647</v>
      </c>
      <c r="AD50" s="49">
        <f t="shared" si="35"/>
        <v>1.1590437252429534E-2</v>
      </c>
      <c r="AE50" s="112">
        <f t="shared" si="36"/>
        <v>0.11868131868131868</v>
      </c>
      <c r="AF50" s="107">
        <f t="shared" si="37"/>
        <v>8.8769444444444456</v>
      </c>
      <c r="AG50" s="113">
        <v>32</v>
      </c>
      <c r="AH50" s="114">
        <v>70</v>
      </c>
      <c r="AI50" s="118"/>
      <c r="AJ50" s="119"/>
      <c r="AK50" s="116">
        <f>AG50*产品成本!$D$11+AH50*产品成本!$D$12+AI50*产品成本!$D$13+AJ50*产品成本!$D$14</f>
        <v>600.56338028169012</v>
      </c>
      <c r="AL50" s="116">
        <f>AG50*产品成本!$E$11+AH50*产品成本!$E$12+AI50*产品成本!$E$13+AJ50*产品成本!$E$14</f>
        <v>36.524619718309907</v>
      </c>
      <c r="AM50" s="116">
        <f>AG50*产品成本!$F$11+AH50*产品成本!$F$12+AI50*产品成本!$F$13+AJ50*产品成本!$F$14</f>
        <v>34.68</v>
      </c>
      <c r="AN50" s="116">
        <f>AG50*产品成本!$G$11+AH50*产品成本!$G$12+AI50*产品成本!$G$13+AJ50*产品成本!$G$14</f>
        <v>397.8</v>
      </c>
      <c r="AO50" s="116">
        <f t="shared" si="38"/>
        <v>350.91</v>
      </c>
      <c r="AP50" s="117">
        <f t="shared" si="39"/>
        <v>1420.4780000000001</v>
      </c>
      <c r="AQ50" s="118">
        <v>4</v>
      </c>
      <c r="AR50" s="118">
        <v>6</v>
      </c>
      <c r="AS50" s="118"/>
      <c r="AT50" s="119"/>
      <c r="AU50" s="120">
        <f t="shared" si="40"/>
        <v>241.48780487804882</v>
      </c>
      <c r="AV50" s="116">
        <f>AQ50*产品成本!$D$11+AR50*产品成本!$D$12+AS50*产品成本!$D$13+AT50*产品成本!$D$14</f>
        <v>58.028169014084497</v>
      </c>
      <c r="AW50" s="116">
        <f>AQ50*产品成本!$E$11+AR50*产品成本!$E$12+AS50*产品成本!$E$13+AT50*产品成本!$E$14</f>
        <v>3.5808450704225399</v>
      </c>
      <c r="AX50" s="116">
        <f>AQ50*产品成本!$F$11+AR50*产品成本!$F$12+AS50*产品成本!$F$13+AT50*产品成本!$F$14</f>
        <v>3.4000000000000004</v>
      </c>
      <c r="AY50" s="116">
        <v>0</v>
      </c>
      <c r="AZ50" s="116">
        <f t="shared" si="41"/>
        <v>36.22317073170732</v>
      </c>
      <c r="BA50" s="116">
        <f t="shared" si="42"/>
        <v>-7.2446341463414647</v>
      </c>
      <c r="BB50" s="117">
        <f t="shared" si="43"/>
        <v>93.987550669872888</v>
      </c>
      <c r="BC50" s="122">
        <f t="shared" si="44"/>
        <v>1326.4904493301271</v>
      </c>
      <c r="BD50" s="122">
        <f t="shared" si="45"/>
        <v>2339.4</v>
      </c>
      <c r="BE50" s="122">
        <f t="shared" si="46"/>
        <v>2097.9121951219513</v>
      </c>
      <c r="BF50" s="121">
        <f t="shared" si="47"/>
        <v>-187.28825420817589</v>
      </c>
      <c r="BG50" s="123">
        <f t="shared" si="48"/>
        <v>-8.927363816448422E-2</v>
      </c>
    </row>
    <row r="51" spans="1:61" ht="29.1" customHeight="1" x14ac:dyDescent="0.15">
      <c r="A51" s="38" t="s">
        <v>191</v>
      </c>
      <c r="B51" s="38" t="s">
        <v>192</v>
      </c>
      <c r="C51" s="67">
        <v>84</v>
      </c>
      <c r="D51" s="68">
        <v>83</v>
      </c>
      <c r="E51" s="41">
        <v>1974.76</v>
      </c>
      <c r="F51" s="101">
        <v>8</v>
      </c>
      <c r="G51" s="101">
        <v>7</v>
      </c>
      <c r="H51" s="41">
        <v>191.12</v>
      </c>
      <c r="I51" s="41">
        <v>19.12</v>
      </c>
      <c r="J51" s="102">
        <v>7</v>
      </c>
      <c r="K51" s="103">
        <f t="shared" si="26"/>
        <v>8.3333333333333329E-2</v>
      </c>
      <c r="L51" s="104">
        <v>141.58000000000001</v>
      </c>
      <c r="M51" s="105">
        <f t="shared" si="49"/>
        <v>0.15068493150684931</v>
      </c>
      <c r="N51" s="103">
        <f t="shared" si="50"/>
        <v>0.18571428571428572</v>
      </c>
      <c r="O51" s="103">
        <f t="shared" si="51"/>
        <v>0.15891711708539466</v>
      </c>
      <c r="P51" s="106">
        <f t="shared" si="27"/>
        <v>1.0120481927710843</v>
      </c>
      <c r="Q51" s="107">
        <f t="shared" si="28"/>
        <v>23.792289156626506</v>
      </c>
      <c r="R51" s="140">
        <f t="shared" si="29"/>
        <v>23.509047619047617</v>
      </c>
      <c r="S51" s="108">
        <f t="shared" ref="S51:S74" si="52">G51/7</f>
        <v>1</v>
      </c>
      <c r="T51" s="146">
        <f t="shared" si="31"/>
        <v>-7</v>
      </c>
      <c r="U51" s="110">
        <f t="shared" si="32"/>
        <v>-8.4337349397590355E-2</v>
      </c>
      <c r="V51" s="71">
        <f t="shared" si="33"/>
        <v>0.46228856026671578</v>
      </c>
      <c r="W51" s="68">
        <v>81151</v>
      </c>
      <c r="X51" s="68">
        <v>850</v>
      </c>
      <c r="Y51" s="68">
        <v>90</v>
      </c>
      <c r="Z51" s="68">
        <v>904.07</v>
      </c>
      <c r="AA51" s="69">
        <v>2116.9299999999998</v>
      </c>
      <c r="AB51" s="41" t="s">
        <v>347</v>
      </c>
      <c r="AC51" s="48">
        <f t="shared" si="34"/>
        <v>0.42706655392478737</v>
      </c>
      <c r="AD51" s="49">
        <f t="shared" si="35"/>
        <v>1.047430099444246E-2</v>
      </c>
      <c r="AE51" s="112">
        <f t="shared" si="36"/>
        <v>0.10588235294117647</v>
      </c>
      <c r="AF51" s="107">
        <f t="shared" si="37"/>
        <v>10.045222222222224</v>
      </c>
      <c r="AG51" s="113">
        <v>24</v>
      </c>
      <c r="AH51" s="114">
        <v>60</v>
      </c>
      <c r="AI51" s="118"/>
      <c r="AJ51" s="119"/>
      <c r="AK51" s="116">
        <f>AG51*产品成本!$D$11+AH51*产品成本!$D$12+AI51*产品成本!$D$13+AJ51*产品成本!$D$14</f>
        <v>496.9014084507042</v>
      </c>
      <c r="AL51" s="116">
        <f>AG51*产品成本!$E$11+AH51*产品成本!$E$12+AI51*产品成本!$E$13+AJ51*产品成本!$E$14</f>
        <v>30.079098591549332</v>
      </c>
      <c r="AM51" s="116">
        <f>AG51*产品成本!$F$11+AH51*产品成本!$F$12+AI51*产品成本!$F$13+AJ51*产品成本!$F$14</f>
        <v>28.560000000000002</v>
      </c>
      <c r="AN51" s="116">
        <f>AG51*产品成本!$G$11+AH51*产品成本!$G$12+AI51*产品成本!$G$13+AJ51*产品成本!$G$14</f>
        <v>327.60000000000002</v>
      </c>
      <c r="AO51" s="116">
        <f t="shared" si="38"/>
        <v>293.346</v>
      </c>
      <c r="AP51" s="117">
        <f t="shared" si="39"/>
        <v>1176.4865070422534</v>
      </c>
      <c r="AQ51" s="118">
        <v>2</v>
      </c>
      <c r="AR51" s="118">
        <v>5</v>
      </c>
      <c r="AS51" s="118"/>
      <c r="AT51" s="119"/>
      <c r="AU51" s="120">
        <f t="shared" si="40"/>
        <v>172.65853658536588</v>
      </c>
      <c r="AV51" s="116">
        <f>AQ51*产品成本!$D$11+AR51*产品成本!$D$12+AS51*产品成本!$D$13+AT51*产品成本!$D$14</f>
        <v>41.408450704225352</v>
      </c>
      <c r="AW51" s="116">
        <f>AQ51*产品成本!$E$11+AR51*产品成本!$E$12+AS51*产品成本!$E$13+AT51*产品成本!$E$14</f>
        <v>2.506591549295778</v>
      </c>
      <c r="AX51" s="116">
        <f>AQ51*产品成本!$F$11+AR51*产品成本!$F$12+AS51*产品成本!$F$13+AT51*产品成本!$F$14</f>
        <v>2.3800000000000003</v>
      </c>
      <c r="AY51" s="116">
        <v>0</v>
      </c>
      <c r="AZ51" s="116">
        <f t="shared" si="41"/>
        <v>25.898780487804881</v>
      </c>
      <c r="BA51" s="116">
        <f t="shared" si="42"/>
        <v>-5.1797560975609764</v>
      </c>
      <c r="BB51" s="117">
        <f t="shared" si="43"/>
        <v>67.014066643765034</v>
      </c>
      <c r="BC51" s="122">
        <f t="shared" si="44"/>
        <v>1109.4724403984883</v>
      </c>
      <c r="BD51" s="122">
        <f t="shared" si="45"/>
        <v>1955.64</v>
      </c>
      <c r="BE51" s="122">
        <f t="shared" si="46"/>
        <v>1782.9814634146342</v>
      </c>
      <c r="BF51" s="121">
        <f t="shared" si="47"/>
        <v>-230.56097698385418</v>
      </c>
      <c r="BG51" s="123">
        <f t="shared" si="48"/>
        <v>-0.1293120437395355</v>
      </c>
    </row>
    <row r="52" spans="1:61" ht="29.1" customHeight="1" x14ac:dyDescent="0.15">
      <c r="A52" s="38" t="s">
        <v>193</v>
      </c>
      <c r="B52" s="38" t="s">
        <v>194</v>
      </c>
      <c r="C52" s="67">
        <v>112</v>
      </c>
      <c r="D52" s="68">
        <v>111</v>
      </c>
      <c r="E52" s="41">
        <v>2577.79</v>
      </c>
      <c r="F52" s="101">
        <v>14</v>
      </c>
      <c r="G52" s="101">
        <v>13</v>
      </c>
      <c r="H52" s="41">
        <v>328.46</v>
      </c>
      <c r="I52" s="41">
        <v>32.86</v>
      </c>
      <c r="J52" s="102">
        <v>14</v>
      </c>
      <c r="K52" s="103">
        <f t="shared" si="26"/>
        <v>0.125</v>
      </c>
      <c r="L52" s="104">
        <v>282.63</v>
      </c>
      <c r="M52" s="105">
        <f t="shared" si="49"/>
        <v>9.8039215686274508E-2</v>
      </c>
      <c r="N52" s="103">
        <f t="shared" si="50"/>
        <v>0.12121212121212122</v>
      </c>
      <c r="O52" s="103">
        <f t="shared" si="51"/>
        <v>9.0947949333231803E-2</v>
      </c>
      <c r="P52" s="106">
        <f t="shared" si="27"/>
        <v>1.0090090090090089</v>
      </c>
      <c r="Q52" s="107">
        <f t="shared" si="28"/>
        <v>23.223333333333333</v>
      </c>
      <c r="R52" s="140">
        <f t="shared" si="29"/>
        <v>23.015982142857144</v>
      </c>
      <c r="S52" s="108">
        <f t="shared" si="52"/>
        <v>1.8571428571428572</v>
      </c>
      <c r="T52" s="146">
        <f t="shared" si="31"/>
        <v>10</v>
      </c>
      <c r="U52" s="110">
        <f t="shared" si="32"/>
        <v>9.0090090090090086E-2</v>
      </c>
      <c r="V52" s="71">
        <f t="shared" si="33"/>
        <v>0.43241267932713279</v>
      </c>
      <c r="W52" s="68">
        <v>96422</v>
      </c>
      <c r="X52" s="68">
        <v>1030</v>
      </c>
      <c r="Y52" s="68">
        <v>101</v>
      </c>
      <c r="Z52" s="68">
        <v>1100.46</v>
      </c>
      <c r="AA52" s="69">
        <v>2274.4699999999998</v>
      </c>
      <c r="AB52" s="41">
        <v>1.07</v>
      </c>
      <c r="AC52" s="48">
        <f t="shared" si="34"/>
        <v>0.48383139808394926</v>
      </c>
      <c r="AD52" s="49">
        <f t="shared" si="35"/>
        <v>1.068220945427392E-2</v>
      </c>
      <c r="AE52" s="112">
        <f t="shared" si="36"/>
        <v>9.8058252427184467E-2</v>
      </c>
      <c r="AF52" s="107">
        <f t="shared" si="37"/>
        <v>10.895643564356437</v>
      </c>
      <c r="AG52" s="113">
        <v>27</v>
      </c>
      <c r="AH52" s="114">
        <v>81</v>
      </c>
      <c r="AI52" s="118">
        <v>0</v>
      </c>
      <c r="AJ52" s="119">
        <v>4</v>
      </c>
      <c r="AK52" s="116">
        <f>AG52*产品成本!$D$11+AH52*产品成本!$D$12+AI52*产品成本!$D$13+AJ52*产品成本!$D$14</f>
        <v>657.87605633802821</v>
      </c>
      <c r="AL52" s="116">
        <f>AG52*产品成本!$E$11+AH52*产品成本!$E$12+AI52*产品成本!$E$13+AJ52*产品成本!$E$14</f>
        <v>40.813971830985963</v>
      </c>
      <c r="AM52" s="116">
        <f>AG52*产品成本!$F$11+AH52*产品成本!$F$12+AI52*产品成本!$F$13+AJ52*产品成本!$F$14</f>
        <v>38.080000000000005</v>
      </c>
      <c r="AN52" s="116">
        <f>AG52*产品成本!$G$11+AH52*产品成本!$G$12+AI52*产品成本!$G$13+AJ52*产品成本!$G$14</f>
        <v>436.8</v>
      </c>
      <c r="AO52" s="116">
        <f t="shared" si="38"/>
        <v>381.73949999999996</v>
      </c>
      <c r="AP52" s="117">
        <f t="shared" si="39"/>
        <v>1555.3095281690141</v>
      </c>
      <c r="AQ52" s="118">
        <v>3</v>
      </c>
      <c r="AR52" s="118">
        <v>10</v>
      </c>
      <c r="AS52" s="118">
        <v>0</v>
      </c>
      <c r="AT52" s="119">
        <v>1</v>
      </c>
      <c r="AU52" s="120">
        <f t="shared" si="40"/>
        <v>344.67073170731709</v>
      </c>
      <c r="AV52" s="116">
        <f>AQ52*产品成本!$D$11+AR52*产品成本!$D$12+AS52*产品成本!$D$13+AT52*产品成本!$D$14</f>
        <v>81.405633802816894</v>
      </c>
      <c r="AW52" s="116">
        <f>AQ52*产品成本!$E$11+AR52*产品成本!$E$12+AS52*产品成本!$E$13+AT52*产品成本!$E$14</f>
        <v>5.1903098591549357</v>
      </c>
      <c r="AX52" s="116">
        <f>AQ52*产品成本!$F$11+AR52*产品成本!$F$12+AS52*产品成本!$F$13+AT52*产品成本!$F$14</f>
        <v>4.76</v>
      </c>
      <c r="AY52" s="116"/>
      <c r="AZ52" s="116">
        <f t="shared" si="41"/>
        <v>51.700609756097563</v>
      </c>
      <c r="BA52" s="116">
        <f t="shared" si="42"/>
        <v>-10.340121951219514</v>
      </c>
      <c r="BB52" s="117">
        <f t="shared" si="43"/>
        <v>132.71643146684988</v>
      </c>
      <c r="BC52" s="122">
        <f t="shared" si="44"/>
        <v>1422.5930967021643</v>
      </c>
      <c r="BD52" s="122">
        <f t="shared" si="45"/>
        <v>2544.9299999999998</v>
      </c>
      <c r="BE52" s="122">
        <f t="shared" si="46"/>
        <v>2200.2592682926829</v>
      </c>
      <c r="BF52" s="121">
        <f t="shared" si="47"/>
        <v>-322.79382840948142</v>
      </c>
      <c r="BG52" s="123">
        <f t="shared" si="48"/>
        <v>-0.14670717813176495</v>
      </c>
    </row>
    <row r="53" spans="1:61" ht="29.1" customHeight="1" x14ac:dyDescent="0.15">
      <c r="A53" s="38" t="s">
        <v>195</v>
      </c>
      <c r="B53" s="38" t="s">
        <v>196</v>
      </c>
      <c r="C53" s="67">
        <v>174</v>
      </c>
      <c r="D53" s="68">
        <v>171</v>
      </c>
      <c r="E53" s="41">
        <v>3365.96</v>
      </c>
      <c r="F53" s="101">
        <v>16</v>
      </c>
      <c r="G53" s="101">
        <v>15</v>
      </c>
      <c r="H53" s="41">
        <v>326.24</v>
      </c>
      <c r="I53" s="41">
        <v>32.64</v>
      </c>
      <c r="J53" s="102">
        <v>10</v>
      </c>
      <c r="K53" s="103">
        <f t="shared" si="26"/>
        <v>5.7471264367816091E-2</v>
      </c>
      <c r="L53" s="104">
        <v>199.05</v>
      </c>
      <c r="M53" s="105">
        <f t="shared" si="49"/>
        <v>1.0714285714285714</v>
      </c>
      <c r="N53" s="103">
        <f t="shared" si="50"/>
        <v>1.0602409638554218</v>
      </c>
      <c r="O53" s="103">
        <f t="shared" si="51"/>
        <v>0.70449067228422702</v>
      </c>
      <c r="P53" s="106">
        <f t="shared" si="27"/>
        <v>1.0175438596491229</v>
      </c>
      <c r="Q53" s="107">
        <f t="shared" si="28"/>
        <v>19.683976608187134</v>
      </c>
      <c r="R53" s="140">
        <f t="shared" si="29"/>
        <v>19.344597701149425</v>
      </c>
      <c r="S53" s="108">
        <f t="shared" si="52"/>
        <v>2.1428571428571428</v>
      </c>
      <c r="T53" s="146">
        <f t="shared" si="31"/>
        <v>41</v>
      </c>
      <c r="U53" s="110">
        <f t="shared" si="32"/>
        <v>0.23976608187134502</v>
      </c>
      <c r="V53" s="71">
        <f t="shared" si="33"/>
        <v>0.32544430177720707</v>
      </c>
      <c r="W53" s="68">
        <v>101187</v>
      </c>
      <c r="X53" s="68">
        <v>1056</v>
      </c>
      <c r="Y53" s="68">
        <v>130</v>
      </c>
      <c r="Z53" s="68">
        <v>1084.81</v>
      </c>
      <c r="AA53" s="69">
        <v>2617.02</v>
      </c>
      <c r="AB53" s="41">
        <v>1.03</v>
      </c>
      <c r="AC53" s="48">
        <f t="shared" si="34"/>
        <v>0.41452109651435598</v>
      </c>
      <c r="AD53" s="49">
        <f t="shared" si="35"/>
        <v>1.0436123217409351E-2</v>
      </c>
      <c r="AE53" s="112">
        <f t="shared" si="36"/>
        <v>0.12310606060606061</v>
      </c>
      <c r="AF53" s="107">
        <f t="shared" si="37"/>
        <v>8.3446923076923074</v>
      </c>
      <c r="AG53" s="113">
        <v>46</v>
      </c>
      <c r="AH53" s="114">
        <v>101</v>
      </c>
      <c r="AI53" s="118">
        <v>4</v>
      </c>
      <c r="AJ53" s="119">
        <v>23</v>
      </c>
      <c r="AK53" s="116">
        <f>AG53*产品成本!$D$11+AH53*产品成本!$D$12+AI53*产品成本!$D$13+AJ53*产品成本!$D$14</f>
        <v>964.87380281690139</v>
      </c>
      <c r="AL53" s="116">
        <f>AG53*产品成本!$E$11+AH53*产品成本!$E$12+AI53*产品成本!$E$13+AJ53*产品成本!$E$14</f>
        <v>66.615887323943724</v>
      </c>
      <c r="AM53" s="116">
        <f>AG53*产品成本!$F$11+AH53*产品成本!$F$12+AI53*产品成本!$F$13+AJ53*产品成本!$F$14</f>
        <v>59.160000000000004</v>
      </c>
      <c r="AN53" s="116">
        <f>AG53*产品成本!$G$11+AH53*产品成本!$G$12+AI53*产品成本!$G$13+AJ53*产品成本!$G$14</f>
        <v>678.6</v>
      </c>
      <c r="AO53" s="116">
        <f t="shared" si="38"/>
        <v>499.99799999999999</v>
      </c>
      <c r="AP53" s="117">
        <f t="shared" si="39"/>
        <v>2269.2476901408454</v>
      </c>
      <c r="AQ53" s="118">
        <v>3</v>
      </c>
      <c r="AR53" s="118">
        <v>6</v>
      </c>
      <c r="AS53" s="118">
        <v>0</v>
      </c>
      <c r="AT53" s="119">
        <v>1</v>
      </c>
      <c r="AU53" s="120">
        <f t="shared" si="40"/>
        <v>242.74390243902442</v>
      </c>
      <c r="AV53" s="116">
        <f>AQ53*产品成本!$D$11+AR53*产品成本!$D$12+AS53*产品成本!$D$13+AT53*产品成本!$D$14</f>
        <v>56.616901408450694</v>
      </c>
      <c r="AW53" s="116">
        <f>AQ53*产品成本!$E$11+AR53*产品成本!$E$12+AS53*产品成本!$E$13+AT53*产品成本!$E$14</f>
        <v>3.7579718309859196</v>
      </c>
      <c r="AX53" s="116">
        <f>AQ53*产品成本!$F$11+AR53*产品成本!$F$12+AS53*产品成本!$F$13+AT53*产品成本!$F$14</f>
        <v>3.4</v>
      </c>
      <c r="AY53" s="116"/>
      <c r="AZ53" s="116">
        <f t="shared" si="41"/>
        <v>36.411585365853661</v>
      </c>
      <c r="BA53" s="116">
        <f t="shared" si="42"/>
        <v>-7.2823170731707325</v>
      </c>
      <c r="BB53" s="117">
        <f t="shared" si="43"/>
        <v>92.904141532119539</v>
      </c>
      <c r="BC53" s="122">
        <f t="shared" si="44"/>
        <v>2176.343548608726</v>
      </c>
      <c r="BD53" s="122">
        <f t="shared" si="45"/>
        <v>3333.32</v>
      </c>
      <c r="BE53" s="122">
        <f t="shared" si="46"/>
        <v>3090.5760975609755</v>
      </c>
      <c r="BF53" s="121">
        <f t="shared" si="47"/>
        <v>-170.5774510477504</v>
      </c>
      <c r="BG53" s="123">
        <f t="shared" si="48"/>
        <v>-5.5192768488168571E-2</v>
      </c>
      <c r="BI53" t="s">
        <v>197</v>
      </c>
    </row>
    <row r="54" spans="1:61" ht="29.1" customHeight="1" x14ac:dyDescent="0.15">
      <c r="A54" s="38" t="s">
        <v>198</v>
      </c>
      <c r="B54" s="38" t="s">
        <v>199</v>
      </c>
      <c r="C54" s="67">
        <v>160</v>
      </c>
      <c r="D54" s="68">
        <v>158</v>
      </c>
      <c r="E54" s="41">
        <v>3549.51</v>
      </c>
      <c r="F54" s="101">
        <v>30</v>
      </c>
      <c r="G54" s="101">
        <v>29</v>
      </c>
      <c r="H54" s="41">
        <v>624.70000000000005</v>
      </c>
      <c r="I54" s="41">
        <v>65.180000000000007</v>
      </c>
      <c r="J54" s="102">
        <v>8</v>
      </c>
      <c r="K54" s="103">
        <f t="shared" si="26"/>
        <v>0.05</v>
      </c>
      <c r="L54" s="104">
        <v>141.58000000000001</v>
      </c>
      <c r="M54" s="105">
        <f t="shared" si="49"/>
        <v>0.42857142857142855</v>
      </c>
      <c r="N54" s="103">
        <f t="shared" si="50"/>
        <v>0.42342342342342343</v>
      </c>
      <c r="O54" s="103">
        <f t="shared" si="51"/>
        <v>0.37695855752408081</v>
      </c>
      <c r="P54" s="106">
        <f t="shared" si="27"/>
        <v>1.0126582278481013</v>
      </c>
      <c r="Q54" s="107">
        <f t="shared" si="28"/>
        <v>22.465253164556962</v>
      </c>
      <c r="R54" s="140">
        <f t="shared" si="29"/>
        <v>22.184437500000001</v>
      </c>
      <c r="S54" s="108">
        <f t="shared" si="52"/>
        <v>4.1428571428571432</v>
      </c>
      <c r="T54" s="146">
        <f t="shared" si="31"/>
        <v>29</v>
      </c>
      <c r="U54" s="110">
        <f t="shared" si="32"/>
        <v>0.18354430379746836</v>
      </c>
      <c r="V54" s="71">
        <f t="shared" si="33"/>
        <v>0.32820083057574911</v>
      </c>
      <c r="W54" s="68">
        <v>122283</v>
      </c>
      <c r="X54" s="68">
        <v>1093</v>
      </c>
      <c r="Y54" s="68">
        <v>129</v>
      </c>
      <c r="Z54" s="68">
        <v>1143.56</v>
      </c>
      <c r="AA54" s="69">
        <v>2874.28</v>
      </c>
      <c r="AB54" s="41">
        <v>1.05</v>
      </c>
      <c r="AC54" s="48">
        <f t="shared" si="34"/>
        <v>0.39785963789192419</v>
      </c>
      <c r="AD54" s="49">
        <f t="shared" si="35"/>
        <v>8.9382825086070841E-3</v>
      </c>
      <c r="AE54" s="112">
        <f t="shared" si="36"/>
        <v>0.11802378774016468</v>
      </c>
      <c r="AF54" s="107">
        <f t="shared" si="37"/>
        <v>8.8648062015503868</v>
      </c>
      <c r="AG54" s="113">
        <v>39</v>
      </c>
      <c r="AH54" s="114">
        <v>90</v>
      </c>
      <c r="AI54" s="118">
        <v>18</v>
      </c>
      <c r="AJ54" s="119">
        <v>13</v>
      </c>
      <c r="AK54" s="116">
        <f>AG54*产品成本!$D$11+AH54*产品成本!$D$12+AI54*产品成本!$D$13+AJ54*产品成本!$D$14</f>
        <v>863.66591549295765</v>
      </c>
      <c r="AL54" s="116">
        <f>AG54*产品成本!$E$11+AH54*产品成本!$E$12+AI54*产品成本!$E$13+AJ54*产品成本!$E$14</f>
        <v>60.654873239436675</v>
      </c>
      <c r="AM54" s="116">
        <f>AG54*产品成本!$F$11+AH54*产品成本!$F$12+AI54*产品成本!$F$13+AJ54*产品成本!$F$14</f>
        <v>54.4</v>
      </c>
      <c r="AN54" s="116">
        <f>AG54*产品成本!$G$11+AH54*产品成本!$G$12+AI54*产品成本!$G$13+AJ54*产品成本!$G$14</f>
        <v>624.00000000000011</v>
      </c>
      <c r="AO54" s="116">
        <f t="shared" si="38"/>
        <v>522.64949999999999</v>
      </c>
      <c r="AP54" s="117">
        <f t="shared" si="39"/>
        <v>2125.3702887323943</v>
      </c>
      <c r="AQ54" s="118">
        <v>2</v>
      </c>
      <c r="AR54" s="118">
        <v>6</v>
      </c>
      <c r="AS54" s="118">
        <v>0</v>
      </c>
      <c r="AT54" s="119">
        <v>0</v>
      </c>
      <c r="AU54" s="120">
        <f t="shared" si="40"/>
        <v>172.65853658536588</v>
      </c>
      <c r="AV54" s="116">
        <f>AQ54*产品成本!$D$11+AR54*产品成本!$D$12+AS54*产品成本!$D$13+AT54*产品成本!$D$14</f>
        <v>47.605633802816897</v>
      </c>
      <c r="AW54" s="116">
        <f>AQ54*产品成本!$E$11+AR54*产品成本!$E$12+AS54*产品成本!$E$13+AT54*产品成本!$E$14</f>
        <v>2.8646760563380318</v>
      </c>
      <c r="AX54" s="116">
        <f>AQ54*产品成本!$F$11+AR54*产品成本!$F$12+AS54*产品成本!$F$13+AT54*产品成本!$F$14</f>
        <v>2.72</v>
      </c>
      <c r="AY54" s="116"/>
      <c r="AZ54" s="116">
        <f t="shared" si="41"/>
        <v>25.898780487804881</v>
      </c>
      <c r="BA54" s="116">
        <f t="shared" si="42"/>
        <v>-5.1797560975609764</v>
      </c>
      <c r="BB54" s="117">
        <f t="shared" si="43"/>
        <v>73.909334249398825</v>
      </c>
      <c r="BC54" s="122">
        <f t="shared" si="44"/>
        <v>2051.4609544829955</v>
      </c>
      <c r="BD54" s="122">
        <f t="shared" si="45"/>
        <v>3484.3300000000004</v>
      </c>
      <c r="BE54" s="122">
        <f t="shared" si="46"/>
        <v>3311.6714634146347</v>
      </c>
      <c r="BF54" s="121">
        <f t="shared" si="47"/>
        <v>116.65050893163925</v>
      </c>
      <c r="BG54" s="123">
        <f t="shared" si="48"/>
        <v>3.5224058370621696E-2</v>
      </c>
    </row>
    <row r="55" spans="1:61" ht="29.1" customHeight="1" x14ac:dyDescent="0.15">
      <c r="A55" s="38" t="s">
        <v>200</v>
      </c>
      <c r="B55" s="38" t="s">
        <v>201</v>
      </c>
      <c r="C55" s="67">
        <v>140</v>
      </c>
      <c r="D55" s="68">
        <v>140</v>
      </c>
      <c r="E55" s="41">
        <v>3093.93</v>
      </c>
      <c r="F55" s="101">
        <v>14</v>
      </c>
      <c r="G55" s="101">
        <v>14</v>
      </c>
      <c r="H55" s="41">
        <v>274.45999999999998</v>
      </c>
      <c r="I55" s="41">
        <v>28.65</v>
      </c>
      <c r="J55" s="102">
        <v>9</v>
      </c>
      <c r="K55" s="103">
        <f t="shared" si="26"/>
        <v>6.4285714285714279E-2</v>
      </c>
      <c r="L55" s="104">
        <v>169.54</v>
      </c>
      <c r="M55" s="105">
        <f t="shared" si="49"/>
        <v>-0.19540229885057472</v>
      </c>
      <c r="N55" s="103">
        <f t="shared" si="50"/>
        <v>-0.18128654970760233</v>
      </c>
      <c r="O55" s="103">
        <f t="shared" si="51"/>
        <v>-8.0817953867544534E-2</v>
      </c>
      <c r="P55" s="106">
        <f t="shared" si="27"/>
        <v>1</v>
      </c>
      <c r="Q55" s="107">
        <f t="shared" si="28"/>
        <v>22.099499999999999</v>
      </c>
      <c r="R55" s="140">
        <f t="shared" si="29"/>
        <v>22.099499999999999</v>
      </c>
      <c r="S55" s="108">
        <f t="shared" si="52"/>
        <v>2</v>
      </c>
      <c r="T55" s="146">
        <f t="shared" si="31"/>
        <v>34</v>
      </c>
      <c r="U55" s="110">
        <f t="shared" si="32"/>
        <v>0.24285714285714285</v>
      </c>
      <c r="V55" s="71">
        <f t="shared" si="33"/>
        <v>0.35523997807704361</v>
      </c>
      <c r="W55" s="68">
        <v>122246</v>
      </c>
      <c r="X55" s="68">
        <v>1047</v>
      </c>
      <c r="Y55" s="68">
        <v>106</v>
      </c>
      <c r="Z55" s="68">
        <v>1088.9100000000001</v>
      </c>
      <c r="AA55" s="69">
        <v>2380.33</v>
      </c>
      <c r="AB55" s="41">
        <v>1.04</v>
      </c>
      <c r="AC55" s="48">
        <f t="shared" si="34"/>
        <v>0.45746178050942521</v>
      </c>
      <c r="AD55" s="49">
        <f t="shared" si="35"/>
        <v>8.5646974134123005E-3</v>
      </c>
      <c r="AE55" s="112">
        <f t="shared" si="36"/>
        <v>0.10124164278892073</v>
      </c>
      <c r="AF55" s="107">
        <f t="shared" si="37"/>
        <v>10.272735849056605</v>
      </c>
      <c r="AG55" s="113">
        <v>43</v>
      </c>
      <c r="AH55" s="114">
        <v>79</v>
      </c>
      <c r="AI55" s="118">
        <v>3</v>
      </c>
      <c r="AJ55" s="119">
        <v>15</v>
      </c>
      <c r="AK55" s="116">
        <f>AG55*产品成本!$D$11+AH55*产品成本!$D$12+AI55*产品成本!$D$13+AJ55*产品成本!$D$14</f>
        <v>779.54197183098586</v>
      </c>
      <c r="AL55" s="116">
        <f>AG55*产品成本!$E$11+AH55*产品成本!$E$12+AI55*产品成本!$E$13+AJ55*产品成本!$E$14</f>
        <v>52.965183098591609</v>
      </c>
      <c r="AM55" s="116">
        <f>AG55*产品成本!$F$11+AH55*产品成本!$F$12+AI55*产品成本!$F$13+AJ55*产品成本!$F$14</f>
        <v>47.600000000000009</v>
      </c>
      <c r="AN55" s="116">
        <f>AG55*产品成本!$G$11+AH55*产品成本!$G$12+AI55*产品成本!$G$13+AJ55*产品成本!$G$14</f>
        <v>546</v>
      </c>
      <c r="AO55" s="116">
        <f t="shared" si="38"/>
        <v>459.79199999999997</v>
      </c>
      <c r="AP55" s="117">
        <f t="shared" si="39"/>
        <v>1885.8991549295774</v>
      </c>
      <c r="AQ55" s="118">
        <v>0</v>
      </c>
      <c r="AR55" s="118">
        <v>8</v>
      </c>
      <c r="AS55" s="118">
        <v>0</v>
      </c>
      <c r="AT55" s="119">
        <v>1</v>
      </c>
      <c r="AU55" s="120">
        <f t="shared" si="40"/>
        <v>206.7560975609756</v>
      </c>
      <c r="AV55" s="116">
        <f>AQ55*产品成本!$D$11+AR55*产品成本!$D$12+AS55*产品成本!$D$13+AT55*产品成本!$D$14</f>
        <v>53.377464788732397</v>
      </c>
      <c r="AW55" s="116">
        <f>AQ55*产品成本!$E$11+AR55*产品成本!$E$12+AS55*产品成本!$E$13+AT55*产品成本!$E$14</f>
        <v>3.3998873239436658</v>
      </c>
      <c r="AX55" s="116">
        <f>AQ55*产品成本!$F$11+AR55*产品成本!$F$12+AS55*产品成本!$F$13+AT55*产品成本!$F$14</f>
        <v>3.06</v>
      </c>
      <c r="AY55" s="116"/>
      <c r="AZ55" s="116">
        <f t="shared" si="41"/>
        <v>31.01341463414634</v>
      </c>
      <c r="BA55" s="116">
        <f t="shared" si="42"/>
        <v>-6.2026829268292687</v>
      </c>
      <c r="BB55" s="117">
        <f t="shared" si="43"/>
        <v>84.648083819993133</v>
      </c>
      <c r="BC55" s="122">
        <f t="shared" si="44"/>
        <v>1801.2510711095842</v>
      </c>
      <c r="BD55" s="122">
        <f t="shared" si="45"/>
        <v>3065.2799999999997</v>
      </c>
      <c r="BE55" s="122">
        <f t="shared" si="46"/>
        <v>2858.5239024390244</v>
      </c>
      <c r="BF55" s="121">
        <f t="shared" si="47"/>
        <v>-31.637168670559959</v>
      </c>
      <c r="BG55" s="123">
        <f t="shared" si="48"/>
        <v>-1.1067659306107487E-2</v>
      </c>
    </row>
    <row r="56" spans="1:61" ht="29.1" customHeight="1" x14ac:dyDescent="0.15">
      <c r="A56" s="38" t="s">
        <v>202</v>
      </c>
      <c r="B56" s="38" t="s">
        <v>203</v>
      </c>
      <c r="C56" s="67">
        <v>144</v>
      </c>
      <c r="D56" s="68">
        <v>144</v>
      </c>
      <c r="E56" s="41">
        <v>3285.27</v>
      </c>
      <c r="F56" s="101">
        <v>44</v>
      </c>
      <c r="G56" s="101">
        <v>44</v>
      </c>
      <c r="H56" s="41">
        <v>1039.1600000000001</v>
      </c>
      <c r="I56" s="41">
        <v>108.81</v>
      </c>
      <c r="J56" s="102">
        <v>9</v>
      </c>
      <c r="K56" s="103">
        <f t="shared" si="26"/>
        <v>6.25E-2</v>
      </c>
      <c r="L56" s="104">
        <v>169.35</v>
      </c>
      <c r="M56" s="105">
        <f t="shared" si="49"/>
        <v>-0.1</v>
      </c>
      <c r="N56" s="103">
        <f t="shared" si="50"/>
        <v>-8.8607594936708861E-2</v>
      </c>
      <c r="O56" s="103">
        <f t="shared" si="51"/>
        <v>-7.444407819670891E-2</v>
      </c>
      <c r="P56" s="106">
        <f t="shared" si="27"/>
        <v>1</v>
      </c>
      <c r="Q56" s="107">
        <f t="shared" si="28"/>
        <v>22.814374999999998</v>
      </c>
      <c r="R56" s="140">
        <f t="shared" si="29"/>
        <v>22.814374999999998</v>
      </c>
      <c r="S56" s="108">
        <f t="shared" si="52"/>
        <v>6.2857142857142856</v>
      </c>
      <c r="T56" s="146">
        <f t="shared" si="31"/>
        <v>26</v>
      </c>
      <c r="U56" s="110">
        <f t="shared" si="32"/>
        <v>0.18055555555555555</v>
      </c>
      <c r="V56" s="71">
        <f t="shared" si="33"/>
        <v>0.33303111010370029</v>
      </c>
      <c r="W56" s="68">
        <v>115096</v>
      </c>
      <c r="X56" s="68">
        <v>987</v>
      </c>
      <c r="Y56" s="68">
        <v>118</v>
      </c>
      <c r="Z56" s="68">
        <v>1057.8599999999999</v>
      </c>
      <c r="AA56" s="69">
        <v>2626.68</v>
      </c>
      <c r="AB56" s="41">
        <v>1.07</v>
      </c>
      <c r="AC56" s="48">
        <f t="shared" si="34"/>
        <v>0.40273653433231305</v>
      </c>
      <c r="AD56" s="49">
        <f t="shared" si="35"/>
        <v>8.5754500590811151E-3</v>
      </c>
      <c r="AE56" s="112">
        <f t="shared" si="36"/>
        <v>0.11955420466058764</v>
      </c>
      <c r="AF56" s="107">
        <f t="shared" si="37"/>
        <v>8.9649152542372867</v>
      </c>
      <c r="AG56" s="113">
        <v>34</v>
      </c>
      <c r="AH56" s="114">
        <v>98</v>
      </c>
      <c r="AI56" s="118">
        <v>5</v>
      </c>
      <c r="AJ56" s="119">
        <v>7</v>
      </c>
      <c r="AK56" s="116">
        <f>AG56*产品成本!$D$11+AH56*产品成本!$D$12+AI56*产品成本!$D$13+AJ56*产品成本!$D$14</f>
        <v>825.90704225352101</v>
      </c>
      <c r="AL56" s="116">
        <f>AG56*产品成本!$E$11+AH56*产品成本!$E$12+AI56*产品成本!$E$13+AJ56*产品成本!$E$14</f>
        <v>53.098140845070482</v>
      </c>
      <c r="AM56" s="116">
        <f>AG56*产品成本!$F$11+AH56*产品成本!$F$12+AI56*产品成本!$F$13+AJ56*产品成本!$F$14</f>
        <v>48.960000000000008</v>
      </c>
      <c r="AN56" s="116">
        <f>AG56*产品成本!$G$11+AH56*产品成本!$G$12+AI56*产品成本!$G$13+AJ56*产品成本!$G$14</f>
        <v>561.59999999999991</v>
      </c>
      <c r="AO56" s="116">
        <f t="shared" si="38"/>
        <v>476.46899999999999</v>
      </c>
      <c r="AP56" s="117">
        <f t="shared" si="39"/>
        <v>1966.0341830985915</v>
      </c>
      <c r="AQ56" s="118">
        <v>1</v>
      </c>
      <c r="AR56" s="118">
        <v>6</v>
      </c>
      <c r="AS56" s="118">
        <v>1</v>
      </c>
      <c r="AT56" s="119">
        <v>1</v>
      </c>
      <c r="AU56" s="120">
        <f t="shared" si="40"/>
        <v>206.52439024390245</v>
      </c>
      <c r="AV56" s="116">
        <f>AQ56*产品成本!$D$11+AR56*产品成本!$D$12+AS56*产品成本!$D$13+AT56*产品成本!$D$14</f>
        <v>49.154366197183094</v>
      </c>
      <c r="AW56" s="116">
        <f>AQ56*产品成本!$E$11+AR56*产品成本!$E$12+AS56*产品成本!$E$13+AT56*产品成本!$E$14</f>
        <v>3.4587042253521156</v>
      </c>
      <c r="AX56" s="116">
        <f>AQ56*产品成本!$F$11+AR56*产品成本!$F$12+AS56*产品成本!$F$13+AT56*产品成本!$F$14</f>
        <v>3.0599999999999996</v>
      </c>
      <c r="AY56" s="116"/>
      <c r="AZ56" s="116">
        <f t="shared" si="41"/>
        <v>30.978658536585364</v>
      </c>
      <c r="BA56" s="116">
        <f t="shared" si="42"/>
        <v>-6.1957317073170728</v>
      </c>
      <c r="BB56" s="117">
        <f t="shared" si="43"/>
        <v>80.455997251803495</v>
      </c>
      <c r="BC56" s="122">
        <f t="shared" si="44"/>
        <v>1885.5781858467881</v>
      </c>
      <c r="BD56" s="122">
        <f t="shared" si="45"/>
        <v>3176.46</v>
      </c>
      <c r="BE56" s="122">
        <f t="shared" si="46"/>
        <v>2969.9356097560976</v>
      </c>
      <c r="BF56" s="121">
        <f t="shared" si="47"/>
        <v>26.497423909309646</v>
      </c>
      <c r="BG56" s="123">
        <f t="shared" si="48"/>
        <v>8.9218849803567677E-3</v>
      </c>
    </row>
    <row r="57" spans="1:61" ht="29.1" customHeight="1" x14ac:dyDescent="0.15">
      <c r="A57" s="38" t="s">
        <v>205</v>
      </c>
      <c r="B57" s="38" t="s">
        <v>206</v>
      </c>
      <c r="C57" s="67">
        <v>153</v>
      </c>
      <c r="D57" s="68">
        <v>153</v>
      </c>
      <c r="E57" s="41">
        <v>3457.39</v>
      </c>
      <c r="F57" s="101">
        <v>16</v>
      </c>
      <c r="G57" s="101">
        <v>16</v>
      </c>
      <c r="H57" s="41">
        <v>326.24</v>
      </c>
      <c r="I57" s="41">
        <v>36.44</v>
      </c>
      <c r="J57" s="102">
        <v>12</v>
      </c>
      <c r="K57" s="103">
        <f t="shared" si="26"/>
        <v>7.8431372549019607E-2</v>
      </c>
      <c r="L57" s="104">
        <v>243.53</v>
      </c>
      <c r="M57" s="105">
        <f t="shared" si="49"/>
        <v>9.285714285714286E-2</v>
      </c>
      <c r="N57" s="103">
        <f t="shared" si="50"/>
        <v>9.285714285714286E-2</v>
      </c>
      <c r="O57" s="103">
        <f t="shared" si="51"/>
        <v>0.11747518528214926</v>
      </c>
      <c r="P57" s="106">
        <f t="shared" si="27"/>
        <v>1</v>
      </c>
      <c r="Q57" s="107">
        <f t="shared" si="28"/>
        <v>22.597320261437908</v>
      </c>
      <c r="R57" s="140">
        <f t="shared" si="29"/>
        <v>22.597320261437908</v>
      </c>
      <c r="S57" s="108">
        <f t="shared" si="52"/>
        <v>2.2857142857142856</v>
      </c>
      <c r="T57" s="146">
        <f t="shared" si="31"/>
        <v>12</v>
      </c>
      <c r="U57" s="110">
        <f t="shared" si="32"/>
        <v>7.8431372549019607E-2</v>
      </c>
      <c r="V57" s="71">
        <f t="shared" si="33"/>
        <v>0.36215086452593581</v>
      </c>
      <c r="W57" s="68">
        <v>126104</v>
      </c>
      <c r="X57" s="68">
        <v>1176</v>
      </c>
      <c r="Y57" s="68">
        <v>141</v>
      </c>
      <c r="Z57" s="68">
        <v>1238.9000000000001</v>
      </c>
      <c r="AA57" s="69">
        <v>3166.47</v>
      </c>
      <c r="AB57" s="41">
        <v>1.05</v>
      </c>
      <c r="AC57" s="48">
        <f t="shared" si="34"/>
        <v>0.39125587799663353</v>
      </c>
      <c r="AD57" s="49">
        <f t="shared" si="35"/>
        <v>9.3256359829981608E-3</v>
      </c>
      <c r="AE57" s="112">
        <f t="shared" si="36"/>
        <v>0.11989795918367346</v>
      </c>
      <c r="AF57" s="107">
        <f t="shared" si="37"/>
        <v>8.7865248226950357</v>
      </c>
      <c r="AG57" s="113">
        <v>31</v>
      </c>
      <c r="AH57" s="114">
        <v>105</v>
      </c>
      <c r="AI57" s="118">
        <v>5</v>
      </c>
      <c r="AJ57" s="119">
        <v>12</v>
      </c>
      <c r="AK57" s="116">
        <f>AG57*产品成本!$D$11+AH57*产品成本!$D$12+AI57*产品成本!$D$13+AJ57*产品成本!$D$14</f>
        <v>872.65352112676055</v>
      </c>
      <c r="AL57" s="116">
        <f>AG57*产品成本!$E$11+AH57*产品成本!$E$12+AI57*产品成本!$E$13+AJ57*产品成本!$E$14</f>
        <v>57.206535211267671</v>
      </c>
      <c r="AM57" s="116">
        <f>AG57*产品成本!$F$11+AH57*产品成本!$F$12+AI57*产品成本!$F$13+AJ57*产品成本!$F$14</f>
        <v>52.02</v>
      </c>
      <c r="AN57" s="116">
        <f>AG57*产品成本!$G$11+AH57*产品成本!$G$12+AI57*产品成本!$G$13+AJ57*产品成本!$G$14</f>
        <v>596.69999999999993</v>
      </c>
      <c r="AO57" s="116">
        <f t="shared" si="38"/>
        <v>513.14249999999993</v>
      </c>
      <c r="AP57" s="117">
        <f t="shared" si="39"/>
        <v>2091.722556338028</v>
      </c>
      <c r="AQ57" s="118">
        <v>5</v>
      </c>
      <c r="AR57" s="118">
        <v>7</v>
      </c>
      <c r="AS57" s="118">
        <v>0</v>
      </c>
      <c r="AT57" s="119">
        <v>0</v>
      </c>
      <c r="AU57" s="120">
        <f t="shared" si="40"/>
        <v>296.98780487804879</v>
      </c>
      <c r="AV57" s="116">
        <f>AQ57*产品成本!$D$11+AR57*产品成本!$D$12+AS57*产品成本!$D$13+AT57*产品成本!$D$14</f>
        <v>69.436619718309856</v>
      </c>
      <c r="AW57" s="116">
        <f>AQ57*产品成本!$E$11+AR57*产品成本!$E$12+AS57*产品成本!$E$13+AT57*产品成本!$E$14</f>
        <v>4.2970140845070475</v>
      </c>
      <c r="AX57" s="116">
        <f>AQ57*产品成本!$F$11+AR57*产品成本!$F$12+AS57*产品成本!$F$13+AT57*产品成本!$F$14</f>
        <v>4.08</v>
      </c>
      <c r="AY57" s="116"/>
      <c r="AZ57" s="116">
        <f t="shared" si="41"/>
        <v>44.548170731707316</v>
      </c>
      <c r="BA57" s="116">
        <f t="shared" si="42"/>
        <v>-8.9096341463414639</v>
      </c>
      <c r="BB57" s="117">
        <f t="shared" si="43"/>
        <v>113.45217038818276</v>
      </c>
      <c r="BC57" s="122">
        <f t="shared" si="44"/>
        <v>1978.2703859498451</v>
      </c>
      <c r="BD57" s="122">
        <f t="shared" si="45"/>
        <v>3420.95</v>
      </c>
      <c r="BE57" s="122">
        <f t="shared" si="46"/>
        <v>3123.962195121951</v>
      </c>
      <c r="BF57" s="121">
        <f t="shared" si="47"/>
        <v>-93.208190827894214</v>
      </c>
      <c r="BG57" s="123">
        <f t="shared" si="48"/>
        <v>-2.9836529703668714E-2</v>
      </c>
    </row>
    <row r="58" spans="1:61" ht="29.1" customHeight="1" x14ac:dyDescent="0.15">
      <c r="A58" s="38" t="s">
        <v>208</v>
      </c>
      <c r="B58" s="38" t="s">
        <v>209</v>
      </c>
      <c r="C58" s="67">
        <v>126</v>
      </c>
      <c r="D58" s="68">
        <v>123</v>
      </c>
      <c r="E58" s="41">
        <v>2825.25</v>
      </c>
      <c r="F58" s="101">
        <v>18</v>
      </c>
      <c r="G58" s="101">
        <v>18</v>
      </c>
      <c r="H58" s="41">
        <v>353.02</v>
      </c>
      <c r="I58" s="41">
        <v>41.2</v>
      </c>
      <c r="J58" s="102">
        <v>7</v>
      </c>
      <c r="K58" s="103">
        <f t="shared" si="26"/>
        <v>5.5555555555555552E-2</v>
      </c>
      <c r="L58" s="104">
        <v>139.47</v>
      </c>
      <c r="M58" s="105">
        <f t="shared" si="49"/>
        <v>-0.125</v>
      </c>
      <c r="N58" s="103">
        <f t="shared" si="50"/>
        <v>-0.14583333333333334</v>
      </c>
      <c r="O58" s="103">
        <f t="shared" si="51"/>
        <v>-0.1400250207745482</v>
      </c>
      <c r="P58" s="106">
        <f t="shared" si="27"/>
        <v>1.024390243902439</v>
      </c>
      <c r="Q58" s="107">
        <f t="shared" si="28"/>
        <v>22.969512195121951</v>
      </c>
      <c r="R58" s="140">
        <f t="shared" si="29"/>
        <v>22.422619047619047</v>
      </c>
      <c r="S58" s="108">
        <f t="shared" si="52"/>
        <v>2.5714285714285716</v>
      </c>
      <c r="T58" s="146">
        <f t="shared" si="31"/>
        <v>23</v>
      </c>
      <c r="U58" s="110">
        <f t="shared" si="32"/>
        <v>0.18699186991869918</v>
      </c>
      <c r="V58" s="71">
        <f t="shared" si="33"/>
        <v>0.3685925180941434</v>
      </c>
      <c r="W58" s="68">
        <v>103058</v>
      </c>
      <c r="X58" s="68">
        <v>963</v>
      </c>
      <c r="Y58" s="68">
        <v>100</v>
      </c>
      <c r="Z58" s="68">
        <v>1026.18</v>
      </c>
      <c r="AA58" s="69">
        <v>2241.92</v>
      </c>
      <c r="AB58" s="41">
        <v>1.07</v>
      </c>
      <c r="AC58" s="48">
        <f t="shared" si="34"/>
        <v>0.45772373679703116</v>
      </c>
      <c r="AD58" s="49">
        <f t="shared" si="35"/>
        <v>9.3442527508781469E-3</v>
      </c>
      <c r="AE58" s="112">
        <f t="shared" si="36"/>
        <v>0.10384215991692627</v>
      </c>
      <c r="AF58" s="107">
        <f t="shared" si="37"/>
        <v>10.261800000000001</v>
      </c>
      <c r="AG58" s="113">
        <v>34</v>
      </c>
      <c r="AH58" s="114">
        <v>75</v>
      </c>
      <c r="AI58" s="118">
        <v>8</v>
      </c>
      <c r="AJ58" s="119">
        <v>9</v>
      </c>
      <c r="AK58" s="116">
        <f>AG58*产品成本!$D$11+AH58*产品成本!$D$12+AI58*产品成本!$D$13+AJ58*产品成本!$D$14</f>
        <v>699.8518309859154</v>
      </c>
      <c r="AL58" s="116">
        <f>AG58*产品成本!$E$11+AH58*产品成本!$E$12+AI58*产品成本!$E$13+AJ58*产品成本!$E$14</f>
        <v>47.183323943662018</v>
      </c>
      <c r="AM58" s="116">
        <f>AG58*产品成本!$F$11+AH58*产品成本!$F$12+AI58*产品成本!$F$13+AJ58*产品成本!$F$14</f>
        <v>42.84</v>
      </c>
      <c r="AN58" s="116">
        <f>AG58*产品成本!$G$11+AH58*产品成本!$G$12+AI58*产品成本!$G$13+AJ58*产品成本!$G$14</f>
        <v>491.40000000000003</v>
      </c>
      <c r="AO58" s="116">
        <f t="shared" si="38"/>
        <v>417.60750000000002</v>
      </c>
      <c r="AP58" s="117">
        <f t="shared" si="39"/>
        <v>1698.8826549295775</v>
      </c>
      <c r="AQ58" s="118">
        <v>2</v>
      </c>
      <c r="AR58" s="118">
        <v>5</v>
      </c>
      <c r="AS58" s="118">
        <v>0</v>
      </c>
      <c r="AT58" s="119">
        <v>0</v>
      </c>
      <c r="AU58" s="120">
        <f t="shared" si="40"/>
        <v>170.08536585365854</v>
      </c>
      <c r="AV58" s="116">
        <f>AQ58*产品成本!$D$11+AR58*产品成本!$D$12+AS58*产品成本!$D$13+AT58*产品成本!$D$14</f>
        <v>41.408450704225352</v>
      </c>
      <c r="AW58" s="116">
        <f>AQ58*产品成本!$E$11+AR58*产品成本!$E$12+AS58*产品成本!$E$13+AT58*产品成本!$E$14</f>
        <v>2.506591549295778</v>
      </c>
      <c r="AX58" s="116">
        <f>AQ58*产品成本!$F$11+AR58*产品成本!$F$12+AS58*产品成本!$F$13+AT58*产品成本!$F$14</f>
        <v>2.3800000000000003</v>
      </c>
      <c r="AY58" s="116"/>
      <c r="AZ58" s="116">
        <f t="shared" si="41"/>
        <v>25.512804878048779</v>
      </c>
      <c r="BA58" s="116">
        <f t="shared" si="42"/>
        <v>-5.1025609756097561</v>
      </c>
      <c r="BB58" s="117">
        <f t="shared" si="43"/>
        <v>66.705286155960152</v>
      </c>
      <c r="BC58" s="122">
        <f t="shared" si="44"/>
        <v>1632.1773687736172</v>
      </c>
      <c r="BD58" s="122">
        <f t="shared" si="45"/>
        <v>2784.05</v>
      </c>
      <c r="BE58" s="122">
        <f t="shared" si="46"/>
        <v>2613.9646341463417</v>
      </c>
      <c r="BF58" s="121">
        <f t="shared" si="47"/>
        <v>-44.392734627275559</v>
      </c>
      <c r="BG58" s="123">
        <f t="shared" si="48"/>
        <v>-1.698291325267802E-2</v>
      </c>
    </row>
    <row r="59" spans="1:61" ht="29.1" customHeight="1" x14ac:dyDescent="0.15">
      <c r="A59" s="38" t="s">
        <v>210</v>
      </c>
      <c r="B59" s="38" t="s">
        <v>211</v>
      </c>
      <c r="C59" s="67">
        <v>134</v>
      </c>
      <c r="D59" s="68">
        <v>129</v>
      </c>
      <c r="E59" s="41">
        <v>2380.61</v>
      </c>
      <c r="F59" s="101">
        <v>17</v>
      </c>
      <c r="G59" s="101">
        <v>16</v>
      </c>
      <c r="H59" s="41">
        <v>279.95</v>
      </c>
      <c r="I59" s="41">
        <v>29.45</v>
      </c>
      <c r="J59" s="102">
        <v>12</v>
      </c>
      <c r="K59" s="103">
        <f t="shared" si="26"/>
        <v>8.9552238805970144E-2</v>
      </c>
      <c r="L59" s="104">
        <v>222.3</v>
      </c>
      <c r="M59" s="105">
        <f t="shared" si="49"/>
        <v>-0.12418300653594772</v>
      </c>
      <c r="N59" s="103">
        <f t="shared" si="50"/>
        <v>-0.15686274509803921</v>
      </c>
      <c r="O59" s="103">
        <f t="shared" si="51"/>
        <v>-0.31144302494077897</v>
      </c>
      <c r="P59" s="106">
        <f t="shared" si="27"/>
        <v>1.0387596899224807</v>
      </c>
      <c r="Q59" s="107">
        <f t="shared" si="28"/>
        <v>18.45434108527132</v>
      </c>
      <c r="R59" s="140">
        <f t="shared" si="29"/>
        <v>17.765746268656716</v>
      </c>
      <c r="S59" s="108">
        <f t="shared" si="52"/>
        <v>2.2857142857142856</v>
      </c>
      <c r="T59" s="146">
        <f t="shared" si="31"/>
        <v>40</v>
      </c>
      <c r="U59" s="110">
        <f t="shared" si="32"/>
        <v>0.31007751937984496</v>
      </c>
      <c r="V59" s="71">
        <f t="shared" si="33"/>
        <v>0.41860613484407694</v>
      </c>
      <c r="W59" s="68">
        <v>91054</v>
      </c>
      <c r="X59" s="68">
        <v>940</v>
      </c>
      <c r="Y59" s="68">
        <v>89</v>
      </c>
      <c r="Z59" s="68">
        <v>984.21</v>
      </c>
      <c r="AA59" s="69">
        <v>1678.37</v>
      </c>
      <c r="AB59" s="41">
        <v>1.05</v>
      </c>
      <c r="AC59" s="48">
        <f t="shared" si="34"/>
        <v>0.58640824132938507</v>
      </c>
      <c r="AD59" s="49">
        <f t="shared" si="35"/>
        <v>1.032354427043293E-2</v>
      </c>
      <c r="AE59" s="112">
        <f t="shared" si="36"/>
        <v>9.4680851063829785E-2</v>
      </c>
      <c r="AF59" s="107">
        <f t="shared" si="37"/>
        <v>11.058539325842696</v>
      </c>
      <c r="AG59" s="113">
        <v>39</v>
      </c>
      <c r="AH59" s="114">
        <v>69</v>
      </c>
      <c r="AI59" s="118">
        <v>11</v>
      </c>
      <c r="AJ59" s="119">
        <v>14</v>
      </c>
      <c r="AK59" s="116">
        <f>AG59*产品成本!$D$11+AH59*产品成本!$D$12+AI59*产品成本!$D$13+AJ59*产品成本!$D$14</f>
        <v>716.60507042253516</v>
      </c>
      <c r="AL59" s="116">
        <f>AG59*产品成本!$E$11+AH59*产品成本!$E$12+AI59*产品成本!$E$13+AJ59*产品成本!$E$14</f>
        <v>50.752000000000052</v>
      </c>
      <c r="AM59" s="116">
        <f>AG59*产品成本!$F$11+AH59*产品成本!$F$12+AI59*产品成本!$F$13+AJ59*产品成本!$F$14</f>
        <v>45.22</v>
      </c>
      <c r="AN59" s="116">
        <f>AG59*产品成本!$G$11+AH59*产品成本!$G$12+AI59*产品成本!$G$13+AJ59*产品成本!$G$14</f>
        <v>518.69999999999993</v>
      </c>
      <c r="AO59" s="116">
        <f t="shared" si="38"/>
        <v>352.67400000000004</v>
      </c>
      <c r="AP59" s="117">
        <f t="shared" si="39"/>
        <v>1683.9510704225352</v>
      </c>
      <c r="AQ59" s="118">
        <v>3</v>
      </c>
      <c r="AR59" s="118">
        <v>8</v>
      </c>
      <c r="AS59" s="118">
        <v>0</v>
      </c>
      <c r="AT59" s="119">
        <v>1</v>
      </c>
      <c r="AU59" s="120">
        <f t="shared" si="40"/>
        <v>271.09756097560978</v>
      </c>
      <c r="AV59" s="116">
        <f>AQ59*产品成本!$D$11+AR59*产品成本!$D$12+AS59*产品成本!$D$13+AT59*产品成本!$D$14</f>
        <v>69.01126760563379</v>
      </c>
      <c r="AW59" s="116">
        <f>AQ59*产品成本!$E$11+AR59*产品成本!$E$12+AS59*产品成本!$E$13+AT59*产品成本!$E$14</f>
        <v>4.4741408450704281</v>
      </c>
      <c r="AX59" s="116">
        <f>AQ59*产品成本!$F$11+AR59*产品成本!$F$12+AS59*产品成本!$F$13+AT59*产品成本!$F$14</f>
        <v>4.08</v>
      </c>
      <c r="AY59" s="116"/>
      <c r="AZ59" s="116">
        <f t="shared" si="41"/>
        <v>40.664634146341463</v>
      </c>
      <c r="BA59" s="116">
        <f t="shared" si="42"/>
        <v>-8.1329268292682926</v>
      </c>
      <c r="BB59" s="117">
        <f t="shared" si="43"/>
        <v>110.09711576777738</v>
      </c>
      <c r="BC59" s="122">
        <f t="shared" si="44"/>
        <v>1573.8539546547577</v>
      </c>
      <c r="BD59" s="122">
        <f t="shared" si="45"/>
        <v>2351.1600000000003</v>
      </c>
      <c r="BE59" s="122">
        <f t="shared" si="46"/>
        <v>2080.0624390243906</v>
      </c>
      <c r="BF59" s="121">
        <f t="shared" si="47"/>
        <v>-478.00151563036707</v>
      </c>
      <c r="BG59" s="123">
        <f t="shared" si="48"/>
        <v>-0.22980152261898618</v>
      </c>
      <c r="BI59" t="s">
        <v>287</v>
      </c>
    </row>
    <row r="60" spans="1:61" ht="29.1" customHeight="1" x14ac:dyDescent="0.15">
      <c r="A60" s="38" t="s">
        <v>213</v>
      </c>
      <c r="B60" s="38" t="s">
        <v>214</v>
      </c>
      <c r="C60" s="67">
        <v>207</v>
      </c>
      <c r="D60" s="68">
        <v>204</v>
      </c>
      <c r="E60" s="41">
        <v>3307.18</v>
      </c>
      <c r="F60" s="101">
        <v>12</v>
      </c>
      <c r="G60" s="101">
        <v>12</v>
      </c>
      <c r="H60" s="41">
        <v>186.76</v>
      </c>
      <c r="I60" s="41">
        <v>18.59</v>
      </c>
      <c r="J60" s="102">
        <v>7</v>
      </c>
      <c r="K60" s="103">
        <f t="shared" si="26"/>
        <v>3.3816425120772944E-2</v>
      </c>
      <c r="L60" s="104">
        <v>116.37</v>
      </c>
      <c r="M60" s="105">
        <f t="shared" si="49"/>
        <v>0.6428571428571429</v>
      </c>
      <c r="N60" s="103">
        <f t="shared" si="50"/>
        <v>0.65853658536585369</v>
      </c>
      <c r="O60" s="103">
        <f t="shared" si="51"/>
        <v>0.17057959472613038</v>
      </c>
      <c r="P60" s="106">
        <f t="shared" si="27"/>
        <v>1.0147058823529411</v>
      </c>
      <c r="Q60" s="107">
        <f t="shared" si="28"/>
        <v>16.211666666666666</v>
      </c>
      <c r="R60" s="140">
        <f t="shared" si="29"/>
        <v>15.976714975845409</v>
      </c>
      <c r="S60" s="108">
        <f t="shared" si="52"/>
        <v>1.7142857142857142</v>
      </c>
      <c r="T60" s="146">
        <f t="shared" si="31"/>
        <v>31</v>
      </c>
      <c r="U60" s="110">
        <f t="shared" si="32"/>
        <v>0.15196078431372548</v>
      </c>
      <c r="V60" s="71">
        <f t="shared" si="33"/>
        <v>0.40544731936787498</v>
      </c>
      <c r="W60" s="68">
        <v>100705</v>
      </c>
      <c r="X60" s="68">
        <v>1267</v>
      </c>
      <c r="Y60" s="68">
        <v>173</v>
      </c>
      <c r="Z60" s="68">
        <v>1333.35</v>
      </c>
      <c r="AA60" s="152">
        <v>2730.65</v>
      </c>
      <c r="AB60" s="41">
        <v>1.05</v>
      </c>
      <c r="AC60" s="48">
        <f t="shared" si="34"/>
        <v>0.48829033380330683</v>
      </c>
      <c r="AD60" s="49">
        <f t="shared" si="35"/>
        <v>1.2581301822153815E-2</v>
      </c>
      <c r="AE60" s="112">
        <f t="shared" si="36"/>
        <v>0.13654301499605367</v>
      </c>
      <c r="AF60" s="107">
        <f t="shared" si="37"/>
        <v>7.7072254335260109</v>
      </c>
      <c r="AG60" s="113">
        <v>54</v>
      </c>
      <c r="AH60" s="114">
        <v>94</v>
      </c>
      <c r="AI60" s="118">
        <v>13</v>
      </c>
      <c r="AJ60" s="119">
        <v>42</v>
      </c>
      <c r="AK60" s="116">
        <f>AG60*产品成本!$D$11+AH60*产品成本!$D$12+AI60*产品成本!$D$13+AJ60*产品成本!$D$14</f>
        <v>1062.023661971831</v>
      </c>
      <c r="AL60" s="116">
        <f>AG60*产品成本!$E$11+AH60*产品成本!$E$12+AI60*产品成本!$E$13+AJ60*产品成本!$E$14</f>
        <v>80.895098591549356</v>
      </c>
      <c r="AM60" s="116">
        <f>AG60*产品成本!$F$11+AH60*产品成本!$F$12+AI60*产品成本!$F$13+AJ60*产品成本!$F$14</f>
        <v>69.02000000000001</v>
      </c>
      <c r="AN60" s="116">
        <f>AG60*产品成本!$G$11+AH60*产品成本!$G$12+AI60*产品成本!$G$13+AJ60*产品成本!$G$14</f>
        <v>791.69999999999993</v>
      </c>
      <c r="AO60" s="116">
        <f t="shared" si="38"/>
        <v>493.28849999999994</v>
      </c>
      <c r="AP60" s="117">
        <f t="shared" si="39"/>
        <v>2496.9272605633805</v>
      </c>
      <c r="AQ60" s="118">
        <v>0</v>
      </c>
      <c r="AR60" s="118">
        <v>7</v>
      </c>
      <c r="AS60" s="118">
        <v>0</v>
      </c>
      <c r="AT60" s="119">
        <v>0</v>
      </c>
      <c r="AU60" s="120">
        <f t="shared" si="40"/>
        <v>141.91463414634148</v>
      </c>
      <c r="AV60" s="116">
        <f>AQ60*产品成本!$D$11+AR60*产品成本!$D$12+AS60*产品成本!$D$13+AT60*产品成本!$D$14</f>
        <v>43.380281690140848</v>
      </c>
      <c r="AW60" s="116">
        <f>AQ60*产品成本!$E$11+AR60*产品成本!$E$12+AS60*产品成本!$E$13+AT60*产品成本!$E$14</f>
        <v>2.506591549295778</v>
      </c>
      <c r="AX60" s="116">
        <f>AQ60*产品成本!$F$11+AR60*产品成本!$F$12+AS60*产品成本!$F$13+AT60*产品成本!$F$14</f>
        <v>2.3800000000000003</v>
      </c>
      <c r="AY60" s="116"/>
      <c r="AZ60" s="116">
        <f t="shared" si="41"/>
        <v>21.287195121951221</v>
      </c>
      <c r="BA60" s="116">
        <f t="shared" si="42"/>
        <v>-4.2574390243902442</v>
      </c>
      <c r="BB60" s="117">
        <f t="shared" si="43"/>
        <v>65.296629336997597</v>
      </c>
      <c r="BC60" s="122">
        <f t="shared" si="44"/>
        <v>2431.6306312263828</v>
      </c>
      <c r="BD60" s="122">
        <f t="shared" si="45"/>
        <v>3288.5899999999997</v>
      </c>
      <c r="BE60" s="122">
        <f t="shared" si="46"/>
        <v>3146.6753658536581</v>
      </c>
      <c r="BF60" s="121">
        <f t="shared" si="47"/>
        <v>-618.30526537272453</v>
      </c>
      <c r="BG60" s="123">
        <f t="shared" si="48"/>
        <v>-0.196494774161422</v>
      </c>
      <c r="BI60" t="s">
        <v>215</v>
      </c>
    </row>
    <row r="61" spans="1:61" ht="29.1" customHeight="1" x14ac:dyDescent="0.15">
      <c r="A61" s="38" t="s">
        <v>216</v>
      </c>
      <c r="B61" s="38" t="s">
        <v>217</v>
      </c>
      <c r="C61" s="67">
        <v>171</v>
      </c>
      <c r="D61" s="68">
        <v>166</v>
      </c>
      <c r="E61" s="41">
        <v>3365.95</v>
      </c>
      <c r="F61" s="101">
        <v>41</v>
      </c>
      <c r="G61" s="101">
        <v>38</v>
      </c>
      <c r="H61" s="41">
        <v>751.43</v>
      </c>
      <c r="I61" s="41">
        <v>78.010000000000005</v>
      </c>
      <c r="J61" s="102">
        <v>5</v>
      </c>
      <c r="K61" s="103">
        <f t="shared" si="26"/>
        <v>2.9239766081871343E-2</v>
      </c>
      <c r="L61" s="104">
        <v>76.63</v>
      </c>
      <c r="M61" s="105">
        <f t="shared" si="49"/>
        <v>0.27611940298507465</v>
      </c>
      <c r="N61" s="103">
        <f t="shared" si="50"/>
        <v>0.2868217054263566</v>
      </c>
      <c r="O61" s="103">
        <f t="shared" si="51"/>
        <v>0.41390231915349412</v>
      </c>
      <c r="P61" s="106">
        <f t="shared" si="27"/>
        <v>1.0301204819277108</v>
      </c>
      <c r="Q61" s="107">
        <f t="shared" si="28"/>
        <v>20.276807228915661</v>
      </c>
      <c r="R61" s="140">
        <f t="shared" si="29"/>
        <v>19.68391812865497</v>
      </c>
      <c r="S61" s="108">
        <f t="shared" si="52"/>
        <v>5.4285714285714288</v>
      </c>
      <c r="T61" s="146">
        <f t="shared" si="31"/>
        <v>44</v>
      </c>
      <c r="U61" s="110">
        <f t="shared" si="32"/>
        <v>0.26506024096385544</v>
      </c>
      <c r="V61" s="71">
        <f t="shared" si="33"/>
        <v>0.2810331088766827</v>
      </c>
      <c r="W61" s="68">
        <v>81197</v>
      </c>
      <c r="X61" s="68">
        <v>895</v>
      </c>
      <c r="Y61" s="68">
        <v>122</v>
      </c>
      <c r="Z61" s="68">
        <v>924.02</v>
      </c>
      <c r="AA61" s="152">
        <v>2505.29</v>
      </c>
      <c r="AB61" s="41">
        <v>1.03</v>
      </c>
      <c r="AC61" s="48">
        <f t="shared" si="34"/>
        <v>0.36882756088117541</v>
      </c>
      <c r="AD61" s="49">
        <f t="shared" si="35"/>
        <v>1.1022574725667204E-2</v>
      </c>
      <c r="AE61" s="112">
        <f t="shared" si="36"/>
        <v>0.13631284916201117</v>
      </c>
      <c r="AF61" s="107">
        <f t="shared" si="37"/>
        <v>7.5739344262295081</v>
      </c>
      <c r="AG61" s="113">
        <v>30</v>
      </c>
      <c r="AH61" s="114">
        <v>79</v>
      </c>
      <c r="AI61" s="118">
        <v>6</v>
      </c>
      <c r="AJ61" s="119">
        <v>54</v>
      </c>
      <c r="AK61" s="116">
        <f>AG61*产品成本!$D$11+AH61*产品成本!$D$12+AI61*产品成本!$D$13+AJ61*产品成本!$D$14</f>
        <v>868.87549295774647</v>
      </c>
      <c r="AL61" s="116">
        <f>AG61*产品成本!$E$11+AH61*产品成本!$E$12+AI61*产品成本!$E$13+AJ61*产品成本!$E$14</f>
        <v>70.434028169014141</v>
      </c>
      <c r="AM61" s="116">
        <f>AG61*产品成本!$F$11+AH61*产品成本!$F$12+AI61*产品成本!$F$13+AJ61*产品成本!$F$14</f>
        <v>57.460000000000008</v>
      </c>
      <c r="AN61" s="116">
        <f>AG61*产品成本!$G$11+AH61*产品成本!$G$12+AI61*产品成本!$G$13+AJ61*产品成本!$G$14</f>
        <v>659.09999999999991</v>
      </c>
      <c r="AO61" s="116">
        <f t="shared" si="38"/>
        <v>493.19099999999992</v>
      </c>
      <c r="AP61" s="117">
        <f t="shared" si="39"/>
        <v>2149.0605211267602</v>
      </c>
      <c r="AQ61" s="118">
        <v>1</v>
      </c>
      <c r="AR61" s="118">
        <v>3</v>
      </c>
      <c r="AS61" s="118">
        <v>0</v>
      </c>
      <c r="AT61" s="119">
        <v>1</v>
      </c>
      <c r="AU61" s="120">
        <f t="shared" si="40"/>
        <v>93.451219512195124</v>
      </c>
      <c r="AV61" s="116">
        <f>AQ61*产品成本!$D$11+AR61*产品成本!$D$12+AS61*产品成本!$D$13+AT61*产品成本!$D$14</f>
        <v>27.602816901408449</v>
      </c>
      <c r="AW61" s="116">
        <f>AQ61*产品成本!$E$11+AR61*产品成本!$E$12+AS61*产品成本!$E$13+AT61*产品成本!$E$14</f>
        <v>1.9675492957746499</v>
      </c>
      <c r="AX61" s="116">
        <f>AQ61*产品成本!$F$11+AR61*产品成本!$F$12+AS61*产品成本!$F$13+AT61*产品成本!$F$14</f>
        <v>1.7000000000000002</v>
      </c>
      <c r="AY61" s="116"/>
      <c r="AZ61" s="116">
        <f t="shared" si="41"/>
        <v>14.017682926829268</v>
      </c>
      <c r="BA61" s="116">
        <f t="shared" si="42"/>
        <v>-2.8035365853658538</v>
      </c>
      <c r="BB61" s="117">
        <f t="shared" si="43"/>
        <v>42.484512538646513</v>
      </c>
      <c r="BC61" s="122">
        <f t="shared" si="44"/>
        <v>2106.5760085881138</v>
      </c>
      <c r="BD61" s="122">
        <f t="shared" si="45"/>
        <v>3287.9399999999996</v>
      </c>
      <c r="BE61" s="122">
        <f t="shared" si="46"/>
        <v>3194.4887804878044</v>
      </c>
      <c r="BF61" s="121">
        <f t="shared" si="47"/>
        <v>163.89277189969062</v>
      </c>
      <c r="BG61" s="123">
        <f t="shared" si="48"/>
        <v>5.1304851311659287E-2</v>
      </c>
      <c r="BI61" t="s">
        <v>288</v>
      </c>
    </row>
    <row r="62" spans="1:61" ht="29.1" customHeight="1" x14ac:dyDescent="0.15">
      <c r="A62" s="38" t="s">
        <v>219</v>
      </c>
      <c r="B62" s="38" t="s">
        <v>220</v>
      </c>
      <c r="C62" s="67">
        <v>147</v>
      </c>
      <c r="D62" s="68">
        <v>146</v>
      </c>
      <c r="E62" s="41">
        <v>3207.94</v>
      </c>
      <c r="F62" s="101">
        <v>42</v>
      </c>
      <c r="G62" s="101">
        <v>41</v>
      </c>
      <c r="H62" s="41">
        <v>832.38</v>
      </c>
      <c r="I62" s="41">
        <v>99.18</v>
      </c>
      <c r="J62" s="102">
        <v>11</v>
      </c>
      <c r="K62" s="103">
        <f t="shared" si="26"/>
        <v>7.4829931972789115E-2</v>
      </c>
      <c r="L62" s="104">
        <v>187.51</v>
      </c>
      <c r="M62" s="105">
        <f t="shared" si="49"/>
        <v>-0.28985507246376813</v>
      </c>
      <c r="N62" s="103">
        <f t="shared" si="50"/>
        <v>-0.28431372549019607</v>
      </c>
      <c r="O62" s="103">
        <f t="shared" si="51"/>
        <v>-3.0007438361383351E-2</v>
      </c>
      <c r="P62" s="106">
        <f t="shared" si="27"/>
        <v>1.0068493150684932</v>
      </c>
      <c r="Q62" s="107">
        <f t="shared" si="28"/>
        <v>21.97219178082192</v>
      </c>
      <c r="R62" s="140">
        <f t="shared" si="29"/>
        <v>21.822721088435376</v>
      </c>
      <c r="S62" s="108">
        <f t="shared" si="52"/>
        <v>5.8571428571428568</v>
      </c>
      <c r="T62" s="146">
        <f t="shared" si="31"/>
        <v>43</v>
      </c>
      <c r="U62" s="110">
        <f t="shared" si="32"/>
        <v>0.29452054794520549</v>
      </c>
      <c r="V62" s="71">
        <f t="shared" si="33"/>
        <v>0.24587938599312908</v>
      </c>
      <c r="W62" s="68">
        <v>63474</v>
      </c>
      <c r="X62" s="68">
        <v>751</v>
      </c>
      <c r="Y62" s="68">
        <v>103</v>
      </c>
      <c r="Z62" s="68">
        <v>764.38</v>
      </c>
      <c r="AA62" s="152">
        <v>2238.71</v>
      </c>
      <c r="AB62" s="41">
        <v>1.02</v>
      </c>
      <c r="AC62" s="48">
        <f t="shared" si="34"/>
        <v>0.34143770296286702</v>
      </c>
      <c r="AD62" s="49">
        <f t="shared" si="35"/>
        <v>1.1831616094778964E-2</v>
      </c>
      <c r="AE62" s="112">
        <f t="shared" si="36"/>
        <v>0.13715046604527298</v>
      </c>
      <c r="AF62" s="107">
        <f t="shared" si="37"/>
        <v>7.4211650485436893</v>
      </c>
      <c r="AG62" s="113">
        <v>19</v>
      </c>
      <c r="AH62" s="114">
        <v>80</v>
      </c>
      <c r="AI62" s="118">
        <v>2</v>
      </c>
      <c r="AJ62" s="119">
        <v>46</v>
      </c>
      <c r="AK62" s="116">
        <f>AG62*产品成本!$D$11+AH62*产品成本!$D$12+AI62*产品成本!$D$13+AJ62*产品成本!$D$14</f>
        <v>775.50873239436612</v>
      </c>
      <c r="AL62" s="116">
        <f>AG62*产品成本!$E$11+AH62*产品成本!$E$12+AI62*产品成本!$E$13+AJ62*产品成本!$E$14</f>
        <v>60.903887323943721</v>
      </c>
      <c r="AM62" s="116">
        <f>AG62*产品成本!$F$11+AH62*产品成本!$F$12+AI62*产品成本!$F$13+AJ62*产品成本!$F$14</f>
        <v>49.980000000000004</v>
      </c>
      <c r="AN62" s="116">
        <f>AG62*产品成本!$G$11+AH62*产品成本!$G$12+AI62*产品成本!$G$13+AJ62*产品成本!$G$14</f>
        <v>573.30000000000007</v>
      </c>
      <c r="AO62" s="116">
        <f t="shared" si="38"/>
        <v>466.31400000000002</v>
      </c>
      <c r="AP62" s="117">
        <f t="shared" si="39"/>
        <v>1926.00661971831</v>
      </c>
      <c r="AQ62" s="118">
        <v>3</v>
      </c>
      <c r="AR62" s="118">
        <v>6</v>
      </c>
      <c r="AS62" s="118">
        <v>0</v>
      </c>
      <c r="AT62" s="119">
        <v>2</v>
      </c>
      <c r="AU62" s="120">
        <f t="shared" si="40"/>
        <v>228.67073170731709</v>
      </c>
      <c r="AV62" s="116">
        <f>AQ62*产品成本!$D$11+AR62*产品成本!$D$12+AS62*产品成本!$D$13+AT62*产品成本!$D$14</f>
        <v>60.416901408450698</v>
      </c>
      <c r="AW62" s="116">
        <f>AQ62*产品成本!$E$11+AR62*产品成本!$E$12+AS62*产品成本!$E$13+AT62*产品成本!$E$14</f>
        <v>4.2931830985915536</v>
      </c>
      <c r="AX62" s="116">
        <f>AQ62*产品成本!$F$11+AR62*产品成本!$F$12+AS62*产品成本!$F$13+AT62*产品成本!$F$14</f>
        <v>3.74</v>
      </c>
      <c r="AY62" s="116"/>
      <c r="AZ62" s="116">
        <f t="shared" si="41"/>
        <v>34.300609756097565</v>
      </c>
      <c r="BA62" s="116">
        <f t="shared" si="42"/>
        <v>-6.8601219512195133</v>
      </c>
      <c r="BB62" s="117">
        <f t="shared" si="43"/>
        <v>95.890572311920309</v>
      </c>
      <c r="BC62" s="122">
        <f t="shared" si="44"/>
        <v>1830.1160474063897</v>
      </c>
      <c r="BD62" s="122">
        <f t="shared" si="45"/>
        <v>3108.76</v>
      </c>
      <c r="BE62" s="122">
        <f t="shared" si="46"/>
        <v>2880.0892682926833</v>
      </c>
      <c r="BF62" s="121">
        <f t="shared" si="47"/>
        <v>285.59322088629358</v>
      </c>
      <c r="BG62" s="123">
        <f t="shared" si="48"/>
        <v>9.9161239212419691E-2</v>
      </c>
    </row>
    <row r="63" spans="1:61" ht="29.1" customHeight="1" x14ac:dyDescent="0.15">
      <c r="A63" s="38" t="s">
        <v>221</v>
      </c>
      <c r="B63" s="38" t="s">
        <v>222</v>
      </c>
      <c r="C63" s="67">
        <v>135</v>
      </c>
      <c r="D63" s="68">
        <v>133</v>
      </c>
      <c r="E63" s="41">
        <v>2898.26</v>
      </c>
      <c r="F63" s="101">
        <v>45</v>
      </c>
      <c r="G63" s="101">
        <v>43</v>
      </c>
      <c r="H63" s="41">
        <v>866.05</v>
      </c>
      <c r="I63" s="41">
        <v>114.23</v>
      </c>
      <c r="J63" s="102">
        <v>17</v>
      </c>
      <c r="K63" s="103">
        <f t="shared" si="26"/>
        <v>0.12592592592592591</v>
      </c>
      <c r="L63" s="104">
        <v>278.55</v>
      </c>
      <c r="M63" s="105">
        <f t="shared" si="49"/>
        <v>-0.21052631578947367</v>
      </c>
      <c r="N63" s="103">
        <f t="shared" si="50"/>
        <v>-0.19879518072289157</v>
      </c>
      <c r="O63" s="103">
        <f t="shared" si="51"/>
        <v>-0.13894739969399417</v>
      </c>
      <c r="P63" s="106">
        <f t="shared" si="27"/>
        <v>1.0150375939849625</v>
      </c>
      <c r="Q63" s="107">
        <f t="shared" si="28"/>
        <v>21.791428571428572</v>
      </c>
      <c r="R63" s="140">
        <f t="shared" si="29"/>
        <v>21.468592592592593</v>
      </c>
      <c r="S63" s="108">
        <f t="shared" si="52"/>
        <v>6.1428571428571432</v>
      </c>
      <c r="T63" s="146">
        <f t="shared" si="31"/>
        <v>40</v>
      </c>
      <c r="U63" s="110">
        <f t="shared" si="32"/>
        <v>0.3007518796992481</v>
      </c>
      <c r="V63" s="71">
        <f t="shared" si="33"/>
        <v>0.26106758907052008</v>
      </c>
      <c r="W63" s="68">
        <v>56264</v>
      </c>
      <c r="X63" s="68">
        <v>710</v>
      </c>
      <c r="Y63" s="68">
        <v>93</v>
      </c>
      <c r="Z63" s="68">
        <v>726.82</v>
      </c>
      <c r="AA63" s="152">
        <v>1961.55</v>
      </c>
      <c r="AB63" s="41">
        <v>1.02</v>
      </c>
      <c r="AC63" s="48">
        <f t="shared" si="34"/>
        <v>0.37053350666564711</v>
      </c>
      <c r="AD63" s="49">
        <f t="shared" si="35"/>
        <v>1.2619081473055595E-2</v>
      </c>
      <c r="AE63" s="112">
        <f t="shared" si="36"/>
        <v>0.13098591549295774</v>
      </c>
      <c r="AF63" s="107">
        <f t="shared" si="37"/>
        <v>7.8152688172043012</v>
      </c>
      <c r="AG63" s="113">
        <v>24</v>
      </c>
      <c r="AH63" s="114">
        <v>62</v>
      </c>
      <c r="AI63" s="118">
        <v>10</v>
      </c>
      <c r="AJ63" s="119">
        <v>38</v>
      </c>
      <c r="AK63" s="116">
        <f>AG63*产品成本!$D$11+AH63*产品成本!$D$12+AI63*产品成本!$D$13+AJ63*产品成本!$D$14</f>
        <v>683.29577464788724</v>
      </c>
      <c r="AL63" s="116">
        <f>AG63*产品成本!$E$11+AH63*产品成本!$E$12+AI63*产品成本!$E$13+AJ63*产品成本!$E$14</f>
        <v>55.302309859154974</v>
      </c>
      <c r="AM63" s="116">
        <f>AG63*产品成本!$F$11+AH63*产品成本!$F$12+AI63*产品成本!$F$13+AJ63*产品成本!$F$14</f>
        <v>45.56</v>
      </c>
      <c r="AN63" s="116">
        <f>AG63*产品成本!$G$11+AH63*产品成本!$G$12+AI63*产品成本!$G$13+AJ63*产品成本!$G$14</f>
        <v>522.59999999999991</v>
      </c>
      <c r="AO63" s="116">
        <f t="shared" si="38"/>
        <v>417.60450000000003</v>
      </c>
      <c r="AP63" s="117">
        <f t="shared" si="39"/>
        <v>1724.3625845070424</v>
      </c>
      <c r="AQ63" s="118">
        <v>2</v>
      </c>
      <c r="AR63" s="118">
        <v>10</v>
      </c>
      <c r="AS63" s="118">
        <v>1</v>
      </c>
      <c r="AT63" s="119">
        <v>4</v>
      </c>
      <c r="AU63" s="120">
        <f t="shared" si="40"/>
        <v>339.69512195121956</v>
      </c>
      <c r="AV63" s="116">
        <f>AQ63*产品成本!$D$11+AR63*产品成本!$D$12+AS63*产品成本!$D$13+AT63*产品成本!$D$14</f>
        <v>90.5543661971831</v>
      </c>
      <c r="AW63" s="116">
        <f>AQ63*产品成本!$E$11+AR63*产品成本!$E$12+AS63*产品成本!$E$13+AT63*产品成本!$E$14</f>
        <v>6.8547605633802871</v>
      </c>
      <c r="AX63" s="116">
        <f>AQ63*产品成本!$F$11+AR63*产品成本!$F$12+AS63*产品成本!$F$13+AT63*产品成本!$F$14</f>
        <v>5.78</v>
      </c>
      <c r="AY63" s="116"/>
      <c r="AZ63" s="116">
        <f t="shared" si="41"/>
        <v>50.954268292682933</v>
      </c>
      <c r="BA63" s="116">
        <f t="shared" si="42"/>
        <v>-10.190853658536588</v>
      </c>
      <c r="BB63" s="117">
        <f t="shared" si="43"/>
        <v>143.95254139470973</v>
      </c>
      <c r="BC63" s="122">
        <f t="shared" si="44"/>
        <v>1580.4100431123327</v>
      </c>
      <c r="BD63" s="122">
        <f t="shared" si="45"/>
        <v>2784.03</v>
      </c>
      <c r="BE63" s="122">
        <f t="shared" si="46"/>
        <v>2444.3348780487809</v>
      </c>
      <c r="BF63" s="121">
        <f t="shared" si="47"/>
        <v>137.10483493644813</v>
      </c>
      <c r="BG63" s="123">
        <f t="shared" si="48"/>
        <v>5.6090855703819796E-2</v>
      </c>
    </row>
    <row r="64" spans="1:61" ht="29.1" customHeight="1" x14ac:dyDescent="0.15">
      <c r="A64" s="38" t="s">
        <v>223</v>
      </c>
      <c r="B64" s="38" t="s">
        <v>224</v>
      </c>
      <c r="C64" s="67">
        <v>118</v>
      </c>
      <c r="D64" s="68">
        <v>117</v>
      </c>
      <c r="E64" s="41">
        <v>2646.02</v>
      </c>
      <c r="F64" s="101">
        <v>42</v>
      </c>
      <c r="G64" s="101">
        <v>42</v>
      </c>
      <c r="H64" s="41">
        <v>903.38</v>
      </c>
      <c r="I64" s="41">
        <v>122.73</v>
      </c>
      <c r="J64" s="102">
        <v>3</v>
      </c>
      <c r="K64" s="103">
        <f t="shared" si="26"/>
        <v>2.5423728813559324E-2</v>
      </c>
      <c r="L64" s="104">
        <v>54.43</v>
      </c>
      <c r="M64" s="105">
        <f t="shared" si="49"/>
        <v>-0.19727891156462585</v>
      </c>
      <c r="N64" s="103">
        <f t="shared" si="50"/>
        <v>-0.19863013698630136</v>
      </c>
      <c r="O64" s="103">
        <f t="shared" si="51"/>
        <v>-0.17516537092339635</v>
      </c>
      <c r="P64" s="106">
        <f t="shared" si="27"/>
        <v>1.0085470085470085</v>
      </c>
      <c r="Q64" s="107">
        <f t="shared" si="28"/>
        <v>22.615555555555556</v>
      </c>
      <c r="R64" s="140">
        <f t="shared" si="29"/>
        <v>22.423898305084744</v>
      </c>
      <c r="S64" s="108">
        <f t="shared" si="52"/>
        <v>6</v>
      </c>
      <c r="T64" s="146">
        <f t="shared" si="31"/>
        <v>29</v>
      </c>
      <c r="U64" s="110">
        <f t="shared" si="32"/>
        <v>0.24786324786324787</v>
      </c>
      <c r="V64" s="71">
        <f t="shared" si="33"/>
        <v>0.2792346500005945</v>
      </c>
      <c r="W64" s="68">
        <v>61162</v>
      </c>
      <c r="X64" s="68">
        <v>698</v>
      </c>
      <c r="Y64" s="68">
        <v>88</v>
      </c>
      <c r="Z64" s="68">
        <v>704.59</v>
      </c>
      <c r="AA64" s="152">
        <v>1880.53</v>
      </c>
      <c r="AB64" s="41">
        <v>1.01</v>
      </c>
      <c r="AC64" s="48">
        <f t="shared" si="34"/>
        <v>0.37467628806772563</v>
      </c>
      <c r="AD64" s="49">
        <f t="shared" si="35"/>
        <v>1.1412314836009288E-2</v>
      </c>
      <c r="AE64" s="112">
        <f t="shared" si="36"/>
        <v>0.12607449856733524</v>
      </c>
      <c r="AF64" s="107">
        <f t="shared" si="37"/>
        <v>8.0067045454545465</v>
      </c>
      <c r="AG64" s="113">
        <v>26</v>
      </c>
      <c r="AH64" s="114">
        <v>68</v>
      </c>
      <c r="AI64" s="118">
        <v>1</v>
      </c>
      <c r="AJ64" s="119">
        <v>23</v>
      </c>
      <c r="AK64" s="116">
        <f>AG64*产品成本!$D$11+AH64*产品成本!$D$12+AI64*产品成本!$D$13+AJ64*产品成本!$D$14</f>
        <v>647.26140845070415</v>
      </c>
      <c r="AL64" s="116">
        <f>AG64*产品成本!$E$11+AH64*产品成本!$E$12+AI64*产品成本!$E$13+AJ64*产品成本!$E$14</f>
        <v>46.386704225352162</v>
      </c>
      <c r="AM64" s="116">
        <f>AG64*产品成本!$F$11+AH64*产品成本!$F$12+AI64*产品成本!$F$13+AJ64*产品成本!$F$14</f>
        <v>40.120000000000005</v>
      </c>
      <c r="AN64" s="116">
        <f>AG64*产品成本!$G$11+AH64*产品成本!$G$12+AI64*产品成本!$G$13+AJ64*产品成本!$G$14</f>
        <v>460.19999999999993</v>
      </c>
      <c r="AO64" s="116">
        <f t="shared" si="38"/>
        <v>378.49349999999998</v>
      </c>
      <c r="AP64" s="117">
        <f t="shared" si="39"/>
        <v>1572.4616126760563</v>
      </c>
      <c r="AQ64" s="118">
        <v>1</v>
      </c>
      <c r="AR64" s="118">
        <v>1</v>
      </c>
      <c r="AS64" s="118">
        <v>0</v>
      </c>
      <c r="AT64" s="119">
        <v>1</v>
      </c>
      <c r="AU64" s="120">
        <f t="shared" si="40"/>
        <v>66.378048780487802</v>
      </c>
      <c r="AV64" s="116">
        <f>AQ64*产品成本!$D$11+AR64*产品成本!$D$12+AS64*产品成本!$D$13+AT64*产品成本!$D$14</f>
        <v>15.208450704225349</v>
      </c>
      <c r="AW64" s="116">
        <f>AQ64*产品成本!$E$11+AR64*产品成本!$E$12+AS64*产品成本!$E$13+AT64*产品成本!$E$14</f>
        <v>1.251380281690142</v>
      </c>
      <c r="AX64" s="116">
        <f>AQ64*产品成本!$F$11+AR64*产品成本!$F$12+AS64*产品成本!$F$13+AT64*产品成本!$F$14</f>
        <v>1.02</v>
      </c>
      <c r="AY64" s="116"/>
      <c r="AZ64" s="116">
        <f t="shared" si="41"/>
        <v>9.9567073170731692</v>
      </c>
      <c r="BA64" s="116">
        <f t="shared" si="42"/>
        <v>-1.991341463414634</v>
      </c>
      <c r="BB64" s="117">
        <f t="shared" si="43"/>
        <v>25.445196839574024</v>
      </c>
      <c r="BC64" s="122">
        <f t="shared" si="44"/>
        <v>1547.0164158364823</v>
      </c>
      <c r="BD64" s="122">
        <f t="shared" si="45"/>
        <v>2523.29</v>
      </c>
      <c r="BE64" s="122">
        <f t="shared" si="46"/>
        <v>2456.911951219512</v>
      </c>
      <c r="BF64" s="121">
        <f t="shared" si="47"/>
        <v>205.30553538302968</v>
      </c>
      <c r="BG64" s="123">
        <f t="shared" si="48"/>
        <v>8.356243099437255E-2</v>
      </c>
      <c r="BI64" t="s">
        <v>225</v>
      </c>
    </row>
    <row r="65" spans="1:61" ht="29.1" customHeight="1" x14ac:dyDescent="0.15">
      <c r="A65" s="56" t="s">
        <v>226</v>
      </c>
      <c r="B65" s="57" t="s">
        <v>227</v>
      </c>
      <c r="C65" s="67">
        <v>179</v>
      </c>
      <c r="D65" s="68">
        <v>174</v>
      </c>
      <c r="E65" s="41">
        <v>3901.31</v>
      </c>
      <c r="F65" s="101">
        <v>53</v>
      </c>
      <c r="G65" s="101">
        <v>53</v>
      </c>
      <c r="H65" s="41">
        <v>1163.17</v>
      </c>
      <c r="I65" s="41">
        <v>168.86</v>
      </c>
      <c r="J65" s="102">
        <v>19</v>
      </c>
      <c r="K65" s="103">
        <f t="shared" si="26"/>
        <v>0.10614525139664804</v>
      </c>
      <c r="L65" s="104">
        <v>344.4</v>
      </c>
      <c r="M65" s="105">
        <f t="shared" si="49"/>
        <v>0.32592592592592595</v>
      </c>
      <c r="N65" s="103">
        <f t="shared" si="50"/>
        <v>0.30827067669172931</v>
      </c>
      <c r="O65" s="103">
        <f t="shared" si="51"/>
        <v>0.34608696252234089</v>
      </c>
      <c r="P65" s="106">
        <f t="shared" si="27"/>
        <v>1.0287356321839081</v>
      </c>
      <c r="Q65" s="107">
        <f t="shared" si="28"/>
        <v>22.421321839080459</v>
      </c>
      <c r="R65" s="140">
        <f t="shared" si="29"/>
        <v>21.795027932960892</v>
      </c>
      <c r="S65" s="108">
        <f t="shared" si="52"/>
        <v>7.5714285714285712</v>
      </c>
      <c r="T65" s="146">
        <f t="shared" si="31"/>
        <v>41</v>
      </c>
      <c r="U65" s="110">
        <f t="shared" si="32"/>
        <v>0.23563218390804597</v>
      </c>
      <c r="V65" s="71">
        <f t="shared" si="33"/>
        <v>0.31947112486436524</v>
      </c>
      <c r="W65" s="68">
        <v>87253</v>
      </c>
      <c r="X65" s="68">
        <v>1141</v>
      </c>
      <c r="Y65" s="68">
        <v>133</v>
      </c>
      <c r="Z65" s="153">
        <v>1192.4100000000001</v>
      </c>
      <c r="AA65" s="152">
        <v>2980.93</v>
      </c>
      <c r="AB65" s="41">
        <v>1.05</v>
      </c>
      <c r="AC65" s="48">
        <f t="shared" si="34"/>
        <v>0.40001274769954348</v>
      </c>
      <c r="AD65" s="49">
        <f t="shared" si="35"/>
        <v>1.3076914260827709E-2</v>
      </c>
      <c r="AE65" s="112">
        <f t="shared" si="36"/>
        <v>0.1165644171779141</v>
      </c>
      <c r="AF65" s="107">
        <f t="shared" si="37"/>
        <v>8.9654887218045118</v>
      </c>
      <c r="AG65" s="113">
        <v>45</v>
      </c>
      <c r="AH65" s="114">
        <v>79</v>
      </c>
      <c r="AI65" s="118">
        <v>10</v>
      </c>
      <c r="AJ65" s="119">
        <v>45</v>
      </c>
      <c r="AK65" s="116">
        <f>AG65*产品成本!$D$11+AH65*产品成本!$D$12+AI65*产品成本!$D$13+AJ65*产品成本!$D$14</f>
        <v>924.68450704225347</v>
      </c>
      <c r="AL65" s="116">
        <f>AG65*产品成本!$E$11+AH65*产品成本!$E$12+AI65*产品成本!$E$13+AJ65*产品成本!$E$14</f>
        <v>72.656000000000063</v>
      </c>
      <c r="AM65" s="116">
        <f>AG65*产品成本!$F$11+AH65*产品成本!$F$12+AI65*产品成本!$F$13+AJ65*产品成本!$F$14</f>
        <v>60.86</v>
      </c>
      <c r="AN65" s="116">
        <f>AG65*产品成本!$G$11+AH65*产品成本!$G$12+AI65*产品成本!$G$13+AJ65*产品成本!$G$14</f>
        <v>698.09999999999991</v>
      </c>
      <c r="AO65" s="116">
        <f t="shared" si="38"/>
        <v>559.86749999999995</v>
      </c>
      <c r="AP65" s="117">
        <f t="shared" si="39"/>
        <v>2316.1680070422535</v>
      </c>
      <c r="AQ65" s="118">
        <v>2</v>
      </c>
      <c r="AR65" s="118">
        <v>14</v>
      </c>
      <c r="AS65" s="118">
        <v>0</v>
      </c>
      <c r="AT65" s="119">
        <v>3</v>
      </c>
      <c r="AU65" s="120">
        <f t="shared" si="40"/>
        <v>420</v>
      </c>
      <c r="AV65" s="116">
        <f>AQ65*产品成本!$D$11+AR65*产品成本!$D$12+AS65*产品成本!$D$13+AT65*产品成本!$D$14</f>
        <v>108.58309859154929</v>
      </c>
      <c r="AW65" s="116">
        <f>AQ65*产品成本!$E$11+AR65*产品成本!$E$12+AS65*产品成本!$E$13+AT65*产品成本!$E$14</f>
        <v>7.3349859154929655</v>
      </c>
      <c r="AX65" s="116">
        <f>AQ65*产品成本!$F$11+AR65*产品成本!$F$12+AS65*产品成本!$F$13+AT65*产品成本!$F$14</f>
        <v>6.4600000000000009</v>
      </c>
      <c r="AY65" s="116"/>
      <c r="AZ65" s="116">
        <f t="shared" si="41"/>
        <v>63</v>
      </c>
      <c r="BA65" s="116">
        <f t="shared" si="42"/>
        <v>-12.600000000000001</v>
      </c>
      <c r="BB65" s="117">
        <f t="shared" si="43"/>
        <v>172.77808450704225</v>
      </c>
      <c r="BC65" s="122">
        <f t="shared" si="44"/>
        <v>2143.3899225352111</v>
      </c>
      <c r="BD65" s="122">
        <f t="shared" si="45"/>
        <v>3732.45</v>
      </c>
      <c r="BE65" s="122">
        <f t="shared" si="46"/>
        <v>3312.45</v>
      </c>
      <c r="BF65" s="121">
        <f t="shared" si="47"/>
        <v>-23.349922535211363</v>
      </c>
      <c r="BG65" s="123">
        <f t="shared" si="48"/>
        <v>-7.0491396202844916E-3</v>
      </c>
    </row>
    <row r="66" spans="1:61" ht="29.1" customHeight="1" x14ac:dyDescent="0.15">
      <c r="A66" s="38" t="s">
        <v>228</v>
      </c>
      <c r="B66" s="58" t="s">
        <v>229</v>
      </c>
      <c r="C66" s="67">
        <v>165</v>
      </c>
      <c r="D66" s="68">
        <v>165</v>
      </c>
      <c r="E66" s="41">
        <v>3587.96</v>
      </c>
      <c r="F66" s="101">
        <v>15</v>
      </c>
      <c r="G66" s="101">
        <v>15</v>
      </c>
      <c r="H66" s="41">
        <v>333.35</v>
      </c>
      <c r="I66" s="41">
        <v>38.69</v>
      </c>
      <c r="J66" s="102">
        <v>16</v>
      </c>
      <c r="K66" s="103">
        <f t="shared" si="26"/>
        <v>9.696969696969697E-2</v>
      </c>
      <c r="L66" s="104">
        <v>298.12</v>
      </c>
      <c r="M66" s="105">
        <f t="shared" si="49"/>
        <v>0.39830508474576271</v>
      </c>
      <c r="N66" s="103">
        <f t="shared" si="50"/>
        <v>0.41025641025641024</v>
      </c>
      <c r="O66" s="103">
        <f t="shared" si="51"/>
        <v>0.35598370382687966</v>
      </c>
      <c r="P66" s="106">
        <f t="shared" si="27"/>
        <v>1</v>
      </c>
      <c r="Q66" s="107">
        <f t="shared" si="28"/>
        <v>21.74521212121212</v>
      </c>
      <c r="R66" s="140">
        <f t="shared" si="29"/>
        <v>21.74521212121212</v>
      </c>
      <c r="S66" s="108">
        <f t="shared" si="52"/>
        <v>2.1428571428571428</v>
      </c>
      <c r="T66" s="146">
        <f t="shared" si="31"/>
        <v>65</v>
      </c>
      <c r="U66" s="110">
        <f t="shared" si="32"/>
        <v>0.39393939393939392</v>
      </c>
      <c r="V66" s="71">
        <f t="shared" si="33"/>
        <v>0.30516416051751483</v>
      </c>
      <c r="W66" s="68">
        <v>82473</v>
      </c>
      <c r="X66" s="68">
        <v>1095</v>
      </c>
      <c r="Y66" s="68">
        <v>100</v>
      </c>
      <c r="Z66" s="153">
        <v>1083.1099999999999</v>
      </c>
      <c r="AA66" s="152">
        <v>2904.24</v>
      </c>
      <c r="AB66" s="41">
        <v>1.02</v>
      </c>
      <c r="AC66" s="48">
        <f t="shared" si="34"/>
        <v>0.37294094151998458</v>
      </c>
      <c r="AD66" s="49">
        <f t="shared" si="35"/>
        <v>1.3277072496453384E-2</v>
      </c>
      <c r="AE66" s="112">
        <f t="shared" si="36"/>
        <v>9.1324200913242004E-2</v>
      </c>
      <c r="AF66" s="107">
        <f t="shared" si="37"/>
        <v>10.831099999999999</v>
      </c>
      <c r="AG66" s="113">
        <v>28</v>
      </c>
      <c r="AH66" s="114">
        <v>83</v>
      </c>
      <c r="AI66" s="118">
        <v>9</v>
      </c>
      <c r="AJ66" s="119">
        <v>45</v>
      </c>
      <c r="AK66" s="116">
        <f>AG66*产品成本!$D$11+AH66*产品成本!$D$12+AI66*产品成本!$D$13+AJ66*产品成本!$D$14</f>
        <v>857.92169014084504</v>
      </c>
      <c r="AL66" s="116">
        <f>AG66*产品成本!$E$11+AH66*产品成本!$E$12+AI66*产品成本!$E$13+AJ66*产品成本!$E$14</f>
        <v>67.58400000000006</v>
      </c>
      <c r="AM66" s="116">
        <f>AG66*产品成本!$F$11+AH66*产品成本!$F$12+AI66*产品成本!$F$13+AJ66*产品成本!$F$14</f>
        <v>56.100000000000009</v>
      </c>
      <c r="AN66" s="116">
        <f>AG66*产品成本!$G$11+AH66*产品成本!$G$12+AI66*产品成本!$G$13+AJ66*产品成本!$G$14</f>
        <v>643.5</v>
      </c>
      <c r="AO66" s="116">
        <f t="shared" si="38"/>
        <v>532.39049999999997</v>
      </c>
      <c r="AP66" s="117">
        <f t="shared" si="39"/>
        <v>2157.4961901408451</v>
      </c>
      <c r="AQ66" s="118">
        <v>1</v>
      </c>
      <c r="AR66" s="118">
        <v>10</v>
      </c>
      <c r="AS66" s="118">
        <v>1</v>
      </c>
      <c r="AT66" s="119">
        <v>4</v>
      </c>
      <c r="AU66" s="120">
        <f t="shared" si="40"/>
        <v>363.5609756097561</v>
      </c>
      <c r="AV66" s="116">
        <f>AQ66*产品成本!$D$11+AR66*产品成本!$D$12+AS66*产品成本!$D$13+AT66*产品成本!$D$14</f>
        <v>85.343098591549307</v>
      </c>
      <c r="AW66" s="116">
        <f>AQ66*产品成本!$E$11+AR66*产品成本!$E$12+AS66*产品成本!$E$13+AT66*产品成本!$E$14</f>
        <v>6.4966760563380337</v>
      </c>
      <c r="AX66" s="116">
        <f>AQ66*产品成本!$F$11+AR66*产品成本!$F$12+AS66*产品成本!$F$13+AT66*产品成本!$F$14</f>
        <v>5.44</v>
      </c>
      <c r="AY66" s="116"/>
      <c r="AZ66" s="116">
        <f t="shared" si="41"/>
        <v>54.534146341463412</v>
      </c>
      <c r="BA66" s="116">
        <f t="shared" si="42"/>
        <v>-10.906829268292682</v>
      </c>
      <c r="BB66" s="117">
        <f t="shared" si="43"/>
        <v>140.90709172105807</v>
      </c>
      <c r="BC66" s="122">
        <f t="shared" si="44"/>
        <v>2016.589098419787</v>
      </c>
      <c r="BD66" s="122">
        <f t="shared" si="45"/>
        <v>3549.27</v>
      </c>
      <c r="BE66" s="122">
        <f t="shared" si="46"/>
        <v>3185.7090243902439</v>
      </c>
      <c r="BF66" s="121">
        <f t="shared" si="47"/>
        <v>86.009925970457061</v>
      </c>
      <c r="BG66" s="123">
        <f t="shared" si="48"/>
        <v>2.6998676059851283E-2</v>
      </c>
    </row>
    <row r="67" spans="1:61" ht="29.1" customHeight="1" x14ac:dyDescent="0.15">
      <c r="A67" s="38" t="s">
        <v>230</v>
      </c>
      <c r="B67" s="58" t="s">
        <v>231</v>
      </c>
      <c r="C67" s="67">
        <v>172</v>
      </c>
      <c r="D67" s="68">
        <v>169</v>
      </c>
      <c r="E67" s="41">
        <v>3773.08</v>
      </c>
      <c r="F67" s="101">
        <v>19</v>
      </c>
      <c r="G67" s="101">
        <v>16</v>
      </c>
      <c r="H67" s="41">
        <v>413.91</v>
      </c>
      <c r="I67" s="41">
        <v>52.34</v>
      </c>
      <c r="J67" s="102">
        <v>15</v>
      </c>
      <c r="K67" s="103">
        <f t="shared" si="26"/>
        <v>8.7209302325581398E-2</v>
      </c>
      <c r="L67" s="104">
        <v>291.88</v>
      </c>
      <c r="M67" s="105">
        <f t="shared" si="49"/>
        <v>-3.9106145251396648E-2</v>
      </c>
      <c r="N67" s="103">
        <f t="shared" si="50"/>
        <v>-2.8735632183908046E-2</v>
      </c>
      <c r="O67" s="103">
        <f t="shared" si="51"/>
        <v>-3.2868446752501085E-2</v>
      </c>
      <c r="P67" s="106">
        <f t="shared" si="27"/>
        <v>1.0177514792899409</v>
      </c>
      <c r="Q67" s="107">
        <f t="shared" si="28"/>
        <v>22.325917159763314</v>
      </c>
      <c r="R67" s="140">
        <f t="shared" si="29"/>
        <v>21.936511627906977</v>
      </c>
      <c r="S67" s="108">
        <f t="shared" si="52"/>
        <v>2.2857142857142856</v>
      </c>
      <c r="T67" s="146">
        <f t="shared" si="31"/>
        <v>30</v>
      </c>
      <c r="U67" s="110">
        <f t="shared" si="32"/>
        <v>0.17751479289940827</v>
      </c>
      <c r="V67" s="71">
        <f t="shared" si="33"/>
        <v>0.31455033138569211</v>
      </c>
      <c r="W67" s="68">
        <v>83315</v>
      </c>
      <c r="X67" s="68">
        <v>1146</v>
      </c>
      <c r="Y67" s="68">
        <v>139</v>
      </c>
      <c r="Z67" s="153">
        <v>1170.3599999999999</v>
      </c>
      <c r="AA67" s="152">
        <v>3049.27</v>
      </c>
      <c r="AB67" s="41">
        <v>1.02</v>
      </c>
      <c r="AC67" s="48">
        <f t="shared" si="34"/>
        <v>0.38381645443007667</v>
      </c>
      <c r="AD67" s="49">
        <f t="shared" si="35"/>
        <v>1.3755026105743263E-2</v>
      </c>
      <c r="AE67" s="112">
        <f t="shared" si="36"/>
        <v>0.1212914485165794</v>
      </c>
      <c r="AF67" s="107">
        <f t="shared" si="37"/>
        <v>8.4198561151079137</v>
      </c>
      <c r="AG67" s="113">
        <v>29</v>
      </c>
      <c r="AH67" s="114">
        <v>90</v>
      </c>
      <c r="AI67" s="118">
        <v>13</v>
      </c>
      <c r="AJ67" s="119">
        <v>40</v>
      </c>
      <c r="AK67" s="116">
        <f>AG67*产品成本!$D$11+AH67*产品成本!$D$12+AI67*产品成本!$D$13+AJ67*产品成本!$D$14</f>
        <v>899.35323943661979</v>
      </c>
      <c r="AL67" s="116">
        <f>AG67*产品成本!$E$11+AH67*产品成本!$E$12+AI67*产品成本!$E$13+AJ67*产品成本!$E$14</f>
        <v>69.440225352112734</v>
      </c>
      <c r="AM67" s="116">
        <f>AG67*产品成本!$F$11+AH67*产品成本!$F$12+AI67*产品成本!$F$13+AJ67*产品成本!$F$14</f>
        <v>58.480000000000004</v>
      </c>
      <c r="AN67" s="116">
        <f>AG67*产品成本!$G$11+AH67*产品成本!$G$12+AI67*产品成本!$G$13+AJ67*产品成本!$G$14</f>
        <v>670.80000000000007</v>
      </c>
      <c r="AO67" s="116">
        <f t="shared" si="38"/>
        <v>558.11099999999999</v>
      </c>
      <c r="AP67" s="117">
        <f t="shared" si="39"/>
        <v>2256.1844647887324</v>
      </c>
      <c r="AQ67" s="118">
        <v>0</v>
      </c>
      <c r="AR67" s="118">
        <v>12</v>
      </c>
      <c r="AS67" s="118">
        <v>1</v>
      </c>
      <c r="AT67" s="119">
        <v>2</v>
      </c>
      <c r="AU67" s="120">
        <f t="shared" si="40"/>
        <v>355.95121951219511</v>
      </c>
      <c r="AV67" s="116">
        <f>AQ67*产品成本!$D$11+AR67*产品成本!$D$12+AS67*产品成本!$D$13+AT67*产品成本!$D$14</f>
        <v>84.92619718309858</v>
      </c>
      <c r="AW67" s="116">
        <f>AQ67*产品成本!$E$11+AR67*产品成本!$E$12+AS67*产品成本!$E$13+AT67*产品成本!$E$14</f>
        <v>5.7843380281690191</v>
      </c>
      <c r="AX67" s="116">
        <f>AQ67*产品成本!$F$11+AR67*产品成本!$F$12+AS67*产品成本!$F$13+AT67*产品成本!$F$14</f>
        <v>5.0999999999999996</v>
      </c>
      <c r="AY67" s="116"/>
      <c r="AZ67" s="116">
        <f t="shared" si="41"/>
        <v>53.392682926829266</v>
      </c>
      <c r="BA67" s="116">
        <f t="shared" si="42"/>
        <v>-10.678536585365855</v>
      </c>
      <c r="BB67" s="117">
        <f t="shared" si="43"/>
        <v>138.52468155273101</v>
      </c>
      <c r="BC67" s="122">
        <f t="shared" si="44"/>
        <v>2117.6597832360012</v>
      </c>
      <c r="BD67" s="122">
        <f t="shared" si="45"/>
        <v>3720.74</v>
      </c>
      <c r="BE67" s="122">
        <f t="shared" si="46"/>
        <v>3364.7887804878046</v>
      </c>
      <c r="BF67" s="121">
        <f t="shared" si="47"/>
        <v>76.768997251803512</v>
      </c>
      <c r="BG67" s="123">
        <f t="shared" si="48"/>
        <v>2.2815398605993346E-2</v>
      </c>
    </row>
    <row r="68" spans="1:61" ht="29.1" customHeight="1" x14ac:dyDescent="0.15">
      <c r="A68" s="38" t="s">
        <v>232</v>
      </c>
      <c r="B68" s="58" t="s">
        <v>233</v>
      </c>
      <c r="C68" s="67">
        <v>158</v>
      </c>
      <c r="D68" s="68">
        <v>157</v>
      </c>
      <c r="E68" s="41">
        <v>3354.44</v>
      </c>
      <c r="F68" s="101">
        <v>8</v>
      </c>
      <c r="G68" s="101">
        <v>8</v>
      </c>
      <c r="H68" s="41">
        <v>177.12</v>
      </c>
      <c r="I68" s="41">
        <v>21.29</v>
      </c>
      <c r="J68" s="102">
        <v>12</v>
      </c>
      <c r="K68" s="103">
        <f t="shared" si="26"/>
        <v>7.5949367088607597E-2</v>
      </c>
      <c r="L68" s="104">
        <v>205.17</v>
      </c>
      <c r="M68" s="105">
        <f t="shared" si="49"/>
        <v>-4.2424242424242427E-2</v>
      </c>
      <c r="N68" s="103">
        <f t="shared" si="50"/>
        <v>-4.8484848484848485E-2</v>
      </c>
      <c r="O68" s="103">
        <f t="shared" si="51"/>
        <v>-6.5084337618033644E-2</v>
      </c>
      <c r="P68" s="106">
        <f t="shared" si="27"/>
        <v>1.0063694267515924</v>
      </c>
      <c r="Q68" s="107">
        <f t="shared" si="28"/>
        <v>21.365859872611466</v>
      </c>
      <c r="R68" s="140">
        <f t="shared" si="29"/>
        <v>21.230632911392405</v>
      </c>
      <c r="S68" s="108">
        <f t="shared" si="52"/>
        <v>1.1428571428571428</v>
      </c>
      <c r="T68" s="146">
        <f t="shared" si="31"/>
        <v>44</v>
      </c>
      <c r="U68" s="110">
        <f t="shared" si="32"/>
        <v>0.28025477707006369</v>
      </c>
      <c r="V68" s="71">
        <f t="shared" si="33"/>
        <v>0.30187960337818581</v>
      </c>
      <c r="W68" s="68">
        <v>76400</v>
      </c>
      <c r="X68" s="68">
        <v>999</v>
      </c>
      <c r="Y68" s="68">
        <v>113</v>
      </c>
      <c r="Z68" s="153">
        <v>1006.21</v>
      </c>
      <c r="AA68" s="152">
        <v>2412.73</v>
      </c>
      <c r="AB68" s="41">
        <v>1.01</v>
      </c>
      <c r="AC68" s="48">
        <f t="shared" si="34"/>
        <v>0.41704210583032497</v>
      </c>
      <c r="AD68" s="49">
        <f t="shared" si="35"/>
        <v>1.3075916230366491E-2</v>
      </c>
      <c r="AE68" s="112">
        <f t="shared" si="36"/>
        <v>0.11311311311311312</v>
      </c>
      <c r="AF68" s="107">
        <f t="shared" si="37"/>
        <v>8.9045132743362831</v>
      </c>
      <c r="AG68" s="113">
        <v>29</v>
      </c>
      <c r="AH68" s="114">
        <v>66</v>
      </c>
      <c r="AI68" s="118">
        <v>11</v>
      </c>
      <c r="AJ68" s="119">
        <v>52</v>
      </c>
      <c r="AK68" s="116">
        <f>AG68*产品成本!$D$11+AH68*产品成本!$D$12+AI68*产品成本!$D$13+AJ68*产品成本!$D$14</f>
        <v>790.3008450704225</v>
      </c>
      <c r="AL68" s="116">
        <f>AG68*产品成本!$E$11+AH68*产品成本!$E$12+AI68*产品成本!$E$13+AJ68*产品成本!$E$14</f>
        <v>66.434929577464843</v>
      </c>
      <c r="AM68" s="116">
        <f>AG68*产品成本!$F$11+AH68*产品成本!$F$12+AI68*产品成本!$F$13+AJ68*产品成本!$F$14</f>
        <v>53.720000000000006</v>
      </c>
      <c r="AN68" s="116">
        <f>AG68*产品成本!$G$11+AH68*产品成本!$G$12+AI68*产品成本!$G$13+AJ68*产品成本!$G$14</f>
        <v>616.19999999999993</v>
      </c>
      <c r="AO68" s="116">
        <f t="shared" si="38"/>
        <v>499.97249999999997</v>
      </c>
      <c r="AP68" s="117">
        <f t="shared" si="39"/>
        <v>2026.6282746478873</v>
      </c>
      <c r="AQ68" s="118">
        <v>4</v>
      </c>
      <c r="AR68" s="118">
        <v>3</v>
      </c>
      <c r="AS68" s="118">
        <v>2</v>
      </c>
      <c r="AT68" s="119">
        <v>3</v>
      </c>
      <c r="AU68" s="120">
        <f t="shared" si="40"/>
        <v>250.20731707317074</v>
      </c>
      <c r="AV68" s="116">
        <f>AQ68*产品成本!$D$11+AR68*产品成本!$D$12+AS68*产品成本!$D$13+AT68*产品成本!$D$14</f>
        <v>56.75661971830985</v>
      </c>
      <c r="AW68" s="116">
        <f>AQ68*产品成本!$E$11+AR68*产品成本!$E$12+AS68*产品成本!$E$13+AT68*产品成本!$E$14</f>
        <v>4.9460281690140881</v>
      </c>
      <c r="AX68" s="116">
        <f>AQ68*产品成本!$F$11+AR68*产品成本!$F$12+AS68*产品成本!$F$13+AT68*产品成本!$F$14</f>
        <v>4.08</v>
      </c>
      <c r="AY68" s="116"/>
      <c r="AZ68" s="116">
        <f t="shared" si="41"/>
        <v>37.53109756097561</v>
      </c>
      <c r="BA68" s="116">
        <f t="shared" si="42"/>
        <v>-7.5062195121951225</v>
      </c>
      <c r="BB68" s="117">
        <f t="shared" si="43"/>
        <v>95.807525936104426</v>
      </c>
      <c r="BC68" s="122">
        <f t="shared" si="44"/>
        <v>1930.8207487117829</v>
      </c>
      <c r="BD68" s="122">
        <f t="shared" si="45"/>
        <v>3333.15</v>
      </c>
      <c r="BE68" s="122">
        <f t="shared" si="46"/>
        <v>3082.9426829268295</v>
      </c>
      <c r="BF68" s="121">
        <f t="shared" si="47"/>
        <v>145.91193421504659</v>
      </c>
      <c r="BG68" s="123">
        <f t="shared" si="48"/>
        <v>4.7328785910649269E-2</v>
      </c>
      <c r="BH68" t="s">
        <v>348</v>
      </c>
      <c r="BI68" t="s">
        <v>94</v>
      </c>
    </row>
    <row r="69" spans="1:61" ht="29.1" customHeight="1" x14ac:dyDescent="0.15">
      <c r="A69" s="38" t="s">
        <v>236</v>
      </c>
      <c r="B69" s="58" t="s">
        <v>237</v>
      </c>
      <c r="C69" s="67">
        <v>118</v>
      </c>
      <c r="D69" s="68">
        <v>116</v>
      </c>
      <c r="E69" s="41">
        <v>2579</v>
      </c>
      <c r="F69" s="101">
        <v>29</v>
      </c>
      <c r="G69" s="101">
        <v>28</v>
      </c>
      <c r="H69" s="41">
        <v>650.80999999999995</v>
      </c>
      <c r="I69" s="41">
        <v>66</v>
      </c>
      <c r="J69" s="102">
        <v>7</v>
      </c>
      <c r="K69" s="103">
        <f t="shared" si="26"/>
        <v>5.9322033898305086E-2</v>
      </c>
      <c r="L69" s="104">
        <v>132.04</v>
      </c>
      <c r="M69" s="105">
        <f t="shared" si="49"/>
        <v>-0.31395348837209303</v>
      </c>
      <c r="N69" s="103">
        <f t="shared" si="50"/>
        <v>-0.31360946745562129</v>
      </c>
      <c r="O69" s="103">
        <f t="shared" si="51"/>
        <v>-0.31647354416020862</v>
      </c>
      <c r="P69" s="106">
        <f t="shared" si="27"/>
        <v>1.0172413793103448</v>
      </c>
      <c r="Q69" s="107">
        <f t="shared" si="28"/>
        <v>22.232758620689655</v>
      </c>
      <c r="R69" s="140">
        <f t="shared" si="29"/>
        <v>21.85593220338983</v>
      </c>
      <c r="S69" s="108">
        <f t="shared" si="52"/>
        <v>4</v>
      </c>
      <c r="T69" s="146">
        <f t="shared" si="31"/>
        <v>29</v>
      </c>
      <c r="U69" s="110">
        <f t="shared" si="32"/>
        <v>0.25</v>
      </c>
      <c r="V69" s="71">
        <f t="shared" si="33"/>
        <v>0.3061440509351373</v>
      </c>
      <c r="W69" s="68">
        <v>62879</v>
      </c>
      <c r="X69" s="68">
        <v>757</v>
      </c>
      <c r="Y69" s="68">
        <v>87</v>
      </c>
      <c r="Z69" s="153">
        <v>769.34</v>
      </c>
      <c r="AA69" s="152">
        <v>1833.27</v>
      </c>
      <c r="AB69" s="41">
        <v>1.02</v>
      </c>
      <c r="AC69" s="48">
        <f t="shared" si="34"/>
        <v>0.4196544971553563</v>
      </c>
      <c r="AD69" s="49">
        <f t="shared" si="35"/>
        <v>1.2038995531099413E-2</v>
      </c>
      <c r="AE69" s="112">
        <f t="shared" si="36"/>
        <v>0.11492734478203434</v>
      </c>
      <c r="AF69" s="107">
        <f t="shared" si="37"/>
        <v>8.842988505747126</v>
      </c>
      <c r="AG69" s="113">
        <v>23</v>
      </c>
      <c r="AH69" s="114">
        <v>58</v>
      </c>
      <c r="AI69" s="118">
        <v>9</v>
      </c>
      <c r="AJ69" s="119">
        <v>28</v>
      </c>
      <c r="AK69" s="116">
        <f>AG69*产品成本!$D$11+AH69*产品成本!$D$12+AI69*产品成本!$D$13+AJ69*产品成本!$D$14</f>
        <v>612.33577464788732</v>
      </c>
      <c r="AL69" s="116">
        <f>AG69*产品成本!$E$11+AH69*产品成本!$E$12+AI69*产品成本!$E$13+AJ69*产品成本!$E$14</f>
        <v>47.742873239436662</v>
      </c>
      <c r="AM69" s="116">
        <f>AG69*产品成本!$F$11+AH69*产品成本!$F$12+AI69*产品成本!$F$13+AJ69*产品成本!$F$14</f>
        <v>40.120000000000005</v>
      </c>
      <c r="AN69" s="116">
        <f>AG69*产品成本!$G$11+AH69*产品成本!$G$12+AI69*产品成本!$G$13+AJ69*产品成本!$G$14</f>
        <v>460.2</v>
      </c>
      <c r="AO69" s="116">
        <f t="shared" si="38"/>
        <v>376.95</v>
      </c>
      <c r="AP69" s="117">
        <f t="shared" si="39"/>
        <v>1537.348647887324</v>
      </c>
      <c r="AQ69" s="118">
        <v>1</v>
      </c>
      <c r="AR69" s="118">
        <v>4</v>
      </c>
      <c r="AS69" s="118">
        <v>0</v>
      </c>
      <c r="AT69" s="119">
        <v>2</v>
      </c>
      <c r="AU69" s="120">
        <f t="shared" si="40"/>
        <v>161.02439024390245</v>
      </c>
      <c r="AV69" s="116">
        <f>AQ69*产品成本!$D$11+AR69*产品成本!$D$12+AS69*产品成本!$D$13+AT69*产品成本!$D$14</f>
        <v>37.6</v>
      </c>
      <c r="AW69" s="116">
        <f>AQ69*产品成本!$E$11+AR69*产品成本!$E$12+AS69*产品成本!$E$13+AT69*产品成本!$E$14</f>
        <v>2.8608450704225379</v>
      </c>
      <c r="AX69" s="116">
        <f>AQ69*产品成本!$F$11+AR69*产品成本!$F$12+AS69*产品成本!$F$13+AT69*产品成本!$F$14</f>
        <v>2.3800000000000003</v>
      </c>
      <c r="AY69" s="116"/>
      <c r="AZ69" s="116">
        <f t="shared" si="41"/>
        <v>24.153658536585365</v>
      </c>
      <c r="BA69" s="116">
        <f t="shared" si="42"/>
        <v>-4.8307317073170735</v>
      </c>
      <c r="BB69" s="117">
        <f t="shared" si="43"/>
        <v>62.163771899690829</v>
      </c>
      <c r="BC69" s="122">
        <f t="shared" si="44"/>
        <v>1475.1848759876332</v>
      </c>
      <c r="BD69" s="122">
        <f t="shared" si="45"/>
        <v>2513</v>
      </c>
      <c r="BE69" s="122">
        <f t="shared" si="46"/>
        <v>2351.9756097560976</v>
      </c>
      <c r="BF69" s="121">
        <f t="shared" si="47"/>
        <v>107.45073376846437</v>
      </c>
      <c r="BG69" s="123">
        <f t="shared" si="48"/>
        <v>4.5685309542647483E-2</v>
      </c>
      <c r="BH69" t="s">
        <v>349</v>
      </c>
      <c r="BI69" t="s">
        <v>350</v>
      </c>
    </row>
    <row r="70" spans="1:61" ht="29.1" customHeight="1" x14ac:dyDescent="0.15">
      <c r="A70" s="38" t="s">
        <v>240</v>
      </c>
      <c r="B70" s="58" t="s">
        <v>241</v>
      </c>
      <c r="C70" s="67">
        <v>130</v>
      </c>
      <c r="D70" s="68">
        <v>130</v>
      </c>
      <c r="E70" s="41">
        <v>2830.7</v>
      </c>
      <c r="F70" s="101">
        <v>67</v>
      </c>
      <c r="G70" s="101">
        <v>67</v>
      </c>
      <c r="H70" s="41">
        <v>1453.63</v>
      </c>
      <c r="I70" s="41">
        <v>148.5</v>
      </c>
      <c r="J70" s="102">
        <v>14</v>
      </c>
      <c r="K70" s="103">
        <f t="shared" si="26"/>
        <v>0.1076923076923077</v>
      </c>
      <c r="L70" s="104">
        <v>241.1</v>
      </c>
      <c r="M70" s="105">
        <f t="shared" si="49"/>
        <v>-0.17721518987341772</v>
      </c>
      <c r="N70" s="103">
        <f t="shared" si="50"/>
        <v>-0.17197452229299362</v>
      </c>
      <c r="O70" s="103">
        <f t="shared" si="51"/>
        <v>-0.15613336354205179</v>
      </c>
      <c r="P70" s="106">
        <f t="shared" si="27"/>
        <v>1</v>
      </c>
      <c r="Q70" s="107">
        <f t="shared" si="28"/>
        <v>21.774615384615384</v>
      </c>
      <c r="R70" s="140">
        <f t="shared" si="29"/>
        <v>21.774615384615384</v>
      </c>
      <c r="S70" s="108">
        <f t="shared" si="52"/>
        <v>9.5714285714285712</v>
      </c>
      <c r="T70" s="146">
        <f t="shared" si="31"/>
        <v>35</v>
      </c>
      <c r="U70" s="110">
        <f t="shared" si="32"/>
        <v>0.26923076923076922</v>
      </c>
      <c r="V70" s="71">
        <f t="shared" si="33"/>
        <v>0.30083886361941692</v>
      </c>
      <c r="W70" s="68">
        <v>72249</v>
      </c>
      <c r="X70" s="68">
        <v>808</v>
      </c>
      <c r="Y70" s="68">
        <v>95</v>
      </c>
      <c r="Z70" s="153">
        <v>806.91</v>
      </c>
      <c r="AA70" s="152">
        <v>2033.78</v>
      </c>
      <c r="AB70" s="41">
        <v>1</v>
      </c>
      <c r="AC70" s="48">
        <f t="shared" si="34"/>
        <v>0.39675382784765312</v>
      </c>
      <c r="AD70" s="49">
        <f t="shared" si="35"/>
        <v>1.1183545793021357E-2</v>
      </c>
      <c r="AE70" s="112">
        <f t="shared" si="36"/>
        <v>0.11757425742574257</v>
      </c>
      <c r="AF70" s="107">
        <f t="shared" si="37"/>
        <v>8.4937894736842097</v>
      </c>
      <c r="AG70" s="113">
        <v>20</v>
      </c>
      <c r="AH70" s="114">
        <v>65</v>
      </c>
      <c r="AI70" s="118">
        <v>10</v>
      </c>
      <c r="AJ70" s="119">
        <v>35</v>
      </c>
      <c r="AK70" s="116">
        <f>AG70*产品成本!$D$11+AH70*产品成本!$D$12+AI70*产品成本!$D$13+AJ70*产品成本!$D$14</f>
        <v>669.6422535211268</v>
      </c>
      <c r="AL70" s="116">
        <f>AG70*产品成本!$E$11+AH70*产品成本!$E$12+AI70*产品成本!$E$13+AJ70*产品成本!$E$14</f>
        <v>53.33859154929582</v>
      </c>
      <c r="AM70" s="116">
        <f>AG70*产品成本!$F$11+AH70*产品成本!$F$12+AI70*产品成本!$F$13+AJ70*产品成本!$F$14</f>
        <v>44.2</v>
      </c>
      <c r="AN70" s="116">
        <f>AG70*产品成本!$G$11+AH70*产品成本!$G$12+AI70*产品成本!$G$13+AJ70*产品成本!$G$14</f>
        <v>507</v>
      </c>
      <c r="AO70" s="116">
        <f t="shared" si="38"/>
        <v>402.33</v>
      </c>
      <c r="AP70" s="117">
        <f t="shared" si="39"/>
        <v>1676.5108450704226</v>
      </c>
      <c r="AQ70" s="118">
        <v>2</v>
      </c>
      <c r="AR70" s="118">
        <v>4</v>
      </c>
      <c r="AS70" s="118">
        <v>2</v>
      </c>
      <c r="AT70" s="119">
        <v>6</v>
      </c>
      <c r="AU70" s="120">
        <f t="shared" si="40"/>
        <v>294.02439024390247</v>
      </c>
      <c r="AV70" s="116">
        <f>AQ70*产品成本!$D$11+AR70*产品成本!$D$12+AS70*产品成本!$D$13+AT70*产品成本!$D$14</f>
        <v>63.931267605633799</v>
      </c>
      <c r="AW70" s="116">
        <f>AQ70*产品成本!$E$11+AR70*产品成本!$E$12+AS70*产品成本!$E$13+AT70*产品成本!$E$14</f>
        <v>6.1935774647887358</v>
      </c>
      <c r="AX70" s="116">
        <f>AQ70*产品成本!$F$11+AR70*产品成本!$F$12+AS70*产品成本!$F$13+AT70*产品成本!$F$14</f>
        <v>4.76</v>
      </c>
      <c r="AY70" s="116"/>
      <c r="AZ70" s="116">
        <f t="shared" si="41"/>
        <v>44.103658536585371</v>
      </c>
      <c r="BA70" s="116">
        <f t="shared" si="42"/>
        <v>-8.8207317073170746</v>
      </c>
      <c r="BB70" s="117">
        <f t="shared" si="43"/>
        <v>110.16777189969083</v>
      </c>
      <c r="BC70" s="122">
        <f t="shared" si="44"/>
        <v>1566.3430731707317</v>
      </c>
      <c r="BD70" s="122">
        <f t="shared" si="45"/>
        <v>2682.2</v>
      </c>
      <c r="BE70" s="122">
        <f t="shared" si="46"/>
        <v>2388.1756097560974</v>
      </c>
      <c r="BF70" s="121">
        <f t="shared" si="47"/>
        <v>14.922536585365719</v>
      </c>
      <c r="BG70" s="123">
        <f t="shared" si="48"/>
        <v>6.2485089138355895E-3</v>
      </c>
      <c r="BI70" t="s">
        <v>350</v>
      </c>
    </row>
    <row r="71" spans="1:61" ht="29.1" customHeight="1" x14ac:dyDescent="0.15">
      <c r="A71" s="38" t="s">
        <v>244</v>
      </c>
      <c r="B71" s="58" t="s">
        <v>245</v>
      </c>
      <c r="C71" s="67">
        <v>170</v>
      </c>
      <c r="D71" s="68">
        <v>168</v>
      </c>
      <c r="E71" s="41">
        <v>3620.63</v>
      </c>
      <c r="F71" s="101">
        <v>80</v>
      </c>
      <c r="G71" s="101">
        <v>78</v>
      </c>
      <c r="H71" s="41">
        <v>1771.2</v>
      </c>
      <c r="I71" s="41">
        <v>184.35</v>
      </c>
      <c r="J71" s="102">
        <v>8</v>
      </c>
      <c r="K71" s="103">
        <f t="shared" si="26"/>
        <v>4.7058823529411764E-2</v>
      </c>
      <c r="L71" s="104">
        <v>152.72</v>
      </c>
      <c r="M71" s="105">
        <f t="shared" si="49"/>
        <v>0.44067796610169491</v>
      </c>
      <c r="N71" s="103">
        <f t="shared" si="50"/>
        <v>0.44827586206896552</v>
      </c>
      <c r="O71" s="103">
        <f t="shared" si="51"/>
        <v>0.40388910430399383</v>
      </c>
      <c r="P71" s="106">
        <f t="shared" si="27"/>
        <v>1.0119047619047619</v>
      </c>
      <c r="Q71" s="107">
        <f t="shared" si="28"/>
        <v>21.551369047619048</v>
      </c>
      <c r="R71" s="140">
        <f t="shared" si="29"/>
        <v>21.297823529411765</v>
      </c>
      <c r="S71" s="108">
        <f t="shared" si="52"/>
        <v>11.142857142857142</v>
      </c>
      <c r="T71" s="146">
        <f t="shared" si="31"/>
        <v>23</v>
      </c>
      <c r="U71" s="110">
        <f t="shared" si="32"/>
        <v>0.13690476190476192</v>
      </c>
      <c r="V71" s="71">
        <f t="shared" si="33"/>
        <v>0.32051229818291871</v>
      </c>
      <c r="W71" s="68">
        <v>85640</v>
      </c>
      <c r="X71" s="68">
        <v>1059</v>
      </c>
      <c r="Y71" s="68">
        <v>145</v>
      </c>
      <c r="Z71" s="153">
        <v>1101.3699999999999</v>
      </c>
      <c r="AA71" s="152">
        <v>3054.59</v>
      </c>
      <c r="AB71" s="41">
        <v>1.04</v>
      </c>
      <c r="AC71" s="48">
        <f t="shared" si="34"/>
        <v>0.36056230132358186</v>
      </c>
      <c r="AD71" s="49">
        <f t="shared" si="35"/>
        <v>1.2365716954694067E-2</v>
      </c>
      <c r="AE71" s="112">
        <f t="shared" si="36"/>
        <v>0.13692162417374881</v>
      </c>
      <c r="AF71" s="107">
        <f t="shared" si="37"/>
        <v>7.5956551724137924</v>
      </c>
      <c r="AG71" s="113">
        <v>34</v>
      </c>
      <c r="AH71" s="114">
        <v>76</v>
      </c>
      <c r="AI71" s="118">
        <v>8</v>
      </c>
      <c r="AJ71" s="119">
        <v>52</v>
      </c>
      <c r="AK71" s="116">
        <f>AG71*产品成本!$D$11+AH71*产品成本!$D$12+AI71*产品成本!$D$13+AJ71*产品成本!$D$14</f>
        <v>869.44901408450698</v>
      </c>
      <c r="AL71" s="116">
        <f>AG71*产品成本!$E$11+AH71*产品成本!$E$12+AI71*产品成本!$E$13+AJ71*产品成本!$E$14</f>
        <v>70.555492957746537</v>
      </c>
      <c r="AM71" s="116">
        <f>AG71*产品成本!$F$11+AH71*产品成本!$F$12+AI71*产品成本!$F$13+AJ71*产品成本!$F$14</f>
        <v>57.800000000000004</v>
      </c>
      <c r="AN71" s="116">
        <f>AG71*产品成本!$G$11+AH71*产品成本!$G$12+AI71*产品成本!$G$13+AJ71*产品成本!$G$14</f>
        <v>663</v>
      </c>
      <c r="AO71" s="116">
        <f t="shared" si="38"/>
        <v>515.44200000000001</v>
      </c>
      <c r="AP71" s="117">
        <f t="shared" si="39"/>
        <v>2176.2465070422536</v>
      </c>
      <c r="AQ71" s="118">
        <v>0</v>
      </c>
      <c r="AR71" s="118">
        <v>6</v>
      </c>
      <c r="AS71" s="118">
        <v>0</v>
      </c>
      <c r="AT71" s="119">
        <v>2</v>
      </c>
      <c r="AU71" s="120">
        <f t="shared" si="40"/>
        <v>186.2439024390244</v>
      </c>
      <c r="AV71" s="116">
        <f>AQ71*产品成本!$D$11+AR71*产品成本!$D$12+AS71*产品成本!$D$13+AT71*产品成本!$D$14</f>
        <v>44.783098591549297</v>
      </c>
      <c r="AW71" s="116">
        <f>AQ71*产品成本!$E$11+AR71*产品成本!$E$12+AS71*产品成本!$E$13+AT71*产品成本!$E$14</f>
        <v>3.2189295774647917</v>
      </c>
      <c r="AX71" s="116">
        <f>AQ71*产品成本!$F$11+AR71*产品成本!$F$12+AS71*产品成本!$F$13+AT71*产品成本!$F$14</f>
        <v>2.72</v>
      </c>
      <c r="AY71" s="116"/>
      <c r="AZ71" s="116">
        <f t="shared" si="41"/>
        <v>27.936585365853659</v>
      </c>
      <c r="BA71" s="116">
        <f t="shared" si="42"/>
        <v>-5.5873170731707322</v>
      </c>
      <c r="BB71" s="117">
        <f t="shared" si="43"/>
        <v>73.071296461697017</v>
      </c>
      <c r="BC71" s="122">
        <f t="shared" si="44"/>
        <v>2103.1752105805567</v>
      </c>
      <c r="BD71" s="122">
        <f t="shared" si="45"/>
        <v>3436.28</v>
      </c>
      <c r="BE71" s="122">
        <f t="shared" si="46"/>
        <v>3250.036097560976</v>
      </c>
      <c r="BF71" s="121">
        <f t="shared" si="47"/>
        <v>45.490886980419418</v>
      </c>
      <c r="BG71" s="123">
        <f t="shared" si="48"/>
        <v>1.3997040529660127E-2</v>
      </c>
      <c r="BI71" t="s">
        <v>350</v>
      </c>
    </row>
    <row r="72" spans="1:61" ht="29.1" customHeight="1" x14ac:dyDescent="0.15">
      <c r="A72" s="38" t="s">
        <v>247</v>
      </c>
      <c r="B72" s="58" t="s">
        <v>248</v>
      </c>
      <c r="C72" s="67">
        <v>237</v>
      </c>
      <c r="D72" s="68">
        <v>235</v>
      </c>
      <c r="E72" s="41">
        <v>5136.93</v>
      </c>
      <c r="F72" s="101">
        <v>20</v>
      </c>
      <c r="G72" s="101">
        <v>18</v>
      </c>
      <c r="H72" s="41">
        <v>456.8</v>
      </c>
      <c r="I72" s="41">
        <v>50.02</v>
      </c>
      <c r="J72" s="102">
        <v>10</v>
      </c>
      <c r="K72" s="103">
        <f t="shared" si="26"/>
        <v>4.2194092827004218E-2</v>
      </c>
      <c r="L72" s="104">
        <v>186.63</v>
      </c>
      <c r="M72" s="105">
        <f t="shared" si="49"/>
        <v>0.82307692307692304</v>
      </c>
      <c r="N72" s="103">
        <f t="shared" si="50"/>
        <v>0.80769230769230771</v>
      </c>
      <c r="O72" s="103">
        <f t="shared" si="51"/>
        <v>0.81472074045289178</v>
      </c>
      <c r="P72" s="106">
        <f t="shared" si="27"/>
        <v>1.0085106382978724</v>
      </c>
      <c r="Q72" s="107">
        <f t="shared" si="28"/>
        <v>21.859276595744682</v>
      </c>
      <c r="R72" s="140">
        <f t="shared" si="29"/>
        <v>21.67481012658228</v>
      </c>
      <c r="S72" s="108">
        <f t="shared" si="52"/>
        <v>2.5714285714285716</v>
      </c>
      <c r="T72" s="146">
        <f t="shared" si="31"/>
        <v>34</v>
      </c>
      <c r="U72" s="110">
        <f t="shared" si="32"/>
        <v>0.14468085106382977</v>
      </c>
      <c r="V72" s="71">
        <f t="shared" si="33"/>
        <v>0.32130704101311014</v>
      </c>
      <c r="W72" s="68">
        <v>112297</v>
      </c>
      <c r="X72" s="68">
        <v>1538</v>
      </c>
      <c r="Y72" s="68">
        <v>201</v>
      </c>
      <c r="Z72" s="153">
        <v>1634.46</v>
      </c>
      <c r="AA72" s="152">
        <v>4312.8</v>
      </c>
      <c r="AB72" s="41">
        <v>1.06</v>
      </c>
      <c r="AC72" s="48">
        <f t="shared" si="34"/>
        <v>0.37897885364496381</v>
      </c>
      <c r="AD72" s="49">
        <f t="shared" si="35"/>
        <v>1.3695824465479933E-2</v>
      </c>
      <c r="AE72" s="112">
        <f t="shared" si="36"/>
        <v>0.13068920676202861</v>
      </c>
      <c r="AF72" s="107">
        <f t="shared" si="37"/>
        <v>8.1316417910447765</v>
      </c>
      <c r="AG72" s="113">
        <v>43</v>
      </c>
      <c r="AH72" s="114">
        <v>109</v>
      </c>
      <c r="AI72" s="118">
        <v>14</v>
      </c>
      <c r="AJ72" s="119">
        <v>71</v>
      </c>
      <c r="AK72" s="116">
        <f>AG72*产品成本!$D$11+AH72*产品成本!$D$12+AI72*产品成本!$D$13+AJ72*产品成本!$D$14</f>
        <v>1210.8174647887324</v>
      </c>
      <c r="AL72" s="116">
        <f>AG72*产品成本!$E$11+AH72*产品成本!$E$12+AI72*产品成本!$E$13+AJ72*产品成本!$E$14</f>
        <v>98.265464788732473</v>
      </c>
      <c r="AM72" s="116">
        <f>AG72*产品成本!$F$11+AH72*产品成本!$F$12+AI72*产品成本!$F$13+AJ72*产品成本!$F$14</f>
        <v>80.580000000000013</v>
      </c>
      <c r="AN72" s="116">
        <f>AG72*产品成本!$G$11+AH72*产品成本!$G$12+AI72*产品成本!$G$13+AJ72*产品成本!$G$14</f>
        <v>924.3</v>
      </c>
      <c r="AO72" s="116">
        <f t="shared" si="38"/>
        <v>763.03649999999993</v>
      </c>
      <c r="AP72" s="117">
        <f t="shared" si="39"/>
        <v>3076.999429577465</v>
      </c>
      <c r="AQ72" s="118">
        <v>4</v>
      </c>
      <c r="AR72" s="118">
        <v>4</v>
      </c>
      <c r="AS72" s="118">
        <v>0</v>
      </c>
      <c r="AT72" s="119">
        <v>2</v>
      </c>
      <c r="AU72" s="120">
        <f t="shared" si="40"/>
        <v>227.59756097560975</v>
      </c>
      <c r="AV72" s="116">
        <f>AQ72*产品成本!$D$11+AR72*产品成本!$D$12+AS72*产品成本!$D$13+AT72*产品成本!$D$14</f>
        <v>53.233802816901402</v>
      </c>
      <c r="AW72" s="116">
        <f>AQ72*产品成本!$E$11+AR72*产品成本!$E$12+AS72*产品成本!$E$13+AT72*产品成本!$E$14</f>
        <v>3.9350985915492998</v>
      </c>
      <c r="AX72" s="116">
        <f>AQ72*产品成本!$F$11+AR72*产品成本!$F$12+AS72*产品成本!$F$13+AT72*产品成本!$F$14</f>
        <v>3.4000000000000004</v>
      </c>
      <c r="AY72" s="116"/>
      <c r="AZ72" s="116">
        <f t="shared" si="41"/>
        <v>34.139634146341464</v>
      </c>
      <c r="BA72" s="116">
        <f t="shared" si="42"/>
        <v>-6.8279268292682929</v>
      </c>
      <c r="BB72" s="117">
        <f t="shared" si="43"/>
        <v>87.880608725523871</v>
      </c>
      <c r="BC72" s="122">
        <f t="shared" si="44"/>
        <v>2989.1188208519411</v>
      </c>
      <c r="BD72" s="122">
        <f t="shared" si="45"/>
        <v>5086.91</v>
      </c>
      <c r="BE72" s="122">
        <f t="shared" si="46"/>
        <v>4859.3124390243902</v>
      </c>
      <c r="BF72" s="121">
        <f t="shared" si="47"/>
        <v>235.73361817244904</v>
      </c>
      <c r="BG72" s="123">
        <f t="shared" si="48"/>
        <v>4.8511722827144978E-2</v>
      </c>
      <c r="BI72" t="s">
        <v>350</v>
      </c>
    </row>
    <row r="73" spans="1:61" ht="29.1" customHeight="1" x14ac:dyDescent="0.15">
      <c r="A73" s="38" t="s">
        <v>250</v>
      </c>
      <c r="B73" s="58" t="s">
        <v>251</v>
      </c>
      <c r="C73" s="67">
        <v>215</v>
      </c>
      <c r="D73" s="68">
        <v>213</v>
      </c>
      <c r="E73" s="41">
        <v>4541.57</v>
      </c>
      <c r="F73" s="101">
        <v>25</v>
      </c>
      <c r="G73" s="101">
        <v>25</v>
      </c>
      <c r="H73" s="41">
        <v>553.25</v>
      </c>
      <c r="I73" s="41">
        <v>60.7</v>
      </c>
      <c r="J73" s="102">
        <v>11</v>
      </c>
      <c r="K73" s="103">
        <f t="shared" si="26"/>
        <v>5.1162790697674418E-2</v>
      </c>
      <c r="L73" s="104">
        <v>211.26</v>
      </c>
      <c r="M73" s="105">
        <f t="shared" si="49"/>
        <v>0.26470588235294118</v>
      </c>
      <c r="N73" s="103">
        <f t="shared" si="50"/>
        <v>0.26785714285714285</v>
      </c>
      <c r="O73" s="103">
        <f t="shared" si="51"/>
        <v>0.25435904801098141</v>
      </c>
      <c r="P73" s="106">
        <f t="shared" si="27"/>
        <v>1.0093896713615023</v>
      </c>
      <c r="Q73" s="107">
        <f t="shared" si="28"/>
        <v>21.321924882629105</v>
      </c>
      <c r="R73" s="140">
        <f t="shared" si="29"/>
        <v>21.123581395348836</v>
      </c>
      <c r="S73" s="108">
        <f t="shared" si="52"/>
        <v>3.5714285714285716</v>
      </c>
      <c r="T73" s="146">
        <f t="shared" si="31"/>
        <v>29</v>
      </c>
      <c r="U73" s="110">
        <f t="shared" si="32"/>
        <v>0.13615023474178403</v>
      </c>
      <c r="V73" s="71">
        <f t="shared" si="33"/>
        <v>0.3257804845933937</v>
      </c>
      <c r="W73" s="68">
        <v>115042</v>
      </c>
      <c r="X73" s="68">
        <v>1382</v>
      </c>
      <c r="Y73" s="68">
        <v>184</v>
      </c>
      <c r="Z73" s="153">
        <v>1459.78</v>
      </c>
      <c r="AA73" s="152">
        <v>3912.16</v>
      </c>
      <c r="AB73" s="41">
        <v>1.06</v>
      </c>
      <c r="AC73" s="48">
        <f t="shared" si="34"/>
        <v>0.37313913541368454</v>
      </c>
      <c r="AD73" s="49">
        <f t="shared" si="35"/>
        <v>1.2013003946384798E-2</v>
      </c>
      <c r="AE73" s="112">
        <f t="shared" si="36"/>
        <v>0.13314037626628075</v>
      </c>
      <c r="AF73" s="107">
        <f t="shared" si="37"/>
        <v>7.9335869565217392</v>
      </c>
      <c r="AG73" s="113">
        <v>24</v>
      </c>
      <c r="AH73" s="114">
        <v>92</v>
      </c>
      <c r="AI73" s="118">
        <v>11</v>
      </c>
      <c r="AJ73" s="119">
        <v>88</v>
      </c>
      <c r="AK73" s="116">
        <f>AG73*产品成本!$D$11+AH73*产品成本!$D$12+AI73*产品成本!$D$13+AJ73*产品成本!$D$14</f>
        <v>1062.1712676056336</v>
      </c>
      <c r="AL73" s="116">
        <f>AG73*产品成本!$E$11+AH73*产品成本!$E$12+AI73*产品成本!$E$13+AJ73*产品成本!$E$14</f>
        <v>93.22230985915499</v>
      </c>
      <c r="AM73" s="116">
        <f>AG73*产品成本!$F$11+AH73*产品成本!$F$12+AI73*产品成本!$F$13+AJ73*产品成本!$F$14</f>
        <v>73.099999999999994</v>
      </c>
      <c r="AN73" s="116">
        <f>AG73*产品成本!$G$11+AH73*产品成本!$G$12+AI73*产品成本!$G$13+AJ73*产品成本!$G$14</f>
        <v>838.5</v>
      </c>
      <c r="AO73" s="116">
        <f t="shared" si="38"/>
        <v>672.13049999999998</v>
      </c>
      <c r="AP73" s="117">
        <f t="shared" si="39"/>
        <v>2739.1240774647886</v>
      </c>
      <c r="AQ73" s="118">
        <v>3</v>
      </c>
      <c r="AR73" s="118">
        <v>6</v>
      </c>
      <c r="AS73" s="118">
        <v>0</v>
      </c>
      <c r="AT73" s="119">
        <v>2</v>
      </c>
      <c r="AU73" s="120">
        <f t="shared" si="40"/>
        <v>257.63414634146341</v>
      </c>
      <c r="AV73" s="116">
        <f>AQ73*产品成本!$D$11+AR73*产品成本!$D$12+AS73*产品成本!$D$13+AT73*产品成本!$D$14</f>
        <v>60.416901408450698</v>
      </c>
      <c r="AW73" s="116">
        <f>AQ73*产品成本!$E$11+AR73*产品成本!$E$12+AS73*产品成本!$E$13+AT73*产品成本!$E$14</f>
        <v>4.2931830985915536</v>
      </c>
      <c r="AX73" s="116">
        <f>AQ73*产品成本!$F$11+AR73*产品成本!$F$12+AS73*产品成本!$F$13+AT73*产品成本!$F$14</f>
        <v>3.74</v>
      </c>
      <c r="AY73" s="116"/>
      <c r="AZ73" s="116">
        <f t="shared" si="41"/>
        <v>38.645121951219508</v>
      </c>
      <c r="BA73" s="116">
        <f t="shared" si="42"/>
        <v>-7.729024390243902</v>
      </c>
      <c r="BB73" s="117">
        <f t="shared" si="43"/>
        <v>99.366182068017849</v>
      </c>
      <c r="BC73" s="122">
        <f t="shared" si="44"/>
        <v>2639.7578953967709</v>
      </c>
      <c r="BD73" s="122">
        <f t="shared" si="45"/>
        <v>4480.87</v>
      </c>
      <c r="BE73" s="122">
        <f t="shared" si="46"/>
        <v>4223.2358536585361</v>
      </c>
      <c r="BF73" s="121">
        <f t="shared" si="47"/>
        <v>123.69795826176528</v>
      </c>
      <c r="BG73" s="123">
        <f t="shared" si="48"/>
        <v>2.9289853218736835E-2</v>
      </c>
      <c r="BH73" t="s">
        <v>351</v>
      </c>
      <c r="BI73" t="s">
        <v>352</v>
      </c>
    </row>
    <row r="74" spans="1:61" ht="29.1" customHeight="1" x14ac:dyDescent="0.15">
      <c r="A74" s="38" t="s">
        <v>254</v>
      </c>
      <c r="B74" s="58" t="s">
        <v>255</v>
      </c>
      <c r="C74" s="67">
        <v>238</v>
      </c>
      <c r="D74" s="68">
        <v>233</v>
      </c>
      <c r="E74" s="41">
        <v>5185.82</v>
      </c>
      <c r="F74" s="101">
        <v>145</v>
      </c>
      <c r="G74" s="101">
        <v>140</v>
      </c>
      <c r="H74" s="41">
        <v>3157.05</v>
      </c>
      <c r="I74" s="41">
        <v>329.56</v>
      </c>
      <c r="J74" s="102">
        <v>15</v>
      </c>
      <c r="K74" s="103">
        <f t="shared" si="26"/>
        <v>6.3025210084033612E-2</v>
      </c>
      <c r="L74" s="104">
        <v>274.10000000000002</v>
      </c>
      <c r="M74" s="105">
        <f t="shared" si="49"/>
        <v>4.2194092827004216E-3</v>
      </c>
      <c r="N74" s="103">
        <f t="shared" si="50"/>
        <v>-8.5106382978723406E-3</v>
      </c>
      <c r="O74" s="103">
        <f t="shared" si="51"/>
        <v>9.5173576435729924E-3</v>
      </c>
      <c r="P74" s="106">
        <f t="shared" si="27"/>
        <v>1.0214592274678111</v>
      </c>
      <c r="Q74" s="107">
        <f t="shared" si="28"/>
        <v>22.256738197424891</v>
      </c>
      <c r="R74" s="140">
        <f t="shared" si="29"/>
        <v>21.789159663865544</v>
      </c>
      <c r="S74" s="108">
        <f t="shared" si="52"/>
        <v>20</v>
      </c>
      <c r="T74" s="146">
        <f t="shared" si="31"/>
        <v>69</v>
      </c>
      <c r="U74" s="110">
        <f t="shared" si="32"/>
        <v>0.29613733905579398</v>
      </c>
      <c r="V74" s="71">
        <f t="shared" si="33"/>
        <v>0.28410546387549274</v>
      </c>
      <c r="W74" s="68">
        <v>117521</v>
      </c>
      <c r="X74" s="68">
        <v>1333</v>
      </c>
      <c r="Y74" s="68">
        <v>164</v>
      </c>
      <c r="Z74" s="153">
        <v>1379.69</v>
      </c>
      <c r="AA74" s="152">
        <v>3672.84</v>
      </c>
      <c r="AB74" s="41">
        <v>1.04</v>
      </c>
      <c r="AC74" s="48">
        <f t="shared" si="34"/>
        <v>0.37564663856851921</v>
      </c>
      <c r="AD74" s="49">
        <f t="shared" si="35"/>
        <v>1.1342653653389607E-2</v>
      </c>
      <c r="AE74" s="112">
        <f t="shared" si="36"/>
        <v>0.12303075768942236</v>
      </c>
      <c r="AF74" s="107">
        <f t="shared" si="37"/>
        <v>8.4127439024390256</v>
      </c>
      <c r="AG74" s="113">
        <v>47</v>
      </c>
      <c r="AH74" s="114">
        <v>139</v>
      </c>
      <c r="AI74" s="118">
        <v>24</v>
      </c>
      <c r="AJ74" s="119">
        <v>60</v>
      </c>
      <c r="AK74" s="116">
        <f>AG74*产品成本!$D$11+AH74*产品成本!$D$12+AI74*产品成本!$D$13+AJ74*产品成本!$D$14</f>
        <v>1405.378028169014</v>
      </c>
      <c r="AL74" s="116">
        <f>AG74*产品成本!$E$11+AH74*产品成本!$E$12+AI74*产品成本!$E$13+AJ74*产品成本!$E$14</f>
        <v>108.72202816901418</v>
      </c>
      <c r="AM74" s="116">
        <f>AG74*产品成本!$F$11+AH74*产品成本!$F$12+AI74*产品成本!$F$13+AJ74*产品成本!$F$14</f>
        <v>91.800000000000011</v>
      </c>
      <c r="AN74" s="116">
        <f>AG74*产品成本!$G$11+AH74*产品成本!$G$12+AI74*产品成本!$G$13+AJ74*产品成本!$G$14</f>
        <v>1053</v>
      </c>
      <c r="AO74" s="116">
        <f t="shared" si="38"/>
        <v>728.43899999999985</v>
      </c>
      <c r="AP74" s="117">
        <f t="shared" si="39"/>
        <v>3387.3390563380281</v>
      </c>
      <c r="AQ74" s="118">
        <v>1</v>
      </c>
      <c r="AR74" s="118">
        <v>8</v>
      </c>
      <c r="AS74" s="118">
        <v>2</v>
      </c>
      <c r="AT74" s="119">
        <v>4</v>
      </c>
      <c r="AU74" s="120">
        <f t="shared" si="40"/>
        <v>334.26829268292687</v>
      </c>
      <c r="AV74" s="116">
        <f>AQ74*产品成本!$D$11+AR74*产品成本!$D$12+AS74*产品成本!$D$13+AT74*产品成本!$D$14</f>
        <v>75.908732394366197</v>
      </c>
      <c r="AW74" s="116">
        <f>AQ74*产品成本!$E$11+AR74*产品成本!$E$12+AS74*产品成本!$E$13+AT74*产品成本!$E$14</f>
        <v>6.1974084507042297</v>
      </c>
      <c r="AX74" s="116">
        <f>AQ74*产品成本!$F$11+AR74*产品成本!$F$12+AS74*产品成本!$F$13+AT74*产品成本!$F$14</f>
        <v>5.1000000000000005</v>
      </c>
      <c r="AY74" s="116"/>
      <c r="AZ74" s="116">
        <f t="shared" si="41"/>
        <v>50.140243902439032</v>
      </c>
      <c r="BA74" s="116">
        <f t="shared" si="42"/>
        <v>-10.028048780487808</v>
      </c>
      <c r="BB74" s="117">
        <f t="shared" si="43"/>
        <v>127.31833596702165</v>
      </c>
      <c r="BC74" s="122">
        <f t="shared" si="44"/>
        <v>3260.0207203710065</v>
      </c>
      <c r="BD74" s="122">
        <f t="shared" si="45"/>
        <v>4856.2599999999993</v>
      </c>
      <c r="BE74" s="122">
        <f t="shared" si="46"/>
        <v>4521.9917073170727</v>
      </c>
      <c r="BF74" s="121">
        <f t="shared" si="47"/>
        <v>-117.71901305393385</v>
      </c>
      <c r="BG74" s="123">
        <f t="shared" si="48"/>
        <v>-2.6032558366582522E-2</v>
      </c>
      <c r="BH74" t="s">
        <v>353</v>
      </c>
      <c r="BI74" t="s">
        <v>352</v>
      </c>
    </row>
    <row r="75" spans="1:61" ht="29.1" customHeight="1" x14ac:dyDescent="0.15">
      <c r="A75" s="38" t="s">
        <v>258</v>
      </c>
      <c r="B75" s="58" t="s">
        <v>259</v>
      </c>
      <c r="C75" s="67">
        <v>161</v>
      </c>
      <c r="D75" s="68">
        <v>160</v>
      </c>
      <c r="E75" s="41">
        <v>3584.29</v>
      </c>
      <c r="F75" s="101">
        <v>72</v>
      </c>
      <c r="G75" s="101">
        <v>71</v>
      </c>
      <c r="H75" s="41">
        <v>1625.08</v>
      </c>
      <c r="I75" s="41">
        <v>22.57</v>
      </c>
      <c r="J75" s="102">
        <v>20</v>
      </c>
      <c r="K75" s="103">
        <f t="shared" ref="K75" si="53">J75/C75</f>
        <v>0.12422360248447205</v>
      </c>
      <c r="L75" s="104">
        <v>365.71</v>
      </c>
      <c r="M75" s="105">
        <f t="shared" ref="M75" si="54">(C75-C73)/C73</f>
        <v>-0.25116279069767444</v>
      </c>
      <c r="N75" s="103">
        <f t="shared" ref="N75" si="55">(D75-D73)/D73</f>
        <v>-0.24882629107981222</v>
      </c>
      <c r="O75" s="103">
        <f t="shared" ref="O75" si="56">(E75-E73)/E73</f>
        <v>-0.21078173406993614</v>
      </c>
      <c r="P75" s="106">
        <f t="shared" ref="P75" si="57">C75/D75</f>
        <v>1.0062500000000001</v>
      </c>
      <c r="Q75" s="107">
        <f t="shared" ref="Q75" si="58">E75/D75</f>
        <v>22.401812499999998</v>
      </c>
      <c r="R75" s="140">
        <f t="shared" ref="R75" si="59">E75/C75</f>
        <v>22.262670807453414</v>
      </c>
      <c r="S75" s="108">
        <f t="shared" ref="S75" si="60">G75/7</f>
        <v>10.142857142857142</v>
      </c>
      <c r="T75" s="146">
        <f t="shared" ref="T75" si="61">D75-Y75</f>
        <v>38</v>
      </c>
      <c r="U75" s="110">
        <f t="shared" ref="U75" si="62">T75/D75</f>
        <v>0.23749999999999999</v>
      </c>
      <c r="V75" s="71">
        <f t="shared" ref="V75" si="63">Z75/(E75-I75)</f>
        <v>0.30590276607931</v>
      </c>
      <c r="W75" s="68">
        <v>109324</v>
      </c>
      <c r="X75" s="68">
        <v>1046</v>
      </c>
      <c r="Y75" s="68">
        <v>122</v>
      </c>
      <c r="Z75" s="153">
        <v>1089.54</v>
      </c>
      <c r="AA75" s="152">
        <v>2901.33</v>
      </c>
      <c r="AB75" s="41">
        <v>1.04</v>
      </c>
      <c r="AC75" s="48">
        <f t="shared" ref="AC75" si="64">Z75/AA75</f>
        <v>0.37553122188789279</v>
      </c>
      <c r="AD75" s="49">
        <f t="shared" ref="AD75" si="65">X75/W75</f>
        <v>9.5678899418243021E-3</v>
      </c>
      <c r="AE75" s="112">
        <f t="shared" ref="AE75" si="66">Y75/X75</f>
        <v>0.11663479923518165</v>
      </c>
      <c r="AF75" s="107">
        <f t="shared" ref="AF75" si="67">Z75/Y75</f>
        <v>8.9306557377049174</v>
      </c>
      <c r="AG75" s="113">
        <v>26</v>
      </c>
      <c r="AH75" s="114">
        <v>95</v>
      </c>
      <c r="AI75" s="118">
        <v>10</v>
      </c>
      <c r="AJ75" s="119">
        <v>30</v>
      </c>
      <c r="AK75" s="116">
        <f>AG75*产品成本!$D$11+AH75*产品成本!$D$12+AI75*产品成本!$D$13+AJ75*产品成本!$D$14</f>
        <v>867.82535211267611</v>
      </c>
      <c r="AL75" s="116">
        <f>AG75*产品成本!$E$11+AH75*产品成本!$E$12+AI75*产品成本!$E$13+AJ75*产品成本!$E$14</f>
        <v>63.553577464788788</v>
      </c>
      <c r="AM75" s="116">
        <f>AG75*产品成本!$F$11+AH75*产品成本!$F$12+AI75*产品成本!$F$13+AJ75*产品成本!$F$14</f>
        <v>54.74</v>
      </c>
      <c r="AN75" s="116">
        <f>AG75*产品成本!$G$11+AH75*产品成本!$G$12+AI75*产品成本!$G$13+AJ75*产品成本!$G$14</f>
        <v>627.9</v>
      </c>
      <c r="AO75" s="116">
        <f t="shared" ref="AO75" si="68">(E75-I75)*0.15</f>
        <v>534.25799999999992</v>
      </c>
      <c r="AP75" s="117">
        <f t="shared" ref="AP75" si="69">SUM(AK75:AO75)</f>
        <v>2148.2769295774647</v>
      </c>
      <c r="AQ75" s="118">
        <v>5</v>
      </c>
      <c r="AR75" s="118">
        <v>11</v>
      </c>
      <c r="AS75" s="118">
        <v>0</v>
      </c>
      <c r="AT75" s="119">
        <v>4</v>
      </c>
      <c r="AU75" s="120">
        <f t="shared" ref="AU75" si="70">L75/(1-0.15-0.15*0.2)</f>
        <v>445.98780487804879</v>
      </c>
      <c r="AV75" s="116">
        <f>AQ75*产品成本!$D$11+AR75*产品成本!$D$12+AS75*产品成本!$D$13+AT75*产品成本!$D$14</f>
        <v>109.42535211267607</v>
      </c>
      <c r="AW75" s="116">
        <f>AQ75*产品成本!$E$11+AR75*产品成本!$E$12+AS75*产品成本!$E$13+AT75*产品成本!$E$14</f>
        <v>7.8701971830985995</v>
      </c>
      <c r="AX75" s="116">
        <f>AQ75*产品成本!$F$11+AR75*产品成本!$F$12+AS75*产品成本!$F$13+AT75*产品成本!$F$14</f>
        <v>6.8000000000000007</v>
      </c>
      <c r="AY75" s="116"/>
      <c r="AZ75" s="116">
        <f t="shared" ref="AZ75" si="71">AU75*0.15</f>
        <v>66.89817073170731</v>
      </c>
      <c r="BA75" s="116">
        <f t="shared" ref="BA75" si="72">-AZ75*0.2</f>
        <v>-13.379634146341463</v>
      </c>
      <c r="BB75" s="117">
        <f t="shared" ref="BB75" si="73">SUM(AV75:BA75)</f>
        <v>177.61408588114051</v>
      </c>
      <c r="BC75" s="122">
        <f t="shared" ref="BC75" si="74">AP75-BB75</f>
        <v>1970.6628436963242</v>
      </c>
      <c r="BD75" s="122">
        <f t="shared" ref="BD75" si="75">E75-I75</f>
        <v>3561.72</v>
      </c>
      <c r="BE75" s="122">
        <f t="shared" ref="BE75" si="76">E75-AU75-I75</f>
        <v>3115.732195121951</v>
      </c>
      <c r="BF75" s="121">
        <f t="shared" ref="BF75" si="77">BE75-BC75-Z75</f>
        <v>55.529351425626828</v>
      </c>
      <c r="BG75" s="123">
        <f t="shared" ref="BG75" si="78">BF75/BE75</f>
        <v>1.7822247853189893E-2</v>
      </c>
      <c r="BH75" t="s">
        <v>354</v>
      </c>
      <c r="BI75" t="s">
        <v>355</v>
      </c>
    </row>
    <row r="76" spans="1:61" ht="29.1" customHeight="1" x14ac:dyDescent="0.15">
      <c r="A76" s="38" t="s">
        <v>262</v>
      </c>
      <c r="B76" s="58" t="s">
        <v>263</v>
      </c>
      <c r="C76" s="67">
        <v>186</v>
      </c>
      <c r="D76" s="68">
        <v>182</v>
      </c>
      <c r="E76" s="41">
        <v>3965.65</v>
      </c>
      <c r="F76" s="101">
        <v>118</v>
      </c>
      <c r="G76" s="101">
        <v>115</v>
      </c>
      <c r="H76" s="41">
        <v>2544.02</v>
      </c>
      <c r="I76" s="41">
        <v>21.56</v>
      </c>
      <c r="J76" s="102">
        <v>12</v>
      </c>
      <c r="K76" s="103">
        <f t="shared" ref="K76" si="79">J76/C76</f>
        <v>6.4516129032258063E-2</v>
      </c>
      <c r="L76" s="104">
        <v>219.8</v>
      </c>
      <c r="M76" s="105">
        <f t="shared" ref="M76" si="80">(C76-C74)/C74</f>
        <v>-0.21848739495798319</v>
      </c>
      <c r="N76" s="103">
        <f t="shared" ref="N76" si="81">(D76-D74)/D74</f>
        <v>-0.21888412017167383</v>
      </c>
      <c r="O76" s="103">
        <f t="shared" ref="O76" si="82">(E76-E74)/E74</f>
        <v>-0.23528969381891382</v>
      </c>
      <c r="P76" s="106">
        <f t="shared" ref="P76" si="83">C76/D76</f>
        <v>1.0219780219780219</v>
      </c>
      <c r="Q76" s="107">
        <f t="shared" ref="Q76" si="84">E76/D76</f>
        <v>21.789285714285715</v>
      </c>
      <c r="R76" s="140">
        <f t="shared" ref="R76" si="85">E76/C76</f>
        <v>21.320698924731182</v>
      </c>
      <c r="S76" s="108">
        <f t="shared" ref="S76" si="86">G76/7</f>
        <v>16.428571428571427</v>
      </c>
      <c r="T76" s="146">
        <f t="shared" ref="T76" si="87">D76-Y76</f>
        <v>64</v>
      </c>
      <c r="U76" s="110">
        <f t="shared" ref="U76" si="88">T76/D76</f>
        <v>0.35164835164835168</v>
      </c>
      <c r="V76" s="71">
        <f t="shared" ref="V76" si="89">Z76/(E76-I76)</f>
        <v>0.30384702174646117</v>
      </c>
      <c r="W76" s="68">
        <v>114542</v>
      </c>
      <c r="X76" s="68">
        <v>1174</v>
      </c>
      <c r="Y76" s="68">
        <v>118</v>
      </c>
      <c r="Z76" s="153">
        <v>1198.4000000000001</v>
      </c>
      <c r="AA76" s="152">
        <v>2972.85</v>
      </c>
      <c r="AB76" s="41">
        <v>1.02</v>
      </c>
      <c r="AC76" s="48">
        <f t="shared" ref="AC76" si="90">Z76/AA76</f>
        <v>0.40311485611450298</v>
      </c>
      <c r="AD76" s="49">
        <f t="shared" ref="AD76" si="91">X76/W76</f>
        <v>1.0249515461577412E-2</v>
      </c>
      <c r="AE76" s="112">
        <f t="shared" ref="AE76" si="92">Y76/X76</f>
        <v>0.10051107325383304</v>
      </c>
      <c r="AF76" s="107">
        <f t="shared" ref="AF76" si="93">Z76/Y76</f>
        <v>10.155932203389831</v>
      </c>
      <c r="AG76" s="113">
        <v>46</v>
      </c>
      <c r="AH76" s="114">
        <v>71</v>
      </c>
      <c r="AI76" s="118">
        <v>22</v>
      </c>
      <c r="AJ76" s="119">
        <v>47</v>
      </c>
      <c r="AK76" s="116">
        <f>AG76*产品成本!$D$11+AH76*产品成本!$D$12+AI76*产品成本!$D$13+AJ76*产品成本!$D$14</f>
        <v>923.43830985915497</v>
      </c>
      <c r="AL76" s="116">
        <f>AG76*产品成本!$E$11+AH76*产品成本!$E$12+AI76*产品成本!$E$13+AJ76*产品成本!$E$14</f>
        <v>76.222647887324001</v>
      </c>
      <c r="AM76" s="116">
        <f>AG76*产品成本!$F$11+AH76*产品成本!$F$12+AI76*产品成本!$F$13+AJ76*产品成本!$F$14</f>
        <v>63.240000000000009</v>
      </c>
      <c r="AN76" s="116">
        <f>AG76*产品成本!$G$11+AH76*产品成本!$G$12+AI76*产品成本!$G$13+AJ76*产品成本!$G$14</f>
        <v>725.39999999999986</v>
      </c>
      <c r="AO76" s="116">
        <f t="shared" ref="AO76" si="94">(E76-I76)*0.15</f>
        <v>591.61350000000004</v>
      </c>
      <c r="AP76" s="117">
        <f t="shared" ref="AP76" si="95">SUM(AK76:AO76)</f>
        <v>2379.914457746479</v>
      </c>
      <c r="AQ76" s="118">
        <v>2</v>
      </c>
      <c r="AR76" s="118">
        <v>7</v>
      </c>
      <c r="AS76" s="118">
        <v>2</v>
      </c>
      <c r="AT76" s="119">
        <v>1</v>
      </c>
      <c r="AU76" s="120">
        <f t="shared" ref="AU76" si="96">L76/(1-0.15-0.15*0.2)</f>
        <v>268.04878048780489</v>
      </c>
      <c r="AV76" s="116">
        <f>AQ76*产品成本!$D$11+AR76*产品成本!$D$12+AS76*产品成本!$D$13+AT76*产品成本!$D$14</f>
        <v>63.522816901408447</v>
      </c>
      <c r="AW76" s="116">
        <f>AQ76*产品成本!$E$11+AR76*产品成本!$E$12+AS76*产品成本!$E$13+AT76*产品成本!$E$14</f>
        <v>4.5917746478873278</v>
      </c>
      <c r="AX76" s="116">
        <f>AQ76*产品成本!$F$11+AR76*产品成本!$F$12+AS76*产品成本!$F$13+AT76*产品成本!$F$14</f>
        <v>4.080000000000001</v>
      </c>
      <c r="AY76" s="116"/>
      <c r="AZ76" s="116">
        <f t="shared" ref="AZ76" si="97">AU76*0.15</f>
        <v>40.207317073170735</v>
      </c>
      <c r="BA76" s="116">
        <f t="shared" ref="BA76" si="98">-AZ76*0.2</f>
        <v>-8.0414634146341477</v>
      </c>
      <c r="BB76" s="117">
        <f t="shared" ref="BB76" si="99">SUM(AV76:BA76)</f>
        <v>104.36044520783237</v>
      </c>
      <c r="BC76" s="122">
        <f t="shared" ref="BC76" si="100">AP76-BB76</f>
        <v>2275.5540125386465</v>
      </c>
      <c r="BD76" s="122">
        <f t="shared" ref="BD76" si="101">E76-I76</f>
        <v>3944.09</v>
      </c>
      <c r="BE76" s="122">
        <f t="shared" ref="BE76" si="102">E76-AU76-I76</f>
        <v>3676.0412195121953</v>
      </c>
      <c r="BF76" s="121">
        <f t="shared" ref="BF76" si="103">BE76-BC76-Z76</f>
        <v>202.08720697354875</v>
      </c>
      <c r="BG76" s="123">
        <f t="shared" ref="BG76" si="104">BF76/BE76</f>
        <v>5.4974140632831472E-2</v>
      </c>
      <c r="BH76" t="s">
        <v>356</v>
      </c>
      <c r="BI76" t="s">
        <v>357</v>
      </c>
    </row>
    <row r="77" spans="1:61" ht="29.1" customHeight="1" x14ac:dyDescent="0.15">
      <c r="A77" s="38" t="s">
        <v>458</v>
      </c>
      <c r="B77" s="58" t="s">
        <v>459</v>
      </c>
      <c r="C77" s="67">
        <v>196</v>
      </c>
      <c r="D77" s="68">
        <v>193</v>
      </c>
      <c r="E77" s="41">
        <v>4246.4399999999996</v>
      </c>
      <c r="F77" s="101">
        <v>147</v>
      </c>
      <c r="G77" s="101">
        <v>144</v>
      </c>
      <c r="H77" s="41">
        <v>3208.83</v>
      </c>
      <c r="I77" s="41">
        <v>21.83</v>
      </c>
      <c r="J77" s="102">
        <v>25</v>
      </c>
      <c r="K77" s="103">
        <f t="shared" ref="K77" si="105">J77/C77</f>
        <v>0.12755102040816327</v>
      </c>
      <c r="L77" s="104">
        <v>424.97</v>
      </c>
      <c r="M77" s="105">
        <f t="shared" ref="M77" si="106">(C77-C75)/C75</f>
        <v>0.21739130434782608</v>
      </c>
      <c r="N77" s="103">
        <f t="shared" ref="N77" si="107">(D77-D75)/D75</f>
        <v>0.20624999999999999</v>
      </c>
      <c r="O77" s="103">
        <f t="shared" ref="O77" si="108">(E77-E75)/E75</f>
        <v>0.18473672610196151</v>
      </c>
      <c r="P77" s="106">
        <f t="shared" ref="P77" si="109">C77/D77</f>
        <v>1.0155440414507773</v>
      </c>
      <c r="Q77" s="107">
        <f t="shared" ref="Q77" si="110">E77/D77</f>
        <v>22.002279792746112</v>
      </c>
      <c r="R77" s="140">
        <f t="shared" ref="R77" si="111">E77/C77</f>
        <v>21.665510204081631</v>
      </c>
      <c r="S77" s="108">
        <f t="shared" ref="S77" si="112">G77/7</f>
        <v>20.571428571428573</v>
      </c>
      <c r="T77" s="146">
        <f t="shared" ref="T77" si="113">D77-Y77</f>
        <v>65</v>
      </c>
      <c r="U77" s="110">
        <f t="shared" ref="U77" si="114">T77/D77</f>
        <v>0.33678756476683935</v>
      </c>
      <c r="V77" s="71">
        <f t="shared" ref="V77" si="115">Z77/(E77-I77)</f>
        <v>0.23987066261737772</v>
      </c>
      <c r="W77" s="68">
        <v>109036</v>
      </c>
      <c r="X77" s="68">
        <v>991</v>
      </c>
      <c r="Y77" s="68">
        <v>128</v>
      </c>
      <c r="Z77" s="153">
        <v>1013.36</v>
      </c>
      <c r="AA77" s="152">
        <v>3182.82</v>
      </c>
      <c r="AB77" s="41">
        <v>1.02</v>
      </c>
      <c r="AC77" s="48">
        <f t="shared" ref="AC77" si="116">Z77/AA77</f>
        <v>0.31838432584940396</v>
      </c>
      <c r="AD77" s="49">
        <f t="shared" ref="AD77" si="117">X77/W77</f>
        <v>9.0887413331376798E-3</v>
      </c>
      <c r="AE77" s="112">
        <f t="shared" ref="AE77" si="118">Y77/X77</f>
        <v>0.12916246215943492</v>
      </c>
      <c r="AF77" s="107">
        <f t="shared" ref="AF77" si="119">Z77/Y77</f>
        <v>7.9168750000000001</v>
      </c>
      <c r="AG77" s="113">
        <v>24</v>
      </c>
      <c r="AH77" s="114">
        <v>97</v>
      </c>
      <c r="AI77" s="118">
        <v>13</v>
      </c>
      <c r="AJ77" s="119">
        <v>62</v>
      </c>
      <c r="AK77" s="116">
        <f>AG77*产品成本!$D$11+AH77*产品成本!$D$12+AI77*产品成本!$D$13+AJ77*产品成本!$D$14</f>
        <v>1000.2771830985915</v>
      </c>
      <c r="AL77" s="116">
        <f>AG77*产品成本!$E$11+AH77*产品成本!$E$12+AI77*产品成本!$E$13+AJ77*产品成本!$E$14</f>
        <v>81.931042253521184</v>
      </c>
      <c r="AM77" s="116">
        <f>AG77*产品成本!$F$11+AH77*产品成本!$F$12+AI77*产品成本!$F$13+AJ77*产品成本!$F$14</f>
        <v>66.64</v>
      </c>
      <c r="AN77" s="116">
        <f>AG77*产品成本!$G$11+AH77*产品成本!$G$12+AI77*产品成本!$G$13+AJ77*产品成本!$G$14</f>
        <v>764.4</v>
      </c>
      <c r="AO77" s="116">
        <f t="shared" ref="AO77" si="120">(E77-I77)*0.15</f>
        <v>633.69149999999991</v>
      </c>
      <c r="AP77" s="117">
        <f t="shared" ref="AP77" si="121">SUM(AK77:AO77)</f>
        <v>2546.9397253521129</v>
      </c>
      <c r="AQ77" s="118">
        <v>1</v>
      </c>
      <c r="AR77" s="118">
        <v>12</v>
      </c>
      <c r="AS77" s="118">
        <v>4</v>
      </c>
      <c r="AT77" s="119">
        <v>8</v>
      </c>
      <c r="AU77" s="120">
        <f t="shared" ref="AU77" si="122">L77/(1-0.15-0.15*0.2)</f>
        <v>518.25609756097572</v>
      </c>
      <c r="AV77" s="116">
        <f>AQ77*产品成本!$D$11+AR77*产品成本!$D$12+AS77*产品成本!$D$13+AT77*产品成本!$D$14</f>
        <v>121.81746478873239</v>
      </c>
      <c r="AW77" s="116">
        <f>AQ77*产品成本!$E$11+AR77*产品成本!$E$12+AS77*产品成本!$E$13+AT77*产品成本!$E$14</f>
        <v>10.604394366197189</v>
      </c>
      <c r="AX77" s="116">
        <f>AQ77*产品成本!$F$11+AR77*产品成本!$F$12+AS77*产品成本!$F$13+AT77*产品成本!$F$14</f>
        <v>8.5</v>
      </c>
      <c r="AY77" s="116"/>
      <c r="AZ77" s="116">
        <f t="shared" ref="AZ77" si="123">AU77*0.15</f>
        <v>77.738414634146352</v>
      </c>
      <c r="BA77" s="116">
        <f t="shared" ref="BA77" si="124">-AZ77*0.2</f>
        <v>-15.547682926829271</v>
      </c>
      <c r="BB77" s="117">
        <f t="shared" ref="BB77" si="125">SUM(AV77:BA77)</f>
        <v>203.11259086224666</v>
      </c>
      <c r="BC77" s="122">
        <f t="shared" ref="BC77" si="126">AP77-BB77</f>
        <v>2343.8271344898662</v>
      </c>
      <c r="BD77" s="122">
        <f t="shared" ref="BD77" si="127">E77-I77</f>
        <v>4224.6099999999997</v>
      </c>
      <c r="BE77" s="122">
        <f t="shared" ref="BE77" si="128">E77-AU77-I77</f>
        <v>3706.3539024390238</v>
      </c>
      <c r="BF77" s="121">
        <f t="shared" ref="BF77" si="129">BE77-BC77-Z77</f>
        <v>349.16676794915759</v>
      </c>
      <c r="BG77" s="123">
        <f t="shared" ref="BG77" si="130">BF77/BE77</f>
        <v>9.42076167414512E-2</v>
      </c>
      <c r="BH77" t="s">
        <v>356</v>
      </c>
      <c r="BI77" t="s">
        <v>357</v>
      </c>
    </row>
    <row r="78" spans="1:61" ht="29.1" customHeight="1" x14ac:dyDescent="0.15">
      <c r="A78" s="127" t="s">
        <v>266</v>
      </c>
      <c r="B78" s="128"/>
      <c r="C78" s="128">
        <f>SUBTOTAL(109,表3_39[销量])</f>
        <v>7835</v>
      </c>
      <c r="D78" s="128">
        <f>SUBTOTAL(109,表3_39[订单量])</f>
        <v>7725</v>
      </c>
      <c r="E78" s="128">
        <f>SUBTOTAL(109,表3_39[销售额])</f>
        <v>164444.94</v>
      </c>
      <c r="F78" s="128">
        <f>SUBTOTAL(109,表3_39[促销销量])</f>
        <v>1224</v>
      </c>
      <c r="G78" s="128">
        <f>SUBTOTAL(109,表3_39[促销订单量])</f>
        <v>1192</v>
      </c>
      <c r="H78" s="128">
        <f>SUBTOTAL(109,表3_39[促销销售额])</f>
        <v>26328.58</v>
      </c>
      <c r="I78" s="128">
        <f>SUBTOTAL(109,表3_39[促销折扣])</f>
        <v>2380.33</v>
      </c>
      <c r="J78" s="128">
        <f>SUBTOTAL(109,表3_39[退款量])</f>
        <v>573</v>
      </c>
      <c r="K78" s="129">
        <f t="shared" si="26"/>
        <v>7.3133375877472873E-2</v>
      </c>
      <c r="L78" s="130">
        <f>SUBTOTAL(109,表3_39[退款金额])</f>
        <v>10413.74</v>
      </c>
      <c r="M78" s="128"/>
      <c r="N78" s="128"/>
      <c r="O78" s="128"/>
      <c r="P78" s="131">
        <f>SUBTOTAL(101,表3_39[客单
销量])</f>
        <v>1.0153050118488667</v>
      </c>
      <c r="Q78" s="131">
        <f>SUBTOTAL(101,表3_39[客单
价格($)])</f>
        <v>21.145307613598025</v>
      </c>
      <c r="R78" s="131">
        <f>SUBTOTAL(101,表3_39[销售
均价($)])</f>
        <v>20.840914096890184</v>
      </c>
      <c r="S78" s="131">
        <f>SUBTOTAL(101,表3_39[日均
销量])</f>
        <v>5.9459459459459465</v>
      </c>
      <c r="T78" s="132">
        <f>SUBTOTAL(109,表3_39[自然
订单])</f>
        <v>1621</v>
      </c>
      <c r="U78" s="133">
        <f t="shared" si="32"/>
        <v>0.20983818770226537</v>
      </c>
      <c r="V78" s="129">
        <f>SUBTOTAL(101,表3_39[TAcos
(%)])</f>
        <v>0.41070662185413653</v>
      </c>
      <c r="W78" s="128">
        <f>SUBTOTAL(109,表3_39[展示])</f>
        <v>6199605</v>
      </c>
      <c r="X78" s="128">
        <f>SUBTOTAL(109,表3_39[点击])</f>
        <v>58801</v>
      </c>
      <c r="Y78" s="128">
        <f>SUBTOTAL(109,表3_39[广告订单量])</f>
        <v>6104</v>
      </c>
      <c r="Z78" s="128">
        <f>SUBTOTAL(109,表3_39[广告花费])</f>
        <v>61473.51</v>
      </c>
      <c r="AA78" s="128">
        <f>SUBTOTAL(109,表3_39[广告销售额])</f>
        <v>130980.17</v>
      </c>
      <c r="AB78" s="128">
        <f>SUBTOTAL(101,表3_39[CPC])</f>
        <v>1.0284931506849317</v>
      </c>
      <c r="AC78" s="129">
        <f t="shared" si="34"/>
        <v>0.46933448017360185</v>
      </c>
      <c r="AD78" s="129">
        <f t="shared" ref="AD78:AF78" si="131">X78/W78</f>
        <v>9.4846365211977215E-3</v>
      </c>
      <c r="AE78" s="129">
        <f t="shared" si="131"/>
        <v>0.10380775837145627</v>
      </c>
      <c r="AF78" s="131">
        <f t="shared" si="131"/>
        <v>10.071020642201836</v>
      </c>
      <c r="AG78" s="128">
        <f>SUBTOTAL(109,表3_39[w/oHandle AL])</f>
        <v>1668</v>
      </c>
      <c r="AH78" s="128">
        <f>SUBTOTAL(109,表3_39[w/Handle AL])</f>
        <v>4983</v>
      </c>
      <c r="AI78" s="128">
        <f>SUBTOTAL(109,表3_39[w/oHandle ZN])</f>
        <v>250</v>
      </c>
      <c r="AJ78" s="128">
        <f>SUBTOTAL(109,表3_39[w/Handle ZN])</f>
        <v>955</v>
      </c>
      <c r="AK78" s="130">
        <f>SUBTOTAL(109,表3_39[产品成本])</f>
        <v>43941.957746478874</v>
      </c>
      <c r="AL78" s="130">
        <f>SUBTOTAL(109,表3_39[头程])</f>
        <v>2996.9721690140868</v>
      </c>
      <c r="AM78" s="130">
        <f>SUBTOTAL(109,表3_39[入仓费])</f>
        <v>2671.0399999999995</v>
      </c>
      <c r="AN78" s="130">
        <f>SUBTOTAL(109,表3_39[FBA物流])</f>
        <v>30638.400000000005</v>
      </c>
      <c r="AO78" s="130">
        <f>SUBTOTAL(109,表3_39[佣金])</f>
        <v>24309.691499999997</v>
      </c>
      <c r="AP78" s="130">
        <f>SUBTOTAL(109,表3_39[成本小结])</f>
        <v>104558.06141549294</v>
      </c>
      <c r="AQ78" s="135">
        <f>SUBTOTAL(109,表3_39[退款w/oHandle AL])</f>
        <v>116</v>
      </c>
      <c r="AR78" s="135">
        <f>SUBTOTAL(109,表3_39[退款w/Handle AL])</f>
        <v>384</v>
      </c>
      <c r="AS78" s="135">
        <f>SUBTOTAL(109,表3_39[退款w/oHandle ZN])</f>
        <v>16</v>
      </c>
      <c r="AT78" s="135">
        <f>SUBTOTAL(109,表3_39[退款w/Handle ZN])</f>
        <v>56</v>
      </c>
      <c r="AU78" s="130">
        <f>SUBTOTAL(109,表3_39[退款
销售金额])</f>
        <v>12699.682926829273</v>
      </c>
      <c r="AV78" s="130">
        <f>SUBTOTAL(109,表3_39[退款
产品成本])</f>
        <v>3244.3853521126766</v>
      </c>
      <c r="AW78" s="130">
        <f>SUBTOTAL(109,表3_39[退款头程])</f>
        <v>215.68450704225376</v>
      </c>
      <c r="AX78" s="130">
        <f>SUBTOTAL(109,表3_39[退款
入仓费])</f>
        <v>194.48000000000005</v>
      </c>
      <c r="AY78" s="130">
        <f>SUBTOTAL(109,表3_39[退款
FBA物流])</f>
        <v>0</v>
      </c>
      <c r="AZ78" s="130">
        <f>SUBTOTAL(109,表3_39[退款佣金])</f>
        <v>1904.952439024391</v>
      </c>
      <c r="BA78" s="130">
        <f>SUBTOTAL(109,表3_39[退款
管理费用
佣金的20%])</f>
        <v>-380.99048780487817</v>
      </c>
      <c r="BB78" s="130">
        <f>SUBTOTAL(109,表3_39[退款
成本小结])</f>
        <v>5178.5118103744426</v>
      </c>
      <c r="BC78" s="130">
        <f>SUBTOTAL(109,表3_39[净成本])</f>
        <v>99379.549605118518</v>
      </c>
      <c r="BD78" s="130">
        <f>SUBTOTAL(109,表3_39[净销售额])</f>
        <v>162064.60999999999</v>
      </c>
      <c r="BE78" s="130">
        <f>SUBTOTAL(109,表3_39[净销售额
(-退款金额)])</f>
        <v>149364.92707317075</v>
      </c>
      <c r="BF78" s="130">
        <f>SUBTOTAL(109,表3_39[毛利])</f>
        <v>-11488.132531947787</v>
      </c>
      <c r="BG78" s="129">
        <f>SUBTOTAL(101,表3_39[毛利率])</f>
        <v>-0.13409188617339798</v>
      </c>
    </row>
  </sheetData>
  <mergeCells count="14">
    <mergeCell ref="A1:B2"/>
    <mergeCell ref="BC1:BG2"/>
    <mergeCell ref="C1:V1"/>
    <mergeCell ref="W1:AF1"/>
    <mergeCell ref="AG1:AP1"/>
    <mergeCell ref="AQ1:BB1"/>
    <mergeCell ref="C2:L2"/>
    <mergeCell ref="M2:V2"/>
    <mergeCell ref="W2:AB2"/>
    <mergeCell ref="AC2:AF2"/>
    <mergeCell ref="AG2:AJ2"/>
    <mergeCell ref="AK2:AP2"/>
    <mergeCell ref="AQ2:AT2"/>
    <mergeCell ref="AU2:BB2"/>
  </mergeCells>
  <phoneticPr fontId="36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59999389629810485"/>
  </sheetPr>
  <dimension ref="A1:BE66"/>
  <sheetViews>
    <sheetView workbookViewId="0">
      <pane xSplit="12" ySplit="3" topLeftCell="AU55" activePane="bottomRight" state="frozen"/>
      <selection pane="topRight"/>
      <selection pane="bottomLeft"/>
      <selection pane="bottomRight" activeCell="A65" sqref="A65:XFD65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7.125" customWidth="1"/>
    <col min="8" max="8" width="8.375" customWidth="1"/>
    <col min="9" max="9" width="7.12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8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28.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358</v>
      </c>
      <c r="AH3" s="137" t="s">
        <v>359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45" t="s">
        <v>360</v>
      </c>
      <c r="AP3" s="139" t="s">
        <v>361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275</v>
      </c>
    </row>
    <row r="4" spans="1:57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14.994999999999999</v>
      </c>
      <c r="R4" s="140">
        <f t="shared" ref="R4:R35" si="3">E4/C4</f>
        <v>14.994999999999999</v>
      </c>
      <c r="S4" s="108">
        <f t="shared" ref="S4:S35" si="4">C4/7</f>
        <v>0.2857142857142857</v>
      </c>
      <c r="T4" s="146">
        <f t="shared" ref="T4:T35" si="5">D4-Y4</f>
        <v>1</v>
      </c>
      <c r="U4" s="110">
        <f t="shared" ref="U4:U35" si="6">T4/D4</f>
        <v>0.5</v>
      </c>
      <c r="V4" s="71">
        <f t="shared" ref="V4:V35" si="7">Z4/(E4-I4)</f>
        <v>1.3661220406802268</v>
      </c>
      <c r="W4" s="68">
        <v>3053</v>
      </c>
      <c r="X4" s="68">
        <v>39</v>
      </c>
      <c r="Y4" s="68">
        <v>1</v>
      </c>
      <c r="Z4" s="68">
        <v>40.97</v>
      </c>
      <c r="AA4" s="69">
        <v>14.99</v>
      </c>
      <c r="AB4" s="68">
        <v>1.05</v>
      </c>
      <c r="AC4" s="48">
        <f t="shared" ref="AC4:AC35" si="8">Z4/AA4</f>
        <v>2.733155436957972</v>
      </c>
      <c r="AD4" s="49">
        <f t="shared" ref="AD4:AD35" si="9">X4/W4</f>
        <v>1.2774320340648543E-2</v>
      </c>
      <c r="AE4" s="112">
        <f t="shared" ref="AE4:AE35" si="10">Y4/X4</f>
        <v>2.564102564102564E-2</v>
      </c>
      <c r="AF4" s="107">
        <f t="shared" ref="AF4:AF35" si="11">Z4/Y4</f>
        <v>40.97</v>
      </c>
      <c r="AG4" s="113">
        <v>0</v>
      </c>
      <c r="AH4" s="115">
        <v>2</v>
      </c>
      <c r="AI4" s="116">
        <f>AG4*产品成本!$D$15+AH4*产品成本!$D$16</f>
        <v>10.70422535211268</v>
      </c>
      <c r="AJ4" s="116">
        <f>AG4*产品成本!$E$15+AH4*产品成本!$E$16</f>
        <v>0.64</v>
      </c>
      <c r="AK4" s="116">
        <f>AG4*产品成本!$F$15+AH4*产品成本!$F$16</f>
        <v>0.68</v>
      </c>
      <c r="AL4" s="116">
        <f>AG4*产品成本!$G$15+AH4*产品成本!$G$16</f>
        <v>7.8</v>
      </c>
      <c r="AM4" s="116">
        <f t="shared" ref="AM4:AM35" si="12">(E4-I4)*0.15</f>
        <v>4.4984999999999999</v>
      </c>
      <c r="AN4" s="117">
        <f t="shared" ref="AN4:AN35" si="13">SUM(AI4:AM4)</f>
        <v>24.32272535211268</v>
      </c>
      <c r="AO4" s="118">
        <v>0</v>
      </c>
      <c r="AP4" s="119">
        <v>0</v>
      </c>
      <c r="AQ4" s="120">
        <f t="shared" ref="AQ4:AQ35" si="14">L4/(1-0.15-0.15*0.2)</f>
        <v>0</v>
      </c>
      <c r="AR4" s="116">
        <f>AO4*产品成本!$D$15+AP4*产品成本!$D$16</f>
        <v>0</v>
      </c>
      <c r="AS4" s="116">
        <f>AO4*产品成本!$E$15+AP4*产品成本!$E$16</f>
        <v>0</v>
      </c>
      <c r="AT4" s="116">
        <f>AO4*产品成本!$F$15+AP4*产品成本!$F$16</f>
        <v>0</v>
      </c>
      <c r="AU4" s="116"/>
      <c r="AV4" s="116">
        <f t="shared" ref="AV4:AV35" si="15">AQ4*0.15</f>
        <v>0</v>
      </c>
      <c r="AW4" s="116">
        <f t="shared" ref="AW4:AW35" si="16">-AV4*0.2</f>
        <v>0</v>
      </c>
      <c r="AX4" s="117">
        <f t="shared" ref="AX4:AX35" si="17">SUM(AR4:AW4)</f>
        <v>0</v>
      </c>
      <c r="AY4" s="122">
        <f t="shared" ref="AY4:AY21" si="18">AN4-AX4</f>
        <v>24.32272535211268</v>
      </c>
      <c r="AZ4" s="122">
        <f t="shared" ref="AZ4:AZ35" si="19">E4-I4</f>
        <v>29.99</v>
      </c>
      <c r="BA4" s="122">
        <f t="shared" ref="BA4:BA35" si="20">E4-AQ4-I4</f>
        <v>29.99</v>
      </c>
      <c r="BB4" s="121">
        <f t="shared" ref="BB4:BB35" si="21">BA4-AY4-Z4</f>
        <v>-35.302725352112681</v>
      </c>
      <c r="BC4" s="123">
        <f t="shared" ref="BC4:BC21" si="22">BB4/BA4</f>
        <v>-1.1771498950354347</v>
      </c>
      <c r="BD4" t="s">
        <v>362</v>
      </c>
    </row>
    <row r="5" spans="1:57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21" si="23">(C5-C4)/C4</f>
        <v>2</v>
      </c>
      <c r="N5" s="103">
        <f t="shared" ref="N5:N21" si="24">(D5-D4)/D4</f>
        <v>2</v>
      </c>
      <c r="O5" s="103">
        <f t="shared" ref="O5:O21" si="25">(E5-E4)/E4</f>
        <v>4.1747249083027675</v>
      </c>
      <c r="P5" s="106">
        <f t="shared" si="1"/>
        <v>1</v>
      </c>
      <c r="Q5" s="107">
        <f t="shared" si="2"/>
        <v>25.864999999999998</v>
      </c>
      <c r="R5" s="140">
        <f t="shared" si="3"/>
        <v>25.864999999999998</v>
      </c>
      <c r="S5" s="108">
        <f t="shared" si="4"/>
        <v>0.8571428571428571</v>
      </c>
      <c r="T5" s="146">
        <f t="shared" si="5"/>
        <v>-5</v>
      </c>
      <c r="U5" s="110">
        <f t="shared" si="6"/>
        <v>-0.83333333333333337</v>
      </c>
      <c r="V5" s="71">
        <f t="shared" si="7"/>
        <v>0.85044139441974353</v>
      </c>
      <c r="W5" s="68">
        <v>12361</v>
      </c>
      <c r="X5" s="68">
        <v>118</v>
      </c>
      <c r="Y5" s="68">
        <v>11</v>
      </c>
      <c r="Z5" s="68">
        <v>131.97999999999999</v>
      </c>
      <c r="AA5" s="69">
        <v>291.69</v>
      </c>
      <c r="AB5" s="68">
        <v>1.1200000000000001</v>
      </c>
      <c r="AC5" s="48">
        <f t="shared" si="8"/>
        <v>0.45246665981007228</v>
      </c>
      <c r="AD5" s="49">
        <f t="shared" si="9"/>
        <v>9.546153223849203E-3</v>
      </c>
      <c r="AE5" s="112">
        <f t="shared" si="10"/>
        <v>9.3220338983050849E-2</v>
      </c>
      <c r="AF5" s="107">
        <f t="shared" si="11"/>
        <v>11.998181818181818</v>
      </c>
      <c r="AG5" s="113">
        <v>0</v>
      </c>
      <c r="AH5" s="115">
        <v>6</v>
      </c>
      <c r="AI5" s="116">
        <f>AG5*产品成本!$D$15+AH5*产品成本!$D$16</f>
        <v>32.112676056338039</v>
      </c>
      <c r="AJ5" s="116">
        <f>AG5*产品成本!$E$15+AH5*产品成本!$E$16</f>
        <v>1.92</v>
      </c>
      <c r="AK5" s="116">
        <f>AG5*产品成本!$F$15+AH5*产品成本!$F$16</f>
        <v>2.04</v>
      </c>
      <c r="AL5" s="116">
        <f>AG5*产品成本!$G$15+AH5*产品成本!$G$16</f>
        <v>23.4</v>
      </c>
      <c r="AM5" s="116">
        <f t="shared" si="12"/>
        <v>23.278499999999998</v>
      </c>
      <c r="AN5" s="117">
        <f t="shared" si="13"/>
        <v>82.751176056338039</v>
      </c>
      <c r="AO5" s="118">
        <v>0</v>
      </c>
      <c r="AP5" s="119">
        <v>0</v>
      </c>
      <c r="AQ5" s="120">
        <f t="shared" si="14"/>
        <v>0</v>
      </c>
      <c r="AR5" s="116">
        <f>AO5*产品成本!$D$15+AP5*产品成本!$D$16</f>
        <v>0</v>
      </c>
      <c r="AS5" s="116">
        <f>AO5*产品成本!$E$15+AP5*产品成本!$E$16</f>
        <v>0</v>
      </c>
      <c r="AT5" s="116">
        <f>AO5*产品成本!$F$15+AP5*产品成本!$F$16</f>
        <v>0</v>
      </c>
      <c r="AU5" s="116"/>
      <c r="AV5" s="116">
        <f t="shared" si="15"/>
        <v>0</v>
      </c>
      <c r="AW5" s="116">
        <f t="shared" si="16"/>
        <v>0</v>
      </c>
      <c r="AX5" s="117">
        <f t="shared" si="17"/>
        <v>0</v>
      </c>
      <c r="AY5" s="122">
        <f t="shared" si="18"/>
        <v>82.751176056338039</v>
      </c>
      <c r="AZ5" s="122">
        <f t="shared" si="19"/>
        <v>155.19</v>
      </c>
      <c r="BA5" s="122">
        <f t="shared" si="20"/>
        <v>155.19</v>
      </c>
      <c r="BB5" s="121">
        <f t="shared" si="21"/>
        <v>-59.541176056338031</v>
      </c>
      <c r="BC5" s="123">
        <f t="shared" si="22"/>
        <v>-0.38366631906912835</v>
      </c>
      <c r="BD5" s="125"/>
    </row>
    <row r="6" spans="1:57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3"/>
        <v>2</v>
      </c>
      <c r="N6" s="103">
        <f t="shared" si="24"/>
        <v>2</v>
      </c>
      <c r="O6" s="103">
        <f t="shared" si="25"/>
        <v>0.65216830981377649</v>
      </c>
      <c r="P6" s="106">
        <f t="shared" si="1"/>
        <v>1</v>
      </c>
      <c r="Q6" s="107">
        <f t="shared" si="2"/>
        <v>14.244444444444444</v>
      </c>
      <c r="R6" s="140">
        <f t="shared" si="3"/>
        <v>14.244444444444444</v>
      </c>
      <c r="S6" s="108">
        <f t="shared" si="4"/>
        <v>2.5714285714285716</v>
      </c>
      <c r="T6" s="146">
        <f t="shared" si="5"/>
        <v>15</v>
      </c>
      <c r="U6" s="110">
        <f t="shared" si="6"/>
        <v>0.83333333333333337</v>
      </c>
      <c r="V6" s="71">
        <f t="shared" si="7"/>
        <v>0.35830733229329176</v>
      </c>
      <c r="W6" s="68">
        <v>14591</v>
      </c>
      <c r="X6" s="68">
        <v>96</v>
      </c>
      <c r="Y6" s="68">
        <v>3</v>
      </c>
      <c r="Z6" s="68">
        <v>91.87</v>
      </c>
      <c r="AA6" s="69">
        <v>80.97</v>
      </c>
      <c r="AB6" s="68">
        <v>0.96</v>
      </c>
      <c r="AC6" s="48">
        <f t="shared" si="8"/>
        <v>1.1346177596640732</v>
      </c>
      <c r="AD6" s="49">
        <f t="shared" si="9"/>
        <v>6.5793982592008771E-3</v>
      </c>
      <c r="AE6" s="112">
        <f t="shared" si="10"/>
        <v>3.125E-2</v>
      </c>
      <c r="AF6" s="107">
        <f t="shared" si="11"/>
        <v>30.623333333333335</v>
      </c>
      <c r="AG6" s="113">
        <v>0</v>
      </c>
      <c r="AH6" s="115">
        <v>18</v>
      </c>
      <c r="AI6" s="116">
        <f>AG6*产品成本!$D$15+AH6*产品成本!$D$16</f>
        <v>96.338028169014109</v>
      </c>
      <c r="AJ6" s="116">
        <f>AG6*产品成本!$E$15+AH6*产品成本!$E$16</f>
        <v>5.76</v>
      </c>
      <c r="AK6" s="116">
        <f>AG6*产品成本!$F$15+AH6*产品成本!$F$16</f>
        <v>6.12</v>
      </c>
      <c r="AL6" s="116">
        <f>AG6*产品成本!$G$15+AH6*产品成本!$G$16</f>
        <v>70.2</v>
      </c>
      <c r="AM6" s="116">
        <f t="shared" si="12"/>
        <v>38.459999999999994</v>
      </c>
      <c r="AN6" s="117">
        <f t="shared" si="13"/>
        <v>216.8780281690141</v>
      </c>
      <c r="AO6" s="118">
        <v>0</v>
      </c>
      <c r="AP6" s="119">
        <v>0</v>
      </c>
      <c r="AQ6" s="120">
        <f t="shared" si="14"/>
        <v>0</v>
      </c>
      <c r="AR6" s="116">
        <f>AO6*产品成本!$D$15+AP6*产品成本!$D$16</f>
        <v>0</v>
      </c>
      <c r="AS6" s="116">
        <f>AO6*产品成本!$E$15+AP6*产品成本!$E$16</f>
        <v>0</v>
      </c>
      <c r="AT6" s="116">
        <f>AO6*产品成本!$F$15+AP6*产品成本!$F$16</f>
        <v>0</v>
      </c>
      <c r="AU6" s="116"/>
      <c r="AV6" s="116">
        <f t="shared" si="15"/>
        <v>0</v>
      </c>
      <c r="AW6" s="116">
        <f t="shared" si="16"/>
        <v>0</v>
      </c>
      <c r="AX6" s="117">
        <f t="shared" si="17"/>
        <v>0</v>
      </c>
      <c r="AY6" s="122">
        <f t="shared" si="18"/>
        <v>216.8780281690141</v>
      </c>
      <c r="AZ6" s="122">
        <f t="shared" si="19"/>
        <v>256.39999999999998</v>
      </c>
      <c r="BA6" s="122">
        <f t="shared" si="20"/>
        <v>256.39999999999998</v>
      </c>
      <c r="BB6" s="121">
        <f t="shared" si="21"/>
        <v>-52.348028169014128</v>
      </c>
      <c r="BC6" s="123">
        <f t="shared" si="22"/>
        <v>-0.20416547647821426</v>
      </c>
      <c r="BD6" t="s">
        <v>363</v>
      </c>
    </row>
    <row r="7" spans="1:57" ht="29.1" customHeight="1" x14ac:dyDescent="0.15">
      <c r="A7" s="38" t="s">
        <v>110</v>
      </c>
      <c r="B7" s="66" t="s">
        <v>111</v>
      </c>
      <c r="C7" s="67">
        <v>17</v>
      </c>
      <c r="D7" s="68">
        <v>17</v>
      </c>
      <c r="E7" s="41">
        <v>431.84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3"/>
        <v>-5.5555555555555552E-2</v>
      </c>
      <c r="N7" s="103">
        <f t="shared" si="24"/>
        <v>-5.5555555555555552E-2</v>
      </c>
      <c r="O7" s="103">
        <f t="shared" si="25"/>
        <v>0.6842433697347895</v>
      </c>
      <c r="P7" s="106">
        <f t="shared" si="1"/>
        <v>1</v>
      </c>
      <c r="Q7" s="107">
        <f t="shared" si="2"/>
        <v>25.402352941176471</v>
      </c>
      <c r="R7" s="140">
        <f t="shared" si="3"/>
        <v>25.402352941176471</v>
      </c>
      <c r="S7" s="108">
        <f t="shared" si="4"/>
        <v>2.4285714285714284</v>
      </c>
      <c r="T7" s="146">
        <f t="shared" si="5"/>
        <v>4</v>
      </c>
      <c r="U7" s="110">
        <f t="shared" si="6"/>
        <v>0.23529411764705882</v>
      </c>
      <c r="V7" s="71">
        <f t="shared" si="7"/>
        <v>0.23721748795850317</v>
      </c>
      <c r="W7" s="68">
        <v>12016</v>
      </c>
      <c r="X7" s="68">
        <v>122</v>
      </c>
      <c r="Y7" s="68">
        <v>13</v>
      </c>
      <c r="Z7" s="68">
        <v>102.44</v>
      </c>
      <c r="AA7" s="69">
        <v>320.67</v>
      </c>
      <c r="AB7" s="68">
        <v>0.84</v>
      </c>
      <c r="AC7" s="48">
        <f t="shared" si="8"/>
        <v>0.31945613870957679</v>
      </c>
      <c r="AD7" s="49">
        <f t="shared" si="9"/>
        <v>1.0153129161118509E-2</v>
      </c>
      <c r="AE7" s="112">
        <f t="shared" si="10"/>
        <v>0.10655737704918032</v>
      </c>
      <c r="AF7" s="107">
        <f t="shared" si="11"/>
        <v>7.88</v>
      </c>
      <c r="AG7" s="113">
        <v>0</v>
      </c>
      <c r="AH7" s="115">
        <v>17</v>
      </c>
      <c r="AI7" s="116">
        <f>AG7*产品成本!$D$15+AH7*产品成本!$D$16</f>
        <v>90.985915492957773</v>
      </c>
      <c r="AJ7" s="116">
        <f>AG7*产品成本!$E$15+AH7*产品成本!$E$16</f>
        <v>5.44</v>
      </c>
      <c r="AK7" s="116">
        <f>AG7*产品成本!$F$15+AH7*产品成本!$F$16</f>
        <v>5.78</v>
      </c>
      <c r="AL7" s="116">
        <f>AG7*产品成本!$G$15+AH7*产品成本!$G$16</f>
        <v>66.3</v>
      </c>
      <c r="AM7" s="116">
        <f t="shared" si="12"/>
        <v>64.775999999999996</v>
      </c>
      <c r="AN7" s="117">
        <f t="shared" si="13"/>
        <v>233.28191549295775</v>
      </c>
      <c r="AO7" s="118">
        <v>0</v>
      </c>
      <c r="AP7" s="119">
        <v>0</v>
      </c>
      <c r="AQ7" s="120">
        <f t="shared" si="14"/>
        <v>0</v>
      </c>
      <c r="AR7" s="116">
        <f>AO7*产品成本!$D$15+AP7*产品成本!$D$16</f>
        <v>0</v>
      </c>
      <c r="AS7" s="116">
        <f>AO7*产品成本!$E$15+AP7*产品成本!$E$16</f>
        <v>0</v>
      </c>
      <c r="AT7" s="116">
        <f>AO7*产品成本!$F$15+AP7*产品成本!$F$16</f>
        <v>0</v>
      </c>
      <c r="AU7" s="116"/>
      <c r="AV7" s="116">
        <f t="shared" si="15"/>
        <v>0</v>
      </c>
      <c r="AW7" s="116">
        <f t="shared" si="16"/>
        <v>0</v>
      </c>
      <c r="AX7" s="117">
        <f t="shared" si="17"/>
        <v>0</v>
      </c>
      <c r="AY7" s="122">
        <f t="shared" si="18"/>
        <v>233.28191549295775</v>
      </c>
      <c r="AZ7" s="122">
        <f t="shared" si="19"/>
        <v>431.84</v>
      </c>
      <c r="BA7" s="122">
        <f t="shared" si="20"/>
        <v>431.84</v>
      </c>
      <c r="BB7" s="121">
        <f t="shared" si="21"/>
        <v>96.118084507042227</v>
      </c>
      <c r="BC7" s="123">
        <f t="shared" si="22"/>
        <v>0.22257800228566652</v>
      </c>
      <c r="BD7" t="s">
        <v>364</v>
      </c>
    </row>
    <row r="8" spans="1:57" ht="29.1" customHeight="1" x14ac:dyDescent="0.15">
      <c r="A8" s="38" t="s">
        <v>113</v>
      </c>
      <c r="B8" s="66" t="s">
        <v>114</v>
      </c>
      <c r="C8" s="67">
        <v>14</v>
      </c>
      <c r="D8" s="68">
        <v>14</v>
      </c>
      <c r="E8" s="41">
        <v>401.86</v>
      </c>
      <c r="F8" s="101"/>
      <c r="G8" s="101"/>
      <c r="H8" s="41"/>
      <c r="I8" s="41"/>
      <c r="J8" s="102">
        <v>0</v>
      </c>
      <c r="K8" s="103">
        <f t="shared" si="0"/>
        <v>0</v>
      </c>
      <c r="L8" s="104">
        <v>0</v>
      </c>
      <c r="M8" s="105">
        <f t="shared" si="23"/>
        <v>-0.17647058823529413</v>
      </c>
      <c r="N8" s="103">
        <f t="shared" si="24"/>
        <v>-0.17647058823529413</v>
      </c>
      <c r="O8" s="103">
        <f t="shared" si="25"/>
        <v>-6.9423860689144037E-2</v>
      </c>
      <c r="P8" s="106">
        <f t="shared" si="1"/>
        <v>1</v>
      </c>
      <c r="Q8" s="107">
        <f t="shared" si="2"/>
        <v>28.704285714285714</v>
      </c>
      <c r="R8" s="140">
        <f t="shared" si="3"/>
        <v>28.704285714285714</v>
      </c>
      <c r="S8" s="108">
        <f t="shared" si="4"/>
        <v>2</v>
      </c>
      <c r="T8" s="146">
        <f t="shared" si="5"/>
        <v>1</v>
      </c>
      <c r="U8" s="110">
        <f t="shared" si="6"/>
        <v>7.1428571428571425E-2</v>
      </c>
      <c r="V8" s="71">
        <f t="shared" si="7"/>
        <v>0.35738814512516798</v>
      </c>
      <c r="W8" s="68">
        <v>19399</v>
      </c>
      <c r="X8" s="68">
        <v>174</v>
      </c>
      <c r="Y8" s="68">
        <v>13</v>
      </c>
      <c r="Z8" s="68">
        <v>143.62</v>
      </c>
      <c r="AA8" s="69">
        <v>353.27</v>
      </c>
      <c r="AB8" s="68">
        <v>0.83</v>
      </c>
      <c r="AC8" s="48">
        <f t="shared" si="8"/>
        <v>0.40654456930959326</v>
      </c>
      <c r="AD8" s="49">
        <f t="shared" si="9"/>
        <v>8.9695345120882515E-3</v>
      </c>
      <c r="AE8" s="112">
        <f t="shared" si="10"/>
        <v>7.4712643678160925E-2</v>
      </c>
      <c r="AF8" s="107">
        <f t="shared" si="11"/>
        <v>11.047692307692309</v>
      </c>
      <c r="AG8" s="113">
        <v>0</v>
      </c>
      <c r="AH8" s="115">
        <v>14</v>
      </c>
      <c r="AI8" s="116">
        <f>AG8*产品成本!$D$15+AH8*产品成本!$D$16</f>
        <v>74.929577464788764</v>
      </c>
      <c r="AJ8" s="116">
        <f>AG8*产品成本!$E$15+AH8*产品成本!$E$16</f>
        <v>4.4800000000000004</v>
      </c>
      <c r="AK8" s="116">
        <f>AG8*产品成本!$F$15+AH8*产品成本!$F$16</f>
        <v>4.7600000000000007</v>
      </c>
      <c r="AL8" s="116">
        <f>AG8*产品成本!$G$15+AH8*产品成本!$G$16</f>
        <v>54.6</v>
      </c>
      <c r="AM8" s="116">
        <f t="shared" si="12"/>
        <v>60.278999999999996</v>
      </c>
      <c r="AN8" s="117">
        <f t="shared" si="13"/>
        <v>199.04857746478876</v>
      </c>
      <c r="AO8" s="118">
        <v>0</v>
      </c>
      <c r="AP8" s="119">
        <v>0</v>
      </c>
      <c r="AQ8" s="120">
        <f t="shared" si="14"/>
        <v>0</v>
      </c>
      <c r="AR8" s="116">
        <f>AO8*产品成本!$D$15+AP8*产品成本!$D$16</f>
        <v>0</v>
      </c>
      <c r="AS8" s="116">
        <f>AO8*产品成本!$E$15+AP8*产品成本!$E$16</f>
        <v>0</v>
      </c>
      <c r="AT8" s="116">
        <f>AO8*产品成本!$F$15+AP8*产品成本!$F$16</f>
        <v>0</v>
      </c>
      <c r="AU8" s="116"/>
      <c r="AV8" s="116">
        <f t="shared" si="15"/>
        <v>0</v>
      </c>
      <c r="AW8" s="116">
        <f t="shared" si="16"/>
        <v>0</v>
      </c>
      <c r="AX8" s="117">
        <f t="shared" si="17"/>
        <v>0</v>
      </c>
      <c r="AY8" s="122">
        <f t="shared" si="18"/>
        <v>199.04857746478876</v>
      </c>
      <c r="AZ8" s="122">
        <f t="shared" si="19"/>
        <v>401.86</v>
      </c>
      <c r="BA8" s="122">
        <f t="shared" si="20"/>
        <v>401.86</v>
      </c>
      <c r="BB8" s="121">
        <f t="shared" si="21"/>
        <v>59.191422535211245</v>
      </c>
      <c r="BC8" s="123">
        <f t="shared" si="22"/>
        <v>0.14729364090780681</v>
      </c>
      <c r="BD8" t="s">
        <v>365</v>
      </c>
    </row>
    <row r="9" spans="1:57" ht="29.1" customHeight="1" x14ac:dyDescent="0.15">
      <c r="A9" s="38" t="s">
        <v>115</v>
      </c>
      <c r="B9" s="66" t="s">
        <v>116</v>
      </c>
      <c r="C9" s="67">
        <v>11</v>
      </c>
      <c r="D9" s="68">
        <v>11</v>
      </c>
      <c r="E9" s="41">
        <v>329.89</v>
      </c>
      <c r="F9" s="101"/>
      <c r="G9" s="101"/>
      <c r="H9" s="41"/>
      <c r="I9" s="41"/>
      <c r="J9" s="102">
        <v>3</v>
      </c>
      <c r="K9" s="103">
        <f t="shared" si="0"/>
        <v>0.27272727272727271</v>
      </c>
      <c r="L9" s="104">
        <v>70.33</v>
      </c>
      <c r="M9" s="105">
        <f t="shared" si="23"/>
        <v>-0.21428571428571427</v>
      </c>
      <c r="N9" s="103">
        <f t="shared" si="24"/>
        <v>-0.21428571428571427</v>
      </c>
      <c r="O9" s="103">
        <f t="shared" si="25"/>
        <v>-0.17909222117155235</v>
      </c>
      <c r="P9" s="106">
        <f t="shared" si="1"/>
        <v>1</v>
      </c>
      <c r="Q9" s="107">
        <f t="shared" si="2"/>
        <v>29.99</v>
      </c>
      <c r="R9" s="140">
        <f t="shared" si="3"/>
        <v>29.99</v>
      </c>
      <c r="S9" s="108">
        <f t="shared" si="4"/>
        <v>1.5714285714285714</v>
      </c>
      <c r="T9" s="146">
        <f t="shared" si="5"/>
        <v>5</v>
      </c>
      <c r="U9" s="110">
        <f t="shared" si="6"/>
        <v>0.45454545454545453</v>
      </c>
      <c r="V9" s="71">
        <f t="shared" si="7"/>
        <v>0.15277819879353724</v>
      </c>
      <c r="W9" s="68">
        <v>8341</v>
      </c>
      <c r="X9" s="68">
        <v>61</v>
      </c>
      <c r="Y9" s="68">
        <v>6</v>
      </c>
      <c r="Z9" s="68">
        <v>50.4</v>
      </c>
      <c r="AA9" s="69">
        <v>174.84</v>
      </c>
      <c r="AB9" s="68">
        <v>0.83</v>
      </c>
      <c r="AC9" s="48">
        <f t="shared" si="8"/>
        <v>0.28826355525051472</v>
      </c>
      <c r="AD9" s="49">
        <f t="shared" si="9"/>
        <v>7.3132717899532431E-3</v>
      </c>
      <c r="AE9" s="112">
        <f t="shared" si="10"/>
        <v>9.8360655737704916E-2</v>
      </c>
      <c r="AF9" s="107">
        <f t="shared" si="11"/>
        <v>8.4</v>
      </c>
      <c r="AG9" s="113">
        <v>0</v>
      </c>
      <c r="AH9" s="115">
        <v>11</v>
      </c>
      <c r="AI9" s="116">
        <f>AG9*产品成本!$D$15+AH9*产品成本!$D$16</f>
        <v>58.873239436619741</v>
      </c>
      <c r="AJ9" s="116">
        <f>AG9*产品成本!$E$15+AH9*产品成本!$E$16</f>
        <v>3.52</v>
      </c>
      <c r="AK9" s="116">
        <f>AG9*产品成本!$F$15+AH9*产品成本!$F$16</f>
        <v>3.74</v>
      </c>
      <c r="AL9" s="116">
        <f>AG9*产品成本!$G$15+AH9*产品成本!$G$16</f>
        <v>42.9</v>
      </c>
      <c r="AM9" s="116">
        <f t="shared" si="12"/>
        <v>49.483499999999999</v>
      </c>
      <c r="AN9" s="117">
        <f t="shared" si="13"/>
        <v>158.51673943661973</v>
      </c>
      <c r="AO9" s="118">
        <v>0</v>
      </c>
      <c r="AP9" s="119">
        <v>3</v>
      </c>
      <c r="AQ9" s="120">
        <f t="shared" si="14"/>
        <v>85.768292682926827</v>
      </c>
      <c r="AR9" s="116">
        <f>AO9*产品成本!$D$15+AP9*产品成本!$D$16</f>
        <v>16.056338028169019</v>
      </c>
      <c r="AS9" s="116">
        <f>AO9*产品成本!$E$15+AP9*产品成本!$E$16</f>
        <v>0.96</v>
      </c>
      <c r="AT9" s="116">
        <f>AO9*产品成本!$F$15+AP9*产品成本!$F$16</f>
        <v>1.02</v>
      </c>
      <c r="AU9" s="116"/>
      <c r="AV9" s="116">
        <f t="shared" si="15"/>
        <v>12.865243902439024</v>
      </c>
      <c r="AW9" s="116">
        <f t="shared" si="16"/>
        <v>-2.5730487804878051</v>
      </c>
      <c r="AX9" s="117">
        <f t="shared" si="17"/>
        <v>28.32853315012024</v>
      </c>
      <c r="AY9" s="122">
        <f t="shared" si="18"/>
        <v>130.18820628649948</v>
      </c>
      <c r="AZ9" s="122">
        <f t="shared" si="19"/>
        <v>329.89</v>
      </c>
      <c r="BA9" s="122">
        <f t="shared" si="20"/>
        <v>244.12170731707317</v>
      </c>
      <c r="BB9" s="121">
        <f t="shared" si="21"/>
        <v>63.533501030573696</v>
      </c>
      <c r="BC9" s="123">
        <f t="shared" si="22"/>
        <v>0.26025338643095075</v>
      </c>
      <c r="BD9" t="s">
        <v>366</v>
      </c>
    </row>
    <row r="10" spans="1:57" ht="29.1" customHeight="1" x14ac:dyDescent="0.15">
      <c r="A10" s="38" t="s">
        <v>118</v>
      </c>
      <c r="B10" s="66" t="s">
        <v>119</v>
      </c>
      <c r="C10" s="67">
        <v>6</v>
      </c>
      <c r="D10" s="68">
        <v>6</v>
      </c>
      <c r="E10" s="41">
        <v>179.94</v>
      </c>
      <c r="F10" s="101"/>
      <c r="G10" s="101"/>
      <c r="H10" s="41"/>
      <c r="I10" s="41"/>
      <c r="J10" s="102">
        <v>0</v>
      </c>
      <c r="K10" s="103">
        <f t="shared" si="0"/>
        <v>0</v>
      </c>
      <c r="L10" s="104">
        <v>0</v>
      </c>
      <c r="M10" s="105">
        <f t="shared" si="23"/>
        <v>-0.45454545454545453</v>
      </c>
      <c r="N10" s="103">
        <f t="shared" si="24"/>
        <v>-0.45454545454545453</v>
      </c>
      <c r="O10" s="103">
        <f t="shared" si="25"/>
        <v>-0.45454545454545453</v>
      </c>
      <c r="P10" s="106">
        <f t="shared" si="1"/>
        <v>1</v>
      </c>
      <c r="Q10" s="107">
        <f t="shared" si="2"/>
        <v>29.99</v>
      </c>
      <c r="R10" s="140">
        <f t="shared" si="3"/>
        <v>29.99</v>
      </c>
      <c r="S10" s="108">
        <f t="shared" si="4"/>
        <v>0.8571428571428571</v>
      </c>
      <c r="T10" s="146">
        <f t="shared" si="5"/>
        <v>6</v>
      </c>
      <c r="U10" s="110">
        <f t="shared" si="6"/>
        <v>1</v>
      </c>
      <c r="V10" s="71">
        <f t="shared" si="7"/>
        <v>0</v>
      </c>
      <c r="W10" s="68">
        <v>0</v>
      </c>
      <c r="X10" s="68">
        <v>0</v>
      </c>
      <c r="Y10" s="68">
        <v>0</v>
      </c>
      <c r="Z10" s="68">
        <v>0</v>
      </c>
      <c r="AA10" s="69">
        <v>0</v>
      </c>
      <c r="AB10" s="68">
        <v>0</v>
      </c>
      <c r="AC10" s="48" t="e">
        <f t="shared" si="8"/>
        <v>#DIV/0!</v>
      </c>
      <c r="AD10" s="49" t="e">
        <f t="shared" si="9"/>
        <v>#DIV/0!</v>
      </c>
      <c r="AE10" s="112" t="e">
        <f t="shared" si="10"/>
        <v>#DIV/0!</v>
      </c>
      <c r="AF10" s="107" t="e">
        <f t="shared" si="11"/>
        <v>#DIV/0!</v>
      </c>
      <c r="AG10" s="113">
        <v>0</v>
      </c>
      <c r="AH10" s="115">
        <v>6</v>
      </c>
      <c r="AI10" s="116">
        <f>AG10*产品成本!$D$15+AH10*产品成本!$D$16</f>
        <v>32.112676056338039</v>
      </c>
      <c r="AJ10" s="116">
        <f>AG10*产品成本!$E$15+AH10*产品成本!$E$16</f>
        <v>1.92</v>
      </c>
      <c r="AK10" s="116">
        <f>AG10*产品成本!$F$15+AH10*产品成本!$F$16</f>
        <v>2.04</v>
      </c>
      <c r="AL10" s="116">
        <f>AG10*产品成本!$G$15+AH10*产品成本!$G$16</f>
        <v>23.4</v>
      </c>
      <c r="AM10" s="116">
        <f t="shared" si="12"/>
        <v>26.991</v>
      </c>
      <c r="AN10" s="117">
        <f t="shared" si="13"/>
        <v>86.463676056338045</v>
      </c>
      <c r="AO10" s="118">
        <v>0</v>
      </c>
      <c r="AP10" s="119">
        <v>0</v>
      </c>
      <c r="AQ10" s="120">
        <f t="shared" si="14"/>
        <v>0</v>
      </c>
      <c r="AR10" s="116">
        <f>AO10*产品成本!$D$15+AP10*产品成本!$D$16</f>
        <v>0</v>
      </c>
      <c r="AS10" s="116">
        <f>AO10*产品成本!$E$15+AP10*产品成本!$E$16</f>
        <v>0</v>
      </c>
      <c r="AT10" s="116">
        <f>AO10*产品成本!$F$15+AP10*产品成本!$F$16</f>
        <v>0</v>
      </c>
      <c r="AU10" s="116"/>
      <c r="AV10" s="116">
        <f t="shared" si="15"/>
        <v>0</v>
      </c>
      <c r="AW10" s="116">
        <f t="shared" si="16"/>
        <v>0</v>
      </c>
      <c r="AX10" s="117">
        <f t="shared" si="17"/>
        <v>0</v>
      </c>
      <c r="AY10" s="122">
        <f t="shared" si="18"/>
        <v>86.463676056338045</v>
      </c>
      <c r="AZ10" s="122">
        <f t="shared" si="19"/>
        <v>179.94</v>
      </c>
      <c r="BA10" s="122">
        <f t="shared" si="20"/>
        <v>179.94</v>
      </c>
      <c r="BB10" s="121">
        <f t="shared" si="21"/>
        <v>93.476323943661953</v>
      </c>
      <c r="BC10" s="123">
        <f t="shared" si="22"/>
        <v>0.51948607282239612</v>
      </c>
      <c r="BD10" t="s">
        <v>366</v>
      </c>
    </row>
    <row r="11" spans="1:57" ht="29.1" customHeight="1" x14ac:dyDescent="0.15">
      <c r="A11" s="38" t="s">
        <v>121</v>
      </c>
      <c r="B11" s="66" t="s">
        <v>122</v>
      </c>
      <c r="C11" s="67">
        <v>3</v>
      </c>
      <c r="D11" s="68">
        <v>3</v>
      </c>
      <c r="E11" s="41">
        <v>89.97</v>
      </c>
      <c r="F11" s="101"/>
      <c r="G11" s="101"/>
      <c r="H11" s="41"/>
      <c r="I11" s="41"/>
      <c r="J11" s="102">
        <v>0</v>
      </c>
      <c r="K11" s="103">
        <f t="shared" si="0"/>
        <v>0</v>
      </c>
      <c r="L11" s="104">
        <v>0</v>
      </c>
      <c r="M11" s="105">
        <f t="shared" si="23"/>
        <v>-0.5</v>
      </c>
      <c r="N11" s="103">
        <f t="shared" si="24"/>
        <v>-0.5</v>
      </c>
      <c r="O11" s="103">
        <f t="shared" si="25"/>
        <v>-0.5</v>
      </c>
      <c r="P11" s="106">
        <f t="shared" si="1"/>
        <v>1</v>
      </c>
      <c r="Q11" s="107">
        <f t="shared" si="2"/>
        <v>29.99</v>
      </c>
      <c r="R11" s="140">
        <f t="shared" si="3"/>
        <v>29.99</v>
      </c>
      <c r="S11" s="108">
        <f t="shared" si="4"/>
        <v>0.42857142857142855</v>
      </c>
      <c r="T11" s="146">
        <f t="shared" si="5"/>
        <v>3</v>
      </c>
      <c r="U11" s="110">
        <f t="shared" si="6"/>
        <v>1</v>
      </c>
      <c r="V11" s="71">
        <f t="shared" si="7"/>
        <v>0</v>
      </c>
      <c r="W11" s="68">
        <v>0</v>
      </c>
      <c r="X11" s="68">
        <v>0</v>
      </c>
      <c r="Y11" s="68">
        <v>0</v>
      </c>
      <c r="Z11" s="68">
        <v>0</v>
      </c>
      <c r="AA11" s="69">
        <v>0</v>
      </c>
      <c r="AB11" s="68">
        <v>0</v>
      </c>
      <c r="AC11" s="48" t="e">
        <f t="shared" si="8"/>
        <v>#DIV/0!</v>
      </c>
      <c r="AD11" s="49" t="e">
        <f t="shared" si="9"/>
        <v>#DIV/0!</v>
      </c>
      <c r="AE11" s="112" t="e">
        <f t="shared" si="10"/>
        <v>#DIV/0!</v>
      </c>
      <c r="AF11" s="107" t="e">
        <f t="shared" si="11"/>
        <v>#DIV/0!</v>
      </c>
      <c r="AG11" s="113">
        <v>0</v>
      </c>
      <c r="AH11" s="115">
        <v>3</v>
      </c>
      <c r="AI11" s="116">
        <f>AG11*产品成本!$D$15+AH11*产品成本!$D$16</f>
        <v>16.056338028169019</v>
      </c>
      <c r="AJ11" s="116">
        <f>AG11*产品成本!$E$15+AH11*产品成本!$E$16</f>
        <v>0.96</v>
      </c>
      <c r="AK11" s="116">
        <f>AG11*产品成本!$F$15+AH11*产品成本!$F$16</f>
        <v>1.02</v>
      </c>
      <c r="AL11" s="116">
        <f>AG11*产品成本!$G$15+AH11*产品成本!$G$16</f>
        <v>11.7</v>
      </c>
      <c r="AM11" s="116">
        <f t="shared" si="12"/>
        <v>13.4955</v>
      </c>
      <c r="AN11" s="117">
        <f t="shared" si="13"/>
        <v>43.231838028169022</v>
      </c>
      <c r="AO11" s="118">
        <v>0</v>
      </c>
      <c r="AP11" s="119">
        <v>0</v>
      </c>
      <c r="AQ11" s="120">
        <f t="shared" si="14"/>
        <v>0</v>
      </c>
      <c r="AR11" s="116">
        <f>AO11*产品成本!$D$15+AP11*产品成本!$D$16</f>
        <v>0</v>
      </c>
      <c r="AS11" s="116">
        <f>AO11*产品成本!$E$15+AP11*产品成本!$E$16</f>
        <v>0</v>
      </c>
      <c r="AT11" s="116">
        <f>AO11*产品成本!$F$15+AP11*产品成本!$F$16</f>
        <v>0</v>
      </c>
      <c r="AU11" s="116"/>
      <c r="AV11" s="116">
        <f t="shared" si="15"/>
        <v>0</v>
      </c>
      <c r="AW11" s="116">
        <f t="shared" si="16"/>
        <v>0</v>
      </c>
      <c r="AX11" s="117">
        <f t="shared" si="17"/>
        <v>0</v>
      </c>
      <c r="AY11" s="122">
        <f t="shared" si="18"/>
        <v>43.231838028169022</v>
      </c>
      <c r="AZ11" s="122">
        <f t="shared" si="19"/>
        <v>89.97</v>
      </c>
      <c r="BA11" s="122">
        <f t="shared" si="20"/>
        <v>89.97</v>
      </c>
      <c r="BB11" s="121">
        <f t="shared" si="21"/>
        <v>46.738161971830976</v>
      </c>
      <c r="BC11" s="123">
        <f t="shared" si="22"/>
        <v>0.51948607282239612</v>
      </c>
      <c r="BD11" t="s">
        <v>366</v>
      </c>
    </row>
    <row r="12" spans="1:57" ht="29.1" customHeight="1" x14ac:dyDescent="0.15">
      <c r="A12" s="38" t="s">
        <v>124</v>
      </c>
      <c r="B12" s="66" t="s">
        <v>125</v>
      </c>
      <c r="C12" s="67">
        <v>7</v>
      </c>
      <c r="D12" s="68">
        <v>7</v>
      </c>
      <c r="E12" s="41">
        <v>181.73</v>
      </c>
      <c r="F12" s="101"/>
      <c r="G12" s="101"/>
      <c r="H12" s="41"/>
      <c r="I12" s="41"/>
      <c r="J12" s="102">
        <v>1</v>
      </c>
      <c r="K12" s="103">
        <f t="shared" si="0"/>
        <v>0.14285714285714285</v>
      </c>
      <c r="L12" s="104">
        <v>26.39</v>
      </c>
      <c r="M12" s="105">
        <f t="shared" si="23"/>
        <v>1.3333333333333333</v>
      </c>
      <c r="N12" s="103">
        <f t="shared" si="24"/>
        <v>1.3333333333333333</v>
      </c>
      <c r="O12" s="103">
        <f t="shared" si="25"/>
        <v>1.0198955207291318</v>
      </c>
      <c r="P12" s="106">
        <f t="shared" si="1"/>
        <v>1</v>
      </c>
      <c r="Q12" s="107">
        <f t="shared" si="2"/>
        <v>25.96142857142857</v>
      </c>
      <c r="R12" s="140">
        <f t="shared" si="3"/>
        <v>25.96142857142857</v>
      </c>
      <c r="S12" s="108">
        <f t="shared" si="4"/>
        <v>1</v>
      </c>
      <c r="T12" s="146">
        <f t="shared" si="5"/>
        <v>3</v>
      </c>
      <c r="U12" s="110">
        <f t="shared" si="6"/>
        <v>0.42857142857142855</v>
      </c>
      <c r="V12" s="71">
        <f t="shared" si="7"/>
        <v>0.33186595498816929</v>
      </c>
      <c r="W12" s="68">
        <v>6868</v>
      </c>
      <c r="X12" s="68">
        <v>59</v>
      </c>
      <c r="Y12" s="68">
        <v>4</v>
      </c>
      <c r="Z12" s="68">
        <v>60.31</v>
      </c>
      <c r="AA12" s="69">
        <v>97.63</v>
      </c>
      <c r="AB12" s="68">
        <v>1.02</v>
      </c>
      <c r="AC12" s="48">
        <f t="shared" si="8"/>
        <v>0.61774044863259248</v>
      </c>
      <c r="AD12" s="49">
        <f t="shared" si="9"/>
        <v>8.5905649388468251E-3</v>
      </c>
      <c r="AE12" s="112">
        <f t="shared" si="10"/>
        <v>6.7796610169491525E-2</v>
      </c>
      <c r="AF12" s="107">
        <f t="shared" si="11"/>
        <v>15.077500000000001</v>
      </c>
      <c r="AG12" s="113">
        <v>0</v>
      </c>
      <c r="AH12" s="115">
        <v>7</v>
      </c>
      <c r="AI12" s="116">
        <f>AG12*产品成本!$D$15+AH12*产品成本!$D$16</f>
        <v>37.464788732394382</v>
      </c>
      <c r="AJ12" s="116">
        <f>AG12*产品成本!$E$15+AH12*产品成本!$E$16</f>
        <v>2.2400000000000002</v>
      </c>
      <c r="AK12" s="116">
        <f>AG12*产品成本!$F$15+AH12*产品成本!$F$16</f>
        <v>2.3800000000000003</v>
      </c>
      <c r="AL12" s="116">
        <f>AG12*产品成本!$G$15+AH12*产品成本!$G$16</f>
        <v>27.3</v>
      </c>
      <c r="AM12" s="116">
        <f t="shared" si="12"/>
        <v>27.259499999999999</v>
      </c>
      <c r="AN12" s="117">
        <f t="shared" si="13"/>
        <v>96.644288732394386</v>
      </c>
      <c r="AO12" s="118">
        <v>0</v>
      </c>
      <c r="AP12" s="119">
        <v>1</v>
      </c>
      <c r="AQ12" s="120">
        <f t="shared" si="14"/>
        <v>32.182926829268297</v>
      </c>
      <c r="AR12" s="116">
        <f>AO12*产品成本!$D$15+AP12*产品成本!$D$16</f>
        <v>5.3521126760563398</v>
      </c>
      <c r="AS12" s="116">
        <f>AO12*产品成本!$E$15+AP12*产品成本!$E$16</f>
        <v>0.32</v>
      </c>
      <c r="AT12" s="116">
        <f>AO12*产品成本!$F$15+AP12*产品成本!$F$16</f>
        <v>0.34</v>
      </c>
      <c r="AU12" s="116"/>
      <c r="AV12" s="116">
        <f t="shared" si="15"/>
        <v>4.8274390243902445</v>
      </c>
      <c r="AW12" s="116">
        <f t="shared" si="16"/>
        <v>-0.96548780487804897</v>
      </c>
      <c r="AX12" s="117">
        <f t="shared" si="17"/>
        <v>9.8740638955685363</v>
      </c>
      <c r="AY12" s="122">
        <f t="shared" si="18"/>
        <v>86.770224836825847</v>
      </c>
      <c r="AZ12" s="122">
        <f t="shared" si="19"/>
        <v>181.73</v>
      </c>
      <c r="BA12" s="122">
        <f t="shared" si="20"/>
        <v>149.54707317073169</v>
      </c>
      <c r="BB12" s="121">
        <f t="shared" si="21"/>
        <v>2.466848333905844</v>
      </c>
      <c r="BC12" s="123">
        <f t="shared" si="22"/>
        <v>1.6495463813521415E-2</v>
      </c>
      <c r="BD12" t="s">
        <v>367</v>
      </c>
    </row>
    <row r="13" spans="1:57" ht="29.1" customHeight="1" x14ac:dyDescent="0.15">
      <c r="A13" s="38" t="s">
        <v>128</v>
      </c>
      <c r="B13" s="66" t="s">
        <v>129</v>
      </c>
      <c r="C13" s="67">
        <v>11</v>
      </c>
      <c r="D13" s="68">
        <v>11</v>
      </c>
      <c r="E13" s="41">
        <v>300.58999999999997</v>
      </c>
      <c r="F13" s="101"/>
      <c r="G13" s="101"/>
      <c r="H13" s="41"/>
      <c r="I13" s="41"/>
      <c r="J13" s="102">
        <v>2</v>
      </c>
      <c r="K13" s="103">
        <f t="shared" si="0"/>
        <v>0.18181818181818182</v>
      </c>
      <c r="L13" s="104">
        <v>52.78</v>
      </c>
      <c r="M13" s="105">
        <f t="shared" si="23"/>
        <v>0.5714285714285714</v>
      </c>
      <c r="N13" s="103">
        <f t="shared" si="24"/>
        <v>0.5714285714285714</v>
      </c>
      <c r="O13" s="103">
        <f t="shared" si="25"/>
        <v>0.65404721289825563</v>
      </c>
      <c r="P13" s="106">
        <f t="shared" si="1"/>
        <v>1</v>
      </c>
      <c r="Q13" s="107">
        <f t="shared" si="2"/>
        <v>27.326363636363634</v>
      </c>
      <c r="R13" s="140">
        <f t="shared" si="3"/>
        <v>27.326363636363634</v>
      </c>
      <c r="S13" s="108">
        <f t="shared" si="4"/>
        <v>1.5714285714285714</v>
      </c>
      <c r="T13" s="146">
        <f t="shared" si="5"/>
        <v>3</v>
      </c>
      <c r="U13" s="110">
        <f t="shared" si="6"/>
        <v>0.27272727272727271</v>
      </c>
      <c r="V13" s="71">
        <f t="shared" si="7"/>
        <v>0.60214910675671185</v>
      </c>
      <c r="W13" s="68">
        <v>26303</v>
      </c>
      <c r="X13" s="68">
        <v>190</v>
      </c>
      <c r="Y13" s="68">
        <v>8</v>
      </c>
      <c r="Z13" s="41">
        <v>181</v>
      </c>
      <c r="AA13" s="69">
        <v>204.82</v>
      </c>
      <c r="AB13" s="68">
        <v>0.95</v>
      </c>
      <c r="AC13" s="48">
        <f t="shared" si="8"/>
        <v>0.88370276340201159</v>
      </c>
      <c r="AD13" s="49">
        <f t="shared" si="9"/>
        <v>7.2235106261643155E-3</v>
      </c>
      <c r="AE13" s="112">
        <f t="shared" si="10"/>
        <v>4.2105263157894736E-2</v>
      </c>
      <c r="AF13" s="107">
        <f t="shared" si="11"/>
        <v>22.625</v>
      </c>
      <c r="AG13" s="113">
        <v>0</v>
      </c>
      <c r="AH13" s="115">
        <v>11</v>
      </c>
      <c r="AI13" s="116">
        <f>AG13*产品成本!$D$15+AH13*产品成本!$D$16</f>
        <v>58.873239436619741</v>
      </c>
      <c r="AJ13" s="116">
        <f>AG13*产品成本!$E$15+AH13*产品成本!$E$16</f>
        <v>3.52</v>
      </c>
      <c r="AK13" s="116">
        <f>AG13*产品成本!$F$15+AH13*产品成本!$F$16</f>
        <v>3.74</v>
      </c>
      <c r="AL13" s="116">
        <f>AG13*产品成本!$G$15+AH13*产品成本!$G$16</f>
        <v>42.9</v>
      </c>
      <c r="AM13" s="116">
        <f t="shared" si="12"/>
        <v>45.088499999999996</v>
      </c>
      <c r="AN13" s="117">
        <f t="shared" si="13"/>
        <v>154.12173943661975</v>
      </c>
      <c r="AO13" s="118">
        <v>0</v>
      </c>
      <c r="AP13" s="119">
        <v>2</v>
      </c>
      <c r="AQ13" s="120">
        <f t="shared" si="14"/>
        <v>64.365853658536594</v>
      </c>
      <c r="AR13" s="116">
        <f>AO13*产品成本!$D$15+AP13*产品成本!$D$16</f>
        <v>10.70422535211268</v>
      </c>
      <c r="AS13" s="116">
        <f>AO13*产品成本!$E$15+AP13*产品成本!$E$16</f>
        <v>0.64</v>
      </c>
      <c r="AT13" s="116">
        <f>AO13*产品成本!$F$15+AP13*产品成本!$F$16</f>
        <v>0.68</v>
      </c>
      <c r="AU13" s="116"/>
      <c r="AV13" s="116">
        <f t="shared" si="15"/>
        <v>9.6548780487804891</v>
      </c>
      <c r="AW13" s="116">
        <f t="shared" si="16"/>
        <v>-1.9309756097560979</v>
      </c>
      <c r="AX13" s="117">
        <f t="shared" si="17"/>
        <v>19.748127791137073</v>
      </c>
      <c r="AY13" s="122">
        <f t="shared" si="18"/>
        <v>134.37361164548267</v>
      </c>
      <c r="AZ13" s="122">
        <f t="shared" si="19"/>
        <v>300.58999999999997</v>
      </c>
      <c r="BA13" s="122">
        <f t="shared" si="20"/>
        <v>236.22414634146338</v>
      </c>
      <c r="BB13" s="121">
        <f t="shared" si="21"/>
        <v>-79.149465304019287</v>
      </c>
      <c r="BC13" s="123">
        <f t="shared" si="22"/>
        <v>-0.335060858637238</v>
      </c>
      <c r="BD13" t="s">
        <v>367</v>
      </c>
    </row>
    <row r="14" spans="1:57" ht="29.1" customHeight="1" x14ac:dyDescent="0.15">
      <c r="A14" s="38" t="s">
        <v>130</v>
      </c>
      <c r="B14" s="66" t="s">
        <v>131</v>
      </c>
      <c r="C14" s="67">
        <v>21</v>
      </c>
      <c r="D14" s="68">
        <v>21</v>
      </c>
      <c r="E14" s="41">
        <v>627.49</v>
      </c>
      <c r="F14" s="101"/>
      <c r="G14" s="101"/>
      <c r="H14" s="41"/>
      <c r="I14" s="41"/>
      <c r="J14" s="102">
        <v>2</v>
      </c>
      <c r="K14" s="103">
        <f t="shared" si="0"/>
        <v>9.5238095238095233E-2</v>
      </c>
      <c r="L14" s="104">
        <v>48.82</v>
      </c>
      <c r="M14" s="105">
        <f t="shared" si="23"/>
        <v>0.90909090909090906</v>
      </c>
      <c r="N14" s="103">
        <f t="shared" si="24"/>
        <v>0.90909090909090906</v>
      </c>
      <c r="O14" s="103">
        <f t="shared" si="25"/>
        <v>1.0875278618716526</v>
      </c>
      <c r="P14" s="106">
        <f t="shared" si="1"/>
        <v>1</v>
      </c>
      <c r="Q14" s="107">
        <f t="shared" si="2"/>
        <v>29.880476190476191</v>
      </c>
      <c r="R14" s="140">
        <f t="shared" si="3"/>
        <v>29.880476190476191</v>
      </c>
      <c r="S14" s="108">
        <f t="shared" si="4"/>
        <v>3</v>
      </c>
      <c r="T14" s="146">
        <f t="shared" si="5"/>
        <v>3</v>
      </c>
      <c r="U14" s="110">
        <f t="shared" si="6"/>
        <v>0.14285714285714285</v>
      </c>
      <c r="V14" s="71">
        <f t="shared" si="7"/>
        <v>0.22946979234728843</v>
      </c>
      <c r="W14" s="68">
        <v>21003</v>
      </c>
      <c r="X14" s="68">
        <v>163</v>
      </c>
      <c r="Y14" s="68">
        <v>18</v>
      </c>
      <c r="Z14" s="41">
        <v>143.99</v>
      </c>
      <c r="AA14" s="69">
        <v>511.82</v>
      </c>
      <c r="AB14" s="68">
        <v>0.88</v>
      </c>
      <c r="AC14" s="48">
        <f t="shared" si="8"/>
        <v>0.28132937360790905</v>
      </c>
      <c r="AD14" s="49">
        <f t="shared" si="9"/>
        <v>7.7607960767509402E-3</v>
      </c>
      <c r="AE14" s="112">
        <f t="shared" si="10"/>
        <v>0.11042944785276074</v>
      </c>
      <c r="AF14" s="107">
        <f t="shared" si="11"/>
        <v>7.9994444444444452</v>
      </c>
      <c r="AG14" s="113">
        <v>1</v>
      </c>
      <c r="AH14" s="115">
        <v>20</v>
      </c>
      <c r="AI14" s="116">
        <f>AG14*产品成本!$D$15+AH14*产品成本!$D$16</f>
        <v>111.26760563380286</v>
      </c>
      <c r="AJ14" s="116">
        <f>AG14*产品成本!$E$15+AH14*产品成本!$E$16</f>
        <v>6.6400000000000006</v>
      </c>
      <c r="AK14" s="116">
        <f>AG14*产品成本!$F$15+AH14*产品成本!$F$16</f>
        <v>7.1400000000000006</v>
      </c>
      <c r="AL14" s="116">
        <f>AG14*产品成本!$G$15+AH14*产品成本!$G$16</f>
        <v>81.900000000000006</v>
      </c>
      <c r="AM14" s="116">
        <f t="shared" si="12"/>
        <v>94.123499999999993</v>
      </c>
      <c r="AN14" s="117">
        <f t="shared" si="13"/>
        <v>301.07110563380286</v>
      </c>
      <c r="AO14" s="118">
        <v>0</v>
      </c>
      <c r="AP14" s="119">
        <v>2</v>
      </c>
      <c r="AQ14" s="120">
        <f t="shared" si="14"/>
        <v>59.536585365853661</v>
      </c>
      <c r="AR14" s="116">
        <f>AO14*产品成本!$D$15+AP14*产品成本!$D$16</f>
        <v>10.70422535211268</v>
      </c>
      <c r="AS14" s="116">
        <f>AO14*产品成本!$E$15+AP14*产品成本!$E$16</f>
        <v>0.64</v>
      </c>
      <c r="AT14" s="116">
        <f>AO14*产品成本!$F$15+AP14*产品成本!$F$16</f>
        <v>0.68</v>
      </c>
      <c r="AU14" s="116"/>
      <c r="AV14" s="116">
        <f t="shared" si="15"/>
        <v>8.9304878048780481</v>
      </c>
      <c r="AW14" s="116">
        <f t="shared" si="16"/>
        <v>-1.7860975609756098</v>
      </c>
      <c r="AX14" s="117">
        <f t="shared" si="17"/>
        <v>19.168615596015119</v>
      </c>
      <c r="AY14" s="122">
        <f t="shared" si="18"/>
        <v>281.90249003778774</v>
      </c>
      <c r="AZ14" s="122">
        <f t="shared" si="19"/>
        <v>627.49</v>
      </c>
      <c r="BA14" s="122">
        <f t="shared" si="20"/>
        <v>567.95341463414638</v>
      </c>
      <c r="BB14" s="121">
        <f t="shared" si="21"/>
        <v>142.06092459635863</v>
      </c>
      <c r="BC14" s="123">
        <f t="shared" si="22"/>
        <v>0.25012777621535875</v>
      </c>
      <c r="BD14" t="s">
        <v>367</v>
      </c>
    </row>
    <row r="15" spans="1:57" ht="29.1" customHeight="1" x14ac:dyDescent="0.15">
      <c r="A15" s="38" t="s">
        <v>133</v>
      </c>
      <c r="B15" s="66" t="s">
        <v>134</v>
      </c>
      <c r="C15" s="67">
        <v>26</v>
      </c>
      <c r="D15" s="68">
        <v>26</v>
      </c>
      <c r="E15" s="41">
        <v>775.14</v>
      </c>
      <c r="F15" s="101"/>
      <c r="G15" s="101"/>
      <c r="H15" s="41"/>
      <c r="I15" s="41"/>
      <c r="J15" s="102">
        <v>1</v>
      </c>
      <c r="K15" s="103">
        <f t="shared" si="0"/>
        <v>3.8461538461538464E-2</v>
      </c>
      <c r="L15" s="104">
        <v>26.39</v>
      </c>
      <c r="M15" s="105">
        <f t="shared" si="23"/>
        <v>0.23809523809523808</v>
      </c>
      <c r="N15" s="103">
        <f t="shared" si="24"/>
        <v>0.23809523809523808</v>
      </c>
      <c r="O15" s="103">
        <f t="shared" si="25"/>
        <v>0.23530255462238439</v>
      </c>
      <c r="P15" s="106">
        <f t="shared" si="1"/>
        <v>1</v>
      </c>
      <c r="Q15" s="107">
        <f t="shared" si="2"/>
        <v>29.813076923076924</v>
      </c>
      <c r="R15" s="140">
        <f t="shared" si="3"/>
        <v>29.813076923076924</v>
      </c>
      <c r="S15" s="108">
        <f t="shared" si="4"/>
        <v>3.7142857142857144</v>
      </c>
      <c r="T15" s="146">
        <f t="shared" si="5"/>
        <v>13</v>
      </c>
      <c r="U15" s="110">
        <f t="shared" si="6"/>
        <v>0.5</v>
      </c>
      <c r="V15" s="71">
        <f t="shared" si="7"/>
        <v>0.23350620533064995</v>
      </c>
      <c r="W15" s="68">
        <v>22270</v>
      </c>
      <c r="X15" s="68">
        <v>201</v>
      </c>
      <c r="Y15" s="68">
        <v>13</v>
      </c>
      <c r="Z15" s="41">
        <v>181</v>
      </c>
      <c r="AA15" s="69">
        <v>385.76</v>
      </c>
      <c r="AB15" s="68">
        <v>0.9</v>
      </c>
      <c r="AC15" s="48">
        <f t="shared" si="8"/>
        <v>0.46920364993778518</v>
      </c>
      <c r="AD15" s="49">
        <f t="shared" si="9"/>
        <v>9.0255949708127527E-3</v>
      </c>
      <c r="AE15" s="112">
        <f t="shared" si="10"/>
        <v>6.4676616915422883E-2</v>
      </c>
      <c r="AF15" s="107">
        <f t="shared" si="11"/>
        <v>13.923076923076923</v>
      </c>
      <c r="AG15" s="113">
        <v>2</v>
      </c>
      <c r="AH15" s="115">
        <v>24</v>
      </c>
      <c r="AI15" s="116">
        <f>AG15*产品成本!$D$15+AH15*产品成本!$D$16</f>
        <v>136.90140845070428</v>
      </c>
      <c r="AJ15" s="116">
        <f>AG15*产品成本!$E$15+AH15*产品成本!$E$16</f>
        <v>8.16</v>
      </c>
      <c r="AK15" s="116">
        <f>AG15*产品成本!$F$15+AH15*产品成本!$F$16</f>
        <v>8.84</v>
      </c>
      <c r="AL15" s="116">
        <f>AG15*产品成本!$G$15+AH15*产品成本!$G$16</f>
        <v>101.39999999999999</v>
      </c>
      <c r="AM15" s="116">
        <f t="shared" si="12"/>
        <v>116.27099999999999</v>
      </c>
      <c r="AN15" s="117">
        <f t="shared" si="13"/>
        <v>371.5724084507043</v>
      </c>
      <c r="AO15" s="118">
        <v>0</v>
      </c>
      <c r="AP15" s="119">
        <v>1</v>
      </c>
      <c r="AQ15" s="120">
        <f t="shared" si="14"/>
        <v>32.182926829268297</v>
      </c>
      <c r="AR15" s="116">
        <f>AO15*产品成本!$D$15+AP15*产品成本!$D$16</f>
        <v>5.3521126760563398</v>
      </c>
      <c r="AS15" s="116">
        <f>AO15*产品成本!$E$15+AP15*产品成本!$E$16</f>
        <v>0.32</v>
      </c>
      <c r="AT15" s="116">
        <f>AO15*产品成本!$F$15+AP15*产品成本!$F$16</f>
        <v>0.34</v>
      </c>
      <c r="AU15" s="116"/>
      <c r="AV15" s="116">
        <f t="shared" si="15"/>
        <v>4.8274390243902445</v>
      </c>
      <c r="AW15" s="116">
        <f t="shared" si="16"/>
        <v>-0.96548780487804897</v>
      </c>
      <c r="AX15" s="117">
        <f t="shared" si="17"/>
        <v>9.8740638955685363</v>
      </c>
      <c r="AY15" s="122">
        <f t="shared" si="18"/>
        <v>361.69834455513575</v>
      </c>
      <c r="AZ15" s="122">
        <f t="shared" si="19"/>
        <v>775.14</v>
      </c>
      <c r="BA15" s="122">
        <f t="shared" si="20"/>
        <v>742.95707317073175</v>
      </c>
      <c r="BB15" s="121">
        <f t="shared" si="21"/>
        <v>200.258728615596</v>
      </c>
      <c r="BC15" s="123">
        <f t="shared" si="22"/>
        <v>0.26954279842972367</v>
      </c>
      <c r="BD15" t="s">
        <v>367</v>
      </c>
    </row>
    <row r="16" spans="1:57" ht="29.1" customHeight="1" x14ac:dyDescent="0.15">
      <c r="A16" s="38" t="s">
        <v>136</v>
      </c>
      <c r="B16" s="66" t="s">
        <v>137</v>
      </c>
      <c r="C16" s="67">
        <v>23</v>
      </c>
      <c r="D16" s="68">
        <v>23</v>
      </c>
      <c r="E16" s="41">
        <v>614.11</v>
      </c>
      <c r="F16" s="101"/>
      <c r="G16" s="101"/>
      <c r="H16" s="41"/>
      <c r="I16" s="41"/>
      <c r="J16" s="102">
        <v>2</v>
      </c>
      <c r="K16" s="103">
        <f t="shared" si="0"/>
        <v>8.6956521739130432E-2</v>
      </c>
      <c r="L16" s="104">
        <v>52.78</v>
      </c>
      <c r="M16" s="105">
        <f t="shared" si="23"/>
        <v>-0.11538461538461539</v>
      </c>
      <c r="N16" s="103">
        <f t="shared" si="24"/>
        <v>-0.11538461538461539</v>
      </c>
      <c r="O16" s="103">
        <f t="shared" si="25"/>
        <v>-0.2077431173723456</v>
      </c>
      <c r="P16" s="106">
        <f t="shared" si="1"/>
        <v>1</v>
      </c>
      <c r="Q16" s="107">
        <f t="shared" si="2"/>
        <v>26.700434782608696</v>
      </c>
      <c r="R16" s="140">
        <f t="shared" si="3"/>
        <v>26.700434782608696</v>
      </c>
      <c r="S16" s="108">
        <f t="shared" si="4"/>
        <v>3.2857142857142856</v>
      </c>
      <c r="T16" s="146">
        <f t="shared" si="5"/>
        <v>8</v>
      </c>
      <c r="U16" s="110">
        <f t="shared" si="6"/>
        <v>0.34782608695652173</v>
      </c>
      <c r="V16" s="71">
        <f t="shared" si="7"/>
        <v>0.33101561609483643</v>
      </c>
      <c r="W16" s="68">
        <v>30438</v>
      </c>
      <c r="X16" s="68">
        <v>229</v>
      </c>
      <c r="Y16" s="68">
        <v>15</v>
      </c>
      <c r="Z16" s="41">
        <v>203.28</v>
      </c>
      <c r="AA16" s="69">
        <v>472.07</v>
      </c>
      <c r="AB16" s="68">
        <v>0.89</v>
      </c>
      <c r="AC16" s="48">
        <f t="shared" si="8"/>
        <v>0.43061410384053211</v>
      </c>
      <c r="AD16" s="49">
        <f t="shared" si="9"/>
        <v>7.5234903738747617E-3</v>
      </c>
      <c r="AE16" s="112">
        <f t="shared" si="10"/>
        <v>6.5502183406113537E-2</v>
      </c>
      <c r="AF16" s="107">
        <f t="shared" si="11"/>
        <v>13.552</v>
      </c>
      <c r="AG16" s="113">
        <v>3</v>
      </c>
      <c r="AH16" s="115">
        <v>19</v>
      </c>
      <c r="AI16" s="116">
        <f>AG16*产品成本!$D$15+AH16*产品成本!$D$16</f>
        <v>114.36619718309863</v>
      </c>
      <c r="AJ16" s="116">
        <f>AG16*产品成本!$E$15+AH16*产品成本!$E$16</f>
        <v>6.8</v>
      </c>
      <c r="AK16" s="116">
        <f>AG16*产品成本!$F$15+AH16*产品成本!$F$16</f>
        <v>7.48</v>
      </c>
      <c r="AL16" s="116">
        <f>AG16*产品成本!$G$15+AH16*产品成本!$G$16</f>
        <v>85.8</v>
      </c>
      <c r="AM16" s="116">
        <f t="shared" si="12"/>
        <v>92.116500000000002</v>
      </c>
      <c r="AN16" s="117">
        <f t="shared" si="13"/>
        <v>306.56269718309863</v>
      </c>
      <c r="AO16" s="118">
        <v>0</v>
      </c>
      <c r="AP16" s="119">
        <v>2</v>
      </c>
      <c r="AQ16" s="120">
        <f t="shared" si="14"/>
        <v>64.365853658536594</v>
      </c>
      <c r="AR16" s="116">
        <f>AO16*产品成本!$D$15+AP16*产品成本!$D$16</f>
        <v>10.70422535211268</v>
      </c>
      <c r="AS16" s="116">
        <f>AO16*产品成本!$E$15+AP16*产品成本!$E$16</f>
        <v>0.64</v>
      </c>
      <c r="AT16" s="116">
        <f>AO16*产品成本!$F$15+AP16*产品成本!$F$16</f>
        <v>0.68</v>
      </c>
      <c r="AU16" s="116"/>
      <c r="AV16" s="116">
        <f t="shared" si="15"/>
        <v>9.6548780487804891</v>
      </c>
      <c r="AW16" s="116">
        <f t="shared" si="16"/>
        <v>-1.9309756097560979</v>
      </c>
      <c r="AX16" s="117">
        <f t="shared" si="17"/>
        <v>19.748127791137073</v>
      </c>
      <c r="AY16" s="122">
        <f t="shared" si="18"/>
        <v>286.81456939196158</v>
      </c>
      <c r="AZ16" s="122">
        <f t="shared" si="19"/>
        <v>614.11</v>
      </c>
      <c r="BA16" s="122">
        <f t="shared" si="20"/>
        <v>549.74414634146342</v>
      </c>
      <c r="BB16" s="121">
        <f t="shared" si="21"/>
        <v>59.649576949501835</v>
      </c>
      <c r="BC16" s="123">
        <f t="shared" si="22"/>
        <v>0.10850425119843222</v>
      </c>
      <c r="BE16" t="s">
        <v>91</v>
      </c>
    </row>
    <row r="17" spans="1:57" ht="29.1" customHeight="1" x14ac:dyDescent="0.15">
      <c r="A17" s="38" t="s">
        <v>139</v>
      </c>
      <c r="B17" s="66" t="s">
        <v>140</v>
      </c>
      <c r="C17" s="67">
        <v>20</v>
      </c>
      <c r="D17" s="68">
        <v>18</v>
      </c>
      <c r="E17" s="41">
        <v>592.9</v>
      </c>
      <c r="F17" s="101"/>
      <c r="G17" s="101"/>
      <c r="H17" s="41"/>
      <c r="I17" s="41"/>
      <c r="J17" s="102">
        <v>3</v>
      </c>
      <c r="K17" s="103">
        <f t="shared" si="0"/>
        <v>0.15</v>
      </c>
      <c r="L17" s="104">
        <v>77.150000000000006</v>
      </c>
      <c r="M17" s="105">
        <f t="shared" si="23"/>
        <v>-0.13043478260869565</v>
      </c>
      <c r="N17" s="103">
        <f t="shared" si="24"/>
        <v>-0.21739130434782608</v>
      </c>
      <c r="O17" s="103">
        <f t="shared" si="25"/>
        <v>-3.4537786390060471E-2</v>
      </c>
      <c r="P17" s="106">
        <f t="shared" si="1"/>
        <v>1.1111111111111112</v>
      </c>
      <c r="Q17" s="107">
        <f t="shared" si="2"/>
        <v>32.93888888888889</v>
      </c>
      <c r="R17" s="140">
        <f t="shared" si="3"/>
        <v>29.645</v>
      </c>
      <c r="S17" s="108">
        <f t="shared" si="4"/>
        <v>2.8571428571428572</v>
      </c>
      <c r="T17" s="146">
        <f t="shared" si="5"/>
        <v>4</v>
      </c>
      <c r="U17" s="110">
        <f t="shared" si="6"/>
        <v>0.22222222222222221</v>
      </c>
      <c r="V17" s="71">
        <f t="shared" si="7"/>
        <v>0.25989205599595211</v>
      </c>
      <c r="W17" s="68">
        <v>20642</v>
      </c>
      <c r="X17" s="68">
        <v>158</v>
      </c>
      <c r="Y17" s="68">
        <v>14</v>
      </c>
      <c r="Z17" s="41">
        <v>154.09</v>
      </c>
      <c r="AA17" s="69">
        <v>370.6</v>
      </c>
      <c r="AB17" s="68">
        <v>0.98</v>
      </c>
      <c r="AC17" s="48">
        <f t="shared" si="8"/>
        <v>0.4157852131678359</v>
      </c>
      <c r="AD17" s="49">
        <f t="shared" si="9"/>
        <v>7.6542970642379613E-3</v>
      </c>
      <c r="AE17" s="112">
        <f t="shared" si="10"/>
        <v>8.8607594936708861E-2</v>
      </c>
      <c r="AF17" s="107">
        <f t="shared" si="11"/>
        <v>11.006428571428572</v>
      </c>
      <c r="AG17" s="113">
        <v>3</v>
      </c>
      <c r="AH17" s="115">
        <v>17</v>
      </c>
      <c r="AI17" s="116">
        <f>AG17*产品成本!$D$15+AH17*产品成本!$D$16</f>
        <v>103.66197183098595</v>
      </c>
      <c r="AJ17" s="116">
        <f>AG17*产品成本!$E$15+AH17*产品成本!$E$16</f>
        <v>6.16</v>
      </c>
      <c r="AK17" s="116">
        <f>AG17*产品成本!$F$15+AH17*产品成本!$F$16</f>
        <v>6.8000000000000007</v>
      </c>
      <c r="AL17" s="116">
        <f>AG17*产品成本!$G$15+AH17*产品成本!$G$16</f>
        <v>78</v>
      </c>
      <c r="AM17" s="116">
        <f t="shared" si="12"/>
        <v>88.934999999999988</v>
      </c>
      <c r="AN17" s="117">
        <f t="shared" si="13"/>
        <v>283.55697183098596</v>
      </c>
      <c r="AO17" s="118">
        <v>1</v>
      </c>
      <c r="AP17" s="119">
        <v>2</v>
      </c>
      <c r="AQ17" s="120">
        <f t="shared" si="14"/>
        <v>94.085365853658544</v>
      </c>
      <c r="AR17" s="116">
        <f>AO17*产品成本!$D$15+AP17*产品成本!$D$16</f>
        <v>14.929577464788739</v>
      </c>
      <c r="AS17" s="116">
        <f>AO17*产品成本!$E$15+AP17*产品成本!$E$16</f>
        <v>0.88</v>
      </c>
      <c r="AT17" s="116">
        <f>AO17*产品成本!$F$15+AP17*产品成本!$F$16</f>
        <v>1.02</v>
      </c>
      <c r="AU17" s="116"/>
      <c r="AV17" s="116">
        <f t="shared" si="15"/>
        <v>14.112804878048781</v>
      </c>
      <c r="AW17" s="116">
        <f t="shared" si="16"/>
        <v>-2.8225609756097563</v>
      </c>
      <c r="AX17" s="117">
        <f t="shared" si="17"/>
        <v>28.119821367227765</v>
      </c>
      <c r="AY17" s="122">
        <f t="shared" si="18"/>
        <v>255.4371504637582</v>
      </c>
      <c r="AZ17" s="122">
        <f t="shared" si="19"/>
        <v>592.9</v>
      </c>
      <c r="BA17" s="122">
        <f t="shared" si="20"/>
        <v>498.8146341463414</v>
      </c>
      <c r="BB17" s="121">
        <f t="shared" si="21"/>
        <v>89.287483682583201</v>
      </c>
      <c r="BC17" s="123">
        <f t="shared" si="22"/>
        <v>0.17899932674466842</v>
      </c>
      <c r="BD17" t="s">
        <v>368</v>
      </c>
      <c r="BE17" t="s">
        <v>94</v>
      </c>
    </row>
    <row r="18" spans="1:57" ht="29.1" customHeight="1" x14ac:dyDescent="0.15">
      <c r="A18" s="38" t="s">
        <v>142</v>
      </c>
      <c r="B18" s="66" t="s">
        <v>143</v>
      </c>
      <c r="C18" s="67">
        <v>25</v>
      </c>
      <c r="D18" s="68">
        <v>25</v>
      </c>
      <c r="E18" s="41">
        <v>682.87</v>
      </c>
      <c r="F18" s="101"/>
      <c r="G18" s="101"/>
      <c r="H18" s="41"/>
      <c r="I18" s="41"/>
      <c r="J18" s="102">
        <v>3</v>
      </c>
      <c r="K18" s="103">
        <f t="shared" si="0"/>
        <v>0.12</v>
      </c>
      <c r="L18" s="104">
        <v>76.53</v>
      </c>
      <c r="M18" s="105">
        <f t="shared" si="23"/>
        <v>0.25</v>
      </c>
      <c r="N18" s="103">
        <f t="shared" si="24"/>
        <v>0.3888888888888889</v>
      </c>
      <c r="O18" s="103">
        <f t="shared" si="25"/>
        <v>0.15174565694046219</v>
      </c>
      <c r="P18" s="106">
        <f t="shared" si="1"/>
        <v>1</v>
      </c>
      <c r="Q18" s="107">
        <f t="shared" si="2"/>
        <v>27.314800000000002</v>
      </c>
      <c r="R18" s="140">
        <f t="shared" si="3"/>
        <v>27.314800000000002</v>
      </c>
      <c r="S18" s="108">
        <f t="shared" si="4"/>
        <v>3.5714285714285716</v>
      </c>
      <c r="T18" s="146">
        <f t="shared" si="5"/>
        <v>14</v>
      </c>
      <c r="U18" s="110">
        <f t="shared" si="6"/>
        <v>0.56000000000000005</v>
      </c>
      <c r="V18" s="71">
        <f t="shared" si="7"/>
        <v>0.16919765109025145</v>
      </c>
      <c r="W18" s="68">
        <v>20842</v>
      </c>
      <c r="X18" s="68">
        <v>121</v>
      </c>
      <c r="Y18" s="68">
        <v>11</v>
      </c>
      <c r="Z18" s="41">
        <v>115.54</v>
      </c>
      <c r="AA18" s="69">
        <v>307.39</v>
      </c>
      <c r="AB18" s="68">
        <v>0.95</v>
      </c>
      <c r="AC18" s="48">
        <f t="shared" si="8"/>
        <v>0.37587429649630766</v>
      </c>
      <c r="AD18" s="49">
        <f t="shared" si="9"/>
        <v>5.8055848766912967E-3</v>
      </c>
      <c r="AE18" s="112">
        <f t="shared" si="10"/>
        <v>9.0909090909090912E-2</v>
      </c>
      <c r="AF18" s="107">
        <f t="shared" si="11"/>
        <v>10.503636363636364</v>
      </c>
      <c r="AG18" s="113">
        <v>3</v>
      </c>
      <c r="AH18" s="115">
        <v>22</v>
      </c>
      <c r="AI18" s="116">
        <f>AG18*产品成本!$D$15+AH18*产品成本!$D$16</f>
        <v>130.42253521126767</v>
      </c>
      <c r="AJ18" s="116">
        <f>AG18*产品成本!$E$15+AH18*产品成本!$E$16</f>
        <v>7.76</v>
      </c>
      <c r="AK18" s="116">
        <f>AG18*产品成本!$F$15+AH18*产品成本!$F$16</f>
        <v>8.5</v>
      </c>
      <c r="AL18" s="116">
        <f>AG18*产品成本!$G$15+AH18*产品成本!$G$16</f>
        <v>97.5</v>
      </c>
      <c r="AM18" s="116">
        <f t="shared" si="12"/>
        <v>102.43049999999999</v>
      </c>
      <c r="AN18" s="117">
        <f t="shared" si="13"/>
        <v>346.61303521126763</v>
      </c>
      <c r="AO18" s="118">
        <v>0</v>
      </c>
      <c r="AP18" s="119">
        <v>3</v>
      </c>
      <c r="AQ18" s="120">
        <f t="shared" si="14"/>
        <v>93.32926829268294</v>
      </c>
      <c r="AR18" s="116">
        <f>AO18*产品成本!$D$15+AP18*产品成本!$D$16</f>
        <v>16.056338028169019</v>
      </c>
      <c r="AS18" s="116">
        <f>AO18*产品成本!$E$15+AP18*产品成本!$E$16</f>
        <v>0.96</v>
      </c>
      <c r="AT18" s="116">
        <f>AO18*产品成本!$F$15+AP18*产品成本!$F$16</f>
        <v>1.02</v>
      </c>
      <c r="AU18" s="116"/>
      <c r="AV18" s="116">
        <f t="shared" si="15"/>
        <v>13.999390243902441</v>
      </c>
      <c r="AW18" s="116">
        <f t="shared" si="16"/>
        <v>-2.7998780487804886</v>
      </c>
      <c r="AX18" s="117">
        <f t="shared" si="17"/>
        <v>29.235850223290971</v>
      </c>
      <c r="AY18" s="122">
        <f t="shared" si="18"/>
        <v>317.37718498797665</v>
      </c>
      <c r="AZ18" s="122">
        <f t="shared" si="19"/>
        <v>682.87</v>
      </c>
      <c r="BA18" s="122">
        <f t="shared" si="20"/>
        <v>589.54073170731704</v>
      </c>
      <c r="BB18" s="121">
        <f t="shared" si="21"/>
        <v>156.62354671934037</v>
      </c>
      <c r="BC18" s="123">
        <f t="shared" si="22"/>
        <v>0.26567044191460137</v>
      </c>
      <c r="BD18" t="s">
        <v>369</v>
      </c>
    </row>
    <row r="19" spans="1:57" ht="29.1" customHeight="1" x14ac:dyDescent="0.15">
      <c r="A19" s="38" t="s">
        <v>144</v>
      </c>
      <c r="B19" s="66" t="s">
        <v>145</v>
      </c>
      <c r="C19" s="67">
        <v>17</v>
      </c>
      <c r="D19" s="68">
        <v>17</v>
      </c>
      <c r="E19" s="41">
        <v>503.14</v>
      </c>
      <c r="F19" s="101"/>
      <c r="G19" s="101"/>
      <c r="H19" s="41"/>
      <c r="I19" s="41"/>
      <c r="J19" s="102">
        <v>1</v>
      </c>
      <c r="K19" s="103">
        <f t="shared" si="0"/>
        <v>5.8823529411764705E-2</v>
      </c>
      <c r="L19" s="104">
        <v>26.39</v>
      </c>
      <c r="M19" s="105">
        <f t="shared" si="23"/>
        <v>-0.32</v>
      </c>
      <c r="N19" s="103">
        <f t="shared" si="24"/>
        <v>-0.32</v>
      </c>
      <c r="O19" s="103">
        <f t="shared" si="25"/>
        <v>-0.26319797325991773</v>
      </c>
      <c r="P19" s="106">
        <f t="shared" si="1"/>
        <v>1</v>
      </c>
      <c r="Q19" s="107">
        <f t="shared" si="2"/>
        <v>29.596470588235292</v>
      </c>
      <c r="R19" s="140">
        <f t="shared" si="3"/>
        <v>29.596470588235292</v>
      </c>
      <c r="S19" s="108">
        <f t="shared" si="4"/>
        <v>2.4285714285714284</v>
      </c>
      <c r="T19" s="146">
        <f t="shared" si="5"/>
        <v>-1</v>
      </c>
      <c r="U19" s="110">
        <f t="shared" si="6"/>
        <v>-5.8823529411764705E-2</v>
      </c>
      <c r="V19" s="71">
        <f t="shared" si="7"/>
        <v>0.29802838176253127</v>
      </c>
      <c r="W19" s="68">
        <v>22841</v>
      </c>
      <c r="X19" s="68">
        <v>158</v>
      </c>
      <c r="Y19" s="68">
        <v>18</v>
      </c>
      <c r="Z19" s="41">
        <v>149.94999999999999</v>
      </c>
      <c r="AA19" s="69">
        <v>473.72</v>
      </c>
      <c r="AB19" s="68">
        <v>0.95</v>
      </c>
      <c r="AC19" s="48">
        <f t="shared" si="8"/>
        <v>0.31653719496749128</v>
      </c>
      <c r="AD19" s="49">
        <f t="shared" si="9"/>
        <v>6.9173854034411805E-3</v>
      </c>
      <c r="AE19" s="112">
        <f t="shared" si="10"/>
        <v>0.11392405063291139</v>
      </c>
      <c r="AF19" s="107">
        <f t="shared" si="11"/>
        <v>8.3305555555555557</v>
      </c>
      <c r="AG19" s="113">
        <v>1</v>
      </c>
      <c r="AH19" s="115">
        <v>16</v>
      </c>
      <c r="AI19" s="116">
        <f>AG19*产品成本!$D$15+AH19*产品成本!$D$16</f>
        <v>89.8591549295775</v>
      </c>
      <c r="AJ19" s="116">
        <f>AG19*产品成本!$E$15+AH19*产品成本!$E$16</f>
        <v>5.36</v>
      </c>
      <c r="AK19" s="116">
        <f>AG19*产品成本!$F$15+AH19*产品成本!$F$16</f>
        <v>5.78</v>
      </c>
      <c r="AL19" s="116">
        <f>AG19*产品成本!$G$15+AH19*产品成本!$G$16</f>
        <v>66.3</v>
      </c>
      <c r="AM19" s="116">
        <f t="shared" si="12"/>
        <v>75.470999999999989</v>
      </c>
      <c r="AN19" s="117">
        <f t="shared" si="13"/>
        <v>242.77015492957747</v>
      </c>
      <c r="AO19" s="118">
        <v>0</v>
      </c>
      <c r="AP19" s="119">
        <v>1</v>
      </c>
      <c r="AQ19" s="120">
        <f t="shared" si="14"/>
        <v>32.182926829268297</v>
      </c>
      <c r="AR19" s="116">
        <f>AO19*产品成本!$D$15+AP19*产品成本!$D$16</f>
        <v>5.3521126760563398</v>
      </c>
      <c r="AS19" s="116">
        <f>AO19*产品成本!$E$15+AP19*产品成本!$E$16</f>
        <v>0.32</v>
      </c>
      <c r="AT19" s="116">
        <f>AO19*产品成本!$F$15+AP19*产品成本!$F$16</f>
        <v>0.34</v>
      </c>
      <c r="AU19" s="116"/>
      <c r="AV19" s="116">
        <f t="shared" si="15"/>
        <v>4.8274390243902445</v>
      </c>
      <c r="AW19" s="116">
        <f t="shared" si="16"/>
        <v>-0.96548780487804897</v>
      </c>
      <c r="AX19" s="117">
        <f t="shared" si="17"/>
        <v>9.8740638955685363</v>
      </c>
      <c r="AY19" s="122">
        <f t="shared" si="18"/>
        <v>232.89609103400895</v>
      </c>
      <c r="AZ19" s="122">
        <f t="shared" si="19"/>
        <v>503.14</v>
      </c>
      <c r="BA19" s="122">
        <f t="shared" si="20"/>
        <v>470.95707317073169</v>
      </c>
      <c r="BB19" s="121">
        <f t="shared" si="21"/>
        <v>88.110982136722754</v>
      </c>
      <c r="BC19" s="123">
        <f t="shared" si="22"/>
        <v>0.18708920017595893</v>
      </c>
    </row>
    <row r="20" spans="1:57" ht="29.1" customHeight="1" x14ac:dyDescent="0.15">
      <c r="A20" s="38" t="s">
        <v>147</v>
      </c>
      <c r="B20" s="66" t="s">
        <v>148</v>
      </c>
      <c r="C20" s="67">
        <v>26</v>
      </c>
      <c r="D20" s="68">
        <v>26</v>
      </c>
      <c r="E20" s="41">
        <v>709.6</v>
      </c>
      <c r="F20" s="101"/>
      <c r="G20" s="101"/>
      <c r="H20" s="41"/>
      <c r="I20" s="41"/>
      <c r="J20" s="102">
        <v>1</v>
      </c>
      <c r="K20" s="103">
        <f t="shared" si="0"/>
        <v>3.8461538461538464E-2</v>
      </c>
      <c r="L20" s="104">
        <v>23.75</v>
      </c>
      <c r="M20" s="105">
        <f t="shared" si="23"/>
        <v>0.52941176470588236</v>
      </c>
      <c r="N20" s="103">
        <f t="shared" si="24"/>
        <v>0.52941176470588236</v>
      </c>
      <c r="O20" s="103">
        <f t="shared" si="25"/>
        <v>0.41034304567317254</v>
      </c>
      <c r="P20" s="106">
        <f t="shared" si="1"/>
        <v>1</v>
      </c>
      <c r="Q20" s="107">
        <f t="shared" si="2"/>
        <v>27.292307692307695</v>
      </c>
      <c r="R20" s="140">
        <f t="shared" si="3"/>
        <v>27.292307692307695</v>
      </c>
      <c r="S20" s="108">
        <f t="shared" si="4"/>
        <v>3.7142857142857144</v>
      </c>
      <c r="T20" s="146">
        <f t="shared" si="5"/>
        <v>11</v>
      </c>
      <c r="U20" s="110">
        <f t="shared" si="6"/>
        <v>0.42307692307692307</v>
      </c>
      <c r="V20" s="71">
        <f t="shared" si="7"/>
        <v>0.24887260428410371</v>
      </c>
      <c r="W20" s="68">
        <v>23355</v>
      </c>
      <c r="X20" s="68">
        <v>183</v>
      </c>
      <c r="Y20" s="68">
        <v>15</v>
      </c>
      <c r="Z20" s="41">
        <v>176.6</v>
      </c>
      <c r="AA20" s="69">
        <v>399.48</v>
      </c>
      <c r="AB20" s="68">
        <v>0.97</v>
      </c>
      <c r="AC20" s="48">
        <f t="shared" si="8"/>
        <v>0.44207469710623809</v>
      </c>
      <c r="AD20" s="49">
        <f t="shared" si="9"/>
        <v>7.83558124598587E-3</v>
      </c>
      <c r="AE20" s="112">
        <f t="shared" si="10"/>
        <v>8.1967213114754092E-2</v>
      </c>
      <c r="AF20" s="107">
        <f t="shared" si="11"/>
        <v>11.773333333333333</v>
      </c>
      <c r="AG20" s="113">
        <v>2</v>
      </c>
      <c r="AH20" s="115">
        <v>24</v>
      </c>
      <c r="AI20" s="116">
        <f>AG20*产品成本!$D$15+AH20*产品成本!$D$16</f>
        <v>136.90140845070428</v>
      </c>
      <c r="AJ20" s="116">
        <f>AG20*产品成本!$E$15+AH20*产品成本!$E$16</f>
        <v>8.16</v>
      </c>
      <c r="AK20" s="116">
        <f>AG20*产品成本!$F$15+AH20*产品成本!$F$16</f>
        <v>8.84</v>
      </c>
      <c r="AL20" s="116">
        <f>AG20*产品成本!$G$15+AH20*产品成本!$G$16</f>
        <v>101.39999999999999</v>
      </c>
      <c r="AM20" s="116">
        <f t="shared" si="12"/>
        <v>106.44</v>
      </c>
      <c r="AN20" s="117">
        <f t="shared" si="13"/>
        <v>361.74140845070428</v>
      </c>
      <c r="AO20" s="118">
        <v>0</v>
      </c>
      <c r="AP20" s="119">
        <v>1</v>
      </c>
      <c r="AQ20" s="120">
        <f t="shared" si="14"/>
        <v>28.963414634146343</v>
      </c>
      <c r="AR20" s="116">
        <f>AO20*产品成本!$D$15+AP20*产品成本!$D$16</f>
        <v>5.3521126760563398</v>
      </c>
      <c r="AS20" s="116">
        <f>AO20*产品成本!$E$15+AP20*产品成本!$E$16</f>
        <v>0.32</v>
      </c>
      <c r="AT20" s="116">
        <f>AO20*产品成本!$F$15+AP20*产品成本!$F$16</f>
        <v>0.34</v>
      </c>
      <c r="AU20" s="116"/>
      <c r="AV20" s="116">
        <f t="shared" si="15"/>
        <v>4.3445121951219514</v>
      </c>
      <c r="AW20" s="116">
        <f t="shared" si="16"/>
        <v>-0.86890243902439035</v>
      </c>
      <c r="AX20" s="117">
        <f t="shared" si="17"/>
        <v>9.4877224321539</v>
      </c>
      <c r="AY20" s="122">
        <f t="shared" si="18"/>
        <v>352.25368601855041</v>
      </c>
      <c r="AZ20" s="122">
        <f t="shared" si="19"/>
        <v>709.6</v>
      </c>
      <c r="BA20" s="122">
        <f t="shared" si="20"/>
        <v>680.63658536585365</v>
      </c>
      <c r="BB20" s="121">
        <f t="shared" si="21"/>
        <v>151.78289934730324</v>
      </c>
      <c r="BC20" s="123">
        <f t="shared" si="22"/>
        <v>0.22300138225117208</v>
      </c>
    </row>
    <row r="21" spans="1:57" ht="29.1" customHeight="1" x14ac:dyDescent="0.15">
      <c r="A21" s="38" t="s">
        <v>150</v>
      </c>
      <c r="B21" s="66" t="s">
        <v>151</v>
      </c>
      <c r="C21" s="67">
        <v>28</v>
      </c>
      <c r="D21" s="68">
        <v>28</v>
      </c>
      <c r="E21" s="41">
        <v>762.44</v>
      </c>
      <c r="F21" s="101"/>
      <c r="G21" s="101"/>
      <c r="H21" s="41"/>
      <c r="I21" s="41"/>
      <c r="J21" s="102">
        <v>2</v>
      </c>
      <c r="K21" s="103">
        <f t="shared" si="0"/>
        <v>7.1428571428571425E-2</v>
      </c>
      <c r="L21" s="104">
        <v>50.76</v>
      </c>
      <c r="M21" s="105">
        <f t="shared" si="23"/>
        <v>7.6923076923076927E-2</v>
      </c>
      <c r="N21" s="103">
        <f t="shared" si="24"/>
        <v>7.6923076923076927E-2</v>
      </c>
      <c r="O21" s="103">
        <f t="shared" si="25"/>
        <v>7.4464487034949303E-2</v>
      </c>
      <c r="P21" s="106">
        <f t="shared" si="1"/>
        <v>1</v>
      </c>
      <c r="Q21" s="107">
        <f t="shared" si="2"/>
        <v>27.23</v>
      </c>
      <c r="R21" s="140">
        <f t="shared" si="3"/>
        <v>27.23</v>
      </c>
      <c r="S21" s="108">
        <f t="shared" si="4"/>
        <v>4</v>
      </c>
      <c r="T21" s="146">
        <f t="shared" si="5"/>
        <v>9</v>
      </c>
      <c r="U21" s="110">
        <f t="shared" si="6"/>
        <v>0.32142857142857145</v>
      </c>
      <c r="V21" s="71">
        <f t="shared" si="7"/>
        <v>0.28298620219295939</v>
      </c>
      <c r="W21" s="68">
        <v>34070</v>
      </c>
      <c r="X21" s="68">
        <v>217</v>
      </c>
      <c r="Y21" s="68">
        <v>19</v>
      </c>
      <c r="Z21" s="41">
        <v>215.76</v>
      </c>
      <c r="AA21" s="69">
        <v>499.3</v>
      </c>
      <c r="AB21" s="68">
        <v>0.99</v>
      </c>
      <c r="AC21" s="48">
        <f t="shared" si="8"/>
        <v>0.43212497496495089</v>
      </c>
      <c r="AD21" s="49">
        <f t="shared" si="9"/>
        <v>6.3692398004109186E-3</v>
      </c>
      <c r="AE21" s="112">
        <f t="shared" si="10"/>
        <v>8.755760368663594E-2</v>
      </c>
      <c r="AF21" s="107">
        <f t="shared" si="11"/>
        <v>11.35578947368421</v>
      </c>
      <c r="AG21" s="113">
        <v>4</v>
      </c>
      <c r="AH21" s="115">
        <v>24</v>
      </c>
      <c r="AI21" s="116">
        <f>AG21*产品成本!$D$15+AH21*产品成本!$D$16</f>
        <v>145.35211267605638</v>
      </c>
      <c r="AJ21" s="116">
        <f>AG21*产品成本!$E$15+AH21*产品成本!$E$16</f>
        <v>8.64</v>
      </c>
      <c r="AK21" s="116">
        <f>AG21*产品成本!$F$15+AH21*产品成本!$F$16</f>
        <v>9.52</v>
      </c>
      <c r="AL21" s="116">
        <f>AG21*产品成本!$G$15+AH21*产品成本!$G$16</f>
        <v>109.19999999999999</v>
      </c>
      <c r="AM21" s="116">
        <f t="shared" si="12"/>
        <v>114.366</v>
      </c>
      <c r="AN21" s="117">
        <f t="shared" si="13"/>
        <v>387.07811267605632</v>
      </c>
      <c r="AO21" s="118">
        <v>1</v>
      </c>
      <c r="AP21" s="119">
        <v>1</v>
      </c>
      <c r="AQ21" s="120">
        <f t="shared" si="14"/>
        <v>61.902439024390247</v>
      </c>
      <c r="AR21" s="116">
        <f>AO21*产品成本!$D$15+AP21*产品成本!$D$16</f>
        <v>9.5774647887323994</v>
      </c>
      <c r="AS21" s="116">
        <f>AO21*产品成本!$E$15+AP21*产品成本!$E$16</f>
        <v>0.56000000000000005</v>
      </c>
      <c r="AT21" s="116">
        <f>AO21*产品成本!$F$15+AP21*产品成本!$F$16</f>
        <v>0.68</v>
      </c>
      <c r="AU21" s="116"/>
      <c r="AV21" s="116">
        <f t="shared" si="15"/>
        <v>9.2853658536585364</v>
      </c>
      <c r="AW21" s="116">
        <f t="shared" si="16"/>
        <v>-1.8570731707317074</v>
      </c>
      <c r="AX21" s="117">
        <f t="shared" si="17"/>
        <v>18.245757471659228</v>
      </c>
      <c r="AY21" s="122">
        <f t="shared" si="18"/>
        <v>368.83235520439712</v>
      </c>
      <c r="AZ21" s="122">
        <f t="shared" si="19"/>
        <v>762.44</v>
      </c>
      <c r="BA21" s="122">
        <f t="shared" si="20"/>
        <v>700.53756097560984</v>
      </c>
      <c r="BB21" s="121">
        <f t="shared" si="21"/>
        <v>115.94520577121273</v>
      </c>
      <c r="BC21" s="123">
        <f t="shared" si="22"/>
        <v>0.16550890663127416</v>
      </c>
    </row>
    <row r="22" spans="1:57" ht="29.1" customHeight="1" x14ac:dyDescent="0.15">
      <c r="A22" s="38" t="s">
        <v>154</v>
      </c>
      <c r="B22" s="66" t="s">
        <v>155</v>
      </c>
      <c r="C22" s="67">
        <v>25</v>
      </c>
      <c r="D22" s="68">
        <v>25</v>
      </c>
      <c r="E22" s="41">
        <v>663.03</v>
      </c>
      <c r="F22" s="101">
        <v>2</v>
      </c>
      <c r="G22" s="101">
        <v>2</v>
      </c>
      <c r="H22" s="41">
        <v>53.98</v>
      </c>
      <c r="I22" s="41">
        <v>3.58</v>
      </c>
      <c r="J22" s="102">
        <v>5</v>
      </c>
      <c r="K22" s="103">
        <f t="shared" si="0"/>
        <v>0.2</v>
      </c>
      <c r="L22" s="104">
        <v>110.43</v>
      </c>
      <c r="M22" s="105">
        <f t="shared" ref="M22:M38" si="26">(C22-C21)/C21</f>
        <v>-0.10714285714285714</v>
      </c>
      <c r="N22" s="103">
        <f t="shared" ref="N22:N38" si="27">(D22-D21)/D21</f>
        <v>-0.10714285714285714</v>
      </c>
      <c r="O22" s="103">
        <f t="shared" ref="O22:O38" si="28">(E22-E21)/E21</f>
        <v>-0.1303840302187714</v>
      </c>
      <c r="P22" s="106">
        <f t="shared" si="1"/>
        <v>1</v>
      </c>
      <c r="Q22" s="107">
        <f t="shared" si="2"/>
        <v>26.5212</v>
      </c>
      <c r="R22" s="140">
        <f t="shared" si="3"/>
        <v>26.5212</v>
      </c>
      <c r="S22" s="108">
        <f t="shared" si="4"/>
        <v>3.5714285714285716</v>
      </c>
      <c r="T22" s="146">
        <f t="shared" si="5"/>
        <v>8</v>
      </c>
      <c r="U22" s="110">
        <f t="shared" si="6"/>
        <v>0.32</v>
      </c>
      <c r="V22" s="71">
        <f t="shared" si="7"/>
        <v>0.23085904920767311</v>
      </c>
      <c r="W22" s="68">
        <v>25098</v>
      </c>
      <c r="X22" s="68">
        <v>151</v>
      </c>
      <c r="Y22" s="68">
        <v>17</v>
      </c>
      <c r="Z22" s="41">
        <v>152.24</v>
      </c>
      <c r="AA22" s="69">
        <v>439.19</v>
      </c>
      <c r="AB22" s="68">
        <v>1.01</v>
      </c>
      <c r="AC22" s="48">
        <f t="shared" si="8"/>
        <v>0.34663812928345367</v>
      </c>
      <c r="AD22" s="49">
        <f t="shared" si="9"/>
        <v>6.0164156506494542E-3</v>
      </c>
      <c r="AE22" s="112">
        <f t="shared" si="10"/>
        <v>0.11258278145695365</v>
      </c>
      <c r="AF22" s="107">
        <f t="shared" si="11"/>
        <v>8.9552941176470586</v>
      </c>
      <c r="AG22" s="113">
        <v>7</v>
      </c>
      <c r="AH22" s="115">
        <v>18</v>
      </c>
      <c r="AI22" s="116">
        <f>AG22*产品成本!$D$15+AH22*产品成本!$D$16</f>
        <v>125.91549295774652</v>
      </c>
      <c r="AJ22" s="116">
        <f>AG22*产品成本!$E$15+AH22*产品成本!$E$16</f>
        <v>7.4399999999999995</v>
      </c>
      <c r="AK22" s="116">
        <f>AG22*产品成本!$F$15+AH22*产品成本!$F$16</f>
        <v>8.5</v>
      </c>
      <c r="AL22" s="116">
        <f>AG22*产品成本!$G$15+AH22*产品成本!$G$16</f>
        <v>97.5</v>
      </c>
      <c r="AM22" s="116">
        <f t="shared" si="12"/>
        <v>98.91749999999999</v>
      </c>
      <c r="AN22" s="117">
        <f t="shared" si="13"/>
        <v>338.27299295774651</v>
      </c>
      <c r="AO22" s="118">
        <v>1</v>
      </c>
      <c r="AP22" s="119">
        <v>4</v>
      </c>
      <c r="AQ22" s="120">
        <f t="shared" si="14"/>
        <v>134.67073170731709</v>
      </c>
      <c r="AR22" s="116">
        <f>AO22*产品成本!$D$15+AP22*产品成本!$D$16</f>
        <v>25.633802816901419</v>
      </c>
      <c r="AS22" s="116">
        <f>AO22*产品成本!$E$15+AP22*产品成本!$E$16</f>
        <v>1.52</v>
      </c>
      <c r="AT22" s="116">
        <f>AO22*产品成本!$F$15+AP22*产品成本!$F$16</f>
        <v>1.7000000000000002</v>
      </c>
      <c r="AU22" s="116"/>
      <c r="AV22" s="116">
        <f t="shared" si="15"/>
        <v>20.200609756097563</v>
      </c>
      <c r="AW22" s="116">
        <f t="shared" si="16"/>
        <v>-4.040121951219513</v>
      </c>
      <c r="AX22" s="117">
        <f t="shared" si="17"/>
        <v>45.014290621779473</v>
      </c>
      <c r="AY22" s="122">
        <f t="shared" ref="AY22:AY38" si="29">AN22-AX22</f>
        <v>293.25870233596703</v>
      </c>
      <c r="AZ22" s="122">
        <f t="shared" si="19"/>
        <v>659.44999999999993</v>
      </c>
      <c r="BA22" s="122">
        <f t="shared" si="20"/>
        <v>524.77926829268279</v>
      </c>
      <c r="BB22" s="121">
        <f t="shared" si="21"/>
        <v>79.280565956715748</v>
      </c>
      <c r="BC22" s="123">
        <f t="shared" ref="BC22:BC38" si="30">BB22/BA22</f>
        <v>0.15107411962871017</v>
      </c>
    </row>
    <row r="23" spans="1:57" ht="29.1" customHeight="1" x14ac:dyDescent="0.15">
      <c r="A23" s="38" t="s">
        <v>156</v>
      </c>
      <c r="B23" s="66" t="s">
        <v>157</v>
      </c>
      <c r="C23" s="67">
        <v>23</v>
      </c>
      <c r="D23" s="68">
        <v>22</v>
      </c>
      <c r="E23" s="41">
        <v>582.25</v>
      </c>
      <c r="F23" s="101">
        <v>4</v>
      </c>
      <c r="G23" s="101">
        <v>4</v>
      </c>
      <c r="H23" s="41">
        <v>101.96</v>
      </c>
      <c r="I23" s="41">
        <v>10.199999999999999</v>
      </c>
      <c r="J23" s="102">
        <v>3</v>
      </c>
      <c r="K23" s="103">
        <f t="shared" si="0"/>
        <v>0.13043478260869565</v>
      </c>
      <c r="L23" s="104">
        <v>69.150000000000006</v>
      </c>
      <c r="M23" s="105">
        <f t="shared" si="26"/>
        <v>-0.08</v>
      </c>
      <c r="N23" s="103">
        <f t="shared" si="27"/>
        <v>-0.12</v>
      </c>
      <c r="O23" s="103">
        <f t="shared" si="28"/>
        <v>-0.1218346077854697</v>
      </c>
      <c r="P23" s="106">
        <f t="shared" si="1"/>
        <v>1.0454545454545454</v>
      </c>
      <c r="Q23" s="107">
        <f t="shared" si="2"/>
        <v>26.46590909090909</v>
      </c>
      <c r="R23" s="140">
        <f t="shared" si="3"/>
        <v>25.315217391304348</v>
      </c>
      <c r="S23" s="108">
        <f t="shared" si="4"/>
        <v>3.2857142857142856</v>
      </c>
      <c r="T23" s="146">
        <f t="shared" si="5"/>
        <v>8</v>
      </c>
      <c r="U23" s="110">
        <f t="shared" si="6"/>
        <v>0.36363636363636365</v>
      </c>
      <c r="V23" s="71">
        <f t="shared" si="7"/>
        <v>0.29553360720216765</v>
      </c>
      <c r="W23" s="68">
        <v>26932</v>
      </c>
      <c r="X23" s="68">
        <v>171</v>
      </c>
      <c r="Y23" s="68">
        <v>14</v>
      </c>
      <c r="Z23" s="41">
        <v>169.06</v>
      </c>
      <c r="AA23" s="69">
        <v>371.73</v>
      </c>
      <c r="AB23" s="68">
        <v>0.99</v>
      </c>
      <c r="AC23" s="48">
        <f t="shared" si="8"/>
        <v>0.45479245689075404</v>
      </c>
      <c r="AD23" s="49">
        <f t="shared" si="9"/>
        <v>6.3493242239714837E-3</v>
      </c>
      <c r="AE23" s="112">
        <f t="shared" si="10"/>
        <v>8.1871345029239762E-2</v>
      </c>
      <c r="AF23" s="107">
        <f t="shared" si="11"/>
        <v>12.075714285714286</v>
      </c>
      <c r="AG23" s="113">
        <v>2</v>
      </c>
      <c r="AH23" s="115">
        <v>21</v>
      </c>
      <c r="AI23" s="116">
        <f>AG23*产品成本!$D$15+AH23*产品成本!$D$16</f>
        <v>120.84507042253526</v>
      </c>
      <c r="AJ23" s="116">
        <f>AG23*产品成本!$E$15+AH23*产品成本!$E$16</f>
        <v>7.1999999999999993</v>
      </c>
      <c r="AK23" s="116">
        <f>AG23*产品成本!$F$15+AH23*产品成本!$F$16</f>
        <v>7.82</v>
      </c>
      <c r="AL23" s="116">
        <f>AG23*产品成本!$G$15+AH23*产品成本!$G$16</f>
        <v>89.699999999999989</v>
      </c>
      <c r="AM23" s="116">
        <f t="shared" si="12"/>
        <v>85.80749999999999</v>
      </c>
      <c r="AN23" s="117">
        <f t="shared" si="13"/>
        <v>311.3725704225352</v>
      </c>
      <c r="AO23" s="118">
        <v>1</v>
      </c>
      <c r="AP23" s="119">
        <v>3</v>
      </c>
      <c r="AQ23" s="120">
        <f t="shared" si="14"/>
        <v>84.32926829268294</v>
      </c>
      <c r="AR23" s="116">
        <f>AO23*产品成本!$D$15+AP23*产品成本!$D$16</f>
        <v>20.281690140845079</v>
      </c>
      <c r="AS23" s="116">
        <f>AO23*产品成本!$E$15+AP23*产品成本!$E$16</f>
        <v>1.2</v>
      </c>
      <c r="AT23" s="116">
        <f>AO23*产品成本!$F$15+AP23*产品成本!$F$16</f>
        <v>1.36</v>
      </c>
      <c r="AU23" s="116"/>
      <c r="AV23" s="116">
        <f t="shared" si="15"/>
        <v>12.64939024390244</v>
      </c>
      <c r="AW23" s="116">
        <f t="shared" si="16"/>
        <v>-2.5298780487804882</v>
      </c>
      <c r="AX23" s="117">
        <f t="shared" si="17"/>
        <v>32.96120233596703</v>
      </c>
      <c r="AY23" s="122">
        <f t="shared" si="29"/>
        <v>278.41136808656819</v>
      </c>
      <c r="AZ23" s="122">
        <f t="shared" si="19"/>
        <v>572.04999999999995</v>
      </c>
      <c r="BA23" s="122">
        <f t="shared" si="20"/>
        <v>487.72073170731704</v>
      </c>
      <c r="BB23" s="121">
        <f t="shared" si="21"/>
        <v>40.249363620748852</v>
      </c>
      <c r="BC23" s="123">
        <f t="shared" si="30"/>
        <v>8.2525431059392904E-2</v>
      </c>
    </row>
    <row r="24" spans="1:57" ht="29.1" customHeight="1" x14ac:dyDescent="0.15">
      <c r="A24" s="38" t="s">
        <v>158</v>
      </c>
      <c r="B24" s="66" t="s">
        <v>159</v>
      </c>
      <c r="C24" s="67">
        <v>19</v>
      </c>
      <c r="D24" s="68">
        <v>19</v>
      </c>
      <c r="E24" s="41">
        <v>482.35</v>
      </c>
      <c r="F24" s="101">
        <v>4</v>
      </c>
      <c r="G24" s="101">
        <v>4</v>
      </c>
      <c r="H24" s="41">
        <v>100</v>
      </c>
      <c r="I24" s="41">
        <v>10</v>
      </c>
      <c r="J24" s="102">
        <v>3</v>
      </c>
      <c r="K24" s="103">
        <f t="shared" si="0"/>
        <v>0.15789473684210525</v>
      </c>
      <c r="L24" s="104">
        <v>62.95</v>
      </c>
      <c r="M24" s="105">
        <f t="shared" si="26"/>
        <v>-0.17391304347826086</v>
      </c>
      <c r="N24" s="103">
        <f t="shared" si="27"/>
        <v>-0.13636363636363635</v>
      </c>
      <c r="O24" s="103">
        <f t="shared" si="28"/>
        <v>-0.17157578359811074</v>
      </c>
      <c r="P24" s="106">
        <f t="shared" si="1"/>
        <v>1</v>
      </c>
      <c r="Q24" s="107">
        <f t="shared" si="2"/>
        <v>25.38684210526316</v>
      </c>
      <c r="R24" s="140">
        <f t="shared" si="3"/>
        <v>25.38684210526316</v>
      </c>
      <c r="S24" s="108">
        <f t="shared" si="4"/>
        <v>2.7142857142857144</v>
      </c>
      <c r="T24" s="146">
        <f t="shared" si="5"/>
        <v>-2</v>
      </c>
      <c r="U24" s="110">
        <f t="shared" si="6"/>
        <v>-0.10526315789473684</v>
      </c>
      <c r="V24" s="71">
        <f t="shared" si="7"/>
        <v>0.3619985180480576</v>
      </c>
      <c r="W24" s="68">
        <v>28948</v>
      </c>
      <c r="X24" s="68">
        <v>173</v>
      </c>
      <c r="Y24" s="68">
        <v>21</v>
      </c>
      <c r="Z24" s="41">
        <v>170.99</v>
      </c>
      <c r="AA24" s="69">
        <v>528.29</v>
      </c>
      <c r="AB24" s="68">
        <v>0.99</v>
      </c>
      <c r="AC24" s="48">
        <f t="shared" si="8"/>
        <v>0.32366692536296354</v>
      </c>
      <c r="AD24" s="49">
        <f t="shared" si="9"/>
        <v>5.9762332458200909E-3</v>
      </c>
      <c r="AE24" s="112">
        <f t="shared" si="10"/>
        <v>0.12138728323699421</v>
      </c>
      <c r="AF24" s="107">
        <f t="shared" si="11"/>
        <v>8.1423809523809521</v>
      </c>
      <c r="AG24" s="113">
        <v>1</v>
      </c>
      <c r="AH24" s="115">
        <v>18</v>
      </c>
      <c r="AI24" s="116">
        <f>AG24*产品成本!$D$15+AH24*产品成本!$D$16</f>
        <v>100.56338028169017</v>
      </c>
      <c r="AJ24" s="116">
        <f>AG24*产品成本!$E$15+AH24*产品成本!$E$16</f>
        <v>6</v>
      </c>
      <c r="AK24" s="116">
        <f>AG24*产品成本!$F$15+AH24*产品成本!$F$16</f>
        <v>6.46</v>
      </c>
      <c r="AL24" s="116">
        <f>AG24*产品成本!$G$15+AH24*产品成本!$G$16</f>
        <v>74.100000000000009</v>
      </c>
      <c r="AM24" s="116">
        <f t="shared" si="12"/>
        <v>70.852500000000006</v>
      </c>
      <c r="AN24" s="117">
        <f t="shared" si="13"/>
        <v>257.97588028169019</v>
      </c>
      <c r="AO24" s="118">
        <v>0</v>
      </c>
      <c r="AP24" s="119">
        <v>3</v>
      </c>
      <c r="AQ24" s="120">
        <f t="shared" si="14"/>
        <v>76.768292682926841</v>
      </c>
      <c r="AR24" s="116">
        <f>AO24*产品成本!$D$15+AP24*产品成本!$D$16</f>
        <v>16.056338028169019</v>
      </c>
      <c r="AS24" s="116">
        <f>AO24*产品成本!$E$15+AP24*产品成本!$E$16</f>
        <v>0.96</v>
      </c>
      <c r="AT24" s="116">
        <f>AO24*产品成本!$F$15+AP24*产品成本!$F$16</f>
        <v>1.02</v>
      </c>
      <c r="AU24" s="116"/>
      <c r="AV24" s="116">
        <f t="shared" si="15"/>
        <v>11.515243902439027</v>
      </c>
      <c r="AW24" s="116">
        <f t="shared" si="16"/>
        <v>-2.3030487804878055</v>
      </c>
      <c r="AX24" s="117">
        <f t="shared" si="17"/>
        <v>27.248533150120238</v>
      </c>
      <c r="AY24" s="122">
        <f t="shared" si="29"/>
        <v>230.72734713156996</v>
      </c>
      <c r="AZ24" s="122">
        <f t="shared" si="19"/>
        <v>472.35</v>
      </c>
      <c r="BA24" s="122">
        <f t="shared" si="20"/>
        <v>395.58170731707321</v>
      </c>
      <c r="BB24" s="121">
        <f t="shared" si="21"/>
        <v>-6.1356398144967557</v>
      </c>
      <c r="BC24" s="123">
        <f t="shared" si="30"/>
        <v>-1.551042351303372E-2</v>
      </c>
    </row>
    <row r="25" spans="1:57" ht="29.1" customHeight="1" x14ac:dyDescent="0.15">
      <c r="A25" s="38" t="s">
        <v>160</v>
      </c>
      <c r="B25" s="66" t="s">
        <v>161</v>
      </c>
      <c r="C25" s="67">
        <v>27</v>
      </c>
      <c r="D25" s="68">
        <v>27</v>
      </c>
      <c r="E25" s="41">
        <v>682.35</v>
      </c>
      <c r="F25" s="101">
        <v>1</v>
      </c>
      <c r="G25" s="101">
        <v>1</v>
      </c>
      <c r="H25" s="41">
        <v>25.49</v>
      </c>
      <c r="I25" s="41">
        <v>2.5499999999999998</v>
      </c>
      <c r="J25" s="102">
        <v>2</v>
      </c>
      <c r="K25" s="103">
        <f t="shared" si="0"/>
        <v>7.407407407407407E-2</v>
      </c>
      <c r="L25" s="104">
        <v>43.81</v>
      </c>
      <c r="M25" s="105">
        <f t="shared" si="26"/>
        <v>0.42105263157894735</v>
      </c>
      <c r="N25" s="103">
        <f t="shared" si="27"/>
        <v>0.42105263157894735</v>
      </c>
      <c r="O25" s="103">
        <f t="shared" si="28"/>
        <v>0.4146366746138696</v>
      </c>
      <c r="P25" s="106">
        <f t="shared" si="1"/>
        <v>1</v>
      </c>
      <c r="Q25" s="107">
        <f t="shared" si="2"/>
        <v>25.272222222222222</v>
      </c>
      <c r="R25" s="140">
        <f t="shared" si="3"/>
        <v>25.272222222222222</v>
      </c>
      <c r="S25" s="108">
        <f t="shared" si="4"/>
        <v>3.8571428571428572</v>
      </c>
      <c r="T25" s="146">
        <f t="shared" si="5"/>
        <v>9</v>
      </c>
      <c r="U25" s="110">
        <f t="shared" si="6"/>
        <v>0.33333333333333331</v>
      </c>
      <c r="V25" s="71">
        <f t="shared" si="7"/>
        <v>0.28914386584289492</v>
      </c>
      <c r="W25" s="68">
        <v>30187</v>
      </c>
      <c r="X25" s="68">
        <v>194</v>
      </c>
      <c r="Y25" s="68">
        <v>18</v>
      </c>
      <c r="Z25" s="41">
        <v>196.56</v>
      </c>
      <c r="AA25" s="69">
        <v>451.68</v>
      </c>
      <c r="AB25" s="68">
        <v>1.01</v>
      </c>
      <c r="AC25" s="48">
        <f t="shared" si="8"/>
        <v>0.43517534537725822</v>
      </c>
      <c r="AD25" s="49">
        <f t="shared" si="9"/>
        <v>6.4266074800410772E-3</v>
      </c>
      <c r="AE25" s="112">
        <f t="shared" si="10"/>
        <v>9.2783505154639179E-2</v>
      </c>
      <c r="AF25" s="107">
        <f t="shared" si="11"/>
        <v>10.92</v>
      </c>
      <c r="AG25" s="113">
        <v>3</v>
      </c>
      <c r="AH25" s="115">
        <v>24</v>
      </c>
      <c r="AI25" s="116">
        <f>AG25*产品成本!$D$15+AH25*产品成本!$D$16</f>
        <v>141.12676056338034</v>
      </c>
      <c r="AJ25" s="116">
        <f>AG25*产品成本!$E$15+AH25*产品成本!$E$16</f>
        <v>8.4</v>
      </c>
      <c r="AK25" s="116">
        <f>AG25*产品成本!$F$15+AH25*产品成本!$F$16</f>
        <v>9.18</v>
      </c>
      <c r="AL25" s="116">
        <f>AG25*产品成本!$G$15+AH25*产品成本!$G$16</f>
        <v>105.3</v>
      </c>
      <c r="AM25" s="116">
        <f t="shared" si="12"/>
        <v>101.97000000000001</v>
      </c>
      <c r="AN25" s="117">
        <f t="shared" si="13"/>
        <v>365.97676056338037</v>
      </c>
      <c r="AO25" s="118">
        <v>0</v>
      </c>
      <c r="AP25" s="119">
        <v>2</v>
      </c>
      <c r="AQ25" s="120">
        <f t="shared" si="14"/>
        <v>53.426829268292686</v>
      </c>
      <c r="AR25" s="116">
        <f>AO25*产品成本!$D$15+AP25*产品成本!$D$16</f>
        <v>10.70422535211268</v>
      </c>
      <c r="AS25" s="116">
        <f>AO25*产品成本!$E$15+AP25*产品成本!$E$16</f>
        <v>0.64</v>
      </c>
      <c r="AT25" s="116">
        <f>AO25*产品成本!$F$15+AP25*产品成本!$F$16</f>
        <v>0.68</v>
      </c>
      <c r="AU25" s="116"/>
      <c r="AV25" s="116">
        <f t="shared" si="15"/>
        <v>8.0140243902439021</v>
      </c>
      <c r="AW25" s="116">
        <f t="shared" si="16"/>
        <v>-1.6028048780487805</v>
      </c>
      <c r="AX25" s="117">
        <f t="shared" si="17"/>
        <v>18.435444864307804</v>
      </c>
      <c r="AY25" s="122">
        <f t="shared" si="29"/>
        <v>347.54131569907258</v>
      </c>
      <c r="AZ25" s="122">
        <f t="shared" si="19"/>
        <v>679.80000000000007</v>
      </c>
      <c r="BA25" s="122">
        <f t="shared" si="20"/>
        <v>626.37317073170743</v>
      </c>
      <c r="BB25" s="121">
        <f t="shared" si="21"/>
        <v>82.271855032634846</v>
      </c>
      <c r="BC25" s="123">
        <f t="shared" si="30"/>
        <v>0.13134639042174764</v>
      </c>
    </row>
    <row r="26" spans="1:57" ht="29.1" customHeight="1" x14ac:dyDescent="0.15">
      <c r="A26" s="38" t="s">
        <v>162</v>
      </c>
      <c r="B26" s="66" t="s">
        <v>163</v>
      </c>
      <c r="C26" s="67">
        <v>20</v>
      </c>
      <c r="D26" s="68">
        <v>20</v>
      </c>
      <c r="E26" s="41">
        <v>530.48</v>
      </c>
      <c r="F26" s="101">
        <v>1</v>
      </c>
      <c r="G26" s="101">
        <v>1</v>
      </c>
      <c r="H26" s="41">
        <v>25.49</v>
      </c>
      <c r="I26" s="41">
        <v>2.5499999999999998</v>
      </c>
      <c r="J26" s="102">
        <v>2</v>
      </c>
      <c r="K26" s="103">
        <f t="shared" si="0"/>
        <v>0.1</v>
      </c>
      <c r="L26" s="104">
        <v>36.700000000000003</v>
      </c>
      <c r="M26" s="105">
        <f t="shared" si="26"/>
        <v>-0.25925925925925924</v>
      </c>
      <c r="N26" s="103">
        <f t="shared" si="27"/>
        <v>-0.25925925925925924</v>
      </c>
      <c r="O26" s="103">
        <f t="shared" si="28"/>
        <v>-0.22256906279768446</v>
      </c>
      <c r="P26" s="106">
        <f t="shared" si="1"/>
        <v>1</v>
      </c>
      <c r="Q26" s="107">
        <f t="shared" si="2"/>
        <v>26.524000000000001</v>
      </c>
      <c r="R26" s="140">
        <f t="shared" si="3"/>
        <v>26.524000000000001</v>
      </c>
      <c r="S26" s="108">
        <f t="shared" si="4"/>
        <v>2.8571428571428572</v>
      </c>
      <c r="T26" s="146">
        <f t="shared" si="5"/>
        <v>9</v>
      </c>
      <c r="U26" s="110">
        <f t="shared" si="6"/>
        <v>0.45</v>
      </c>
      <c r="V26" s="71">
        <f t="shared" si="7"/>
        <v>0.29051199969692948</v>
      </c>
      <c r="W26" s="68">
        <v>21073</v>
      </c>
      <c r="X26" s="68">
        <v>151</v>
      </c>
      <c r="Y26" s="68">
        <v>11</v>
      </c>
      <c r="Z26" s="41">
        <v>153.37</v>
      </c>
      <c r="AA26" s="69">
        <v>269.89</v>
      </c>
      <c r="AB26" s="68">
        <v>1.02</v>
      </c>
      <c r="AC26" s="48">
        <f t="shared" si="8"/>
        <v>0.56826855385527442</v>
      </c>
      <c r="AD26" s="49">
        <f t="shared" si="9"/>
        <v>7.1655673136240688E-3</v>
      </c>
      <c r="AE26" s="112">
        <f t="shared" si="10"/>
        <v>7.2847682119205295E-2</v>
      </c>
      <c r="AF26" s="107">
        <f t="shared" si="11"/>
        <v>13.942727272727273</v>
      </c>
      <c r="AG26" s="113">
        <v>5</v>
      </c>
      <c r="AH26" s="115">
        <v>15</v>
      </c>
      <c r="AI26" s="116">
        <f>AG26*产品成本!$D$15+AH26*产品成本!$D$16</f>
        <v>101.4084507042254</v>
      </c>
      <c r="AJ26" s="116">
        <f>AG26*产品成本!$E$15+AH26*产品成本!$E$16</f>
        <v>6</v>
      </c>
      <c r="AK26" s="116">
        <f>AG26*产品成本!$F$15+AH26*产品成本!$F$16</f>
        <v>6.8000000000000007</v>
      </c>
      <c r="AL26" s="116">
        <f>AG26*产品成本!$G$15+AH26*产品成本!$G$16</f>
        <v>78</v>
      </c>
      <c r="AM26" s="116">
        <f t="shared" si="12"/>
        <v>79.18950000000001</v>
      </c>
      <c r="AN26" s="117">
        <f t="shared" si="13"/>
        <v>271.39795070422542</v>
      </c>
      <c r="AO26" s="118">
        <v>1</v>
      </c>
      <c r="AP26" s="119">
        <v>1</v>
      </c>
      <c r="AQ26" s="120">
        <f t="shared" si="14"/>
        <v>44.756097560975618</v>
      </c>
      <c r="AR26" s="116">
        <f>AO26*产品成本!$D$15+AP26*产品成本!$D$16</f>
        <v>9.5774647887323994</v>
      </c>
      <c r="AS26" s="116">
        <f>AO26*产品成本!$E$15+AP26*产品成本!$E$16</f>
        <v>0.56000000000000005</v>
      </c>
      <c r="AT26" s="116">
        <f>AO26*产品成本!$F$15+AP26*产品成本!$F$16</f>
        <v>0.68</v>
      </c>
      <c r="AU26" s="116"/>
      <c r="AV26" s="116">
        <f t="shared" si="15"/>
        <v>6.7134146341463428</v>
      </c>
      <c r="AW26" s="116">
        <f t="shared" si="16"/>
        <v>-1.3426829268292686</v>
      </c>
      <c r="AX26" s="117">
        <f t="shared" si="17"/>
        <v>16.188196496049471</v>
      </c>
      <c r="AY26" s="122">
        <f t="shared" si="29"/>
        <v>255.20975420817595</v>
      </c>
      <c r="AZ26" s="122">
        <f t="shared" si="19"/>
        <v>527.93000000000006</v>
      </c>
      <c r="BA26" s="122">
        <f t="shared" si="20"/>
        <v>483.1739024390244</v>
      </c>
      <c r="BB26" s="121">
        <f t="shared" si="21"/>
        <v>74.594148230848447</v>
      </c>
      <c r="BC26" s="123">
        <f t="shared" si="30"/>
        <v>0.15438364500711435</v>
      </c>
    </row>
    <row r="27" spans="1:57" ht="29.1" customHeight="1" x14ac:dyDescent="0.15">
      <c r="A27" s="38" t="s">
        <v>165</v>
      </c>
      <c r="B27" s="38" t="s">
        <v>166</v>
      </c>
      <c r="C27" s="67">
        <v>33</v>
      </c>
      <c r="D27" s="68">
        <v>33</v>
      </c>
      <c r="E27" s="41">
        <v>787.99</v>
      </c>
      <c r="F27" s="101">
        <v>0</v>
      </c>
      <c r="G27" s="101">
        <v>0</v>
      </c>
      <c r="H27" s="41">
        <v>0</v>
      </c>
      <c r="I27" s="41">
        <v>0</v>
      </c>
      <c r="J27" s="102">
        <v>1</v>
      </c>
      <c r="K27" s="103">
        <f t="shared" si="0"/>
        <v>3.0303030303030304E-2</v>
      </c>
      <c r="L27" s="104">
        <v>22.43</v>
      </c>
      <c r="M27" s="105">
        <f t="shared" si="26"/>
        <v>0.65</v>
      </c>
      <c r="N27" s="103">
        <f t="shared" si="27"/>
        <v>0.65</v>
      </c>
      <c r="O27" s="103">
        <f t="shared" si="28"/>
        <v>0.48542829135876936</v>
      </c>
      <c r="P27" s="106">
        <f t="shared" si="1"/>
        <v>1</v>
      </c>
      <c r="Q27" s="107">
        <f t="shared" si="2"/>
        <v>23.878484848484849</v>
      </c>
      <c r="R27" s="140">
        <f t="shared" si="3"/>
        <v>23.878484848484849</v>
      </c>
      <c r="S27" s="108">
        <f t="shared" si="4"/>
        <v>4.7142857142857144</v>
      </c>
      <c r="T27" s="146">
        <f t="shared" si="5"/>
        <v>18</v>
      </c>
      <c r="U27" s="110">
        <f t="shared" si="6"/>
        <v>0.54545454545454541</v>
      </c>
      <c r="V27" s="71">
        <f t="shared" si="7"/>
        <v>0.27309991243543696</v>
      </c>
      <c r="W27" s="68">
        <v>39032</v>
      </c>
      <c r="X27" s="68">
        <v>224</v>
      </c>
      <c r="Y27" s="68">
        <v>15</v>
      </c>
      <c r="Z27" s="41">
        <v>215.2</v>
      </c>
      <c r="AA27" s="69">
        <v>343.35</v>
      </c>
      <c r="AB27" s="68">
        <v>0.96</v>
      </c>
      <c r="AC27" s="48">
        <f t="shared" si="8"/>
        <v>0.62676569098587442</v>
      </c>
      <c r="AD27" s="49">
        <f t="shared" si="9"/>
        <v>5.7388809182209472E-3</v>
      </c>
      <c r="AE27" s="112">
        <f t="shared" si="10"/>
        <v>6.6964285714285712E-2</v>
      </c>
      <c r="AF27" s="107">
        <f t="shared" si="11"/>
        <v>14.346666666666666</v>
      </c>
      <c r="AG27" s="113">
        <v>2</v>
      </c>
      <c r="AH27" s="115">
        <v>31</v>
      </c>
      <c r="AI27" s="116">
        <f>AG27*产品成本!$D$15+AH27*产品成本!$D$16</f>
        <v>174.36619718309865</v>
      </c>
      <c r="AJ27" s="116">
        <f>AG27*产品成本!$E$15+AH27*产品成本!$E$16</f>
        <v>10.4</v>
      </c>
      <c r="AK27" s="116">
        <f>AG27*产品成本!$F$15+AH27*产品成本!$F$16</f>
        <v>11.22</v>
      </c>
      <c r="AL27" s="116">
        <f>AG27*产品成本!$G$15+AH27*产品成本!$G$16</f>
        <v>128.69999999999999</v>
      </c>
      <c r="AM27" s="116">
        <f t="shared" si="12"/>
        <v>118.1985</v>
      </c>
      <c r="AN27" s="117">
        <f t="shared" si="13"/>
        <v>442.88469718309864</v>
      </c>
      <c r="AO27" s="118">
        <v>0</v>
      </c>
      <c r="AP27" s="119">
        <v>1</v>
      </c>
      <c r="AQ27" s="120">
        <f t="shared" si="14"/>
        <v>27.353658536585368</v>
      </c>
      <c r="AR27" s="116">
        <f>AO27*产品成本!$D$15+AP27*产品成本!$D$16</f>
        <v>5.3521126760563398</v>
      </c>
      <c r="AS27" s="116">
        <f>AO27*产品成本!$E$15+AP27*产品成本!$E$16</f>
        <v>0.32</v>
      </c>
      <c r="AT27" s="116">
        <f>AO27*产品成本!$F$15+AP27*产品成本!$F$16</f>
        <v>0.34</v>
      </c>
      <c r="AU27" s="116"/>
      <c r="AV27" s="116">
        <f t="shared" si="15"/>
        <v>4.1030487804878053</v>
      </c>
      <c r="AW27" s="116">
        <f t="shared" si="16"/>
        <v>-0.82060975609756115</v>
      </c>
      <c r="AX27" s="117">
        <f t="shared" si="17"/>
        <v>9.2945517004465845</v>
      </c>
      <c r="AY27" s="122">
        <f t="shared" si="29"/>
        <v>433.59014548265208</v>
      </c>
      <c r="AZ27" s="122">
        <f t="shared" si="19"/>
        <v>787.99</v>
      </c>
      <c r="BA27" s="122">
        <f t="shared" si="20"/>
        <v>760.63634146341462</v>
      </c>
      <c r="BB27" s="121">
        <f t="shared" si="21"/>
        <v>111.84619598076256</v>
      </c>
      <c r="BC27" s="123">
        <f t="shared" si="30"/>
        <v>0.1470429295628681</v>
      </c>
    </row>
    <row r="28" spans="1:57" ht="29.1" customHeight="1" x14ac:dyDescent="0.15">
      <c r="A28" s="38" t="s">
        <v>167</v>
      </c>
      <c r="B28" s="38" t="s">
        <v>168</v>
      </c>
      <c r="C28" s="67">
        <v>44</v>
      </c>
      <c r="D28" s="68">
        <v>44</v>
      </c>
      <c r="E28" s="41">
        <v>1113.28</v>
      </c>
      <c r="F28" s="101">
        <v>0</v>
      </c>
      <c r="G28" s="101">
        <v>0</v>
      </c>
      <c r="H28" s="41">
        <v>0</v>
      </c>
      <c r="I28" s="41">
        <v>0</v>
      </c>
      <c r="J28" s="102">
        <v>1</v>
      </c>
      <c r="K28" s="103">
        <f t="shared" si="0"/>
        <v>2.2727272727272728E-2</v>
      </c>
      <c r="L28" s="104">
        <v>22.43</v>
      </c>
      <c r="M28" s="105">
        <f t="shared" si="26"/>
        <v>0.33333333333333331</v>
      </c>
      <c r="N28" s="103">
        <f t="shared" si="27"/>
        <v>0.33333333333333331</v>
      </c>
      <c r="O28" s="103">
        <f t="shared" si="28"/>
        <v>0.4128098072310562</v>
      </c>
      <c r="P28" s="106">
        <f t="shared" si="1"/>
        <v>1</v>
      </c>
      <c r="Q28" s="107">
        <f t="shared" si="2"/>
        <v>25.301818181818181</v>
      </c>
      <c r="R28" s="140">
        <f t="shared" si="3"/>
        <v>25.301818181818181</v>
      </c>
      <c r="S28" s="108">
        <f t="shared" si="4"/>
        <v>6.2857142857142856</v>
      </c>
      <c r="T28" s="146">
        <f t="shared" si="5"/>
        <v>22</v>
      </c>
      <c r="U28" s="110">
        <f t="shared" si="6"/>
        <v>0.5</v>
      </c>
      <c r="V28" s="71">
        <f t="shared" si="7"/>
        <v>0.26513545559068702</v>
      </c>
      <c r="W28" s="68">
        <v>51434</v>
      </c>
      <c r="X28" s="68">
        <v>311</v>
      </c>
      <c r="Y28" s="68">
        <v>22</v>
      </c>
      <c r="Z28" s="41">
        <v>295.17</v>
      </c>
      <c r="AA28" s="69">
        <v>532.26</v>
      </c>
      <c r="AB28" s="68">
        <v>0.95</v>
      </c>
      <c r="AC28" s="48">
        <f t="shared" si="8"/>
        <v>0.55455980160072149</v>
      </c>
      <c r="AD28" s="49">
        <f t="shared" si="9"/>
        <v>6.0465839716918766E-3</v>
      </c>
      <c r="AE28" s="112">
        <f t="shared" si="10"/>
        <v>7.0739549839228297E-2</v>
      </c>
      <c r="AF28" s="107">
        <f t="shared" si="11"/>
        <v>13.416818181818183</v>
      </c>
      <c r="AG28" s="113">
        <v>4</v>
      </c>
      <c r="AH28" s="115">
        <v>39</v>
      </c>
      <c r="AI28" s="116">
        <f>AG28*产品成本!$D$15+AH28*产品成本!$D$16</f>
        <v>225.63380281690149</v>
      </c>
      <c r="AJ28" s="116">
        <f>AG28*产品成本!$E$15+AH28*产品成本!$E$16</f>
        <v>13.440000000000001</v>
      </c>
      <c r="AK28" s="116">
        <f>AG28*产品成本!$F$15+AH28*产品成本!$F$16</f>
        <v>14.620000000000001</v>
      </c>
      <c r="AL28" s="116">
        <f>AG28*产品成本!$G$15+AH28*产品成本!$G$16</f>
        <v>167.7</v>
      </c>
      <c r="AM28" s="116">
        <f t="shared" si="12"/>
        <v>166.99199999999999</v>
      </c>
      <c r="AN28" s="117">
        <f t="shared" si="13"/>
        <v>588.38580281690145</v>
      </c>
      <c r="AO28" s="118">
        <v>0</v>
      </c>
      <c r="AP28" s="119">
        <v>1</v>
      </c>
      <c r="AQ28" s="120">
        <f t="shared" si="14"/>
        <v>27.353658536585368</v>
      </c>
      <c r="AR28" s="116">
        <f>AO28*产品成本!$D$15+AP28*产品成本!$D$16</f>
        <v>5.3521126760563398</v>
      </c>
      <c r="AS28" s="116">
        <f>AO28*产品成本!$E$15+AP28*产品成本!$E$16</f>
        <v>0.32</v>
      </c>
      <c r="AT28" s="116">
        <f>AO28*产品成本!$F$15+AP28*产品成本!$F$16</f>
        <v>0.34</v>
      </c>
      <c r="AU28" s="116"/>
      <c r="AV28" s="116">
        <f t="shared" si="15"/>
        <v>4.1030487804878053</v>
      </c>
      <c r="AW28" s="116">
        <f t="shared" si="16"/>
        <v>-0.82060975609756115</v>
      </c>
      <c r="AX28" s="117">
        <f t="shared" si="17"/>
        <v>9.2945517004465845</v>
      </c>
      <c r="AY28" s="122">
        <f t="shared" si="29"/>
        <v>579.09125111645483</v>
      </c>
      <c r="AZ28" s="122">
        <f t="shared" si="19"/>
        <v>1113.28</v>
      </c>
      <c r="BA28" s="122">
        <f t="shared" si="20"/>
        <v>1085.9263414634147</v>
      </c>
      <c r="BB28" s="121">
        <f t="shared" si="21"/>
        <v>211.66509034695986</v>
      </c>
      <c r="BC28" s="123">
        <f t="shared" si="30"/>
        <v>0.19491661843446584</v>
      </c>
    </row>
    <row r="29" spans="1:57" ht="29.1" customHeight="1" x14ac:dyDescent="0.15">
      <c r="A29" s="38" t="s">
        <v>169</v>
      </c>
      <c r="B29" s="38" t="s">
        <v>170</v>
      </c>
      <c r="C29" s="67">
        <v>19</v>
      </c>
      <c r="D29" s="68">
        <v>19</v>
      </c>
      <c r="E29" s="41">
        <v>518.61</v>
      </c>
      <c r="F29" s="101">
        <v>1</v>
      </c>
      <c r="G29" s="101">
        <v>1</v>
      </c>
      <c r="H29" s="41">
        <v>29.99</v>
      </c>
      <c r="I29" s="41">
        <v>3</v>
      </c>
      <c r="J29" s="102">
        <v>6</v>
      </c>
      <c r="K29" s="103">
        <f t="shared" si="0"/>
        <v>0.31578947368421051</v>
      </c>
      <c r="L29" s="104">
        <v>135.9</v>
      </c>
      <c r="M29" s="105">
        <f t="shared" si="26"/>
        <v>-0.56818181818181823</v>
      </c>
      <c r="N29" s="103">
        <f t="shared" si="27"/>
        <v>-0.56818181818181823</v>
      </c>
      <c r="O29" s="103">
        <f t="shared" si="28"/>
        <v>-0.53416031905720029</v>
      </c>
      <c r="P29" s="106">
        <f t="shared" si="1"/>
        <v>1</v>
      </c>
      <c r="Q29" s="107">
        <f t="shared" si="2"/>
        <v>27.295263157894738</v>
      </c>
      <c r="R29" s="140">
        <f t="shared" si="3"/>
        <v>27.295263157894738</v>
      </c>
      <c r="S29" s="108">
        <f t="shared" si="4"/>
        <v>2.7142857142857144</v>
      </c>
      <c r="T29" s="146">
        <f t="shared" si="5"/>
        <v>-1</v>
      </c>
      <c r="U29" s="110">
        <f t="shared" si="6"/>
        <v>-5.2631578947368418E-2</v>
      </c>
      <c r="V29" s="71">
        <f t="shared" si="7"/>
        <v>0.41531390004072843</v>
      </c>
      <c r="W29" s="68">
        <v>36029</v>
      </c>
      <c r="X29" s="68">
        <v>233</v>
      </c>
      <c r="Y29" s="68">
        <v>20</v>
      </c>
      <c r="Z29" s="41">
        <v>214.14</v>
      </c>
      <c r="AA29" s="69">
        <v>528.66999999999996</v>
      </c>
      <c r="AB29" s="68">
        <v>0.92</v>
      </c>
      <c r="AC29" s="48">
        <f t="shared" si="8"/>
        <v>0.40505419259651582</v>
      </c>
      <c r="AD29" s="49">
        <f t="shared" si="9"/>
        <v>6.4670126842265949E-3</v>
      </c>
      <c r="AE29" s="112">
        <f t="shared" si="10"/>
        <v>8.5836909871244635E-2</v>
      </c>
      <c r="AF29" s="107">
        <f t="shared" si="11"/>
        <v>10.706999999999999</v>
      </c>
      <c r="AG29" s="113">
        <v>3</v>
      </c>
      <c r="AH29" s="115">
        <v>16</v>
      </c>
      <c r="AI29" s="116">
        <f>AG29*产品成本!$D$15+AH29*产品成本!$D$16</f>
        <v>98.309859154929612</v>
      </c>
      <c r="AJ29" s="116">
        <f>AG29*产品成本!$E$15+AH29*产品成本!$E$16</f>
        <v>5.84</v>
      </c>
      <c r="AK29" s="116">
        <f>AG29*产品成本!$F$15+AH29*产品成本!$F$16</f>
        <v>6.4600000000000009</v>
      </c>
      <c r="AL29" s="116">
        <f>AG29*产品成本!$G$15+AH29*产品成本!$G$16</f>
        <v>74.099999999999994</v>
      </c>
      <c r="AM29" s="116">
        <f t="shared" si="12"/>
        <v>77.341499999999996</v>
      </c>
      <c r="AN29" s="117">
        <f t="shared" si="13"/>
        <v>262.05135915492963</v>
      </c>
      <c r="AO29" s="118">
        <v>0</v>
      </c>
      <c r="AP29" s="119">
        <v>6</v>
      </c>
      <c r="AQ29" s="120">
        <f t="shared" si="14"/>
        <v>165.73170731707319</v>
      </c>
      <c r="AR29" s="116">
        <f>AO29*产品成本!$D$15+AP29*产品成本!$D$16</f>
        <v>32.112676056338039</v>
      </c>
      <c r="AS29" s="116">
        <f>AO29*产品成本!$E$15+AP29*产品成本!$E$16</f>
        <v>1.92</v>
      </c>
      <c r="AT29" s="116">
        <f>AO29*产品成本!$F$15+AP29*产品成本!$F$16</f>
        <v>2.04</v>
      </c>
      <c r="AU29" s="116"/>
      <c r="AV29" s="116">
        <f t="shared" si="15"/>
        <v>24.859756097560979</v>
      </c>
      <c r="AW29" s="116">
        <f t="shared" si="16"/>
        <v>-4.9719512195121958</v>
      </c>
      <c r="AX29" s="117">
        <f t="shared" si="17"/>
        <v>55.960480934386823</v>
      </c>
      <c r="AY29" s="122">
        <f t="shared" si="29"/>
        <v>206.09087822054281</v>
      </c>
      <c r="AZ29" s="122">
        <f t="shared" si="19"/>
        <v>515.61</v>
      </c>
      <c r="BA29" s="122">
        <f t="shared" si="20"/>
        <v>349.87829268292683</v>
      </c>
      <c r="BB29" s="121">
        <f t="shared" si="21"/>
        <v>-70.352585537615965</v>
      </c>
      <c r="BC29" s="123">
        <f t="shared" si="30"/>
        <v>-0.20107730890687806</v>
      </c>
    </row>
    <row r="30" spans="1:57" ht="29.1" customHeight="1" x14ac:dyDescent="0.15">
      <c r="A30" s="38" t="s">
        <v>172</v>
      </c>
      <c r="B30" s="38" t="s">
        <v>173</v>
      </c>
      <c r="C30" s="67">
        <v>35</v>
      </c>
      <c r="D30" s="68">
        <v>35</v>
      </c>
      <c r="E30" s="41">
        <v>830</v>
      </c>
      <c r="F30" s="101">
        <v>7</v>
      </c>
      <c r="G30" s="101">
        <v>7</v>
      </c>
      <c r="H30" s="41">
        <v>167.93</v>
      </c>
      <c r="I30" s="41">
        <v>16.8</v>
      </c>
      <c r="J30" s="102">
        <v>3</v>
      </c>
      <c r="K30" s="103">
        <f t="shared" si="0"/>
        <v>8.5714285714285715E-2</v>
      </c>
      <c r="L30" s="104">
        <v>68.61</v>
      </c>
      <c r="M30" s="105">
        <f t="shared" si="26"/>
        <v>0.84210526315789469</v>
      </c>
      <c r="N30" s="103">
        <f t="shared" si="27"/>
        <v>0.84210526315789469</v>
      </c>
      <c r="O30" s="103">
        <f t="shared" si="28"/>
        <v>0.60043192379630161</v>
      </c>
      <c r="P30" s="106">
        <f t="shared" si="1"/>
        <v>1</v>
      </c>
      <c r="Q30" s="107">
        <f t="shared" si="2"/>
        <v>23.714285714285715</v>
      </c>
      <c r="R30" s="140">
        <f t="shared" si="3"/>
        <v>23.714285714285715</v>
      </c>
      <c r="S30" s="108">
        <f t="shared" si="4"/>
        <v>5</v>
      </c>
      <c r="T30" s="146">
        <f t="shared" si="5"/>
        <v>4</v>
      </c>
      <c r="U30" s="110">
        <f t="shared" si="6"/>
        <v>0.11428571428571428</v>
      </c>
      <c r="V30" s="71">
        <f t="shared" si="7"/>
        <v>0.3569847515986227</v>
      </c>
      <c r="W30" s="68">
        <v>47466</v>
      </c>
      <c r="X30" s="68">
        <v>313</v>
      </c>
      <c r="Y30" s="68">
        <v>31</v>
      </c>
      <c r="Z30" s="41">
        <v>290.3</v>
      </c>
      <c r="AA30" s="69">
        <v>765.9</v>
      </c>
      <c r="AB30" s="68">
        <v>0.93</v>
      </c>
      <c r="AC30" s="48">
        <f t="shared" si="8"/>
        <v>0.37903120511816168</v>
      </c>
      <c r="AD30" s="49">
        <f t="shared" si="9"/>
        <v>6.5941937386761046E-3</v>
      </c>
      <c r="AE30" s="112">
        <f t="shared" si="10"/>
        <v>9.9041533546325874E-2</v>
      </c>
      <c r="AF30" s="107">
        <f t="shared" si="11"/>
        <v>9.3645161290322587</v>
      </c>
      <c r="AG30" s="113">
        <v>6</v>
      </c>
      <c r="AH30" s="115">
        <v>29</v>
      </c>
      <c r="AI30" s="116">
        <f>AG30*产品成本!$D$15+AH30*产品成本!$D$16</f>
        <v>180.5633802816902</v>
      </c>
      <c r="AJ30" s="116">
        <f>AG30*产品成本!$E$15+AH30*产品成本!$E$16</f>
        <v>10.719999999999999</v>
      </c>
      <c r="AK30" s="116">
        <f>AG30*产品成本!$F$15+AH30*产品成本!$F$16</f>
        <v>11.900000000000002</v>
      </c>
      <c r="AL30" s="116">
        <f>AG30*产品成本!$G$15+AH30*产品成本!$G$16</f>
        <v>136.5</v>
      </c>
      <c r="AM30" s="116">
        <f t="shared" si="12"/>
        <v>121.98</v>
      </c>
      <c r="AN30" s="117">
        <f t="shared" si="13"/>
        <v>461.66338028169025</v>
      </c>
      <c r="AO30" s="118">
        <v>0</v>
      </c>
      <c r="AP30" s="119">
        <v>3</v>
      </c>
      <c r="AQ30" s="120">
        <f t="shared" si="14"/>
        <v>83.670731707317074</v>
      </c>
      <c r="AR30" s="116">
        <f>AO30*产品成本!$D$15+AP30*产品成本!$D$16</f>
        <v>16.056338028169019</v>
      </c>
      <c r="AS30" s="116">
        <f>AO30*产品成本!$E$15+AP30*产品成本!$E$16</f>
        <v>0.96</v>
      </c>
      <c r="AT30" s="116">
        <f>AO30*产品成本!$F$15+AP30*产品成本!$F$16</f>
        <v>1.02</v>
      </c>
      <c r="AU30" s="116"/>
      <c r="AV30" s="116">
        <f t="shared" si="15"/>
        <v>12.550609756097561</v>
      </c>
      <c r="AW30" s="116">
        <f t="shared" si="16"/>
        <v>-2.5101219512195123</v>
      </c>
      <c r="AX30" s="117">
        <f t="shared" si="17"/>
        <v>28.076825833047067</v>
      </c>
      <c r="AY30" s="122">
        <f t="shared" si="29"/>
        <v>433.5865544486432</v>
      </c>
      <c r="AZ30" s="122">
        <f t="shared" si="19"/>
        <v>813.2</v>
      </c>
      <c r="BA30" s="122">
        <f t="shared" si="20"/>
        <v>729.52926829268301</v>
      </c>
      <c r="BB30" s="121">
        <f t="shared" si="21"/>
        <v>5.6427138440398039</v>
      </c>
      <c r="BC30" s="123">
        <f t="shared" si="30"/>
        <v>7.7347326410158214E-3</v>
      </c>
    </row>
    <row r="31" spans="1:57" ht="29.1" customHeight="1" x14ac:dyDescent="0.15">
      <c r="A31" s="38" t="s">
        <v>175</v>
      </c>
      <c r="B31" s="38" t="s">
        <v>176</v>
      </c>
      <c r="C31" s="67">
        <v>40</v>
      </c>
      <c r="D31" s="68">
        <v>39</v>
      </c>
      <c r="E31" s="41">
        <v>1185.8</v>
      </c>
      <c r="F31" s="101">
        <v>1</v>
      </c>
      <c r="G31" s="101">
        <v>1</v>
      </c>
      <c r="H31" s="41">
        <v>9.99</v>
      </c>
      <c r="I31" s="41">
        <v>3</v>
      </c>
      <c r="J31" s="102">
        <v>6</v>
      </c>
      <c r="K31" s="103">
        <f t="shared" si="0"/>
        <v>0.15</v>
      </c>
      <c r="L31" s="104">
        <v>119.72</v>
      </c>
      <c r="M31" s="105">
        <f t="shared" si="26"/>
        <v>0.14285714285714285</v>
      </c>
      <c r="N31" s="103">
        <f t="shared" si="27"/>
        <v>0.11428571428571428</v>
      </c>
      <c r="O31" s="103">
        <f t="shared" si="28"/>
        <v>0.42867469879518066</v>
      </c>
      <c r="P31" s="106">
        <f t="shared" si="1"/>
        <v>1.0256410256410255</v>
      </c>
      <c r="Q31" s="107">
        <f t="shared" si="2"/>
        <v>30.405128205128204</v>
      </c>
      <c r="R31" s="140">
        <f t="shared" si="3"/>
        <v>29.645</v>
      </c>
      <c r="S31" s="108">
        <f t="shared" si="4"/>
        <v>5.7142857142857144</v>
      </c>
      <c r="T31" s="146">
        <f t="shared" si="5"/>
        <v>2</v>
      </c>
      <c r="U31" s="110">
        <f t="shared" si="6"/>
        <v>5.128205128205128E-2</v>
      </c>
      <c r="V31" s="71">
        <f t="shared" si="7"/>
        <v>0.26274940818397025</v>
      </c>
      <c r="W31" s="68">
        <v>48084</v>
      </c>
      <c r="X31" s="68">
        <v>336</v>
      </c>
      <c r="Y31" s="68">
        <v>37</v>
      </c>
      <c r="Z31" s="41">
        <v>310.77999999999997</v>
      </c>
      <c r="AA31" s="69">
        <v>1188.27</v>
      </c>
      <c r="AB31" s="68">
        <v>0.92</v>
      </c>
      <c r="AC31" s="48">
        <f t="shared" si="8"/>
        <v>0.26153988571620929</v>
      </c>
      <c r="AD31" s="49">
        <f t="shared" si="9"/>
        <v>6.9877714000499127E-3</v>
      </c>
      <c r="AE31" s="112">
        <f t="shared" si="10"/>
        <v>0.11011904761904762</v>
      </c>
      <c r="AF31" s="107">
        <f t="shared" si="11"/>
        <v>8.3994594594594592</v>
      </c>
      <c r="AG31" s="113">
        <v>6</v>
      </c>
      <c r="AH31" s="115">
        <v>34</v>
      </c>
      <c r="AI31" s="116">
        <f>AG31*产品成本!$D$15+AH31*产品成本!$D$16</f>
        <v>207.3239436619719</v>
      </c>
      <c r="AJ31" s="116">
        <f>AG31*产品成本!$E$15+AH31*产品成本!$E$16</f>
        <v>12.32</v>
      </c>
      <c r="AK31" s="116">
        <f>AG31*产品成本!$F$15+AH31*产品成本!$F$16</f>
        <v>13.600000000000001</v>
      </c>
      <c r="AL31" s="116">
        <f>AG31*产品成本!$G$15+AH31*产品成本!$G$16</f>
        <v>156</v>
      </c>
      <c r="AM31" s="116">
        <f t="shared" si="12"/>
        <v>177.42</v>
      </c>
      <c r="AN31" s="117">
        <f t="shared" si="13"/>
        <v>566.66394366197187</v>
      </c>
      <c r="AO31" s="118">
        <v>3</v>
      </c>
      <c r="AP31" s="119">
        <v>3</v>
      </c>
      <c r="AQ31" s="120">
        <f t="shared" si="14"/>
        <v>146</v>
      </c>
      <c r="AR31" s="116">
        <f>AO31*产品成本!$D$15+AP31*产品成本!$D$16</f>
        <v>28.732394366197198</v>
      </c>
      <c r="AS31" s="116">
        <f>AO31*产品成本!$E$15+AP31*产品成本!$E$16</f>
        <v>1.68</v>
      </c>
      <c r="AT31" s="116">
        <f>AO31*产品成本!$F$15+AP31*产品成本!$F$16</f>
        <v>2.04</v>
      </c>
      <c r="AU31" s="116"/>
      <c r="AV31" s="116">
        <f t="shared" si="15"/>
        <v>21.9</v>
      </c>
      <c r="AW31" s="116">
        <f t="shared" si="16"/>
        <v>-4.38</v>
      </c>
      <c r="AX31" s="117">
        <f t="shared" si="17"/>
        <v>49.972394366197193</v>
      </c>
      <c r="AY31" s="122">
        <f t="shared" si="29"/>
        <v>516.69154929577462</v>
      </c>
      <c r="AZ31" s="122">
        <f t="shared" si="19"/>
        <v>1182.8</v>
      </c>
      <c r="BA31" s="122">
        <f t="shared" si="20"/>
        <v>1036.8</v>
      </c>
      <c r="BB31" s="121">
        <f t="shared" si="21"/>
        <v>209.32845070422536</v>
      </c>
      <c r="BC31" s="123">
        <f t="shared" si="30"/>
        <v>0.20189858285515563</v>
      </c>
    </row>
    <row r="32" spans="1:57" ht="29.1" customHeight="1" x14ac:dyDescent="0.15">
      <c r="A32" s="38" t="s">
        <v>177</v>
      </c>
      <c r="B32" s="38" t="s">
        <v>178</v>
      </c>
      <c r="C32" s="67">
        <v>41</v>
      </c>
      <c r="D32" s="68">
        <v>40</v>
      </c>
      <c r="E32" s="41">
        <v>992.41</v>
      </c>
      <c r="F32" s="101">
        <v>1</v>
      </c>
      <c r="G32" s="101">
        <v>1</v>
      </c>
      <c r="H32" s="41">
        <v>29.99</v>
      </c>
      <c r="I32" s="41">
        <v>3</v>
      </c>
      <c r="J32" s="102">
        <v>3</v>
      </c>
      <c r="K32" s="103">
        <f t="shared" si="0"/>
        <v>7.3170731707317069E-2</v>
      </c>
      <c r="L32" s="104">
        <v>79.17</v>
      </c>
      <c r="M32" s="105">
        <f t="shared" si="26"/>
        <v>2.5000000000000001E-2</v>
      </c>
      <c r="N32" s="103">
        <f t="shared" si="27"/>
        <v>2.564102564102564E-2</v>
      </c>
      <c r="O32" s="103">
        <f t="shared" si="28"/>
        <v>-0.16308821049080788</v>
      </c>
      <c r="P32" s="106">
        <f t="shared" si="1"/>
        <v>1.0249999999999999</v>
      </c>
      <c r="Q32" s="107">
        <f t="shared" si="2"/>
        <v>24.81025</v>
      </c>
      <c r="R32" s="140">
        <f t="shared" si="3"/>
        <v>24.20512195121951</v>
      </c>
      <c r="S32" s="108">
        <f t="shared" si="4"/>
        <v>5.8571428571428568</v>
      </c>
      <c r="T32" s="146">
        <f t="shared" si="5"/>
        <v>19</v>
      </c>
      <c r="U32" s="110">
        <f t="shared" si="6"/>
        <v>0.47499999999999998</v>
      </c>
      <c r="V32" s="71">
        <f t="shared" si="7"/>
        <v>0.31077106558454032</v>
      </c>
      <c r="W32" s="68">
        <v>43710</v>
      </c>
      <c r="X32" s="68">
        <v>324</v>
      </c>
      <c r="Y32" s="68">
        <v>21</v>
      </c>
      <c r="Z32" s="41">
        <v>307.48</v>
      </c>
      <c r="AA32" s="69">
        <v>526</v>
      </c>
      <c r="AB32" s="68">
        <v>0.95</v>
      </c>
      <c r="AC32" s="48">
        <f t="shared" si="8"/>
        <v>0.58456273764258559</v>
      </c>
      <c r="AD32" s="49">
        <f t="shared" si="9"/>
        <v>7.4124914207275225E-3</v>
      </c>
      <c r="AE32" s="112">
        <f t="shared" si="10"/>
        <v>6.4814814814814811E-2</v>
      </c>
      <c r="AF32" s="107">
        <f t="shared" si="11"/>
        <v>14.641904761904764</v>
      </c>
      <c r="AG32" s="113">
        <v>8</v>
      </c>
      <c r="AH32" s="115">
        <v>33</v>
      </c>
      <c r="AI32" s="116">
        <f>AG32*产品成本!$D$15+AH32*产品成本!$D$16</f>
        <v>210.4225352112677</v>
      </c>
      <c r="AJ32" s="116">
        <f>AG32*产品成本!$E$15+AH32*产品成本!$E$16</f>
        <v>12.48</v>
      </c>
      <c r="AK32" s="116">
        <f>AG32*产品成本!$F$15+AH32*产品成本!$F$16</f>
        <v>13.940000000000001</v>
      </c>
      <c r="AL32" s="116">
        <f>AG32*产品成本!$G$15+AH32*产品成本!$G$16</f>
        <v>159.89999999999998</v>
      </c>
      <c r="AM32" s="116">
        <f t="shared" si="12"/>
        <v>148.41149999999999</v>
      </c>
      <c r="AN32" s="117">
        <f t="shared" si="13"/>
        <v>545.15403521126768</v>
      </c>
      <c r="AO32" s="118">
        <v>0</v>
      </c>
      <c r="AP32" s="119">
        <v>3</v>
      </c>
      <c r="AQ32" s="120">
        <f t="shared" si="14"/>
        <v>96.548780487804891</v>
      </c>
      <c r="AR32" s="116">
        <f>AO32*产品成本!$D$15+AP32*产品成本!$D$16</f>
        <v>16.056338028169019</v>
      </c>
      <c r="AS32" s="116">
        <f>AO32*产品成本!$E$15+AP32*产品成本!$E$16</f>
        <v>0.96</v>
      </c>
      <c r="AT32" s="116">
        <f>AO32*产品成本!$F$15+AP32*产品成本!$F$16</f>
        <v>1.02</v>
      </c>
      <c r="AU32" s="116"/>
      <c r="AV32" s="116">
        <f t="shared" si="15"/>
        <v>14.482317073170734</v>
      </c>
      <c r="AW32" s="116">
        <f t="shared" si="16"/>
        <v>-2.8964634146341468</v>
      </c>
      <c r="AX32" s="117">
        <f t="shared" si="17"/>
        <v>29.622191686705605</v>
      </c>
      <c r="AY32" s="122">
        <f t="shared" si="29"/>
        <v>515.53184352456208</v>
      </c>
      <c r="AZ32" s="122">
        <f t="shared" si="19"/>
        <v>989.41</v>
      </c>
      <c r="BA32" s="122">
        <f t="shared" si="20"/>
        <v>892.86121951219502</v>
      </c>
      <c r="BB32" s="121">
        <f t="shared" si="21"/>
        <v>69.849375987632925</v>
      </c>
      <c r="BC32" s="123">
        <f t="shared" si="30"/>
        <v>7.8230943915107404E-2</v>
      </c>
    </row>
    <row r="33" spans="1:56" ht="29.1" customHeight="1" x14ac:dyDescent="0.15">
      <c r="A33" s="38" t="s">
        <v>179</v>
      </c>
      <c r="B33" s="38" t="s">
        <v>180</v>
      </c>
      <c r="C33" s="67">
        <v>33</v>
      </c>
      <c r="D33" s="68">
        <v>33</v>
      </c>
      <c r="E33" s="41">
        <v>784.31</v>
      </c>
      <c r="F33" s="101">
        <v>5</v>
      </c>
      <c r="G33" s="101">
        <v>5</v>
      </c>
      <c r="H33" s="41">
        <v>119.95</v>
      </c>
      <c r="I33" s="41">
        <v>23.99</v>
      </c>
      <c r="J33" s="102">
        <v>2</v>
      </c>
      <c r="K33" s="103">
        <f t="shared" si="0"/>
        <v>6.0606060606060608E-2</v>
      </c>
      <c r="L33" s="104">
        <v>40.11</v>
      </c>
      <c r="M33" s="105">
        <f t="shared" si="26"/>
        <v>-0.1951219512195122</v>
      </c>
      <c r="N33" s="103">
        <f t="shared" si="27"/>
        <v>-0.17499999999999999</v>
      </c>
      <c r="O33" s="103">
        <f t="shared" si="28"/>
        <v>-0.20969155893229616</v>
      </c>
      <c r="P33" s="106">
        <f t="shared" si="1"/>
        <v>1</v>
      </c>
      <c r="Q33" s="107">
        <f t="shared" si="2"/>
        <v>23.766969696969696</v>
      </c>
      <c r="R33" s="140">
        <f t="shared" si="3"/>
        <v>23.766969696969696</v>
      </c>
      <c r="S33" s="108">
        <f t="shared" si="4"/>
        <v>4.7142857142857144</v>
      </c>
      <c r="T33" s="146">
        <f t="shared" si="5"/>
        <v>11</v>
      </c>
      <c r="U33" s="110">
        <f t="shared" si="6"/>
        <v>0.33333333333333331</v>
      </c>
      <c r="V33" s="71">
        <f t="shared" si="7"/>
        <v>0.39355797558922567</v>
      </c>
      <c r="W33" s="68">
        <v>54254</v>
      </c>
      <c r="X33" s="68">
        <v>320</v>
      </c>
      <c r="Y33" s="68">
        <v>22</v>
      </c>
      <c r="Z33" s="41">
        <v>299.23</v>
      </c>
      <c r="AA33" s="69">
        <v>514.88</v>
      </c>
      <c r="AB33" s="68">
        <v>0.94</v>
      </c>
      <c r="AC33" s="48">
        <f t="shared" si="8"/>
        <v>0.58116454319453081</v>
      </c>
      <c r="AD33" s="49">
        <f t="shared" si="9"/>
        <v>5.8981826224794483E-3</v>
      </c>
      <c r="AE33" s="112">
        <f t="shared" si="10"/>
        <v>6.8750000000000006E-2</v>
      </c>
      <c r="AF33" s="107">
        <f t="shared" si="11"/>
        <v>13.601363636363637</v>
      </c>
      <c r="AG33" s="113">
        <v>4</v>
      </c>
      <c r="AH33" s="115">
        <v>29</v>
      </c>
      <c r="AI33" s="116">
        <f>AG33*产品成本!$D$15+AH33*产品成本!$D$16</f>
        <v>172.1126760563381</v>
      </c>
      <c r="AJ33" s="116">
        <f>AG33*产品成本!$E$15+AH33*产品成本!$E$16</f>
        <v>10.239999999999998</v>
      </c>
      <c r="AK33" s="116">
        <f>AG33*产品成本!$F$15+AH33*产品成本!$F$16</f>
        <v>11.22</v>
      </c>
      <c r="AL33" s="116">
        <f>AG33*产品成本!$G$15+AH33*产品成本!$G$16</f>
        <v>128.69999999999999</v>
      </c>
      <c r="AM33" s="116">
        <f t="shared" si="12"/>
        <v>114.04799999999999</v>
      </c>
      <c r="AN33" s="117">
        <f t="shared" si="13"/>
        <v>436.32067605633813</v>
      </c>
      <c r="AO33" s="118">
        <v>0</v>
      </c>
      <c r="AP33" s="119">
        <v>2</v>
      </c>
      <c r="AQ33" s="120">
        <f t="shared" si="14"/>
        <v>48.914634146341463</v>
      </c>
      <c r="AR33" s="116">
        <f>AO33*产品成本!$D$15+AP33*产品成本!$D$16</f>
        <v>10.70422535211268</v>
      </c>
      <c r="AS33" s="116">
        <f>AO33*产品成本!$E$15+AP33*产品成本!$E$16</f>
        <v>0.64</v>
      </c>
      <c r="AT33" s="116">
        <f>AO33*产品成本!$F$15+AP33*产品成本!$F$16</f>
        <v>0.68</v>
      </c>
      <c r="AU33" s="116"/>
      <c r="AV33" s="116">
        <f t="shared" si="15"/>
        <v>7.3371951219512193</v>
      </c>
      <c r="AW33" s="116">
        <f t="shared" si="16"/>
        <v>-1.467439024390244</v>
      </c>
      <c r="AX33" s="117">
        <f t="shared" si="17"/>
        <v>17.893981449673653</v>
      </c>
      <c r="AY33" s="122">
        <f t="shared" si="29"/>
        <v>418.42669460666446</v>
      </c>
      <c r="AZ33" s="122">
        <f t="shared" si="19"/>
        <v>760.31999999999994</v>
      </c>
      <c r="BA33" s="122">
        <f t="shared" si="20"/>
        <v>711.40536585365851</v>
      </c>
      <c r="BB33" s="121">
        <f t="shared" si="21"/>
        <v>-6.2513287530059642</v>
      </c>
      <c r="BC33" s="123">
        <f t="shared" si="30"/>
        <v>-8.78729491378606E-3</v>
      </c>
    </row>
    <row r="34" spans="1:56" ht="29.1" customHeight="1" x14ac:dyDescent="0.15">
      <c r="A34" s="38" t="s">
        <v>181</v>
      </c>
      <c r="B34" s="38" t="s">
        <v>182</v>
      </c>
      <c r="C34" s="67">
        <v>31</v>
      </c>
      <c r="D34" s="68">
        <v>31</v>
      </c>
      <c r="E34" s="41">
        <v>736.33</v>
      </c>
      <c r="F34" s="101">
        <v>1</v>
      </c>
      <c r="G34" s="101">
        <v>1</v>
      </c>
      <c r="H34" s="41">
        <v>23.99</v>
      </c>
      <c r="I34" s="41">
        <v>23.99</v>
      </c>
      <c r="J34" s="102">
        <v>1</v>
      </c>
      <c r="K34" s="103">
        <f t="shared" si="0"/>
        <v>3.2258064516129031E-2</v>
      </c>
      <c r="L34" s="104">
        <v>21.11</v>
      </c>
      <c r="M34" s="105">
        <f t="shared" si="26"/>
        <v>-6.0606060606060608E-2</v>
      </c>
      <c r="N34" s="103">
        <f t="shared" si="27"/>
        <v>-6.0606060606060608E-2</v>
      </c>
      <c r="O34" s="103">
        <f t="shared" si="28"/>
        <v>-6.1174790580255135E-2</v>
      </c>
      <c r="P34" s="106">
        <f t="shared" si="1"/>
        <v>1</v>
      </c>
      <c r="Q34" s="107">
        <f t="shared" si="2"/>
        <v>23.752580645161292</v>
      </c>
      <c r="R34" s="140">
        <f t="shared" si="3"/>
        <v>23.752580645161292</v>
      </c>
      <c r="S34" s="108">
        <f t="shared" si="4"/>
        <v>4.4285714285714288</v>
      </c>
      <c r="T34" s="146">
        <f t="shared" si="5"/>
        <v>7</v>
      </c>
      <c r="U34" s="110">
        <f t="shared" si="6"/>
        <v>0.22580645161290322</v>
      </c>
      <c r="V34" s="71">
        <f t="shared" si="7"/>
        <v>0.45201729511188476</v>
      </c>
      <c r="W34" s="68">
        <v>47762</v>
      </c>
      <c r="X34" s="68">
        <v>349</v>
      </c>
      <c r="Y34" s="68">
        <v>24</v>
      </c>
      <c r="Z34" s="41">
        <v>321.99</v>
      </c>
      <c r="AA34" s="69">
        <v>588.47</v>
      </c>
      <c r="AB34" s="68">
        <v>0.92</v>
      </c>
      <c r="AC34" s="48">
        <f t="shared" si="8"/>
        <v>0.54716468129216445</v>
      </c>
      <c r="AD34" s="49">
        <f t="shared" si="9"/>
        <v>7.3070641932917379E-3</v>
      </c>
      <c r="AE34" s="112">
        <f t="shared" si="10"/>
        <v>6.8767908309455589E-2</v>
      </c>
      <c r="AF34" s="107">
        <f t="shared" si="11"/>
        <v>13.41625</v>
      </c>
      <c r="AG34" s="113">
        <v>4</v>
      </c>
      <c r="AH34" s="115">
        <v>27</v>
      </c>
      <c r="AI34" s="116">
        <f>AG34*产品成本!$D$15+AH34*产品成本!$D$16</f>
        <v>161.4084507042254</v>
      </c>
      <c r="AJ34" s="116">
        <f>AG34*产品成本!$E$15+AH34*产品成本!$E$16</f>
        <v>9.6000000000000014</v>
      </c>
      <c r="AK34" s="116">
        <f>AG34*产品成本!$F$15+AH34*产品成本!$F$16</f>
        <v>10.540000000000001</v>
      </c>
      <c r="AL34" s="116">
        <f>AG34*产品成本!$G$15+AH34*产品成本!$G$16</f>
        <v>120.89999999999999</v>
      </c>
      <c r="AM34" s="116">
        <f t="shared" si="12"/>
        <v>106.851</v>
      </c>
      <c r="AN34" s="117">
        <f t="shared" si="13"/>
        <v>409.29945070422536</v>
      </c>
      <c r="AO34" s="118">
        <v>0</v>
      </c>
      <c r="AP34" s="119">
        <v>1</v>
      </c>
      <c r="AQ34" s="120">
        <f t="shared" si="14"/>
        <v>25.743902439024392</v>
      </c>
      <c r="AR34" s="116">
        <f>AO34*产品成本!$D$15+AP34*产品成本!$D$16</f>
        <v>5.3521126760563398</v>
      </c>
      <c r="AS34" s="116">
        <f>AO34*产品成本!$E$15+AP34*产品成本!$E$16</f>
        <v>0.32</v>
      </c>
      <c r="AT34" s="116">
        <f>AO34*产品成本!$F$15+AP34*产品成本!$F$16</f>
        <v>0.34</v>
      </c>
      <c r="AU34" s="116"/>
      <c r="AV34" s="116">
        <f t="shared" si="15"/>
        <v>3.8615853658536587</v>
      </c>
      <c r="AW34" s="116">
        <f t="shared" si="16"/>
        <v>-0.77231707317073184</v>
      </c>
      <c r="AX34" s="117">
        <f t="shared" si="17"/>
        <v>9.1013809687392673</v>
      </c>
      <c r="AY34" s="122">
        <f t="shared" si="29"/>
        <v>400.19806973548611</v>
      </c>
      <c r="AZ34" s="122">
        <f t="shared" si="19"/>
        <v>712.34</v>
      </c>
      <c r="BA34" s="122">
        <f t="shared" si="20"/>
        <v>686.59609756097564</v>
      </c>
      <c r="BB34" s="121">
        <f t="shared" si="21"/>
        <v>-35.591972174510488</v>
      </c>
      <c r="BC34" s="123">
        <f t="shared" si="30"/>
        <v>-5.1838296636035883E-2</v>
      </c>
    </row>
    <row r="35" spans="1:56" ht="29.1" customHeight="1" x14ac:dyDescent="0.15">
      <c r="A35" s="38" t="s">
        <v>183</v>
      </c>
      <c r="B35" s="38" t="s">
        <v>184</v>
      </c>
      <c r="C35" s="67">
        <v>44</v>
      </c>
      <c r="D35" s="68">
        <v>42</v>
      </c>
      <c r="E35" s="41">
        <v>1016.85</v>
      </c>
      <c r="F35" s="101">
        <v>2</v>
      </c>
      <c r="G35" s="101">
        <v>2</v>
      </c>
      <c r="H35" s="41">
        <v>46.14</v>
      </c>
      <c r="I35" s="41">
        <v>23.07</v>
      </c>
      <c r="J35" s="102">
        <v>2</v>
      </c>
      <c r="K35" s="103">
        <f t="shared" si="0"/>
        <v>4.5454545454545456E-2</v>
      </c>
      <c r="L35" s="104">
        <v>40.6</v>
      </c>
      <c r="M35" s="105">
        <f t="shared" si="26"/>
        <v>0.41935483870967744</v>
      </c>
      <c r="N35" s="103">
        <f t="shared" si="27"/>
        <v>0.35483870967741937</v>
      </c>
      <c r="O35" s="103">
        <f t="shared" si="28"/>
        <v>0.38097048877541317</v>
      </c>
      <c r="P35" s="106">
        <f t="shared" si="1"/>
        <v>1.0476190476190477</v>
      </c>
      <c r="Q35" s="107">
        <f t="shared" si="2"/>
        <v>24.210714285714285</v>
      </c>
      <c r="R35" s="140">
        <f t="shared" si="3"/>
        <v>23.110227272727272</v>
      </c>
      <c r="S35" s="108">
        <f t="shared" si="4"/>
        <v>6.2857142857142856</v>
      </c>
      <c r="T35" s="146">
        <f t="shared" si="5"/>
        <v>8</v>
      </c>
      <c r="U35" s="110">
        <f t="shared" si="6"/>
        <v>0.19047619047619047</v>
      </c>
      <c r="V35" s="71">
        <f t="shared" si="7"/>
        <v>0.34257079031576404</v>
      </c>
      <c r="W35" s="68">
        <v>52810</v>
      </c>
      <c r="X35" s="68">
        <v>369</v>
      </c>
      <c r="Y35" s="68">
        <v>34</v>
      </c>
      <c r="Z35" s="41">
        <v>340.44</v>
      </c>
      <c r="AA35" s="69">
        <v>822.97</v>
      </c>
      <c r="AB35" s="68">
        <v>0.92</v>
      </c>
      <c r="AC35" s="48">
        <f t="shared" si="8"/>
        <v>0.41367243034375489</v>
      </c>
      <c r="AD35" s="49">
        <f t="shared" si="9"/>
        <v>6.9873130088998299E-3</v>
      </c>
      <c r="AE35" s="112">
        <f t="shared" si="10"/>
        <v>9.2140921409214094E-2</v>
      </c>
      <c r="AF35" s="107">
        <f t="shared" si="11"/>
        <v>10.012941176470589</v>
      </c>
      <c r="AG35" s="113">
        <v>8</v>
      </c>
      <c r="AH35" s="115">
        <v>36</v>
      </c>
      <c r="AI35" s="116">
        <f>AG35*产品成本!$D$15+AH35*产品成本!$D$16</f>
        <v>226.47887323943669</v>
      </c>
      <c r="AJ35" s="116">
        <f>AG35*产品成本!$E$15+AH35*产品成本!$E$16</f>
        <v>13.44</v>
      </c>
      <c r="AK35" s="116">
        <f>AG35*产品成本!$F$15+AH35*产品成本!$F$16</f>
        <v>14.96</v>
      </c>
      <c r="AL35" s="116">
        <f>AG35*产品成本!$G$15+AH35*产品成本!$G$16</f>
        <v>171.6</v>
      </c>
      <c r="AM35" s="116">
        <f t="shared" si="12"/>
        <v>149.06699999999998</v>
      </c>
      <c r="AN35" s="117">
        <f t="shared" si="13"/>
        <v>575.54587323943667</v>
      </c>
      <c r="AO35" s="118">
        <v>1</v>
      </c>
      <c r="AP35" s="119">
        <v>1</v>
      </c>
      <c r="AQ35" s="120">
        <f t="shared" si="14"/>
        <v>49.512195121951223</v>
      </c>
      <c r="AR35" s="116">
        <f>AO35*产品成本!$D$15+AP35*产品成本!$D$16</f>
        <v>9.5774647887323994</v>
      </c>
      <c r="AS35" s="116">
        <f>AO35*产品成本!$E$15+AP35*产品成本!$E$16</f>
        <v>0.56000000000000005</v>
      </c>
      <c r="AT35" s="116">
        <f>AO35*产品成本!$F$15+AP35*产品成本!$F$16</f>
        <v>0.68</v>
      </c>
      <c r="AU35" s="116"/>
      <c r="AV35" s="116">
        <f t="shared" si="15"/>
        <v>7.4268292682926829</v>
      </c>
      <c r="AW35" s="116">
        <f t="shared" si="16"/>
        <v>-1.4853658536585366</v>
      </c>
      <c r="AX35" s="117">
        <f t="shared" si="17"/>
        <v>16.758928203366548</v>
      </c>
      <c r="AY35" s="122">
        <f t="shared" si="29"/>
        <v>558.78694503607016</v>
      </c>
      <c r="AZ35" s="122">
        <f t="shared" si="19"/>
        <v>993.78</v>
      </c>
      <c r="BA35" s="122">
        <f t="shared" si="20"/>
        <v>944.26780487804876</v>
      </c>
      <c r="BB35" s="121">
        <f t="shared" si="21"/>
        <v>45.040859841978602</v>
      </c>
      <c r="BC35" s="123">
        <f t="shared" si="30"/>
        <v>4.7699243381273161E-2</v>
      </c>
    </row>
    <row r="36" spans="1:56" ht="29.1" customHeight="1" x14ac:dyDescent="0.15">
      <c r="A36" s="38" t="s">
        <v>185</v>
      </c>
      <c r="B36" s="38" t="s">
        <v>186</v>
      </c>
      <c r="C36" s="67">
        <v>19</v>
      </c>
      <c r="D36" s="68">
        <v>19</v>
      </c>
      <c r="E36" s="41">
        <v>446.61</v>
      </c>
      <c r="F36" s="101">
        <v>0</v>
      </c>
      <c r="G36" s="101">
        <v>0</v>
      </c>
      <c r="H36" s="41">
        <v>0</v>
      </c>
      <c r="I36" s="41">
        <v>0</v>
      </c>
      <c r="J36" s="102">
        <v>6</v>
      </c>
      <c r="K36" s="103">
        <f t="shared" ref="K36:K66" si="31">J36/C36</f>
        <v>0.31578947368421051</v>
      </c>
      <c r="L36" s="104">
        <v>122.93</v>
      </c>
      <c r="M36" s="105">
        <f t="shared" si="26"/>
        <v>-0.56818181818181823</v>
      </c>
      <c r="N36" s="103">
        <f t="shared" si="27"/>
        <v>-0.54761904761904767</v>
      </c>
      <c r="O36" s="103">
        <f t="shared" si="28"/>
        <v>-0.56079067709101638</v>
      </c>
      <c r="P36" s="106">
        <f t="shared" ref="P36:P62" si="32">C36/D36</f>
        <v>1</v>
      </c>
      <c r="Q36" s="107">
        <f t="shared" ref="Q36:Q62" si="33">E36/D36</f>
        <v>23.50578947368421</v>
      </c>
      <c r="R36" s="140">
        <f t="shared" ref="R36:R62" si="34">E36/C36</f>
        <v>23.50578947368421</v>
      </c>
      <c r="S36" s="108">
        <f t="shared" ref="S36:S62" si="35">C36/7</f>
        <v>2.7142857142857144</v>
      </c>
      <c r="T36" s="146">
        <f t="shared" ref="T36:T62" si="36">D36-Y36</f>
        <v>2</v>
      </c>
      <c r="U36" s="110">
        <f t="shared" ref="U36:U66" si="37">T36/D36</f>
        <v>0.10526315789473684</v>
      </c>
      <c r="V36" s="71">
        <f t="shared" ref="V36:V62" si="38">Z36/(E36-I36)</f>
        <v>0.63948411365621016</v>
      </c>
      <c r="W36" s="68">
        <v>48824</v>
      </c>
      <c r="X36" s="68">
        <v>308</v>
      </c>
      <c r="Y36" s="68">
        <v>17</v>
      </c>
      <c r="Z36" s="41">
        <v>285.60000000000002</v>
      </c>
      <c r="AA36" s="69">
        <v>399.31</v>
      </c>
      <c r="AB36" s="68">
        <v>0.93</v>
      </c>
      <c r="AC36" s="48">
        <f t="shared" ref="AC36:AC66" si="39">Z36/AA36</f>
        <v>0.71523377826751156</v>
      </c>
      <c r="AD36" s="49">
        <f t="shared" ref="AD36:AD62" si="40">X36/W36</f>
        <v>6.3083729313452401E-3</v>
      </c>
      <c r="AE36" s="112">
        <f t="shared" ref="AE36:AE62" si="41">Y36/X36</f>
        <v>5.5194805194805192E-2</v>
      </c>
      <c r="AF36" s="107">
        <f t="shared" ref="AF36:AF62" si="42">Z36/Y36</f>
        <v>16.8</v>
      </c>
      <c r="AG36" s="113">
        <v>5</v>
      </c>
      <c r="AH36" s="115">
        <v>14</v>
      </c>
      <c r="AI36" s="116">
        <f>AG36*产品成本!$D$15+AH36*产品成本!$D$16</f>
        <v>96.056338028169066</v>
      </c>
      <c r="AJ36" s="116">
        <f>AG36*产品成本!$E$15+AH36*产品成本!$E$16</f>
        <v>5.6800000000000006</v>
      </c>
      <c r="AK36" s="116">
        <f>AG36*产品成本!$F$15+AH36*产品成本!$F$16</f>
        <v>6.4600000000000009</v>
      </c>
      <c r="AL36" s="116">
        <f>AG36*产品成本!$G$15+AH36*产品成本!$G$16</f>
        <v>74.099999999999994</v>
      </c>
      <c r="AM36" s="116">
        <f t="shared" ref="AM36:AM62" si="43">(E36-I36)*0.15</f>
        <v>66.991500000000002</v>
      </c>
      <c r="AN36" s="117">
        <f t="shared" ref="AN36:AN62" si="44">SUM(AI36:AM36)</f>
        <v>249.28783802816906</v>
      </c>
      <c r="AO36" s="118">
        <v>1</v>
      </c>
      <c r="AP36" s="119">
        <v>5</v>
      </c>
      <c r="AQ36" s="120">
        <f t="shared" ref="AQ36:AQ62" si="45">L36/(1-0.15-0.15*0.2)</f>
        <v>149.91463414634148</v>
      </c>
      <c r="AR36" s="116">
        <f>AO36*产品成本!$D$15+AP36*产品成本!$D$16</f>
        <v>30.985915492957758</v>
      </c>
      <c r="AS36" s="116">
        <f>AO36*产品成本!$E$15+AP36*产品成本!$E$16</f>
        <v>1.84</v>
      </c>
      <c r="AT36" s="116">
        <f>AO36*产品成本!$F$15+AP36*产品成本!$F$16</f>
        <v>2.04</v>
      </c>
      <c r="AU36" s="116"/>
      <c r="AV36" s="116">
        <f t="shared" ref="AV36:AV62" si="46">AQ36*0.15</f>
        <v>22.487195121951221</v>
      </c>
      <c r="AW36" s="116">
        <f t="shared" ref="AW36:AW62" si="47">-AV36*0.2</f>
        <v>-4.4974390243902445</v>
      </c>
      <c r="AX36" s="117">
        <f t="shared" ref="AX36:AX62" si="48">SUM(AR36:AW36)</f>
        <v>52.855671590518739</v>
      </c>
      <c r="AY36" s="122">
        <f t="shared" si="29"/>
        <v>196.43216643765032</v>
      </c>
      <c r="AZ36" s="122">
        <f t="shared" ref="AZ36:AZ62" si="49">E36-I36</f>
        <v>446.61</v>
      </c>
      <c r="BA36" s="122">
        <f t="shared" ref="BA36:BA62" si="50">E36-AQ36-I36</f>
        <v>296.69536585365853</v>
      </c>
      <c r="BB36" s="121">
        <f t="shared" ref="BB36:BB62" si="51">BA36-AY36-Z36</f>
        <v>-185.33680058399182</v>
      </c>
      <c r="BC36" s="123">
        <f t="shared" si="30"/>
        <v>-0.62467035860414144</v>
      </c>
    </row>
    <row r="37" spans="1:56" ht="29.1" customHeight="1" x14ac:dyDescent="0.15">
      <c r="A37" s="38" t="s">
        <v>187</v>
      </c>
      <c r="B37" s="38" t="s">
        <v>188</v>
      </c>
      <c r="C37" s="67">
        <v>40</v>
      </c>
      <c r="D37" s="68">
        <v>38</v>
      </c>
      <c r="E37" s="41">
        <v>941.2</v>
      </c>
      <c r="F37" s="101">
        <v>5</v>
      </c>
      <c r="G37" s="101">
        <v>5</v>
      </c>
      <c r="H37" s="41">
        <v>114.43</v>
      </c>
      <c r="I37" s="41">
        <v>22.89</v>
      </c>
      <c r="J37" s="102">
        <v>3</v>
      </c>
      <c r="K37" s="103">
        <f t="shared" si="31"/>
        <v>7.4999999999999997E-2</v>
      </c>
      <c r="L37" s="104">
        <v>61.22</v>
      </c>
      <c r="M37" s="105">
        <f t="shared" si="26"/>
        <v>1.1052631578947369</v>
      </c>
      <c r="N37" s="103">
        <f t="shared" si="27"/>
        <v>1</v>
      </c>
      <c r="O37" s="103">
        <f t="shared" si="28"/>
        <v>1.1074315398222163</v>
      </c>
      <c r="P37" s="106">
        <f t="shared" si="32"/>
        <v>1.0526315789473684</v>
      </c>
      <c r="Q37" s="107">
        <f t="shared" si="33"/>
        <v>24.768421052631581</v>
      </c>
      <c r="R37" s="140">
        <f t="shared" si="34"/>
        <v>23.53</v>
      </c>
      <c r="S37" s="108">
        <f t="shared" si="35"/>
        <v>5.7142857142857144</v>
      </c>
      <c r="T37" s="146">
        <f t="shared" si="36"/>
        <v>11</v>
      </c>
      <c r="U37" s="110">
        <f t="shared" si="37"/>
        <v>0.28947368421052633</v>
      </c>
      <c r="V37" s="71">
        <f t="shared" si="38"/>
        <v>0.3409850704010628</v>
      </c>
      <c r="W37" s="68">
        <v>43274</v>
      </c>
      <c r="X37" s="68">
        <v>328</v>
      </c>
      <c r="Y37" s="68">
        <v>27</v>
      </c>
      <c r="Z37" s="41">
        <v>313.13</v>
      </c>
      <c r="AA37" s="69">
        <v>673.11</v>
      </c>
      <c r="AB37" s="68">
        <v>0.95</v>
      </c>
      <c r="AC37" s="48">
        <f t="shared" si="39"/>
        <v>0.46519885308493408</v>
      </c>
      <c r="AD37" s="49">
        <f t="shared" si="40"/>
        <v>7.5796090030965475E-3</v>
      </c>
      <c r="AE37" s="112">
        <f t="shared" si="41"/>
        <v>8.2317073170731711E-2</v>
      </c>
      <c r="AF37" s="107">
        <f t="shared" si="42"/>
        <v>11.597407407407408</v>
      </c>
      <c r="AG37" s="113">
        <v>10</v>
      </c>
      <c r="AH37" s="115">
        <v>30</v>
      </c>
      <c r="AI37" s="116">
        <f>AG37*产品成本!$D$15+AH37*产品成本!$D$16</f>
        <v>202.8169014084508</v>
      </c>
      <c r="AJ37" s="116">
        <f>AG37*产品成本!$E$15+AH37*产品成本!$E$16</f>
        <v>12</v>
      </c>
      <c r="AK37" s="116">
        <f>AG37*产品成本!$F$15+AH37*产品成本!$F$16</f>
        <v>13.600000000000001</v>
      </c>
      <c r="AL37" s="116">
        <f>AG37*产品成本!$G$15+AH37*产品成本!$G$16</f>
        <v>156</v>
      </c>
      <c r="AM37" s="116">
        <f t="shared" si="43"/>
        <v>137.7465</v>
      </c>
      <c r="AN37" s="117">
        <f t="shared" si="44"/>
        <v>522.1634014084508</v>
      </c>
      <c r="AO37" s="118">
        <v>0</v>
      </c>
      <c r="AP37" s="119">
        <v>3</v>
      </c>
      <c r="AQ37" s="120">
        <f t="shared" si="45"/>
        <v>74.658536585365852</v>
      </c>
      <c r="AR37" s="116">
        <f>AO37*产品成本!$D$15+AP37*产品成本!$D$16</f>
        <v>16.056338028169019</v>
      </c>
      <c r="AS37" s="116">
        <f>AO37*产品成本!$E$15+AP37*产品成本!$E$16</f>
        <v>0.96</v>
      </c>
      <c r="AT37" s="116">
        <f>AO37*产品成本!$F$15+AP37*产品成本!$F$16</f>
        <v>1.02</v>
      </c>
      <c r="AU37" s="116"/>
      <c r="AV37" s="116">
        <f t="shared" si="46"/>
        <v>11.198780487804877</v>
      </c>
      <c r="AW37" s="116">
        <f t="shared" si="47"/>
        <v>-2.2397560975609756</v>
      </c>
      <c r="AX37" s="117">
        <f t="shared" si="48"/>
        <v>26.99536241841292</v>
      </c>
      <c r="AY37" s="122">
        <f t="shared" si="29"/>
        <v>495.16803899003787</v>
      </c>
      <c r="AZ37" s="122">
        <f t="shared" si="49"/>
        <v>918.31000000000006</v>
      </c>
      <c r="BA37" s="122">
        <f t="shared" si="50"/>
        <v>843.65146341463424</v>
      </c>
      <c r="BB37" s="121">
        <f t="shared" si="51"/>
        <v>35.353424424596369</v>
      </c>
      <c r="BC37" s="123">
        <f t="shared" si="30"/>
        <v>4.1905248740404327E-2</v>
      </c>
    </row>
    <row r="38" spans="1:56" ht="29.1" customHeight="1" x14ac:dyDescent="0.15">
      <c r="A38" s="38" t="s">
        <v>189</v>
      </c>
      <c r="B38" s="38" t="s">
        <v>190</v>
      </c>
      <c r="C38" s="67">
        <v>47</v>
      </c>
      <c r="D38" s="68">
        <v>47</v>
      </c>
      <c r="E38" s="41">
        <v>1094.3399999999999</v>
      </c>
      <c r="F38" s="101">
        <v>3</v>
      </c>
      <c r="G38" s="101">
        <v>3</v>
      </c>
      <c r="H38" s="41">
        <v>71.97</v>
      </c>
      <c r="I38" s="41">
        <v>23.99</v>
      </c>
      <c r="J38" s="102">
        <v>4</v>
      </c>
      <c r="K38" s="103">
        <f t="shared" si="31"/>
        <v>8.5106382978723402E-2</v>
      </c>
      <c r="L38" s="104">
        <v>81.2</v>
      </c>
      <c r="M38" s="105">
        <f t="shared" si="26"/>
        <v>0.17499999999999999</v>
      </c>
      <c r="N38" s="103">
        <f t="shared" si="27"/>
        <v>0.23684210526315788</v>
      </c>
      <c r="O38" s="103">
        <f t="shared" si="28"/>
        <v>0.16270718232044185</v>
      </c>
      <c r="P38" s="106">
        <f t="shared" si="32"/>
        <v>1</v>
      </c>
      <c r="Q38" s="107">
        <f t="shared" si="33"/>
        <v>23.283829787234041</v>
      </c>
      <c r="R38" s="140">
        <f t="shared" si="34"/>
        <v>23.283829787234041</v>
      </c>
      <c r="S38" s="108">
        <f t="shared" si="35"/>
        <v>6.7142857142857144</v>
      </c>
      <c r="T38" s="146">
        <f t="shared" si="36"/>
        <v>13</v>
      </c>
      <c r="U38" s="110">
        <f t="shared" si="37"/>
        <v>0.27659574468085107</v>
      </c>
      <c r="V38" s="71">
        <f t="shared" si="38"/>
        <v>0.2790489092352969</v>
      </c>
      <c r="W38" s="68">
        <v>45715</v>
      </c>
      <c r="X38" s="68">
        <v>320</v>
      </c>
      <c r="Y38" s="68">
        <v>34</v>
      </c>
      <c r="Z38" s="41">
        <v>298.68</v>
      </c>
      <c r="AA38" s="69">
        <v>768.09</v>
      </c>
      <c r="AB38" s="68">
        <v>0.93</v>
      </c>
      <c r="AC38" s="48">
        <f t="shared" si="39"/>
        <v>0.38886068038901689</v>
      </c>
      <c r="AD38" s="49">
        <f t="shared" si="40"/>
        <v>6.9998906267089581E-3</v>
      </c>
      <c r="AE38" s="112">
        <f t="shared" si="41"/>
        <v>0.10625</v>
      </c>
      <c r="AF38" s="107">
        <f t="shared" si="42"/>
        <v>8.7847058823529416</v>
      </c>
      <c r="AG38" s="113">
        <v>5</v>
      </c>
      <c r="AH38" s="115">
        <v>42</v>
      </c>
      <c r="AI38" s="116">
        <f>AG38*产品成本!$D$15+AH38*产品成本!$D$16</f>
        <v>245.91549295774655</v>
      </c>
      <c r="AJ38" s="116">
        <f>AG38*产品成本!$E$15+AH38*产品成本!$E$16</f>
        <v>14.639999999999999</v>
      </c>
      <c r="AK38" s="116">
        <f>AG38*产品成本!$F$15+AH38*产品成本!$F$16</f>
        <v>15.98</v>
      </c>
      <c r="AL38" s="116">
        <f>AG38*产品成本!$G$15+AH38*产品成本!$G$16</f>
        <v>183.29999999999998</v>
      </c>
      <c r="AM38" s="116">
        <f t="shared" si="43"/>
        <v>160.55249999999998</v>
      </c>
      <c r="AN38" s="117">
        <f t="shared" si="44"/>
        <v>620.38799295774652</v>
      </c>
      <c r="AO38" s="118">
        <v>2</v>
      </c>
      <c r="AP38" s="119">
        <v>2</v>
      </c>
      <c r="AQ38" s="120">
        <f t="shared" si="45"/>
        <v>99.024390243902445</v>
      </c>
      <c r="AR38" s="116">
        <f>AO38*产品成本!$D$15+AP38*产品成本!$D$16</f>
        <v>19.154929577464799</v>
      </c>
      <c r="AS38" s="116">
        <f>AO38*产品成本!$E$15+AP38*产品成本!$E$16</f>
        <v>1.1200000000000001</v>
      </c>
      <c r="AT38" s="116">
        <f>AO38*产品成本!$F$15+AP38*产品成本!$F$16</f>
        <v>1.36</v>
      </c>
      <c r="AU38" s="116"/>
      <c r="AV38" s="116">
        <f t="shared" si="46"/>
        <v>14.853658536585366</v>
      </c>
      <c r="AW38" s="116">
        <f t="shared" si="47"/>
        <v>-2.9707317073170731</v>
      </c>
      <c r="AX38" s="117">
        <f t="shared" si="48"/>
        <v>33.517856406733095</v>
      </c>
      <c r="AY38" s="122">
        <f t="shared" si="29"/>
        <v>586.87013655101339</v>
      </c>
      <c r="AZ38" s="122">
        <f t="shared" si="49"/>
        <v>1070.3499999999999</v>
      </c>
      <c r="BA38" s="122">
        <f t="shared" si="50"/>
        <v>971.32560975609749</v>
      </c>
      <c r="BB38" s="121">
        <f t="shared" si="51"/>
        <v>85.775473205084097</v>
      </c>
      <c r="BC38" s="123">
        <f t="shared" si="30"/>
        <v>8.8307640963592587E-2</v>
      </c>
    </row>
    <row r="39" spans="1:56" ht="29.1" customHeight="1" x14ac:dyDescent="0.15">
      <c r="A39" s="38" t="s">
        <v>191</v>
      </c>
      <c r="B39" s="38" t="s">
        <v>192</v>
      </c>
      <c r="C39" s="67">
        <v>38</v>
      </c>
      <c r="D39" s="68">
        <v>38</v>
      </c>
      <c r="E39" s="41">
        <v>891.38</v>
      </c>
      <c r="F39" s="101">
        <v>7</v>
      </c>
      <c r="G39" s="101">
        <v>7</v>
      </c>
      <c r="H39" s="41">
        <v>160.57</v>
      </c>
      <c r="I39" s="41">
        <v>14.52</v>
      </c>
      <c r="J39" s="102">
        <v>5</v>
      </c>
      <c r="K39" s="103">
        <f t="shared" si="31"/>
        <v>0.13157894736842105</v>
      </c>
      <c r="L39" s="104">
        <v>102.31</v>
      </c>
      <c r="M39" s="105">
        <f t="shared" ref="M39:M62" si="52">(C39-C38)/C38</f>
        <v>-0.19148936170212766</v>
      </c>
      <c r="N39" s="103">
        <f t="shared" ref="N39:N62" si="53">(D39-D38)/D38</f>
        <v>-0.19148936170212766</v>
      </c>
      <c r="O39" s="103">
        <f t="shared" ref="O39:O62" si="54">(E39-E38)/E38</f>
        <v>-0.18546338432297085</v>
      </c>
      <c r="P39" s="106">
        <f t="shared" si="32"/>
        <v>1</v>
      </c>
      <c r="Q39" s="107">
        <f t="shared" si="33"/>
        <v>23.457368421052632</v>
      </c>
      <c r="R39" s="140">
        <f t="shared" si="34"/>
        <v>23.457368421052632</v>
      </c>
      <c r="S39" s="108">
        <f t="shared" si="35"/>
        <v>5.4285714285714288</v>
      </c>
      <c r="T39" s="146">
        <f t="shared" si="36"/>
        <v>5</v>
      </c>
      <c r="U39" s="110">
        <f t="shared" si="37"/>
        <v>0.13157894736842105</v>
      </c>
      <c r="V39" s="71">
        <f t="shared" si="38"/>
        <v>0.37350318180781422</v>
      </c>
      <c r="W39" s="68">
        <v>43400</v>
      </c>
      <c r="X39" s="68">
        <v>337</v>
      </c>
      <c r="Y39" s="68">
        <v>33</v>
      </c>
      <c r="Z39" s="41">
        <v>327.51</v>
      </c>
      <c r="AA39" s="69">
        <v>769.1</v>
      </c>
      <c r="AB39" s="68">
        <v>0.97</v>
      </c>
      <c r="AC39" s="48">
        <f t="shared" si="39"/>
        <v>0.42583539201664278</v>
      </c>
      <c r="AD39" s="49">
        <f t="shared" si="40"/>
        <v>7.7649769585253457E-3</v>
      </c>
      <c r="AE39" s="112">
        <f t="shared" si="41"/>
        <v>9.7922848664688422E-2</v>
      </c>
      <c r="AF39" s="107">
        <f t="shared" si="42"/>
        <v>9.9245454545454539</v>
      </c>
      <c r="AG39" s="113">
        <v>11</v>
      </c>
      <c r="AH39" s="115">
        <v>27</v>
      </c>
      <c r="AI39" s="116">
        <f>AG39*产品成本!$D$15+AH39*产品成本!$D$16</f>
        <v>190.98591549295782</v>
      </c>
      <c r="AJ39" s="116">
        <f>AG39*产品成本!$E$15+AH39*产品成本!$E$16</f>
        <v>11.280000000000001</v>
      </c>
      <c r="AK39" s="116">
        <f>AG39*产品成本!$F$15+AH39*产品成本!$F$16</f>
        <v>12.920000000000002</v>
      </c>
      <c r="AL39" s="116">
        <f>AG39*产品成本!$G$15+AH39*产品成本!$G$16</f>
        <v>148.19999999999999</v>
      </c>
      <c r="AM39" s="116">
        <f t="shared" si="43"/>
        <v>131.529</v>
      </c>
      <c r="AN39" s="117">
        <f t="shared" si="44"/>
        <v>494.91491549295779</v>
      </c>
      <c r="AO39" s="118">
        <v>2</v>
      </c>
      <c r="AP39" s="119">
        <v>3</v>
      </c>
      <c r="AQ39" s="120">
        <f t="shared" si="45"/>
        <v>124.76829268292684</v>
      </c>
      <c r="AR39" s="116">
        <f>AO39*产品成本!$D$15+AP39*产品成本!$D$16</f>
        <v>24.507042253521139</v>
      </c>
      <c r="AS39" s="116">
        <f>AO39*产品成本!$E$15+AP39*产品成本!$E$16</f>
        <v>1.44</v>
      </c>
      <c r="AT39" s="116">
        <f>AO39*产品成本!$F$15+AP39*产品成本!$F$16</f>
        <v>1.7000000000000002</v>
      </c>
      <c r="AU39" s="116"/>
      <c r="AV39" s="116">
        <f t="shared" si="46"/>
        <v>18.715243902439024</v>
      </c>
      <c r="AW39" s="116">
        <f t="shared" si="47"/>
        <v>-3.743048780487805</v>
      </c>
      <c r="AX39" s="117">
        <f t="shared" si="48"/>
        <v>42.619237375472359</v>
      </c>
      <c r="AY39" s="122">
        <f t="shared" ref="AY39:AY62" si="55">AN39-AX39</f>
        <v>452.29567811748541</v>
      </c>
      <c r="AZ39" s="122">
        <f t="shared" si="49"/>
        <v>876.86</v>
      </c>
      <c r="BA39" s="122">
        <f t="shared" si="50"/>
        <v>752.0917073170732</v>
      </c>
      <c r="BB39" s="121">
        <f t="shared" si="51"/>
        <v>-27.713970800412199</v>
      </c>
      <c r="BC39" s="123">
        <f t="shared" ref="BC39:BC62" si="56">BB39/BA39</f>
        <v>-3.6849190771263626E-2</v>
      </c>
    </row>
    <row r="40" spans="1:56" ht="29.1" customHeight="1" x14ac:dyDescent="0.15">
      <c r="A40" s="38" t="s">
        <v>193</v>
      </c>
      <c r="B40" s="38" t="s">
        <v>194</v>
      </c>
      <c r="C40" s="67">
        <v>31</v>
      </c>
      <c r="D40" s="68">
        <v>30</v>
      </c>
      <c r="E40" s="41">
        <v>892.79</v>
      </c>
      <c r="F40" s="101">
        <v>3</v>
      </c>
      <c r="G40" s="101">
        <v>3</v>
      </c>
      <c r="H40" s="41">
        <v>79.37</v>
      </c>
      <c r="I40" s="41">
        <v>7.94</v>
      </c>
      <c r="J40" s="102">
        <v>3</v>
      </c>
      <c r="K40" s="103">
        <f t="shared" si="31"/>
        <v>9.6774193548387094E-2</v>
      </c>
      <c r="L40" s="104">
        <v>59.76</v>
      </c>
      <c r="M40" s="105">
        <f t="shared" si="52"/>
        <v>-0.18421052631578946</v>
      </c>
      <c r="N40" s="103">
        <f t="shared" si="53"/>
        <v>-0.21052631578947367</v>
      </c>
      <c r="O40" s="103">
        <f t="shared" si="54"/>
        <v>1.5818169579752386E-3</v>
      </c>
      <c r="P40" s="106">
        <f t="shared" si="32"/>
        <v>1.0333333333333334</v>
      </c>
      <c r="Q40" s="107">
        <f t="shared" si="33"/>
        <v>29.759666666666664</v>
      </c>
      <c r="R40" s="140">
        <f t="shared" si="34"/>
        <v>28.799677419354836</v>
      </c>
      <c r="S40" s="108">
        <f t="shared" si="35"/>
        <v>4.4285714285714288</v>
      </c>
      <c r="T40" s="146">
        <f t="shared" si="36"/>
        <v>-8</v>
      </c>
      <c r="U40" s="110">
        <f t="shared" si="37"/>
        <v>-0.26666666666666666</v>
      </c>
      <c r="V40" s="71">
        <f t="shared" si="38"/>
        <v>0.36999491439226989</v>
      </c>
      <c r="W40" s="68">
        <v>59702</v>
      </c>
      <c r="X40" s="68">
        <v>341</v>
      </c>
      <c r="Y40" s="68">
        <v>38</v>
      </c>
      <c r="Z40" s="41">
        <v>327.39</v>
      </c>
      <c r="AA40" s="69">
        <v>969.02</v>
      </c>
      <c r="AB40" s="68">
        <v>0.96</v>
      </c>
      <c r="AC40" s="48">
        <f t="shared" si="39"/>
        <v>0.33785680378113969</v>
      </c>
      <c r="AD40" s="49">
        <f t="shared" si="40"/>
        <v>5.7117014505376701E-3</v>
      </c>
      <c r="AE40" s="112">
        <f t="shared" si="41"/>
        <v>0.11143695014662756</v>
      </c>
      <c r="AF40" s="107">
        <f t="shared" si="42"/>
        <v>8.6155263157894737</v>
      </c>
      <c r="AG40" s="113">
        <v>3</v>
      </c>
      <c r="AH40" s="115">
        <v>28</v>
      </c>
      <c r="AI40" s="116">
        <f>AG40*产品成本!$D$15+AH40*产品成本!$D$16</f>
        <v>162.53521126760572</v>
      </c>
      <c r="AJ40" s="116">
        <f>AG40*产品成本!$E$15+AH40*产品成本!$E$16</f>
        <v>9.6800000000000015</v>
      </c>
      <c r="AK40" s="116">
        <f>AG40*产品成本!$F$15+AH40*产品成本!$F$16</f>
        <v>10.540000000000001</v>
      </c>
      <c r="AL40" s="116">
        <f>AG40*产品成本!$G$15+AH40*产品成本!$G$16</f>
        <v>120.9</v>
      </c>
      <c r="AM40" s="116">
        <f t="shared" si="43"/>
        <v>132.72749999999999</v>
      </c>
      <c r="AN40" s="117">
        <f t="shared" si="44"/>
        <v>436.38271126760571</v>
      </c>
      <c r="AO40" s="118">
        <v>1</v>
      </c>
      <c r="AP40" s="119">
        <v>2</v>
      </c>
      <c r="AQ40" s="120">
        <f t="shared" si="45"/>
        <v>72.878048780487802</v>
      </c>
      <c r="AR40" s="116">
        <f>AO40*产品成本!$D$15+AP40*产品成本!$D$16</f>
        <v>14.929577464788739</v>
      </c>
      <c r="AS40" s="116">
        <f>AO40*产品成本!$E$15+AP40*产品成本!$E$16</f>
        <v>0.88</v>
      </c>
      <c r="AT40" s="116">
        <f>AO40*产品成本!$F$15+AP40*产品成本!$F$16</f>
        <v>1.02</v>
      </c>
      <c r="AU40" s="116"/>
      <c r="AV40" s="116">
        <f t="shared" si="46"/>
        <v>10.931707317073171</v>
      </c>
      <c r="AW40" s="116">
        <f t="shared" si="47"/>
        <v>-2.1863414634146343</v>
      </c>
      <c r="AX40" s="117">
        <f t="shared" si="48"/>
        <v>25.574943318447275</v>
      </c>
      <c r="AY40" s="122">
        <f t="shared" si="55"/>
        <v>410.80776794915846</v>
      </c>
      <c r="AZ40" s="122">
        <f t="shared" si="49"/>
        <v>884.84999999999991</v>
      </c>
      <c r="BA40" s="122">
        <f t="shared" si="50"/>
        <v>811.97195121951211</v>
      </c>
      <c r="BB40" s="121">
        <f t="shared" si="51"/>
        <v>73.77418327035366</v>
      </c>
      <c r="BC40" s="123">
        <f t="shared" si="56"/>
        <v>9.0858043999612517E-2</v>
      </c>
    </row>
    <row r="41" spans="1:56" ht="29.1" customHeight="1" x14ac:dyDescent="0.15">
      <c r="A41" s="38" t="s">
        <v>195</v>
      </c>
      <c r="B41" s="38" t="s">
        <v>196</v>
      </c>
      <c r="C41" s="67">
        <v>49</v>
      </c>
      <c r="D41" s="68">
        <v>46</v>
      </c>
      <c r="E41" s="41">
        <v>1184.3499999999999</v>
      </c>
      <c r="F41" s="101">
        <v>2</v>
      </c>
      <c r="G41" s="101">
        <v>2</v>
      </c>
      <c r="H41" s="41">
        <v>50.98</v>
      </c>
      <c r="I41" s="41">
        <v>7.64</v>
      </c>
      <c r="J41" s="102">
        <v>2</v>
      </c>
      <c r="K41" s="103">
        <f t="shared" si="31"/>
        <v>4.0816326530612242E-2</v>
      </c>
      <c r="L41" s="104">
        <v>40.6</v>
      </c>
      <c r="M41" s="105">
        <f t="shared" si="52"/>
        <v>0.58064516129032262</v>
      </c>
      <c r="N41" s="103">
        <f t="shared" si="53"/>
        <v>0.53333333333333333</v>
      </c>
      <c r="O41" s="103">
        <f t="shared" si="54"/>
        <v>0.32657175819621631</v>
      </c>
      <c r="P41" s="106">
        <f t="shared" si="32"/>
        <v>1.0652173913043479</v>
      </c>
      <c r="Q41" s="107">
        <f t="shared" si="33"/>
        <v>25.746739130434779</v>
      </c>
      <c r="R41" s="140">
        <f t="shared" si="34"/>
        <v>24.170408163265304</v>
      </c>
      <c r="S41" s="108">
        <f t="shared" si="35"/>
        <v>7</v>
      </c>
      <c r="T41" s="146">
        <f t="shared" si="36"/>
        <v>17</v>
      </c>
      <c r="U41" s="110">
        <f t="shared" si="37"/>
        <v>0.36956521739130432</v>
      </c>
      <c r="V41" s="71">
        <f t="shared" si="38"/>
        <v>0.26497607736825562</v>
      </c>
      <c r="W41" s="68">
        <v>47428</v>
      </c>
      <c r="X41" s="68">
        <v>331</v>
      </c>
      <c r="Y41" s="68">
        <v>29</v>
      </c>
      <c r="Z41" s="41">
        <v>311.8</v>
      </c>
      <c r="AA41" s="69">
        <v>758.64</v>
      </c>
      <c r="AB41" s="68">
        <v>0.94</v>
      </c>
      <c r="AC41" s="48">
        <f t="shared" si="39"/>
        <v>0.41099862912580409</v>
      </c>
      <c r="AD41" s="49">
        <f t="shared" si="40"/>
        <v>6.9789997469849032E-3</v>
      </c>
      <c r="AE41" s="112">
        <f t="shared" si="41"/>
        <v>8.7613293051359523E-2</v>
      </c>
      <c r="AF41" s="107">
        <f t="shared" si="42"/>
        <v>10.751724137931035</v>
      </c>
      <c r="AG41" s="113">
        <v>3</v>
      </c>
      <c r="AH41" s="115">
        <v>46</v>
      </c>
      <c r="AI41" s="116">
        <f>AG41*产品成本!$D$15+AH41*产品成本!$D$16</f>
        <v>258.87323943661983</v>
      </c>
      <c r="AJ41" s="116">
        <f>AG41*产品成本!$E$15+AH41*产品成本!$E$16</f>
        <v>15.440000000000001</v>
      </c>
      <c r="AK41" s="116">
        <f>AG41*产品成本!$F$15+AH41*产品成本!$F$16</f>
        <v>16.66</v>
      </c>
      <c r="AL41" s="116">
        <f>AG41*产品成本!$G$15+AH41*产品成本!$G$16</f>
        <v>191.1</v>
      </c>
      <c r="AM41" s="116">
        <f t="shared" si="43"/>
        <v>176.50649999999996</v>
      </c>
      <c r="AN41" s="117">
        <f t="shared" si="44"/>
        <v>658.57973943661978</v>
      </c>
      <c r="AO41" s="118">
        <v>1</v>
      </c>
      <c r="AP41" s="119">
        <v>1</v>
      </c>
      <c r="AQ41" s="120">
        <f t="shared" si="45"/>
        <v>49.512195121951223</v>
      </c>
      <c r="AR41" s="116">
        <f>AO41*产品成本!$D$15+AP41*产品成本!$D$16</f>
        <v>9.5774647887323994</v>
      </c>
      <c r="AS41" s="116">
        <f>AO41*产品成本!$E$15+AP41*产品成本!$E$16</f>
        <v>0.56000000000000005</v>
      </c>
      <c r="AT41" s="116">
        <f>AO41*产品成本!$F$15+AP41*产品成本!$F$16</f>
        <v>0.68</v>
      </c>
      <c r="AU41" s="116"/>
      <c r="AV41" s="116">
        <f t="shared" si="46"/>
        <v>7.4268292682926829</v>
      </c>
      <c r="AW41" s="116">
        <f t="shared" si="47"/>
        <v>-1.4853658536585366</v>
      </c>
      <c r="AX41" s="117">
        <f t="shared" si="48"/>
        <v>16.758928203366548</v>
      </c>
      <c r="AY41" s="122">
        <f t="shared" si="55"/>
        <v>641.82081123325327</v>
      </c>
      <c r="AZ41" s="122">
        <f t="shared" si="49"/>
        <v>1176.7099999999998</v>
      </c>
      <c r="BA41" s="122">
        <f t="shared" si="50"/>
        <v>1127.1978048780486</v>
      </c>
      <c r="BB41" s="121">
        <f t="shared" si="51"/>
        <v>173.57699364479532</v>
      </c>
      <c r="BC41" s="123">
        <f t="shared" si="56"/>
        <v>0.15398982582615534</v>
      </c>
      <c r="BD41" t="s">
        <v>197</v>
      </c>
    </row>
    <row r="42" spans="1:56" ht="29.1" customHeight="1" x14ac:dyDescent="0.15">
      <c r="A42" s="38" t="s">
        <v>198</v>
      </c>
      <c r="B42" s="38" t="s">
        <v>199</v>
      </c>
      <c r="C42" s="67">
        <v>31</v>
      </c>
      <c r="D42" s="68">
        <v>30</v>
      </c>
      <c r="E42" s="41">
        <v>809.09</v>
      </c>
      <c r="F42" s="101">
        <v>5</v>
      </c>
      <c r="G42" s="101">
        <v>5</v>
      </c>
      <c r="H42" s="41">
        <v>121.15</v>
      </c>
      <c r="I42" s="41">
        <v>11.06</v>
      </c>
      <c r="J42" s="102">
        <v>4</v>
      </c>
      <c r="K42" s="103">
        <f t="shared" si="31"/>
        <v>0.12903225806451613</v>
      </c>
      <c r="L42" s="104">
        <v>76.489999999999995</v>
      </c>
      <c r="M42" s="105">
        <f t="shared" si="52"/>
        <v>-0.36734693877551022</v>
      </c>
      <c r="N42" s="103">
        <f t="shared" si="53"/>
        <v>-0.34782608695652173</v>
      </c>
      <c r="O42" s="103">
        <f t="shared" si="54"/>
        <v>-0.31684890446236325</v>
      </c>
      <c r="P42" s="106">
        <f t="shared" si="32"/>
        <v>1.0333333333333334</v>
      </c>
      <c r="Q42" s="107">
        <f t="shared" si="33"/>
        <v>26.969666666666669</v>
      </c>
      <c r="R42" s="140">
        <f t="shared" si="34"/>
        <v>26.09967741935484</v>
      </c>
      <c r="S42" s="108">
        <f t="shared" si="35"/>
        <v>4.4285714285714288</v>
      </c>
      <c r="T42" s="146">
        <f t="shared" si="36"/>
        <v>7</v>
      </c>
      <c r="U42" s="110">
        <f t="shared" si="37"/>
        <v>0.23333333333333334</v>
      </c>
      <c r="V42" s="71">
        <f t="shared" si="38"/>
        <v>0.36036239239126344</v>
      </c>
      <c r="W42" s="68">
        <v>61367</v>
      </c>
      <c r="X42" s="68">
        <v>301</v>
      </c>
      <c r="Y42" s="68">
        <v>23</v>
      </c>
      <c r="Z42" s="41">
        <v>287.58</v>
      </c>
      <c r="AA42" s="69">
        <v>592.86</v>
      </c>
      <c r="AB42" s="68">
        <v>0.96</v>
      </c>
      <c r="AC42" s="48">
        <f t="shared" si="39"/>
        <v>0.48507236109705493</v>
      </c>
      <c r="AD42" s="49">
        <f t="shared" si="40"/>
        <v>4.9049163231052522E-3</v>
      </c>
      <c r="AE42" s="112">
        <f t="shared" si="41"/>
        <v>7.6411960132890366E-2</v>
      </c>
      <c r="AF42" s="107">
        <f t="shared" si="42"/>
        <v>12.503478260869565</v>
      </c>
      <c r="AG42" s="113">
        <v>6</v>
      </c>
      <c r="AH42" s="115">
        <v>25</v>
      </c>
      <c r="AI42" s="116">
        <f>AG42*产品成本!$D$15+AH42*产品成本!$D$16</f>
        <v>159.15492957746486</v>
      </c>
      <c r="AJ42" s="116">
        <f>AG42*产品成本!$E$15+AH42*产品成本!$E$16</f>
        <v>9.44</v>
      </c>
      <c r="AK42" s="116">
        <f>AG42*产品成本!$F$15+AH42*产品成本!$F$16</f>
        <v>10.54</v>
      </c>
      <c r="AL42" s="116">
        <f>AG42*产品成本!$G$15+AH42*产品成本!$G$16</f>
        <v>120.9</v>
      </c>
      <c r="AM42" s="116">
        <f t="shared" si="43"/>
        <v>119.70450000000001</v>
      </c>
      <c r="AN42" s="117">
        <f t="shared" si="44"/>
        <v>419.73942957746482</v>
      </c>
      <c r="AO42" s="118">
        <v>1</v>
      </c>
      <c r="AP42" s="119">
        <v>3</v>
      </c>
      <c r="AQ42" s="120">
        <f t="shared" si="45"/>
        <v>93.280487804878049</v>
      </c>
      <c r="AR42" s="116">
        <f>AO42*产品成本!$D$15+AP42*产品成本!$D$16</f>
        <v>20.281690140845079</v>
      </c>
      <c r="AS42" s="116">
        <f>AO42*产品成本!$E$15+AP42*产品成本!$E$16</f>
        <v>1.2</v>
      </c>
      <c r="AT42" s="116">
        <f>AO42*产品成本!$F$15+AP42*产品成本!$F$16</f>
        <v>1.36</v>
      </c>
      <c r="AU42" s="116"/>
      <c r="AV42" s="116">
        <f t="shared" si="46"/>
        <v>13.992073170731707</v>
      </c>
      <c r="AW42" s="116">
        <f t="shared" si="47"/>
        <v>-2.7984146341463418</v>
      </c>
      <c r="AX42" s="117">
        <f t="shared" si="48"/>
        <v>34.035348677430449</v>
      </c>
      <c r="AY42" s="122">
        <f t="shared" si="55"/>
        <v>385.70408090003434</v>
      </c>
      <c r="AZ42" s="122">
        <f t="shared" si="49"/>
        <v>798.03000000000009</v>
      </c>
      <c r="BA42" s="122">
        <f t="shared" si="50"/>
        <v>704.74951219512207</v>
      </c>
      <c r="BB42" s="121">
        <f t="shared" si="51"/>
        <v>31.46543129508774</v>
      </c>
      <c r="BC42" s="123">
        <f t="shared" si="56"/>
        <v>4.4647680843482432E-2</v>
      </c>
    </row>
    <row r="43" spans="1:56" ht="29.1" customHeight="1" x14ac:dyDescent="0.15">
      <c r="A43" s="38" t="s">
        <v>200</v>
      </c>
      <c r="B43" s="38" t="s">
        <v>201</v>
      </c>
      <c r="C43" s="67">
        <v>19</v>
      </c>
      <c r="D43" s="68">
        <v>19</v>
      </c>
      <c r="E43" s="41">
        <v>469.61</v>
      </c>
      <c r="F43" s="101">
        <v>3</v>
      </c>
      <c r="G43" s="101">
        <v>3</v>
      </c>
      <c r="H43" s="41">
        <v>72.27</v>
      </c>
      <c r="I43" s="41">
        <v>10.84</v>
      </c>
      <c r="J43" s="102">
        <v>5</v>
      </c>
      <c r="K43" s="103">
        <f t="shared" si="31"/>
        <v>0.26315789473684209</v>
      </c>
      <c r="L43" s="104">
        <v>120.07</v>
      </c>
      <c r="M43" s="105">
        <f t="shared" si="52"/>
        <v>-0.38709677419354838</v>
      </c>
      <c r="N43" s="103">
        <f t="shared" si="53"/>
        <v>-0.36666666666666664</v>
      </c>
      <c r="O43" s="103">
        <f t="shared" si="54"/>
        <v>-0.41958249391291452</v>
      </c>
      <c r="P43" s="106">
        <f t="shared" si="32"/>
        <v>1</v>
      </c>
      <c r="Q43" s="107">
        <f t="shared" si="33"/>
        <v>24.716315789473686</v>
      </c>
      <c r="R43" s="140">
        <f t="shared" si="34"/>
        <v>24.716315789473686</v>
      </c>
      <c r="S43" s="108">
        <f t="shared" si="35"/>
        <v>2.7142857142857144</v>
      </c>
      <c r="T43" s="146">
        <f t="shared" si="36"/>
        <v>4</v>
      </c>
      <c r="U43" s="110">
        <f t="shared" si="37"/>
        <v>0.21052631578947367</v>
      </c>
      <c r="V43" s="71">
        <f t="shared" si="38"/>
        <v>0.49388582514113827</v>
      </c>
      <c r="W43" s="68">
        <v>35381</v>
      </c>
      <c r="X43" s="68">
        <v>239</v>
      </c>
      <c r="Y43" s="68">
        <v>15</v>
      </c>
      <c r="Z43" s="41">
        <v>226.58</v>
      </c>
      <c r="AA43" s="69">
        <v>355.55</v>
      </c>
      <c r="AB43" s="68">
        <v>0.95</v>
      </c>
      <c r="AC43" s="48">
        <f t="shared" si="39"/>
        <v>0.63726620728448879</v>
      </c>
      <c r="AD43" s="49">
        <f t="shared" si="40"/>
        <v>6.7550380147536815E-3</v>
      </c>
      <c r="AE43" s="112">
        <f t="shared" si="41"/>
        <v>6.2761506276150625E-2</v>
      </c>
      <c r="AF43" s="107">
        <f t="shared" si="42"/>
        <v>15.105333333333334</v>
      </c>
      <c r="AG43" s="113">
        <v>7</v>
      </c>
      <c r="AH43" s="115">
        <v>12</v>
      </c>
      <c r="AI43" s="116">
        <f>AG43*产品成本!$D$15+AH43*产品成本!$D$16</f>
        <v>93.802816901408491</v>
      </c>
      <c r="AJ43" s="116">
        <f>AG43*产品成本!$E$15+AH43*产品成本!$E$16</f>
        <v>5.52</v>
      </c>
      <c r="AK43" s="116">
        <f>AG43*产品成本!$F$15+AH43*产品成本!$F$16</f>
        <v>6.4600000000000009</v>
      </c>
      <c r="AL43" s="116">
        <f>AG43*产品成本!$G$15+AH43*产品成本!$G$16</f>
        <v>74.099999999999994</v>
      </c>
      <c r="AM43" s="116">
        <f t="shared" si="43"/>
        <v>68.8155</v>
      </c>
      <c r="AN43" s="117">
        <f t="shared" si="44"/>
        <v>248.69831690140848</v>
      </c>
      <c r="AO43" s="118">
        <v>0</v>
      </c>
      <c r="AP43" s="119">
        <v>5</v>
      </c>
      <c r="AQ43" s="120">
        <f t="shared" si="45"/>
        <v>146.42682926829269</v>
      </c>
      <c r="AR43" s="116">
        <f>AO43*产品成本!$D$15+AP43*产品成本!$D$16</f>
        <v>26.760563380281699</v>
      </c>
      <c r="AS43" s="116">
        <f>AO43*产品成本!$E$15+AP43*产品成本!$E$16</f>
        <v>1.6</v>
      </c>
      <c r="AT43" s="116">
        <f>AO43*产品成本!$F$15+AP43*产品成本!$F$16</f>
        <v>1.7000000000000002</v>
      </c>
      <c r="AU43" s="116"/>
      <c r="AV43" s="116">
        <f t="shared" si="46"/>
        <v>21.964024390243903</v>
      </c>
      <c r="AW43" s="116">
        <f t="shared" si="47"/>
        <v>-4.3928048780487812</v>
      </c>
      <c r="AX43" s="117">
        <f t="shared" si="48"/>
        <v>47.631782892476821</v>
      </c>
      <c r="AY43" s="122">
        <f t="shared" si="55"/>
        <v>201.06653400893165</v>
      </c>
      <c r="AZ43" s="122">
        <f t="shared" si="49"/>
        <v>458.77000000000004</v>
      </c>
      <c r="BA43" s="122">
        <f t="shared" si="50"/>
        <v>312.34317073170735</v>
      </c>
      <c r="BB43" s="121">
        <f t="shared" si="51"/>
        <v>-115.30336327722432</v>
      </c>
      <c r="BC43" s="123">
        <f t="shared" si="56"/>
        <v>-0.36915602478872883</v>
      </c>
    </row>
    <row r="44" spans="1:56" ht="29.1" customHeight="1" x14ac:dyDescent="0.15">
      <c r="A44" s="38" t="s">
        <v>202</v>
      </c>
      <c r="B44" s="38" t="s">
        <v>203</v>
      </c>
      <c r="C44" s="67">
        <v>23</v>
      </c>
      <c r="D44" s="68">
        <v>23</v>
      </c>
      <c r="E44" s="41">
        <v>603.27</v>
      </c>
      <c r="F44" s="101">
        <v>3</v>
      </c>
      <c r="G44" s="101">
        <v>3</v>
      </c>
      <c r="H44" s="41">
        <v>70.17</v>
      </c>
      <c r="I44" s="41">
        <v>7.02</v>
      </c>
      <c r="J44" s="102">
        <v>1</v>
      </c>
      <c r="K44" s="103">
        <f t="shared" si="31"/>
        <v>4.3478260869565216E-2</v>
      </c>
      <c r="L44" s="104">
        <v>22.43</v>
      </c>
      <c r="M44" s="105">
        <f t="shared" si="52"/>
        <v>0.21052631578947367</v>
      </c>
      <c r="N44" s="103">
        <f t="shared" si="53"/>
        <v>0.21052631578947367</v>
      </c>
      <c r="O44" s="103">
        <f t="shared" si="54"/>
        <v>0.28461915206234956</v>
      </c>
      <c r="P44" s="106">
        <f t="shared" si="32"/>
        <v>1</v>
      </c>
      <c r="Q44" s="107">
        <f t="shared" si="33"/>
        <v>26.229130434782608</v>
      </c>
      <c r="R44" s="140">
        <f t="shared" si="34"/>
        <v>26.229130434782608</v>
      </c>
      <c r="S44" s="108">
        <f t="shared" si="35"/>
        <v>3.2857142857142856</v>
      </c>
      <c r="T44" s="146">
        <f t="shared" si="36"/>
        <v>6</v>
      </c>
      <c r="U44" s="110">
        <f t="shared" si="37"/>
        <v>0.2608695652173913</v>
      </c>
      <c r="V44" s="71">
        <f t="shared" si="38"/>
        <v>0.36414255765199161</v>
      </c>
      <c r="W44" s="68">
        <v>54050</v>
      </c>
      <c r="X44" s="68">
        <v>229</v>
      </c>
      <c r="Y44" s="68">
        <v>17</v>
      </c>
      <c r="Z44" s="41">
        <v>217.12</v>
      </c>
      <c r="AA44" s="69">
        <v>435.83</v>
      </c>
      <c r="AB44" s="68">
        <v>0.95</v>
      </c>
      <c r="AC44" s="48">
        <f t="shared" si="39"/>
        <v>0.49817589427070191</v>
      </c>
      <c r="AD44" s="49">
        <f t="shared" si="40"/>
        <v>4.2368177613321002E-3</v>
      </c>
      <c r="AE44" s="112">
        <f t="shared" si="41"/>
        <v>7.4235807860262015E-2</v>
      </c>
      <c r="AF44" s="107">
        <f t="shared" si="42"/>
        <v>12.771764705882353</v>
      </c>
      <c r="AG44" s="113">
        <v>11</v>
      </c>
      <c r="AH44" s="115">
        <v>12</v>
      </c>
      <c r="AI44" s="116">
        <f>AG44*产品成本!$D$15+AH44*产品成本!$D$16</f>
        <v>110.70422535211273</v>
      </c>
      <c r="AJ44" s="116">
        <f>AG44*产品成本!$E$15+AH44*产品成本!$E$16</f>
        <v>6.4799999999999995</v>
      </c>
      <c r="AK44" s="116">
        <f>AG44*产品成本!$F$15+AH44*产品成本!$F$16</f>
        <v>7.82</v>
      </c>
      <c r="AL44" s="116">
        <f>AG44*产品成本!$G$15+AH44*产品成本!$G$16</f>
        <v>89.699999999999989</v>
      </c>
      <c r="AM44" s="116">
        <f t="shared" si="43"/>
        <v>89.4375</v>
      </c>
      <c r="AN44" s="117">
        <f t="shared" si="44"/>
        <v>304.14172535211276</v>
      </c>
      <c r="AO44" s="118">
        <v>0</v>
      </c>
      <c r="AP44" s="119">
        <v>1</v>
      </c>
      <c r="AQ44" s="120">
        <f t="shared" si="45"/>
        <v>27.353658536585368</v>
      </c>
      <c r="AR44" s="116">
        <f>AO44*产品成本!$D$15+AP44*产品成本!$D$16</f>
        <v>5.3521126760563398</v>
      </c>
      <c r="AS44" s="116">
        <f>AO44*产品成本!$E$15+AP44*产品成本!$E$16</f>
        <v>0.32</v>
      </c>
      <c r="AT44" s="116">
        <f>AO44*产品成本!$F$15+AP44*产品成本!$F$16</f>
        <v>0.34</v>
      </c>
      <c r="AU44" s="116"/>
      <c r="AV44" s="116">
        <f t="shared" si="46"/>
        <v>4.1030487804878053</v>
      </c>
      <c r="AW44" s="116">
        <f t="shared" si="47"/>
        <v>-0.82060975609756115</v>
      </c>
      <c r="AX44" s="117">
        <f t="shared" si="48"/>
        <v>9.2945517004465845</v>
      </c>
      <c r="AY44" s="122">
        <f t="shared" si="55"/>
        <v>294.8471736516662</v>
      </c>
      <c r="AZ44" s="122">
        <f t="shared" si="49"/>
        <v>596.25</v>
      </c>
      <c r="BA44" s="122">
        <f t="shared" si="50"/>
        <v>568.89634146341461</v>
      </c>
      <c r="BB44" s="121">
        <f t="shared" si="51"/>
        <v>56.929167811748414</v>
      </c>
      <c r="BC44" s="123">
        <f t="shared" si="56"/>
        <v>0.10006949186086389</v>
      </c>
    </row>
    <row r="45" spans="1:56" ht="29.1" customHeight="1" x14ac:dyDescent="0.15">
      <c r="A45" s="38" t="s">
        <v>205</v>
      </c>
      <c r="B45" s="38" t="s">
        <v>206</v>
      </c>
      <c r="C45" s="67">
        <v>26</v>
      </c>
      <c r="D45" s="68">
        <v>26</v>
      </c>
      <c r="E45" s="41">
        <v>699.56</v>
      </c>
      <c r="F45" s="101">
        <v>3</v>
      </c>
      <c r="G45" s="101">
        <v>3</v>
      </c>
      <c r="H45" s="41">
        <v>78.67</v>
      </c>
      <c r="I45" s="41">
        <v>10.52</v>
      </c>
      <c r="J45" s="102">
        <v>0</v>
      </c>
      <c r="K45" s="103">
        <f t="shared" si="31"/>
        <v>0</v>
      </c>
      <c r="L45" s="104">
        <v>0</v>
      </c>
      <c r="M45" s="105">
        <f t="shared" si="52"/>
        <v>0.13043478260869565</v>
      </c>
      <c r="N45" s="103">
        <f t="shared" si="53"/>
        <v>0.13043478260869565</v>
      </c>
      <c r="O45" s="103">
        <f t="shared" si="54"/>
        <v>0.15961344008487074</v>
      </c>
      <c r="P45" s="106">
        <f t="shared" si="32"/>
        <v>1</v>
      </c>
      <c r="Q45" s="107">
        <f t="shared" si="33"/>
        <v>26.906153846153845</v>
      </c>
      <c r="R45" s="140">
        <f t="shared" si="34"/>
        <v>26.906153846153845</v>
      </c>
      <c r="S45" s="108">
        <f t="shared" si="35"/>
        <v>3.7142857142857144</v>
      </c>
      <c r="T45" s="146">
        <f t="shared" si="36"/>
        <v>10</v>
      </c>
      <c r="U45" s="110">
        <f t="shared" si="37"/>
        <v>0.38461538461538464</v>
      </c>
      <c r="V45" s="71">
        <f t="shared" si="38"/>
        <v>0.37446302101474516</v>
      </c>
      <c r="W45" s="68">
        <v>52390</v>
      </c>
      <c r="X45" s="68">
        <v>271</v>
      </c>
      <c r="Y45" s="68">
        <v>16</v>
      </c>
      <c r="Z45" s="41">
        <v>258.02</v>
      </c>
      <c r="AA45" s="69">
        <v>422.2</v>
      </c>
      <c r="AB45" s="68">
        <v>0.95</v>
      </c>
      <c r="AC45" s="48">
        <f t="shared" si="39"/>
        <v>0.61113216485078159</v>
      </c>
      <c r="AD45" s="49">
        <f t="shared" si="40"/>
        <v>5.1727428898644782E-3</v>
      </c>
      <c r="AE45" s="112">
        <f t="shared" si="41"/>
        <v>5.9040590405904057E-2</v>
      </c>
      <c r="AF45" s="107">
        <f t="shared" si="42"/>
        <v>16.126249999999999</v>
      </c>
      <c r="AG45" s="113">
        <v>4</v>
      </c>
      <c r="AH45" s="115">
        <v>22</v>
      </c>
      <c r="AI45" s="116">
        <f>AG45*产品成本!$D$15+AH45*产品成本!$D$16</f>
        <v>134.64788732394373</v>
      </c>
      <c r="AJ45" s="116">
        <f>AG45*产品成本!$E$15+AH45*产品成本!$E$16</f>
        <v>8</v>
      </c>
      <c r="AK45" s="116">
        <f>AG45*产品成本!$F$15+AH45*产品成本!$F$16</f>
        <v>8.84</v>
      </c>
      <c r="AL45" s="116">
        <f>AG45*产品成本!$G$15+AH45*产品成本!$G$16</f>
        <v>101.39999999999999</v>
      </c>
      <c r="AM45" s="116">
        <f t="shared" si="43"/>
        <v>103.35599999999999</v>
      </c>
      <c r="AN45" s="117">
        <f t="shared" si="44"/>
        <v>356.24388732394374</v>
      </c>
      <c r="AO45" s="118">
        <v>0</v>
      </c>
      <c r="AP45" s="119">
        <v>0</v>
      </c>
      <c r="AQ45" s="120">
        <f t="shared" si="45"/>
        <v>0</v>
      </c>
      <c r="AR45" s="116">
        <f>AO45*产品成本!$D$15+AP45*产品成本!$D$16</f>
        <v>0</v>
      </c>
      <c r="AS45" s="116">
        <f>AO45*产品成本!$E$15+AP45*产品成本!$E$16</f>
        <v>0</v>
      </c>
      <c r="AT45" s="116">
        <f>AO45*产品成本!$F$15+AP45*产品成本!$F$16</f>
        <v>0</v>
      </c>
      <c r="AU45" s="116"/>
      <c r="AV45" s="116">
        <f t="shared" si="46"/>
        <v>0</v>
      </c>
      <c r="AW45" s="116">
        <f t="shared" si="47"/>
        <v>0</v>
      </c>
      <c r="AX45" s="117">
        <f t="shared" si="48"/>
        <v>0</v>
      </c>
      <c r="AY45" s="122">
        <f t="shared" si="55"/>
        <v>356.24388732394374</v>
      </c>
      <c r="AZ45" s="122">
        <f t="shared" si="49"/>
        <v>689.04</v>
      </c>
      <c r="BA45" s="122">
        <f t="shared" si="50"/>
        <v>689.04</v>
      </c>
      <c r="BB45" s="121">
        <f t="shared" si="51"/>
        <v>74.776112676056243</v>
      </c>
      <c r="BC45" s="123">
        <f t="shared" si="56"/>
        <v>0.10852216515159678</v>
      </c>
    </row>
    <row r="46" spans="1:56" ht="29.1" customHeight="1" x14ac:dyDescent="0.15">
      <c r="A46" s="38" t="s">
        <v>208</v>
      </c>
      <c r="B46" s="38" t="s">
        <v>209</v>
      </c>
      <c r="C46" s="67">
        <v>22</v>
      </c>
      <c r="D46" s="68">
        <v>22</v>
      </c>
      <c r="E46" s="41">
        <v>498.04</v>
      </c>
      <c r="F46" s="101">
        <v>2</v>
      </c>
      <c r="G46" s="101">
        <v>2</v>
      </c>
      <c r="H46" s="41">
        <v>49.02</v>
      </c>
      <c r="I46" s="41">
        <v>6.17</v>
      </c>
      <c r="J46" s="102">
        <v>2</v>
      </c>
      <c r="K46" s="103">
        <f t="shared" si="31"/>
        <v>9.0909090909090912E-2</v>
      </c>
      <c r="L46" s="104">
        <v>37.020000000000003</v>
      </c>
      <c r="M46" s="105">
        <f t="shared" si="52"/>
        <v>-0.15384615384615385</v>
      </c>
      <c r="N46" s="103">
        <f t="shared" si="53"/>
        <v>-0.15384615384615385</v>
      </c>
      <c r="O46" s="103">
        <f t="shared" si="54"/>
        <v>-0.28806678483618264</v>
      </c>
      <c r="P46" s="106">
        <f t="shared" si="32"/>
        <v>1</v>
      </c>
      <c r="Q46" s="107">
        <f t="shared" si="33"/>
        <v>22.63818181818182</v>
      </c>
      <c r="R46" s="140">
        <f t="shared" si="34"/>
        <v>22.63818181818182</v>
      </c>
      <c r="S46" s="108">
        <f t="shared" si="35"/>
        <v>3.1428571428571428</v>
      </c>
      <c r="T46" s="146">
        <f t="shared" si="36"/>
        <v>6</v>
      </c>
      <c r="U46" s="110">
        <f t="shared" si="37"/>
        <v>0.27272727272727271</v>
      </c>
      <c r="V46" s="71">
        <f t="shared" si="38"/>
        <v>0.45505926362656801</v>
      </c>
      <c r="W46" s="68">
        <v>50661</v>
      </c>
      <c r="X46" s="68">
        <v>233</v>
      </c>
      <c r="Y46" s="68">
        <v>16</v>
      </c>
      <c r="Z46" s="41">
        <v>223.83</v>
      </c>
      <c r="AA46" s="69">
        <v>383.9</v>
      </c>
      <c r="AB46" s="68">
        <v>0.96</v>
      </c>
      <c r="AC46" s="48">
        <f t="shared" si="39"/>
        <v>0.58304245897369111</v>
      </c>
      <c r="AD46" s="49">
        <f t="shared" si="40"/>
        <v>4.5991985945796569E-3</v>
      </c>
      <c r="AE46" s="112">
        <f t="shared" si="41"/>
        <v>6.8669527896995708E-2</v>
      </c>
      <c r="AF46" s="107">
        <f t="shared" si="42"/>
        <v>13.989375000000001</v>
      </c>
      <c r="AG46" s="113">
        <v>6</v>
      </c>
      <c r="AH46" s="115">
        <v>16</v>
      </c>
      <c r="AI46" s="116">
        <f>AG46*产品成本!$D$15+AH46*产品成本!$D$16</f>
        <v>110.98591549295779</v>
      </c>
      <c r="AJ46" s="116">
        <f>AG46*产品成本!$E$15+AH46*产品成本!$E$16</f>
        <v>6.5600000000000005</v>
      </c>
      <c r="AK46" s="116">
        <f>AG46*产品成本!$F$15+AH46*产品成本!$F$16</f>
        <v>7.48</v>
      </c>
      <c r="AL46" s="116">
        <f>AG46*产品成本!$G$15+AH46*产品成本!$G$16</f>
        <v>85.8</v>
      </c>
      <c r="AM46" s="116">
        <f t="shared" si="43"/>
        <v>73.780500000000004</v>
      </c>
      <c r="AN46" s="117">
        <f t="shared" si="44"/>
        <v>284.60641549295781</v>
      </c>
      <c r="AO46" s="118">
        <v>1</v>
      </c>
      <c r="AP46" s="119">
        <v>1</v>
      </c>
      <c r="AQ46" s="120">
        <f t="shared" si="45"/>
        <v>45.146341463414643</v>
      </c>
      <c r="AR46" s="116">
        <f>AO46*产品成本!$D$15+AP46*产品成本!$D$16</f>
        <v>9.5774647887323994</v>
      </c>
      <c r="AS46" s="116">
        <f>AO46*产品成本!$E$15+AP46*产品成本!$E$16</f>
        <v>0.56000000000000005</v>
      </c>
      <c r="AT46" s="116">
        <f>AO46*产品成本!$F$15+AP46*产品成本!$F$16</f>
        <v>0.68</v>
      </c>
      <c r="AU46" s="116"/>
      <c r="AV46" s="116">
        <f t="shared" si="46"/>
        <v>6.7719512195121965</v>
      </c>
      <c r="AW46" s="116">
        <f t="shared" si="47"/>
        <v>-1.3543902439024393</v>
      </c>
      <c r="AX46" s="117">
        <f t="shared" si="48"/>
        <v>16.235025764342158</v>
      </c>
      <c r="AY46" s="122">
        <f t="shared" si="55"/>
        <v>268.37138972861567</v>
      </c>
      <c r="AZ46" s="122">
        <f t="shared" si="49"/>
        <v>491.87</v>
      </c>
      <c r="BA46" s="122">
        <f t="shared" si="50"/>
        <v>446.72365853658533</v>
      </c>
      <c r="BB46" s="121">
        <f t="shared" si="51"/>
        <v>-45.477731192030348</v>
      </c>
      <c r="BC46" s="123">
        <f t="shared" si="56"/>
        <v>-0.10180282669829957</v>
      </c>
    </row>
    <row r="47" spans="1:56" ht="29.1" customHeight="1" x14ac:dyDescent="0.15">
      <c r="A47" s="38" t="s">
        <v>210</v>
      </c>
      <c r="B47" s="38" t="s">
        <v>211</v>
      </c>
      <c r="C47" s="67">
        <v>31</v>
      </c>
      <c r="D47" s="68">
        <v>31</v>
      </c>
      <c r="E47" s="41">
        <v>657.27</v>
      </c>
      <c r="F47" s="101">
        <v>4</v>
      </c>
      <c r="G47" s="101">
        <v>4</v>
      </c>
      <c r="H47" s="41">
        <v>86.5</v>
      </c>
      <c r="I47" s="41">
        <v>11.7</v>
      </c>
      <c r="J47" s="102">
        <v>3</v>
      </c>
      <c r="K47" s="103">
        <f t="shared" si="31"/>
        <v>9.6774193548387094E-2</v>
      </c>
      <c r="L47" s="104">
        <v>61.65</v>
      </c>
      <c r="M47" s="105">
        <f t="shared" si="52"/>
        <v>0.40909090909090912</v>
      </c>
      <c r="N47" s="103">
        <f t="shared" si="53"/>
        <v>0.40909090909090912</v>
      </c>
      <c r="O47" s="103">
        <f t="shared" si="54"/>
        <v>0.31971327604208488</v>
      </c>
      <c r="P47" s="106">
        <f t="shared" si="32"/>
        <v>1</v>
      </c>
      <c r="Q47" s="107">
        <f t="shared" si="33"/>
        <v>21.20225806451613</v>
      </c>
      <c r="R47" s="140">
        <f t="shared" si="34"/>
        <v>21.20225806451613</v>
      </c>
      <c r="S47" s="108">
        <f t="shared" si="35"/>
        <v>4.4285714285714288</v>
      </c>
      <c r="T47" s="146">
        <f t="shared" si="36"/>
        <v>10</v>
      </c>
      <c r="U47" s="110">
        <f t="shared" si="37"/>
        <v>0.32258064516129031</v>
      </c>
      <c r="V47" s="71">
        <f t="shared" si="38"/>
        <v>0.36446860913611229</v>
      </c>
      <c r="W47" s="68">
        <v>50492</v>
      </c>
      <c r="X47" s="68">
        <v>241</v>
      </c>
      <c r="Y47" s="68">
        <v>21</v>
      </c>
      <c r="Z47" s="41">
        <v>235.29</v>
      </c>
      <c r="AA47" s="69">
        <v>429.04</v>
      </c>
      <c r="AB47" s="68">
        <v>0.98</v>
      </c>
      <c r="AC47" s="48">
        <f t="shared" si="39"/>
        <v>0.54841040462427737</v>
      </c>
      <c r="AD47" s="49">
        <f t="shared" si="40"/>
        <v>4.7730333518181097E-3</v>
      </c>
      <c r="AE47" s="112">
        <f t="shared" si="41"/>
        <v>8.7136929460580909E-2</v>
      </c>
      <c r="AF47" s="107">
        <f t="shared" si="42"/>
        <v>11.204285714285714</v>
      </c>
      <c r="AG47" s="113">
        <v>4</v>
      </c>
      <c r="AH47" s="115">
        <v>27</v>
      </c>
      <c r="AI47" s="116">
        <f>AG47*产品成本!$D$15+AH47*产品成本!$D$16</f>
        <v>161.4084507042254</v>
      </c>
      <c r="AJ47" s="116">
        <f>AG47*产品成本!$E$15+AH47*产品成本!$E$16</f>
        <v>9.6000000000000014</v>
      </c>
      <c r="AK47" s="116">
        <f>AG47*产品成本!$F$15+AH47*产品成本!$F$16</f>
        <v>10.540000000000001</v>
      </c>
      <c r="AL47" s="116">
        <f>AG47*产品成本!$G$15+AH47*产品成本!$G$16</f>
        <v>120.89999999999999</v>
      </c>
      <c r="AM47" s="116">
        <f t="shared" si="43"/>
        <v>96.835499999999982</v>
      </c>
      <c r="AN47" s="117">
        <f t="shared" si="44"/>
        <v>399.28395070422533</v>
      </c>
      <c r="AO47" s="147">
        <v>2</v>
      </c>
      <c r="AP47" s="119">
        <v>1</v>
      </c>
      <c r="AQ47" s="120">
        <f t="shared" si="45"/>
        <v>75.182926829268297</v>
      </c>
      <c r="AR47" s="116">
        <f>AO47*产品成本!$D$15+AP47*产品成本!$D$16</f>
        <v>13.802816901408459</v>
      </c>
      <c r="AS47" s="116">
        <f>AO47*产品成本!$E$15+AP47*产品成本!$E$16</f>
        <v>0.8</v>
      </c>
      <c r="AT47" s="116">
        <f>AO47*产品成本!$F$15+AP47*产品成本!$F$16</f>
        <v>1.02</v>
      </c>
      <c r="AU47" s="116"/>
      <c r="AV47" s="116">
        <f t="shared" si="46"/>
        <v>11.277439024390244</v>
      </c>
      <c r="AW47" s="116">
        <f t="shared" si="47"/>
        <v>-2.2554878048780487</v>
      </c>
      <c r="AX47" s="117">
        <f t="shared" si="48"/>
        <v>24.644768120920656</v>
      </c>
      <c r="AY47" s="122">
        <f t="shared" si="55"/>
        <v>374.63918258330466</v>
      </c>
      <c r="AZ47" s="122">
        <f t="shared" si="49"/>
        <v>645.56999999999994</v>
      </c>
      <c r="BA47" s="122">
        <f t="shared" si="50"/>
        <v>570.38707317073158</v>
      </c>
      <c r="BB47" s="121">
        <f t="shared" si="51"/>
        <v>-39.542109412573069</v>
      </c>
      <c r="BC47" s="123">
        <f t="shared" si="56"/>
        <v>-6.9325044820461937E-2</v>
      </c>
      <c r="BD47" t="s">
        <v>287</v>
      </c>
    </row>
    <row r="48" spans="1:56" ht="29.1" customHeight="1" x14ac:dyDescent="0.15">
      <c r="A48" s="38" t="s">
        <v>213</v>
      </c>
      <c r="B48" s="38" t="s">
        <v>214</v>
      </c>
      <c r="C48" s="67">
        <v>42</v>
      </c>
      <c r="D48" s="68">
        <v>42</v>
      </c>
      <c r="E48" s="41">
        <v>830.58</v>
      </c>
      <c r="F48" s="101">
        <v>6</v>
      </c>
      <c r="G48" s="101">
        <v>6</v>
      </c>
      <c r="H48" s="41">
        <v>115.44</v>
      </c>
      <c r="I48" s="41">
        <v>9.65</v>
      </c>
      <c r="J48" s="102">
        <v>3</v>
      </c>
      <c r="K48" s="103">
        <f t="shared" si="31"/>
        <v>7.1428571428571425E-2</v>
      </c>
      <c r="L48" s="104">
        <v>51.73</v>
      </c>
      <c r="M48" s="105">
        <f t="shared" si="52"/>
        <v>0.35483870967741937</v>
      </c>
      <c r="N48" s="103">
        <f t="shared" si="53"/>
        <v>0.35483870967741937</v>
      </c>
      <c r="O48" s="103">
        <f t="shared" si="54"/>
        <v>0.26368159203980107</v>
      </c>
      <c r="P48" s="106">
        <f t="shared" si="32"/>
        <v>1</v>
      </c>
      <c r="Q48" s="107">
        <f t="shared" si="33"/>
        <v>19.775714285714287</v>
      </c>
      <c r="R48" s="140">
        <f t="shared" si="34"/>
        <v>19.775714285714287</v>
      </c>
      <c r="S48" s="108">
        <f t="shared" si="35"/>
        <v>6</v>
      </c>
      <c r="T48" s="146">
        <f t="shared" si="36"/>
        <v>9</v>
      </c>
      <c r="U48" s="110">
        <f t="shared" si="37"/>
        <v>0.21428571428571427</v>
      </c>
      <c r="V48" s="71">
        <f t="shared" si="38"/>
        <v>0.27233747091713056</v>
      </c>
      <c r="W48" s="68">
        <v>35167</v>
      </c>
      <c r="X48" s="68">
        <v>231</v>
      </c>
      <c r="Y48" s="68">
        <v>33</v>
      </c>
      <c r="Z48" s="41">
        <v>223.57</v>
      </c>
      <c r="AA48" s="69">
        <v>636.94000000000005</v>
      </c>
      <c r="AB48" s="68">
        <v>0.97</v>
      </c>
      <c r="AC48" s="48">
        <f t="shared" si="39"/>
        <v>0.35100637422677172</v>
      </c>
      <c r="AD48" s="49">
        <f t="shared" si="40"/>
        <v>6.5686581169846735E-3</v>
      </c>
      <c r="AE48" s="112">
        <f t="shared" si="41"/>
        <v>0.14285714285714285</v>
      </c>
      <c r="AF48" s="107">
        <f t="shared" si="42"/>
        <v>6.7748484848484845</v>
      </c>
      <c r="AG48" s="113">
        <v>7</v>
      </c>
      <c r="AH48" s="115">
        <v>35</v>
      </c>
      <c r="AI48" s="116">
        <f>AG48*产品成本!$D$15+AH48*产品成本!$D$16</f>
        <v>216.90140845070431</v>
      </c>
      <c r="AJ48" s="116">
        <f>AG48*产品成本!$E$15+AH48*产品成本!$E$16</f>
        <v>12.88</v>
      </c>
      <c r="AK48" s="116">
        <f>AG48*产品成本!$F$15+AH48*产品成本!$F$16</f>
        <v>14.280000000000001</v>
      </c>
      <c r="AL48" s="116">
        <f>AG48*产品成本!$G$15+AH48*产品成本!$G$16</f>
        <v>163.80000000000001</v>
      </c>
      <c r="AM48" s="116">
        <f t="shared" si="43"/>
        <v>123.1395</v>
      </c>
      <c r="AN48" s="117">
        <f t="shared" si="44"/>
        <v>531.00090845070429</v>
      </c>
      <c r="AO48" s="147">
        <v>1</v>
      </c>
      <c r="AP48" s="119">
        <v>2</v>
      </c>
      <c r="AQ48" s="120">
        <f t="shared" si="45"/>
        <v>63.085365853658537</v>
      </c>
      <c r="AR48" s="116">
        <f>AO48*产品成本!$D$15+AP48*产品成本!$D$16</f>
        <v>14.929577464788739</v>
      </c>
      <c r="AS48" s="116">
        <f>AO48*产品成本!$E$15+AP48*产品成本!$E$16</f>
        <v>0.88</v>
      </c>
      <c r="AT48" s="116">
        <f>AO48*产品成本!$F$15+AP48*产品成本!$F$16</f>
        <v>1.02</v>
      </c>
      <c r="AU48" s="116"/>
      <c r="AV48" s="116">
        <f t="shared" si="46"/>
        <v>9.4628048780487806</v>
      </c>
      <c r="AW48" s="116">
        <f t="shared" si="47"/>
        <v>-1.8925609756097561</v>
      </c>
      <c r="AX48" s="117">
        <f t="shared" si="48"/>
        <v>24.399821367227766</v>
      </c>
      <c r="AY48" s="122">
        <f t="shared" si="55"/>
        <v>506.6010870834765</v>
      </c>
      <c r="AZ48" s="122">
        <f t="shared" si="49"/>
        <v>820.93000000000006</v>
      </c>
      <c r="BA48" s="122">
        <f t="shared" si="50"/>
        <v>757.84463414634149</v>
      </c>
      <c r="BB48" s="121">
        <f t="shared" si="51"/>
        <v>27.673547062864998</v>
      </c>
      <c r="BC48" s="123">
        <f t="shared" si="56"/>
        <v>3.6516121927863611E-2</v>
      </c>
      <c r="BD48" t="s">
        <v>215</v>
      </c>
    </row>
    <row r="49" spans="1:57" ht="29.1" customHeight="1" x14ac:dyDescent="0.15">
      <c r="A49" s="38" t="s">
        <v>216</v>
      </c>
      <c r="B49" s="38" t="s">
        <v>217</v>
      </c>
      <c r="C49" s="67">
        <v>24</v>
      </c>
      <c r="D49" s="68">
        <v>24</v>
      </c>
      <c r="E49" s="41">
        <v>631.16</v>
      </c>
      <c r="F49" s="101">
        <v>2</v>
      </c>
      <c r="G49" s="101">
        <v>2</v>
      </c>
      <c r="H49" s="41">
        <v>47.18</v>
      </c>
      <c r="I49" s="41">
        <v>4.07</v>
      </c>
      <c r="J49" s="102">
        <v>1</v>
      </c>
      <c r="K49" s="103">
        <f t="shared" si="31"/>
        <v>4.1666666666666664E-2</v>
      </c>
      <c r="L49" s="104">
        <v>15.44</v>
      </c>
      <c r="M49" s="105">
        <f t="shared" si="52"/>
        <v>-0.42857142857142855</v>
      </c>
      <c r="N49" s="103">
        <f t="shared" si="53"/>
        <v>-0.42857142857142855</v>
      </c>
      <c r="O49" s="103">
        <f t="shared" si="54"/>
        <v>-0.24009728141780451</v>
      </c>
      <c r="P49" s="106">
        <f t="shared" si="32"/>
        <v>1</v>
      </c>
      <c r="Q49" s="107">
        <f t="shared" si="33"/>
        <v>26.298333333333332</v>
      </c>
      <c r="R49" s="140">
        <f t="shared" si="34"/>
        <v>26.298333333333332</v>
      </c>
      <c r="S49" s="108">
        <f t="shared" si="35"/>
        <v>3.4285714285714284</v>
      </c>
      <c r="T49" s="146">
        <f t="shared" si="36"/>
        <v>-1</v>
      </c>
      <c r="U49" s="110">
        <f t="shared" si="37"/>
        <v>-4.1666666666666664E-2</v>
      </c>
      <c r="V49" s="71">
        <f t="shared" si="38"/>
        <v>0.39169816134845081</v>
      </c>
      <c r="W49" s="68">
        <v>42936</v>
      </c>
      <c r="X49" s="68">
        <v>257</v>
      </c>
      <c r="Y49" s="68">
        <v>25</v>
      </c>
      <c r="Z49" s="41">
        <v>245.63</v>
      </c>
      <c r="AA49" s="69">
        <v>635.57000000000005</v>
      </c>
      <c r="AB49" s="68">
        <v>0.96</v>
      </c>
      <c r="AC49" s="48">
        <f t="shared" si="39"/>
        <v>0.38647198577654701</v>
      </c>
      <c r="AD49" s="49">
        <f t="shared" si="40"/>
        <v>5.9856530650270173E-3</v>
      </c>
      <c r="AE49" s="112">
        <f t="shared" si="41"/>
        <v>9.727626459143969E-2</v>
      </c>
      <c r="AF49" s="107">
        <f t="shared" si="42"/>
        <v>9.8252000000000006</v>
      </c>
      <c r="AG49" s="113">
        <v>2</v>
      </c>
      <c r="AH49" s="115">
        <v>22</v>
      </c>
      <c r="AI49" s="116">
        <f>AG49*产品成本!$D$15+AH49*产品成本!$D$16</f>
        <v>126.19718309859161</v>
      </c>
      <c r="AJ49" s="116">
        <f>AG49*产品成本!$E$15+AH49*产品成本!$E$16</f>
        <v>7.52</v>
      </c>
      <c r="AK49" s="116">
        <f>AG49*产品成本!$F$15+AH49*产品成本!$F$16</f>
        <v>8.16</v>
      </c>
      <c r="AL49" s="116">
        <f>AG49*产品成本!$G$15+AH49*产品成本!$G$16</f>
        <v>93.6</v>
      </c>
      <c r="AM49" s="116">
        <f t="shared" si="43"/>
        <v>94.063499999999991</v>
      </c>
      <c r="AN49" s="117">
        <f t="shared" si="44"/>
        <v>329.54068309859161</v>
      </c>
      <c r="AO49" s="147">
        <v>0</v>
      </c>
      <c r="AP49" s="119">
        <v>1</v>
      </c>
      <c r="AQ49" s="120">
        <f t="shared" si="45"/>
        <v>18.829268292682926</v>
      </c>
      <c r="AR49" s="116">
        <f>AO49*产品成本!$D$15+AP49*产品成本!$D$16</f>
        <v>5.3521126760563398</v>
      </c>
      <c r="AS49" s="116">
        <f>AO49*产品成本!$E$15+AP49*产品成本!$E$16</f>
        <v>0.32</v>
      </c>
      <c r="AT49" s="116">
        <f>AO49*产品成本!$F$15+AP49*产品成本!$F$16</f>
        <v>0.34</v>
      </c>
      <c r="AU49" s="116"/>
      <c r="AV49" s="116">
        <f t="shared" si="46"/>
        <v>2.8243902439024389</v>
      </c>
      <c r="AW49" s="116">
        <f t="shared" si="47"/>
        <v>-0.56487804878048775</v>
      </c>
      <c r="AX49" s="117">
        <f t="shared" si="48"/>
        <v>8.2716248711782914</v>
      </c>
      <c r="AY49" s="122">
        <f t="shared" si="55"/>
        <v>321.26905822741332</v>
      </c>
      <c r="AZ49" s="122">
        <f t="shared" si="49"/>
        <v>627.08999999999992</v>
      </c>
      <c r="BA49" s="122">
        <f t="shared" si="50"/>
        <v>608.26073170731695</v>
      </c>
      <c r="BB49" s="121">
        <f t="shared" si="51"/>
        <v>41.361673479903629</v>
      </c>
      <c r="BC49" s="123">
        <f t="shared" si="56"/>
        <v>6.7999907480146282E-2</v>
      </c>
      <c r="BD49" t="s">
        <v>288</v>
      </c>
    </row>
    <row r="50" spans="1:57" ht="29.1" customHeight="1" x14ac:dyDescent="0.15">
      <c r="A50" s="38" t="s">
        <v>219</v>
      </c>
      <c r="B50" s="38" t="s">
        <v>220</v>
      </c>
      <c r="C50" s="67">
        <v>20</v>
      </c>
      <c r="D50" s="68">
        <v>20</v>
      </c>
      <c r="E50" s="41">
        <v>555.04</v>
      </c>
      <c r="F50" s="101">
        <v>3</v>
      </c>
      <c r="G50" s="101">
        <v>3</v>
      </c>
      <c r="H50" s="41">
        <v>80.73</v>
      </c>
      <c r="I50" s="41">
        <v>8.07</v>
      </c>
      <c r="J50" s="102">
        <v>2</v>
      </c>
      <c r="K50" s="103">
        <f t="shared" si="31"/>
        <v>0.1</v>
      </c>
      <c r="L50" s="104">
        <v>32.979999999999997</v>
      </c>
      <c r="M50" s="105">
        <f t="shared" si="52"/>
        <v>-0.16666666666666666</v>
      </c>
      <c r="N50" s="103">
        <f t="shared" si="53"/>
        <v>-0.16666666666666666</v>
      </c>
      <c r="O50" s="103">
        <f t="shared" si="54"/>
        <v>-0.12060333354458459</v>
      </c>
      <c r="P50" s="106">
        <f t="shared" si="32"/>
        <v>1</v>
      </c>
      <c r="Q50" s="107">
        <f t="shared" si="33"/>
        <v>27.751999999999999</v>
      </c>
      <c r="R50" s="140">
        <f t="shared" si="34"/>
        <v>27.751999999999999</v>
      </c>
      <c r="S50" s="108">
        <f t="shared" si="35"/>
        <v>2.8571428571428572</v>
      </c>
      <c r="T50" s="146">
        <f t="shared" si="36"/>
        <v>10</v>
      </c>
      <c r="U50" s="110">
        <f t="shared" si="37"/>
        <v>0.5</v>
      </c>
      <c r="V50" s="71">
        <f t="shared" si="38"/>
        <v>0.34095105764484346</v>
      </c>
      <c r="W50" s="68">
        <v>31813</v>
      </c>
      <c r="X50" s="68">
        <v>192</v>
      </c>
      <c r="Y50" s="68">
        <v>10</v>
      </c>
      <c r="Z50" s="41">
        <v>186.49</v>
      </c>
      <c r="AA50" s="69">
        <v>283.10000000000002</v>
      </c>
      <c r="AB50" s="68">
        <v>0.97</v>
      </c>
      <c r="AC50" s="48">
        <f t="shared" si="39"/>
        <v>0.65874249381843875</v>
      </c>
      <c r="AD50" s="49">
        <f t="shared" si="40"/>
        <v>6.0352686008864299E-3</v>
      </c>
      <c r="AE50" s="112">
        <f t="shared" si="41"/>
        <v>5.2083333333333336E-2</v>
      </c>
      <c r="AF50" s="107">
        <f t="shared" si="42"/>
        <v>18.649000000000001</v>
      </c>
      <c r="AG50" s="113">
        <v>5</v>
      </c>
      <c r="AH50" s="115">
        <v>15</v>
      </c>
      <c r="AI50" s="116">
        <f>AG50*产品成本!$D$15+AH50*产品成本!$D$16</f>
        <v>101.4084507042254</v>
      </c>
      <c r="AJ50" s="116">
        <f>AG50*产品成本!$E$15+AH50*产品成本!$E$16</f>
        <v>6</v>
      </c>
      <c r="AK50" s="116">
        <f>AG50*产品成本!$F$15+AH50*产品成本!$F$16</f>
        <v>6.8000000000000007</v>
      </c>
      <c r="AL50" s="116">
        <f>AG50*产品成本!$G$15+AH50*产品成本!$G$16</f>
        <v>78</v>
      </c>
      <c r="AM50" s="116">
        <f t="shared" si="43"/>
        <v>82.04549999999999</v>
      </c>
      <c r="AN50" s="117">
        <f t="shared" si="44"/>
        <v>274.25395070422542</v>
      </c>
      <c r="AO50" s="147">
        <v>1</v>
      </c>
      <c r="AP50" s="119">
        <v>1</v>
      </c>
      <c r="AQ50" s="120">
        <f t="shared" si="45"/>
        <v>40.219512195121951</v>
      </c>
      <c r="AR50" s="116">
        <f>AO50*产品成本!$D$15+AP50*产品成本!$D$16</f>
        <v>9.5774647887323994</v>
      </c>
      <c r="AS50" s="116">
        <f>AO50*产品成本!$E$15+AP50*产品成本!$E$16</f>
        <v>0.56000000000000005</v>
      </c>
      <c r="AT50" s="116">
        <f>AO50*产品成本!$F$15+AP50*产品成本!$F$16</f>
        <v>0.68</v>
      </c>
      <c r="AU50" s="116"/>
      <c r="AV50" s="116">
        <f t="shared" si="46"/>
        <v>6.032926829268292</v>
      </c>
      <c r="AW50" s="116">
        <f t="shared" si="47"/>
        <v>-1.2065853658536585</v>
      </c>
      <c r="AX50" s="117">
        <f t="shared" si="48"/>
        <v>15.643806252147034</v>
      </c>
      <c r="AY50" s="122">
        <f t="shared" si="55"/>
        <v>258.61014445207837</v>
      </c>
      <c r="AZ50" s="122">
        <f t="shared" si="49"/>
        <v>546.96999999999991</v>
      </c>
      <c r="BA50" s="122">
        <f t="shared" si="50"/>
        <v>506.75048780487799</v>
      </c>
      <c r="BB50" s="121">
        <f t="shared" si="51"/>
        <v>61.650343352799609</v>
      </c>
      <c r="BC50" s="123">
        <f t="shared" si="56"/>
        <v>0.12165818255026091</v>
      </c>
    </row>
    <row r="51" spans="1:57" ht="29.1" customHeight="1" x14ac:dyDescent="0.15">
      <c r="A51" s="38" t="s">
        <v>221</v>
      </c>
      <c r="B51" s="38" t="s">
        <v>222</v>
      </c>
      <c r="C51" s="67">
        <v>29</v>
      </c>
      <c r="D51" s="68">
        <v>28</v>
      </c>
      <c r="E51" s="41">
        <v>762.74</v>
      </c>
      <c r="F51" s="101">
        <v>21</v>
      </c>
      <c r="G51" s="101">
        <v>20</v>
      </c>
      <c r="H51" s="41">
        <v>554.52</v>
      </c>
      <c r="I51" s="41">
        <v>56.79</v>
      </c>
      <c r="J51" s="102">
        <v>3</v>
      </c>
      <c r="K51" s="103">
        <f t="shared" si="31"/>
        <v>0.10344827586206896</v>
      </c>
      <c r="L51" s="104">
        <v>63.33</v>
      </c>
      <c r="M51" s="105">
        <f t="shared" si="52"/>
        <v>0.45</v>
      </c>
      <c r="N51" s="103">
        <f t="shared" si="53"/>
        <v>0.4</v>
      </c>
      <c r="O51" s="103">
        <f t="shared" si="54"/>
        <v>0.37420726434130885</v>
      </c>
      <c r="P51" s="106">
        <f t="shared" si="32"/>
        <v>1.0357142857142858</v>
      </c>
      <c r="Q51" s="107">
        <f t="shared" si="33"/>
        <v>27.240714285714287</v>
      </c>
      <c r="R51" s="140">
        <f t="shared" si="34"/>
        <v>26.301379310344828</v>
      </c>
      <c r="S51" s="108">
        <f t="shared" si="35"/>
        <v>4.1428571428571432</v>
      </c>
      <c r="T51" s="146">
        <f t="shared" si="36"/>
        <v>19</v>
      </c>
      <c r="U51" s="110">
        <f t="shared" si="37"/>
        <v>0.6785714285714286</v>
      </c>
      <c r="V51" s="71">
        <f t="shared" si="38"/>
        <v>0.19515546426800764</v>
      </c>
      <c r="W51" s="68">
        <v>24990</v>
      </c>
      <c r="X51" s="68">
        <v>145</v>
      </c>
      <c r="Y51" s="68">
        <v>9</v>
      </c>
      <c r="Z51" s="41">
        <v>137.77000000000001</v>
      </c>
      <c r="AA51" s="69">
        <v>237.77</v>
      </c>
      <c r="AB51" s="68">
        <v>0.95</v>
      </c>
      <c r="AC51" s="48">
        <f t="shared" si="39"/>
        <v>0.57942549522647935</v>
      </c>
      <c r="AD51" s="49">
        <f t="shared" si="40"/>
        <v>5.8023209283713482E-3</v>
      </c>
      <c r="AE51" s="112">
        <f t="shared" si="41"/>
        <v>6.2068965517241378E-2</v>
      </c>
      <c r="AF51" s="107">
        <f t="shared" si="42"/>
        <v>15.30777777777778</v>
      </c>
      <c r="AG51" s="113">
        <v>5</v>
      </c>
      <c r="AH51" s="115">
        <v>24</v>
      </c>
      <c r="AI51" s="116">
        <f>AG51*产品成本!$D$15+AH51*产品成本!$D$16</f>
        <v>149.57746478873244</v>
      </c>
      <c r="AJ51" s="116">
        <f>AG51*产品成本!$E$15+AH51*产品成本!$E$16</f>
        <v>8.879999999999999</v>
      </c>
      <c r="AK51" s="116">
        <f>AG51*产品成本!$F$15+AH51*产品成本!$F$16</f>
        <v>9.86</v>
      </c>
      <c r="AL51" s="116">
        <f>AG51*产品成本!$G$15+AH51*产品成本!$G$16</f>
        <v>113.1</v>
      </c>
      <c r="AM51" s="116">
        <f t="shared" si="43"/>
        <v>105.8925</v>
      </c>
      <c r="AN51" s="117">
        <f t="shared" si="44"/>
        <v>387.30996478873243</v>
      </c>
      <c r="AO51" s="147">
        <v>0</v>
      </c>
      <c r="AP51" s="119">
        <v>3</v>
      </c>
      <c r="AQ51" s="120">
        <f t="shared" si="45"/>
        <v>77.231707317073173</v>
      </c>
      <c r="AR51" s="116">
        <f>AO51*产品成本!$D$15+AP51*产品成本!$D$16</f>
        <v>16.056338028169019</v>
      </c>
      <c r="AS51" s="116">
        <f>AO51*产品成本!$E$15+AP51*产品成本!$E$16</f>
        <v>0.96</v>
      </c>
      <c r="AT51" s="116">
        <f>AO51*产品成本!$F$15+AP51*产品成本!$F$16</f>
        <v>1.02</v>
      </c>
      <c r="AU51" s="116"/>
      <c r="AV51" s="116">
        <f t="shared" si="46"/>
        <v>11.584756097560975</v>
      </c>
      <c r="AW51" s="116">
        <f t="shared" si="47"/>
        <v>-2.3169512195121951</v>
      </c>
      <c r="AX51" s="117">
        <f t="shared" si="48"/>
        <v>27.304142906217802</v>
      </c>
      <c r="AY51" s="122">
        <f t="shared" si="55"/>
        <v>360.00582188251462</v>
      </c>
      <c r="AZ51" s="122">
        <f t="shared" si="49"/>
        <v>705.95</v>
      </c>
      <c r="BA51" s="122">
        <f t="shared" si="50"/>
        <v>628.71829268292686</v>
      </c>
      <c r="BB51" s="121">
        <f t="shared" si="51"/>
        <v>130.94247080041222</v>
      </c>
      <c r="BC51" s="123">
        <f t="shared" si="56"/>
        <v>0.20826890568372361</v>
      </c>
    </row>
    <row r="52" spans="1:57" ht="29.1" customHeight="1" x14ac:dyDescent="0.15">
      <c r="A52" s="38" t="s">
        <v>223</v>
      </c>
      <c r="B52" s="38" t="s">
        <v>224</v>
      </c>
      <c r="C52" s="67">
        <v>10</v>
      </c>
      <c r="D52" s="68">
        <v>10</v>
      </c>
      <c r="E52" s="41">
        <v>262.04000000000002</v>
      </c>
      <c r="F52" s="101">
        <v>6</v>
      </c>
      <c r="G52" s="101">
        <v>6</v>
      </c>
      <c r="H52" s="41">
        <v>157.93</v>
      </c>
      <c r="I52" s="41">
        <v>17.14</v>
      </c>
      <c r="J52" s="102">
        <v>0</v>
      </c>
      <c r="K52" s="103">
        <f t="shared" si="31"/>
        <v>0</v>
      </c>
      <c r="L52" s="104">
        <v>0</v>
      </c>
      <c r="M52" s="105">
        <f t="shared" si="52"/>
        <v>-0.65517241379310343</v>
      </c>
      <c r="N52" s="103">
        <f t="shared" si="53"/>
        <v>-0.6428571428571429</v>
      </c>
      <c r="O52" s="103">
        <f t="shared" si="54"/>
        <v>-0.65644911765477099</v>
      </c>
      <c r="P52" s="106">
        <f t="shared" si="32"/>
        <v>1</v>
      </c>
      <c r="Q52" s="107">
        <f t="shared" si="33"/>
        <v>26.204000000000001</v>
      </c>
      <c r="R52" s="140">
        <f t="shared" si="34"/>
        <v>26.204000000000001</v>
      </c>
      <c r="S52" s="108">
        <f t="shared" si="35"/>
        <v>1.4285714285714286</v>
      </c>
      <c r="T52" s="146">
        <f t="shared" si="36"/>
        <v>5</v>
      </c>
      <c r="U52" s="110">
        <f t="shared" si="37"/>
        <v>0.5</v>
      </c>
      <c r="V52" s="71">
        <f t="shared" si="38"/>
        <v>0.65365455287872598</v>
      </c>
      <c r="W52" s="68">
        <v>20267</v>
      </c>
      <c r="X52" s="68">
        <v>164</v>
      </c>
      <c r="Y52" s="68">
        <v>5</v>
      </c>
      <c r="Z52" s="41">
        <v>160.08000000000001</v>
      </c>
      <c r="AA52" s="69">
        <v>122.79</v>
      </c>
      <c r="AB52" s="68">
        <v>0.98</v>
      </c>
      <c r="AC52" s="48">
        <f t="shared" si="39"/>
        <v>1.3036892255069632</v>
      </c>
      <c r="AD52" s="49">
        <f t="shared" si="40"/>
        <v>8.0919721715103365E-3</v>
      </c>
      <c r="AE52" s="112">
        <f t="shared" si="41"/>
        <v>3.048780487804878E-2</v>
      </c>
      <c r="AF52" s="107">
        <f t="shared" si="42"/>
        <v>32.016000000000005</v>
      </c>
      <c r="AG52" s="113">
        <v>2</v>
      </c>
      <c r="AH52" s="115">
        <v>8</v>
      </c>
      <c r="AI52" s="116">
        <f>AG52*产品成本!$D$15+AH52*产品成本!$D$16</f>
        <v>51.267605633802837</v>
      </c>
      <c r="AJ52" s="116">
        <f>AG52*产品成本!$E$15+AH52*产品成本!$E$16</f>
        <v>3.04</v>
      </c>
      <c r="AK52" s="116">
        <f>AG52*产品成本!$F$15+AH52*产品成本!$F$16</f>
        <v>3.4000000000000004</v>
      </c>
      <c r="AL52" s="116">
        <f>AG52*产品成本!$G$15+AH52*产品成本!$G$16</f>
        <v>39</v>
      </c>
      <c r="AM52" s="116">
        <f t="shared" si="43"/>
        <v>36.735000000000007</v>
      </c>
      <c r="AN52" s="117">
        <f t="shared" si="44"/>
        <v>133.44260563380286</v>
      </c>
      <c r="AO52" s="147">
        <v>0</v>
      </c>
      <c r="AP52" s="119">
        <v>0</v>
      </c>
      <c r="AQ52" s="120">
        <f t="shared" si="45"/>
        <v>0</v>
      </c>
      <c r="AR52" s="116">
        <f>AO52*产品成本!$D$15+AP52*产品成本!$D$16</f>
        <v>0</v>
      </c>
      <c r="AS52" s="116">
        <f>AO52*产品成本!$E$15+AP52*产品成本!$E$16</f>
        <v>0</v>
      </c>
      <c r="AT52" s="116">
        <f>AO52*产品成本!$F$15+AP52*产品成本!$F$16</f>
        <v>0</v>
      </c>
      <c r="AU52" s="116"/>
      <c r="AV52" s="116">
        <f t="shared" si="46"/>
        <v>0</v>
      </c>
      <c r="AW52" s="116">
        <f t="shared" si="47"/>
        <v>0</v>
      </c>
      <c r="AX52" s="117">
        <f t="shared" si="48"/>
        <v>0</v>
      </c>
      <c r="AY52" s="122">
        <f t="shared" si="55"/>
        <v>133.44260563380286</v>
      </c>
      <c r="AZ52" s="122">
        <f t="shared" si="49"/>
        <v>244.90000000000003</v>
      </c>
      <c r="BA52" s="122">
        <f t="shared" si="50"/>
        <v>244.90000000000003</v>
      </c>
      <c r="BB52" s="121">
        <f t="shared" si="51"/>
        <v>-48.622605633802834</v>
      </c>
      <c r="BC52" s="123">
        <f t="shared" si="56"/>
        <v>-0.19854065183259628</v>
      </c>
      <c r="BD52" t="s">
        <v>225</v>
      </c>
    </row>
    <row r="53" spans="1:57" ht="29.1" customHeight="1" x14ac:dyDescent="0.15">
      <c r="A53" s="56" t="s">
        <v>226</v>
      </c>
      <c r="B53" s="57" t="s">
        <v>227</v>
      </c>
      <c r="C53" s="67">
        <v>26</v>
      </c>
      <c r="D53" s="68">
        <v>26</v>
      </c>
      <c r="E53" s="41">
        <v>724.96</v>
      </c>
      <c r="F53" s="101">
        <v>12</v>
      </c>
      <c r="G53" s="101">
        <v>12</v>
      </c>
      <c r="H53" s="41">
        <v>338.32</v>
      </c>
      <c r="I53" s="41">
        <v>33.83</v>
      </c>
      <c r="J53" s="102">
        <v>4</v>
      </c>
      <c r="K53" s="103">
        <f t="shared" si="31"/>
        <v>0.15384615384615385</v>
      </c>
      <c r="L53" s="104">
        <v>85.57</v>
      </c>
      <c r="M53" s="105">
        <f t="shared" si="52"/>
        <v>1.6</v>
      </c>
      <c r="N53" s="103">
        <f t="shared" si="53"/>
        <v>1.6</v>
      </c>
      <c r="O53" s="103">
        <f t="shared" si="54"/>
        <v>1.766600519004732</v>
      </c>
      <c r="P53" s="106">
        <f t="shared" si="32"/>
        <v>1</v>
      </c>
      <c r="Q53" s="107">
        <f t="shared" si="33"/>
        <v>27.883076923076924</v>
      </c>
      <c r="R53" s="140">
        <f t="shared" si="34"/>
        <v>27.883076923076924</v>
      </c>
      <c r="S53" s="108">
        <f t="shared" si="35"/>
        <v>3.7142857142857144</v>
      </c>
      <c r="T53" s="146">
        <f t="shared" si="36"/>
        <v>9</v>
      </c>
      <c r="U53" s="110">
        <f t="shared" si="37"/>
        <v>0.34615384615384615</v>
      </c>
      <c r="V53" s="71">
        <f t="shared" si="38"/>
        <v>0.28449061681593912</v>
      </c>
      <c r="W53" s="68">
        <v>36030</v>
      </c>
      <c r="X53" s="68">
        <v>201</v>
      </c>
      <c r="Y53" s="68">
        <v>17</v>
      </c>
      <c r="Z53" s="41">
        <v>196.62</v>
      </c>
      <c r="AA53" s="69">
        <v>410.69</v>
      </c>
      <c r="AB53" s="68">
        <v>0.98</v>
      </c>
      <c r="AC53" s="48">
        <f t="shared" si="39"/>
        <v>0.47875526552874431</v>
      </c>
      <c r="AD53" s="49">
        <f t="shared" si="40"/>
        <v>5.5786844296419648E-3</v>
      </c>
      <c r="AE53" s="112">
        <f t="shared" si="41"/>
        <v>8.45771144278607E-2</v>
      </c>
      <c r="AF53" s="107">
        <f t="shared" si="42"/>
        <v>11.565882352941177</v>
      </c>
      <c r="AG53" s="113">
        <v>4</v>
      </c>
      <c r="AH53" s="115">
        <v>22</v>
      </c>
      <c r="AI53" s="116">
        <f>AG53*产品成本!$D$15+AH53*产品成本!$D$16</f>
        <v>134.64788732394373</v>
      </c>
      <c r="AJ53" s="116">
        <f>AG53*产品成本!$E$15+AH53*产品成本!$E$16</f>
        <v>8</v>
      </c>
      <c r="AK53" s="116">
        <f>AG53*产品成本!$F$15+AH53*产品成本!$F$16</f>
        <v>8.84</v>
      </c>
      <c r="AL53" s="116">
        <f>AG53*产品成本!$G$15+AH53*产品成本!$G$16</f>
        <v>101.39999999999999</v>
      </c>
      <c r="AM53" s="116">
        <f t="shared" si="43"/>
        <v>103.6695</v>
      </c>
      <c r="AN53" s="117">
        <f t="shared" si="44"/>
        <v>356.55738732394377</v>
      </c>
      <c r="AO53" s="147">
        <v>1</v>
      </c>
      <c r="AP53" s="119">
        <v>3</v>
      </c>
      <c r="AQ53" s="120">
        <f t="shared" si="45"/>
        <v>104.35365853658536</v>
      </c>
      <c r="AR53" s="116">
        <f>AO53*产品成本!$D$15+AP53*产品成本!$D$16</f>
        <v>20.281690140845079</v>
      </c>
      <c r="AS53" s="116">
        <f>AO53*产品成本!$E$15+AP53*产品成本!$E$16</f>
        <v>1.2</v>
      </c>
      <c r="AT53" s="116">
        <f>AO53*产品成本!$F$15+AP53*产品成本!$F$16</f>
        <v>1.36</v>
      </c>
      <c r="AU53" s="116"/>
      <c r="AV53" s="116">
        <f t="shared" si="46"/>
        <v>15.653048780487802</v>
      </c>
      <c r="AW53" s="116">
        <f t="shared" si="47"/>
        <v>-3.1306097560975608</v>
      </c>
      <c r="AX53" s="117">
        <f t="shared" si="48"/>
        <v>35.364129165235319</v>
      </c>
      <c r="AY53" s="122">
        <f t="shared" si="55"/>
        <v>321.19325815870843</v>
      </c>
      <c r="AZ53" s="122">
        <f t="shared" si="49"/>
        <v>691.13</v>
      </c>
      <c r="BA53" s="122">
        <f t="shared" si="50"/>
        <v>586.77634146341461</v>
      </c>
      <c r="BB53" s="121">
        <f t="shared" si="51"/>
        <v>68.963083304706174</v>
      </c>
      <c r="BC53" s="123">
        <f t="shared" si="56"/>
        <v>0.1175287386889405</v>
      </c>
    </row>
    <row r="54" spans="1:57" ht="29.1" customHeight="1" x14ac:dyDescent="0.15">
      <c r="A54" s="38" t="s">
        <v>228</v>
      </c>
      <c r="B54" s="58" t="s">
        <v>229</v>
      </c>
      <c r="C54" s="67">
        <v>29</v>
      </c>
      <c r="D54" s="68">
        <v>29</v>
      </c>
      <c r="E54" s="41">
        <v>755.59</v>
      </c>
      <c r="F54" s="101">
        <v>18</v>
      </c>
      <c r="G54" s="101">
        <v>18</v>
      </c>
      <c r="H54" s="41">
        <v>465.78</v>
      </c>
      <c r="I54" s="41">
        <v>47.76</v>
      </c>
      <c r="J54" s="102">
        <v>2</v>
      </c>
      <c r="K54" s="103">
        <f t="shared" si="31"/>
        <v>6.8965517241379309E-2</v>
      </c>
      <c r="L54" s="104">
        <v>39.53</v>
      </c>
      <c r="M54" s="105">
        <f t="shared" si="52"/>
        <v>0.11538461538461539</v>
      </c>
      <c r="N54" s="103">
        <f t="shared" si="53"/>
        <v>0.11538461538461539</v>
      </c>
      <c r="O54" s="103">
        <f t="shared" si="54"/>
        <v>4.2250606930037508E-2</v>
      </c>
      <c r="P54" s="106">
        <f t="shared" si="32"/>
        <v>1</v>
      </c>
      <c r="Q54" s="107">
        <f t="shared" si="33"/>
        <v>26.054827586206898</v>
      </c>
      <c r="R54" s="140">
        <f t="shared" si="34"/>
        <v>26.054827586206898</v>
      </c>
      <c r="S54" s="108">
        <f t="shared" si="35"/>
        <v>4.1428571428571432</v>
      </c>
      <c r="T54" s="146">
        <f t="shared" si="36"/>
        <v>15</v>
      </c>
      <c r="U54" s="110">
        <f t="shared" si="37"/>
        <v>0.51724137931034486</v>
      </c>
      <c r="V54" s="71">
        <f t="shared" si="38"/>
        <v>0.29018267098032013</v>
      </c>
      <c r="W54" s="68">
        <v>36589</v>
      </c>
      <c r="X54" s="68">
        <v>211</v>
      </c>
      <c r="Y54" s="68">
        <v>14</v>
      </c>
      <c r="Z54" s="41">
        <v>205.4</v>
      </c>
      <c r="AA54" s="69">
        <v>353.58</v>
      </c>
      <c r="AB54" s="68">
        <v>0.97</v>
      </c>
      <c r="AC54" s="48">
        <f t="shared" si="39"/>
        <v>0.58091521013631997</v>
      </c>
      <c r="AD54" s="49">
        <f t="shared" si="40"/>
        <v>5.7667605017901555E-3</v>
      </c>
      <c r="AE54" s="112">
        <f t="shared" si="41"/>
        <v>6.6350710900473939E-2</v>
      </c>
      <c r="AF54" s="107">
        <f t="shared" si="42"/>
        <v>14.671428571428573</v>
      </c>
      <c r="AG54" s="113">
        <v>8</v>
      </c>
      <c r="AH54" s="115">
        <v>21</v>
      </c>
      <c r="AI54" s="116">
        <f>AG54*产品成本!$D$15+AH54*产品成本!$D$16</f>
        <v>146.19718309859161</v>
      </c>
      <c r="AJ54" s="116">
        <f>AG54*产品成本!$E$15+AH54*产品成本!$E$16</f>
        <v>8.64</v>
      </c>
      <c r="AK54" s="116">
        <f>AG54*产品成本!$F$15+AH54*产品成本!$F$16</f>
        <v>9.8600000000000012</v>
      </c>
      <c r="AL54" s="116">
        <f>AG54*产品成本!$G$15+AH54*产品成本!$G$16</f>
        <v>113.1</v>
      </c>
      <c r="AM54" s="116">
        <f t="shared" si="43"/>
        <v>106.17450000000001</v>
      </c>
      <c r="AN54" s="117">
        <f t="shared" si="44"/>
        <v>383.97168309859165</v>
      </c>
      <c r="AO54" s="147">
        <v>1</v>
      </c>
      <c r="AP54" s="119">
        <v>1</v>
      </c>
      <c r="AQ54" s="120">
        <f t="shared" si="45"/>
        <v>48.207317073170735</v>
      </c>
      <c r="AR54" s="116">
        <f>AO54*产品成本!$D$15+AP54*产品成本!$D$16</f>
        <v>9.5774647887323994</v>
      </c>
      <c r="AS54" s="116">
        <f>AO54*产品成本!$E$15+AP54*产品成本!$E$16</f>
        <v>0.56000000000000005</v>
      </c>
      <c r="AT54" s="116">
        <f>AO54*产品成本!$F$15+AP54*产品成本!$F$16</f>
        <v>0.68</v>
      </c>
      <c r="AU54" s="116"/>
      <c r="AV54" s="116">
        <f t="shared" si="46"/>
        <v>7.2310975609756101</v>
      </c>
      <c r="AW54" s="116">
        <f t="shared" si="47"/>
        <v>-1.446219512195122</v>
      </c>
      <c r="AX54" s="117">
        <f t="shared" si="48"/>
        <v>16.602342837512889</v>
      </c>
      <c r="AY54" s="122">
        <f t="shared" si="55"/>
        <v>367.36934026107878</v>
      </c>
      <c r="AZ54" s="122">
        <f t="shared" si="49"/>
        <v>707.83</v>
      </c>
      <c r="BA54" s="122">
        <f t="shared" si="50"/>
        <v>659.62268292682927</v>
      </c>
      <c r="BB54" s="121">
        <f t="shared" si="51"/>
        <v>86.853342665750489</v>
      </c>
      <c r="BC54" s="123">
        <f t="shared" si="56"/>
        <v>0.13167124920624504</v>
      </c>
    </row>
    <row r="55" spans="1:57" ht="29.1" customHeight="1" x14ac:dyDescent="0.15">
      <c r="A55" s="38" t="s">
        <v>230</v>
      </c>
      <c r="B55" s="58" t="s">
        <v>231</v>
      </c>
      <c r="C55" s="67">
        <v>25</v>
      </c>
      <c r="D55" s="68">
        <v>24</v>
      </c>
      <c r="E55" s="41">
        <v>644.85</v>
      </c>
      <c r="F55" s="101">
        <v>3</v>
      </c>
      <c r="G55" s="101">
        <v>2</v>
      </c>
      <c r="H55" s="41">
        <v>74.53</v>
      </c>
      <c r="I55" s="41">
        <v>11.18</v>
      </c>
      <c r="J55" s="102">
        <v>3</v>
      </c>
      <c r="K55" s="103">
        <f t="shared" si="31"/>
        <v>0.12</v>
      </c>
      <c r="L55" s="104">
        <v>34.44</v>
      </c>
      <c r="M55" s="105">
        <f t="shared" si="52"/>
        <v>-0.13793103448275862</v>
      </c>
      <c r="N55" s="103">
        <f t="shared" si="53"/>
        <v>-0.17241379310344829</v>
      </c>
      <c r="O55" s="103">
        <f t="shared" si="54"/>
        <v>-0.14656096560303869</v>
      </c>
      <c r="P55" s="106">
        <f t="shared" si="32"/>
        <v>1.0416666666666667</v>
      </c>
      <c r="Q55" s="107">
        <f t="shared" si="33"/>
        <v>26.868750000000002</v>
      </c>
      <c r="R55" s="140">
        <f t="shared" si="34"/>
        <v>25.794</v>
      </c>
      <c r="S55" s="108">
        <f t="shared" si="35"/>
        <v>3.5714285714285716</v>
      </c>
      <c r="T55" s="146">
        <f t="shared" si="36"/>
        <v>1</v>
      </c>
      <c r="U55" s="110">
        <f t="shared" si="37"/>
        <v>4.1666666666666664E-2</v>
      </c>
      <c r="V55" s="71">
        <f t="shared" si="38"/>
        <v>0.3444063944955576</v>
      </c>
      <c r="W55" s="68">
        <v>37422</v>
      </c>
      <c r="X55" s="68">
        <v>237</v>
      </c>
      <c r="Y55" s="68">
        <v>23</v>
      </c>
      <c r="Z55" s="41">
        <v>218.24</v>
      </c>
      <c r="AA55" s="69">
        <v>564.26</v>
      </c>
      <c r="AB55" s="68">
        <v>0.92</v>
      </c>
      <c r="AC55" s="48">
        <f t="shared" si="39"/>
        <v>0.38677205543543758</v>
      </c>
      <c r="AD55" s="49">
        <f t="shared" si="40"/>
        <v>6.3331729998396665E-3</v>
      </c>
      <c r="AE55" s="112">
        <f t="shared" si="41"/>
        <v>9.7046413502109699E-2</v>
      </c>
      <c r="AF55" s="107">
        <f t="shared" si="42"/>
        <v>9.488695652173913</v>
      </c>
      <c r="AG55" s="113">
        <v>9</v>
      </c>
      <c r="AH55" s="115">
        <v>16</v>
      </c>
      <c r="AI55" s="116">
        <f>AG55*产品成本!$D$15+AH55*产品成本!$D$16</f>
        <v>123.66197183098598</v>
      </c>
      <c r="AJ55" s="116">
        <f>AG55*产品成本!$E$15+AH55*产品成本!$E$16</f>
        <v>7.28</v>
      </c>
      <c r="AK55" s="116">
        <f>AG55*产品成本!$F$15+AH55*产品成本!$F$16</f>
        <v>8.5</v>
      </c>
      <c r="AL55" s="116">
        <f>AG55*产品成本!$G$15+AH55*产品成本!$G$16</f>
        <v>97.5</v>
      </c>
      <c r="AM55" s="116">
        <f t="shared" si="43"/>
        <v>95.050500000000014</v>
      </c>
      <c r="AN55" s="117">
        <f t="shared" si="44"/>
        <v>331.99247183098601</v>
      </c>
      <c r="AO55" s="147">
        <v>1</v>
      </c>
      <c r="AP55" s="119">
        <v>2</v>
      </c>
      <c r="AQ55" s="120">
        <f t="shared" si="45"/>
        <v>42</v>
      </c>
      <c r="AR55" s="116">
        <f>AO55*产品成本!$D$15+AP55*产品成本!$D$16</f>
        <v>14.929577464788739</v>
      </c>
      <c r="AS55" s="116">
        <f>AO55*产品成本!$E$15+AP55*产品成本!$E$16</f>
        <v>0.88</v>
      </c>
      <c r="AT55" s="116">
        <f>AO55*产品成本!$F$15+AP55*产品成本!$F$16</f>
        <v>1.02</v>
      </c>
      <c r="AU55" s="116"/>
      <c r="AV55" s="116">
        <f t="shared" si="46"/>
        <v>6.3</v>
      </c>
      <c r="AW55" s="116">
        <f t="shared" si="47"/>
        <v>-1.26</v>
      </c>
      <c r="AX55" s="117">
        <f t="shared" si="48"/>
        <v>21.86957746478874</v>
      </c>
      <c r="AY55" s="122">
        <f t="shared" si="55"/>
        <v>310.12289436619727</v>
      </c>
      <c r="AZ55" s="122">
        <f t="shared" si="49"/>
        <v>633.67000000000007</v>
      </c>
      <c r="BA55" s="122">
        <f t="shared" si="50"/>
        <v>591.67000000000007</v>
      </c>
      <c r="BB55" s="121">
        <f t="shared" si="51"/>
        <v>63.307105633802792</v>
      </c>
      <c r="BC55" s="123">
        <f t="shared" si="56"/>
        <v>0.10699732221306266</v>
      </c>
    </row>
    <row r="56" spans="1:57" ht="29.1" customHeight="1" x14ac:dyDescent="0.15">
      <c r="A56" s="38" t="s">
        <v>232</v>
      </c>
      <c r="B56" s="58" t="s">
        <v>233</v>
      </c>
      <c r="C56" s="67">
        <v>15</v>
      </c>
      <c r="D56" s="68">
        <v>14</v>
      </c>
      <c r="E56" s="41">
        <v>397.45</v>
      </c>
      <c r="F56" s="101">
        <v>0</v>
      </c>
      <c r="G56" s="101">
        <v>0</v>
      </c>
      <c r="H56" s="41">
        <v>0</v>
      </c>
      <c r="I56" s="41">
        <v>0</v>
      </c>
      <c r="J56" s="102">
        <v>3</v>
      </c>
      <c r="K56" s="103">
        <f t="shared" si="31"/>
        <v>0.2</v>
      </c>
      <c r="L56" s="104">
        <v>65.95</v>
      </c>
      <c r="M56" s="105">
        <f t="shared" si="52"/>
        <v>-0.4</v>
      </c>
      <c r="N56" s="103">
        <f t="shared" si="53"/>
        <v>-0.41666666666666669</v>
      </c>
      <c r="O56" s="103">
        <f t="shared" si="54"/>
        <v>-0.38365511359230831</v>
      </c>
      <c r="P56" s="106">
        <f t="shared" si="32"/>
        <v>1.0714285714285714</v>
      </c>
      <c r="Q56" s="107">
        <f t="shared" si="33"/>
        <v>28.389285714285712</v>
      </c>
      <c r="R56" s="140">
        <f t="shared" si="34"/>
        <v>26.496666666666666</v>
      </c>
      <c r="S56" s="108">
        <f t="shared" si="35"/>
        <v>2.1428571428571428</v>
      </c>
      <c r="T56" s="146">
        <f t="shared" si="36"/>
        <v>5</v>
      </c>
      <c r="U56" s="110">
        <f t="shared" si="37"/>
        <v>0.35714285714285715</v>
      </c>
      <c r="V56" s="71">
        <f t="shared" si="38"/>
        <v>0.47193357655050949</v>
      </c>
      <c r="W56" s="68">
        <v>34385</v>
      </c>
      <c r="X56" s="68">
        <v>200</v>
      </c>
      <c r="Y56" s="68">
        <v>9</v>
      </c>
      <c r="Z56" s="41">
        <v>187.57</v>
      </c>
      <c r="AA56" s="69">
        <v>232.57</v>
      </c>
      <c r="AB56" s="68">
        <v>0.94</v>
      </c>
      <c r="AC56" s="48">
        <f t="shared" si="39"/>
        <v>0.80650986799673219</v>
      </c>
      <c r="AD56" s="49">
        <f t="shared" si="40"/>
        <v>5.8164897484368188E-3</v>
      </c>
      <c r="AE56" s="112">
        <f t="shared" si="41"/>
        <v>4.4999999999999998E-2</v>
      </c>
      <c r="AF56" s="107">
        <f t="shared" si="42"/>
        <v>20.841111111111111</v>
      </c>
      <c r="AG56" s="113">
        <v>2</v>
      </c>
      <c r="AH56" s="115">
        <v>13</v>
      </c>
      <c r="AI56" s="116">
        <f>AG56*产品成本!$D$15+AH56*产品成本!$D$16</f>
        <v>78.02816901408454</v>
      </c>
      <c r="AJ56" s="116">
        <f>AG56*产品成本!$E$15+AH56*产品成本!$E$16</f>
        <v>4.6400000000000006</v>
      </c>
      <c r="AK56" s="116">
        <f>AG56*产品成本!$F$15+AH56*产品成本!$F$16</f>
        <v>5.0999999999999996</v>
      </c>
      <c r="AL56" s="116">
        <f>AG56*产品成本!$G$15+AH56*产品成本!$G$16</f>
        <v>58.499999999999993</v>
      </c>
      <c r="AM56" s="116">
        <f t="shared" si="43"/>
        <v>59.617499999999993</v>
      </c>
      <c r="AN56" s="117">
        <f t="shared" si="44"/>
        <v>205.8856690140845</v>
      </c>
      <c r="AO56" s="147">
        <v>1</v>
      </c>
      <c r="AP56" s="119">
        <v>2</v>
      </c>
      <c r="AQ56" s="120">
        <f t="shared" si="45"/>
        <v>80.426829268292693</v>
      </c>
      <c r="AR56" s="116">
        <f>AO56*产品成本!$D$15+AP56*产品成本!$D$16</f>
        <v>14.929577464788739</v>
      </c>
      <c r="AS56" s="116">
        <f>AO56*产品成本!$E$15+AP56*产品成本!$E$16</f>
        <v>0.88</v>
      </c>
      <c r="AT56" s="116">
        <f>AO56*产品成本!$F$15+AP56*产品成本!$F$16</f>
        <v>1.02</v>
      </c>
      <c r="AU56" s="116"/>
      <c r="AV56" s="116">
        <f t="shared" si="46"/>
        <v>12.064024390243903</v>
      </c>
      <c r="AW56" s="116">
        <f t="shared" si="47"/>
        <v>-2.4128048780487807</v>
      </c>
      <c r="AX56" s="117">
        <f t="shared" si="48"/>
        <v>26.480796976983861</v>
      </c>
      <c r="AY56" s="122">
        <f t="shared" si="55"/>
        <v>179.40487203710063</v>
      </c>
      <c r="AZ56" s="122">
        <f t="shared" si="49"/>
        <v>397.45</v>
      </c>
      <c r="BA56" s="122">
        <f t="shared" si="50"/>
        <v>317.0231707317073</v>
      </c>
      <c r="BB56" s="121">
        <f t="shared" si="51"/>
        <v>-49.951701305393328</v>
      </c>
      <c r="BC56" s="123">
        <f t="shared" si="56"/>
        <v>-0.1575648278013938</v>
      </c>
    </row>
    <row r="57" spans="1:57" ht="29.1" customHeight="1" x14ac:dyDescent="0.15">
      <c r="A57" s="38" t="s">
        <v>236</v>
      </c>
      <c r="B57" s="58" t="s">
        <v>237</v>
      </c>
      <c r="C57" s="67">
        <v>23</v>
      </c>
      <c r="D57" s="68">
        <v>23</v>
      </c>
      <c r="E57" s="41">
        <v>618.92999999999995</v>
      </c>
      <c r="F57" s="101">
        <v>0</v>
      </c>
      <c r="G57" s="101">
        <v>0</v>
      </c>
      <c r="H57" s="41">
        <v>0</v>
      </c>
      <c r="I57" s="41">
        <v>0</v>
      </c>
      <c r="J57" s="102">
        <v>2</v>
      </c>
      <c r="K57" s="103">
        <f t="shared" si="31"/>
        <v>8.6956521739130432E-2</v>
      </c>
      <c r="L57" s="104">
        <v>38.76</v>
      </c>
      <c r="M57" s="105">
        <f t="shared" si="52"/>
        <v>0.53333333333333333</v>
      </c>
      <c r="N57" s="103">
        <f t="shared" si="53"/>
        <v>0.6428571428571429</v>
      </c>
      <c r="O57" s="103">
        <f t="shared" si="54"/>
        <v>0.55725248458925647</v>
      </c>
      <c r="P57" s="106">
        <f t="shared" si="32"/>
        <v>1</v>
      </c>
      <c r="Q57" s="107">
        <f t="shared" si="33"/>
        <v>26.909999999999997</v>
      </c>
      <c r="R57" s="140">
        <f t="shared" si="34"/>
        <v>26.909999999999997</v>
      </c>
      <c r="S57" s="108">
        <f t="shared" si="35"/>
        <v>3.2857142857142856</v>
      </c>
      <c r="T57" s="146">
        <f t="shared" si="36"/>
        <v>5</v>
      </c>
      <c r="U57" s="110">
        <f t="shared" si="37"/>
        <v>0.21739130434782608</v>
      </c>
      <c r="V57" s="71">
        <f t="shared" si="38"/>
        <v>0.25624868725057764</v>
      </c>
      <c r="W57" s="68">
        <v>36379</v>
      </c>
      <c r="X57" s="68">
        <v>158</v>
      </c>
      <c r="Y57" s="68">
        <v>18</v>
      </c>
      <c r="Z57" s="41">
        <v>158.6</v>
      </c>
      <c r="AA57" s="69">
        <v>440.06</v>
      </c>
      <c r="AB57" s="41">
        <v>1</v>
      </c>
      <c r="AC57" s="48">
        <f t="shared" si="39"/>
        <v>0.36040539926373677</v>
      </c>
      <c r="AD57" s="49">
        <f t="shared" si="40"/>
        <v>4.3431650127820996E-3</v>
      </c>
      <c r="AE57" s="112">
        <f t="shared" si="41"/>
        <v>0.11392405063291139</v>
      </c>
      <c r="AF57" s="107">
        <f t="shared" si="42"/>
        <v>8.81111111111111</v>
      </c>
      <c r="AG57" s="113">
        <v>0</v>
      </c>
      <c r="AH57" s="115">
        <v>23</v>
      </c>
      <c r="AI57" s="116">
        <f>AG57*产品成本!$D$15+AH57*产品成本!$D$16</f>
        <v>123.09859154929582</v>
      </c>
      <c r="AJ57" s="116">
        <f>AG57*产品成本!$E$15+AH57*产品成本!$E$16</f>
        <v>7.36</v>
      </c>
      <c r="AK57" s="116">
        <f>AG57*产品成本!$F$15+AH57*产品成本!$F$16</f>
        <v>7.82</v>
      </c>
      <c r="AL57" s="116">
        <f>AG57*产品成本!$G$15+AH57*产品成本!$G$16</f>
        <v>89.7</v>
      </c>
      <c r="AM57" s="116">
        <f t="shared" si="43"/>
        <v>92.839499999999987</v>
      </c>
      <c r="AN57" s="117">
        <f t="shared" si="44"/>
        <v>320.81809154929579</v>
      </c>
      <c r="AO57" s="147">
        <v>2</v>
      </c>
      <c r="AP57" s="119">
        <v>0</v>
      </c>
      <c r="AQ57" s="120">
        <f t="shared" si="45"/>
        <v>47.268292682926827</v>
      </c>
      <c r="AR57" s="116">
        <f>AO57*产品成本!$D$15+AP57*产品成本!$D$16</f>
        <v>8.4507042253521192</v>
      </c>
      <c r="AS57" s="116">
        <f>AO57*产品成本!$E$15+AP57*产品成本!$E$16</f>
        <v>0.48</v>
      </c>
      <c r="AT57" s="116">
        <f>AO57*产品成本!$F$15+AP57*产品成本!$F$16</f>
        <v>0.68</v>
      </c>
      <c r="AU57" s="116"/>
      <c r="AV57" s="116">
        <f t="shared" si="46"/>
        <v>7.090243902439024</v>
      </c>
      <c r="AW57" s="116">
        <f t="shared" si="47"/>
        <v>-1.4180487804878048</v>
      </c>
      <c r="AX57" s="117">
        <f t="shared" si="48"/>
        <v>15.282899347303339</v>
      </c>
      <c r="AY57" s="122">
        <f t="shared" si="55"/>
        <v>305.53519220199246</v>
      </c>
      <c r="AZ57" s="122">
        <f t="shared" si="49"/>
        <v>618.92999999999995</v>
      </c>
      <c r="BA57" s="122">
        <f t="shared" si="50"/>
        <v>571.66170731707314</v>
      </c>
      <c r="BB57" s="121">
        <f t="shared" si="51"/>
        <v>107.52651511508068</v>
      </c>
      <c r="BC57" s="123">
        <f t="shared" si="56"/>
        <v>0.18809466112349016</v>
      </c>
    </row>
    <row r="58" spans="1:57" ht="29.1" customHeight="1" x14ac:dyDescent="0.15">
      <c r="A58" s="38" t="s">
        <v>240</v>
      </c>
      <c r="B58" s="58" t="s">
        <v>241</v>
      </c>
      <c r="C58" s="67">
        <v>17</v>
      </c>
      <c r="D58" s="68">
        <v>17</v>
      </c>
      <c r="E58" s="41">
        <v>448.17</v>
      </c>
      <c r="F58" s="101">
        <v>1</v>
      </c>
      <c r="G58" s="101">
        <v>1</v>
      </c>
      <c r="H58" s="41">
        <v>23.81</v>
      </c>
      <c r="I58" s="41">
        <v>2.39</v>
      </c>
      <c r="J58" s="102">
        <v>1</v>
      </c>
      <c r="K58" s="103">
        <f t="shared" si="31"/>
        <v>5.8823529411764705E-2</v>
      </c>
      <c r="L58" s="104">
        <v>17.149999999999999</v>
      </c>
      <c r="M58" s="105">
        <f t="shared" si="52"/>
        <v>-0.2608695652173913</v>
      </c>
      <c r="N58" s="103">
        <f t="shared" si="53"/>
        <v>-0.2608695652173913</v>
      </c>
      <c r="O58" s="103">
        <f t="shared" si="54"/>
        <v>-0.27589549706751965</v>
      </c>
      <c r="P58" s="106">
        <f t="shared" si="32"/>
        <v>1</v>
      </c>
      <c r="Q58" s="107">
        <f t="shared" si="33"/>
        <v>26.362941176470589</v>
      </c>
      <c r="R58" s="140">
        <f t="shared" si="34"/>
        <v>26.362941176470589</v>
      </c>
      <c r="S58" s="108">
        <f t="shared" si="35"/>
        <v>2.4285714285714284</v>
      </c>
      <c r="T58" s="146">
        <f t="shared" si="36"/>
        <v>4</v>
      </c>
      <c r="U58" s="110">
        <f t="shared" si="37"/>
        <v>0.23529411764705882</v>
      </c>
      <c r="V58" s="71">
        <f t="shared" si="38"/>
        <v>0.49993270222979946</v>
      </c>
      <c r="W58" s="68">
        <v>43353</v>
      </c>
      <c r="X58" s="68">
        <v>215</v>
      </c>
      <c r="Y58" s="68">
        <v>13</v>
      </c>
      <c r="Z58" s="41">
        <v>222.86</v>
      </c>
      <c r="AA58" s="69">
        <v>312.87</v>
      </c>
      <c r="AB58" s="41">
        <v>1.04</v>
      </c>
      <c r="AC58" s="48">
        <f t="shared" si="39"/>
        <v>0.71230862658612204</v>
      </c>
      <c r="AD58" s="49">
        <f t="shared" si="40"/>
        <v>4.9592877078864211E-3</v>
      </c>
      <c r="AE58" s="112">
        <f t="shared" si="41"/>
        <v>6.0465116279069767E-2</v>
      </c>
      <c r="AF58" s="107">
        <f t="shared" si="42"/>
        <v>17.143076923076926</v>
      </c>
      <c r="AG58" s="113">
        <v>3</v>
      </c>
      <c r="AH58" s="115">
        <v>14</v>
      </c>
      <c r="AI58" s="116">
        <f>AG58*产品成本!$D$15+AH58*产品成本!$D$16</f>
        <v>87.605633802816939</v>
      </c>
      <c r="AJ58" s="116">
        <f>AG58*产品成本!$E$15+AH58*产品成本!$E$16</f>
        <v>5.2</v>
      </c>
      <c r="AK58" s="116">
        <f>AG58*产品成本!$F$15+AH58*产品成本!$F$16</f>
        <v>5.7800000000000011</v>
      </c>
      <c r="AL58" s="116">
        <f>AG58*产品成本!$G$15+AH58*产品成本!$G$16</f>
        <v>66.3</v>
      </c>
      <c r="AM58" s="116">
        <f t="shared" si="43"/>
        <v>66.867000000000004</v>
      </c>
      <c r="AN58" s="117">
        <f t="shared" si="44"/>
        <v>231.75263380281694</v>
      </c>
      <c r="AO58" s="147">
        <v>0</v>
      </c>
      <c r="AP58" s="119">
        <v>1</v>
      </c>
      <c r="AQ58" s="120">
        <f t="shared" si="45"/>
        <v>20.914634146341463</v>
      </c>
      <c r="AR58" s="116">
        <f>AO58*产品成本!$D$15+AP58*产品成本!$D$16</f>
        <v>5.3521126760563398</v>
      </c>
      <c r="AS58" s="116">
        <f>AO58*产品成本!$E$15+AP58*产品成本!$E$16</f>
        <v>0.32</v>
      </c>
      <c r="AT58" s="116">
        <f>AO58*产品成本!$F$15+AP58*产品成本!$F$16</f>
        <v>0.34</v>
      </c>
      <c r="AU58" s="116"/>
      <c r="AV58" s="116">
        <f t="shared" si="46"/>
        <v>3.1371951219512195</v>
      </c>
      <c r="AW58" s="116">
        <f t="shared" si="47"/>
        <v>-0.6274390243902439</v>
      </c>
      <c r="AX58" s="117">
        <f t="shared" si="48"/>
        <v>8.5218687736173155</v>
      </c>
      <c r="AY58" s="122">
        <f t="shared" si="55"/>
        <v>223.23076502919963</v>
      </c>
      <c r="AZ58" s="122">
        <f t="shared" si="49"/>
        <v>445.78000000000003</v>
      </c>
      <c r="BA58" s="122">
        <f t="shared" si="50"/>
        <v>424.86536585365855</v>
      </c>
      <c r="BB58" s="121">
        <f t="shared" si="51"/>
        <v>-21.225399175541099</v>
      </c>
      <c r="BC58" s="123">
        <f t="shared" si="56"/>
        <v>-4.9957941694998072E-2</v>
      </c>
    </row>
    <row r="59" spans="1:57" ht="29.1" customHeight="1" x14ac:dyDescent="0.15">
      <c r="A59" s="38" t="s">
        <v>244</v>
      </c>
      <c r="B59" s="58" t="s">
        <v>245</v>
      </c>
      <c r="C59" s="67">
        <v>27</v>
      </c>
      <c r="D59" s="68">
        <v>27</v>
      </c>
      <c r="E59" s="41">
        <v>717.26</v>
      </c>
      <c r="F59" s="101">
        <v>6</v>
      </c>
      <c r="G59" s="101">
        <v>6</v>
      </c>
      <c r="H59" s="41">
        <v>155.26</v>
      </c>
      <c r="I59" s="41">
        <v>16.73</v>
      </c>
      <c r="J59" s="102">
        <v>0</v>
      </c>
      <c r="K59" s="103">
        <f t="shared" si="31"/>
        <v>0</v>
      </c>
      <c r="L59" s="104">
        <v>0</v>
      </c>
      <c r="M59" s="105">
        <f t="shared" si="52"/>
        <v>0.58823529411764708</v>
      </c>
      <c r="N59" s="103">
        <f t="shared" si="53"/>
        <v>0.58823529411764708</v>
      </c>
      <c r="O59" s="103">
        <f t="shared" si="54"/>
        <v>0.60041948367806852</v>
      </c>
      <c r="P59" s="106">
        <f t="shared" si="32"/>
        <v>1</v>
      </c>
      <c r="Q59" s="107">
        <f t="shared" si="33"/>
        <v>26.565185185185186</v>
      </c>
      <c r="R59" s="140">
        <f t="shared" si="34"/>
        <v>26.565185185185186</v>
      </c>
      <c r="S59" s="108">
        <f t="shared" si="35"/>
        <v>3.8571428571428572</v>
      </c>
      <c r="T59" s="146">
        <f t="shared" si="36"/>
        <v>4</v>
      </c>
      <c r="U59" s="110">
        <f t="shared" si="37"/>
        <v>0.14814814814814814</v>
      </c>
      <c r="V59" s="71">
        <f t="shared" si="38"/>
        <v>0.33915749503947012</v>
      </c>
      <c r="W59" s="68">
        <v>46892</v>
      </c>
      <c r="X59" s="68">
        <v>237</v>
      </c>
      <c r="Y59" s="68">
        <v>23</v>
      </c>
      <c r="Z59" s="41">
        <v>237.59</v>
      </c>
      <c r="AA59" s="69">
        <v>580.32000000000005</v>
      </c>
      <c r="AB59" s="41">
        <v>1</v>
      </c>
      <c r="AC59" s="48">
        <f t="shared" si="39"/>
        <v>0.40941204852495172</v>
      </c>
      <c r="AD59" s="49">
        <f t="shared" si="40"/>
        <v>5.0541670220933211E-3</v>
      </c>
      <c r="AE59" s="112">
        <f t="shared" si="41"/>
        <v>9.7046413502109699E-2</v>
      </c>
      <c r="AF59" s="107">
        <f t="shared" si="42"/>
        <v>10.33</v>
      </c>
      <c r="AG59" s="113">
        <v>3</v>
      </c>
      <c r="AH59" s="115">
        <v>24</v>
      </c>
      <c r="AI59" s="116">
        <f>AG59*产品成本!$D$15+AH59*产品成本!$D$16</f>
        <v>141.12676056338034</v>
      </c>
      <c r="AJ59" s="116">
        <f>AG59*产品成本!$E$15+AH59*产品成本!$E$16</f>
        <v>8.4</v>
      </c>
      <c r="AK59" s="116">
        <f>AG59*产品成本!$F$15+AH59*产品成本!$F$16</f>
        <v>9.18</v>
      </c>
      <c r="AL59" s="116">
        <f>AG59*产品成本!$G$15+AH59*产品成本!$G$16</f>
        <v>105.3</v>
      </c>
      <c r="AM59" s="116">
        <f t="shared" si="43"/>
        <v>105.0795</v>
      </c>
      <c r="AN59" s="117">
        <f t="shared" si="44"/>
        <v>369.08626056338034</v>
      </c>
      <c r="AO59" s="147">
        <v>0</v>
      </c>
      <c r="AP59" s="119">
        <v>0</v>
      </c>
      <c r="AQ59" s="120">
        <f t="shared" si="45"/>
        <v>0</v>
      </c>
      <c r="AR59" s="116">
        <f>AO59*产品成本!$D$15+AP59*产品成本!$D$16</f>
        <v>0</v>
      </c>
      <c r="AS59" s="116">
        <f>AO59*产品成本!$E$15+AP59*产品成本!$E$16</f>
        <v>0</v>
      </c>
      <c r="AT59" s="116">
        <f>AO59*产品成本!$F$15+AP59*产品成本!$F$16</f>
        <v>0</v>
      </c>
      <c r="AU59" s="116"/>
      <c r="AV59" s="116">
        <f t="shared" si="46"/>
        <v>0</v>
      </c>
      <c r="AW59" s="116">
        <f t="shared" si="47"/>
        <v>0</v>
      </c>
      <c r="AX59" s="117">
        <f t="shared" si="48"/>
        <v>0</v>
      </c>
      <c r="AY59" s="122">
        <f t="shared" si="55"/>
        <v>369.08626056338034</v>
      </c>
      <c r="AZ59" s="122">
        <f t="shared" si="49"/>
        <v>700.53</v>
      </c>
      <c r="BA59" s="122">
        <f t="shared" si="50"/>
        <v>700.53</v>
      </c>
      <c r="BB59" s="121">
        <f t="shared" si="51"/>
        <v>93.853739436619634</v>
      </c>
      <c r="BC59" s="123">
        <f t="shared" si="56"/>
        <v>0.13397533215796559</v>
      </c>
    </row>
    <row r="60" spans="1:57" ht="29.1" customHeight="1" x14ac:dyDescent="0.15">
      <c r="A60" s="38" t="s">
        <v>247</v>
      </c>
      <c r="B60" s="58" t="s">
        <v>248</v>
      </c>
      <c r="C60" s="67">
        <v>35</v>
      </c>
      <c r="D60" s="68">
        <v>33</v>
      </c>
      <c r="E60" s="41">
        <v>926.35</v>
      </c>
      <c r="F60" s="101">
        <v>2</v>
      </c>
      <c r="G60" s="101">
        <v>2</v>
      </c>
      <c r="H60" s="41">
        <v>53.82</v>
      </c>
      <c r="I60" s="41">
        <v>5.38</v>
      </c>
      <c r="J60" s="102">
        <v>2</v>
      </c>
      <c r="K60" s="103">
        <f t="shared" si="31"/>
        <v>5.7142857142857141E-2</v>
      </c>
      <c r="L60" s="104">
        <v>44.63</v>
      </c>
      <c r="M60" s="105">
        <f t="shared" si="52"/>
        <v>0.29629629629629628</v>
      </c>
      <c r="N60" s="103">
        <f t="shared" si="53"/>
        <v>0.22222222222222221</v>
      </c>
      <c r="O60" s="103">
        <f t="shared" si="54"/>
        <v>0.2915121434347378</v>
      </c>
      <c r="P60" s="106">
        <f t="shared" si="32"/>
        <v>1.0606060606060606</v>
      </c>
      <c r="Q60" s="107">
        <f t="shared" si="33"/>
        <v>28.07121212121212</v>
      </c>
      <c r="R60" s="140">
        <f t="shared" si="34"/>
        <v>26.467142857142857</v>
      </c>
      <c r="S60" s="108">
        <f t="shared" si="35"/>
        <v>5</v>
      </c>
      <c r="T60" s="146">
        <f t="shared" si="36"/>
        <v>0</v>
      </c>
      <c r="U60" s="110">
        <f t="shared" si="37"/>
        <v>0</v>
      </c>
      <c r="V60" s="71">
        <f t="shared" si="38"/>
        <v>0.29088895403759074</v>
      </c>
      <c r="W60" s="68">
        <v>45785</v>
      </c>
      <c r="X60" s="68">
        <v>273</v>
      </c>
      <c r="Y60" s="68">
        <v>33</v>
      </c>
      <c r="Z60" s="41">
        <v>267.89999999999998</v>
      </c>
      <c r="AA60" s="69">
        <v>882.72</v>
      </c>
      <c r="AB60" s="41">
        <v>0.98</v>
      </c>
      <c r="AC60" s="48">
        <f t="shared" si="39"/>
        <v>0.30349374660141376</v>
      </c>
      <c r="AD60" s="49">
        <f t="shared" si="40"/>
        <v>5.9626515234247023E-3</v>
      </c>
      <c r="AE60" s="112">
        <f t="shared" si="41"/>
        <v>0.12087912087912088</v>
      </c>
      <c r="AF60" s="107">
        <f t="shared" si="42"/>
        <v>8.1181818181818173</v>
      </c>
      <c r="AG60" s="113">
        <v>5</v>
      </c>
      <c r="AH60" s="115">
        <v>30</v>
      </c>
      <c r="AI60" s="116">
        <f>AG60*产品成本!$D$15+AH60*产品成本!$D$16</f>
        <v>181.69014084507049</v>
      </c>
      <c r="AJ60" s="116">
        <f>AG60*产品成本!$E$15+AH60*产品成本!$E$16</f>
        <v>10.799999999999999</v>
      </c>
      <c r="AK60" s="116">
        <f>AG60*产品成本!$F$15+AH60*产品成本!$F$16</f>
        <v>11.900000000000002</v>
      </c>
      <c r="AL60" s="116">
        <f>AG60*产品成本!$G$15+AH60*产品成本!$G$16</f>
        <v>136.5</v>
      </c>
      <c r="AM60" s="116">
        <f t="shared" si="43"/>
        <v>138.1455</v>
      </c>
      <c r="AN60" s="117">
        <f t="shared" si="44"/>
        <v>479.03564084507047</v>
      </c>
      <c r="AO60" s="147">
        <v>1</v>
      </c>
      <c r="AP60" s="119">
        <v>1</v>
      </c>
      <c r="AQ60" s="120">
        <f t="shared" si="45"/>
        <v>54.426829268292693</v>
      </c>
      <c r="AR60" s="116">
        <f>AO60*产品成本!$D$15+AP60*产品成本!$D$16</f>
        <v>9.5774647887323994</v>
      </c>
      <c r="AS60" s="116">
        <f>AO60*产品成本!$E$15+AP60*产品成本!$E$16</f>
        <v>0.56000000000000005</v>
      </c>
      <c r="AT60" s="116">
        <f>AO60*产品成本!$F$15+AP60*产品成本!$F$16</f>
        <v>0.68</v>
      </c>
      <c r="AU60" s="116"/>
      <c r="AV60" s="116">
        <f t="shared" si="46"/>
        <v>8.1640243902439043</v>
      </c>
      <c r="AW60" s="116">
        <f t="shared" si="47"/>
        <v>-1.6328048780487809</v>
      </c>
      <c r="AX60" s="117">
        <f t="shared" si="48"/>
        <v>17.348684300927523</v>
      </c>
      <c r="AY60" s="122">
        <f t="shared" si="55"/>
        <v>461.68695654414296</v>
      </c>
      <c r="AZ60" s="122">
        <f t="shared" si="49"/>
        <v>920.97</v>
      </c>
      <c r="BA60" s="122">
        <f t="shared" si="50"/>
        <v>866.54317073170739</v>
      </c>
      <c r="BB60" s="121">
        <f t="shared" si="51"/>
        <v>136.95621418756446</v>
      </c>
      <c r="BC60" s="123">
        <f t="shared" si="56"/>
        <v>0.15804892221574937</v>
      </c>
    </row>
    <row r="61" spans="1:57" ht="29.1" customHeight="1" x14ac:dyDescent="0.15">
      <c r="A61" s="38" t="s">
        <v>250</v>
      </c>
      <c r="B61" s="58" t="s">
        <v>251</v>
      </c>
      <c r="C61" s="67">
        <v>27</v>
      </c>
      <c r="D61" s="68">
        <v>27</v>
      </c>
      <c r="E61" s="41">
        <v>741.97</v>
      </c>
      <c r="F61" s="101">
        <v>2</v>
      </c>
      <c r="G61" s="101">
        <v>2</v>
      </c>
      <c r="H61" s="41">
        <v>56.9</v>
      </c>
      <c r="I61" s="41">
        <v>6.03</v>
      </c>
      <c r="J61" s="102">
        <v>2</v>
      </c>
      <c r="K61" s="103">
        <f t="shared" si="31"/>
        <v>7.407407407407407E-2</v>
      </c>
      <c r="L61" s="104">
        <v>41.08</v>
      </c>
      <c r="M61" s="105">
        <f t="shared" si="52"/>
        <v>-0.22857142857142856</v>
      </c>
      <c r="N61" s="103">
        <f t="shared" si="53"/>
        <v>-0.18181818181818182</v>
      </c>
      <c r="O61" s="103">
        <f t="shared" si="54"/>
        <v>-0.19903924002806714</v>
      </c>
      <c r="P61" s="106">
        <f t="shared" si="32"/>
        <v>1</v>
      </c>
      <c r="Q61" s="107">
        <f t="shared" si="33"/>
        <v>27.48037037037037</v>
      </c>
      <c r="R61" s="140">
        <f t="shared" si="34"/>
        <v>27.48037037037037</v>
      </c>
      <c r="S61" s="108">
        <f t="shared" si="35"/>
        <v>3.8571428571428572</v>
      </c>
      <c r="T61" s="146">
        <f t="shared" si="36"/>
        <v>4</v>
      </c>
      <c r="U61" s="110">
        <f t="shared" si="37"/>
        <v>0.14814814814814814</v>
      </c>
      <c r="V61" s="71">
        <f t="shared" si="38"/>
        <v>0.35645568932249905</v>
      </c>
      <c r="W61" s="68">
        <v>45223</v>
      </c>
      <c r="X61" s="68">
        <v>258</v>
      </c>
      <c r="Y61" s="68">
        <v>23</v>
      </c>
      <c r="Z61" s="41">
        <v>262.33</v>
      </c>
      <c r="AA61" s="69">
        <v>607.28</v>
      </c>
      <c r="AB61" s="41">
        <v>1.02</v>
      </c>
      <c r="AC61" s="48">
        <f t="shared" si="39"/>
        <v>0.43197536556448424</v>
      </c>
      <c r="AD61" s="49">
        <f t="shared" si="40"/>
        <v>5.7050615837074053E-3</v>
      </c>
      <c r="AE61" s="112">
        <f t="shared" si="41"/>
        <v>8.9147286821705432E-2</v>
      </c>
      <c r="AF61" s="107">
        <f t="shared" si="42"/>
        <v>11.405652173913042</v>
      </c>
      <c r="AG61" s="113">
        <v>6</v>
      </c>
      <c r="AH61" s="115">
        <v>21</v>
      </c>
      <c r="AI61" s="116">
        <f>AG61*产品成本!$D$15+AH61*产品成本!$D$16</f>
        <v>137.74647887323948</v>
      </c>
      <c r="AJ61" s="116">
        <f>AG61*产品成本!$E$15+AH61*产品成本!$E$16</f>
        <v>8.16</v>
      </c>
      <c r="AK61" s="116">
        <f>AG61*产品成本!$F$15+AH61*产品成本!$F$16</f>
        <v>9.18</v>
      </c>
      <c r="AL61" s="116">
        <f>AG61*产品成本!$G$15+AH61*产品成本!$G$16</f>
        <v>105.29999999999998</v>
      </c>
      <c r="AM61" s="116">
        <f t="shared" si="43"/>
        <v>110.39100000000001</v>
      </c>
      <c r="AN61" s="117">
        <f t="shared" si="44"/>
        <v>370.77747887323949</v>
      </c>
      <c r="AO61" s="147">
        <v>1</v>
      </c>
      <c r="AP61" s="119">
        <v>1</v>
      </c>
      <c r="AQ61" s="120">
        <f t="shared" si="45"/>
        <v>50.09756097560976</v>
      </c>
      <c r="AR61" s="116">
        <f>AO61*产品成本!$D$15+AP61*产品成本!$D$16</f>
        <v>9.5774647887323994</v>
      </c>
      <c r="AS61" s="116">
        <f>AO61*产品成本!$E$15+AP61*产品成本!$E$16</f>
        <v>0.56000000000000005</v>
      </c>
      <c r="AT61" s="116">
        <f>AO61*产品成本!$F$15+AP61*产品成本!$F$16</f>
        <v>0.68</v>
      </c>
      <c r="AU61" s="116"/>
      <c r="AV61" s="116">
        <f t="shared" si="46"/>
        <v>7.5146341463414634</v>
      </c>
      <c r="AW61" s="116">
        <f t="shared" si="47"/>
        <v>-1.5029268292682927</v>
      </c>
      <c r="AX61" s="117">
        <f t="shared" si="48"/>
        <v>16.829172105805569</v>
      </c>
      <c r="AY61" s="122">
        <f t="shared" si="55"/>
        <v>353.94830676743391</v>
      </c>
      <c r="AZ61" s="122">
        <f t="shared" si="49"/>
        <v>735.94</v>
      </c>
      <c r="BA61" s="122">
        <f t="shared" si="50"/>
        <v>685.84243902439027</v>
      </c>
      <c r="BB61" s="121">
        <f t="shared" si="51"/>
        <v>69.564132256956384</v>
      </c>
      <c r="BC61" s="123">
        <f t="shared" si="56"/>
        <v>0.10142873683336255</v>
      </c>
    </row>
    <row r="62" spans="1:57" ht="29.1" customHeight="1" x14ac:dyDescent="0.15">
      <c r="A62" s="38" t="s">
        <v>254</v>
      </c>
      <c r="B62" s="58" t="s">
        <v>255</v>
      </c>
      <c r="C62" s="67">
        <v>31</v>
      </c>
      <c r="D62" s="68">
        <v>31</v>
      </c>
      <c r="E62" s="41">
        <v>870.37</v>
      </c>
      <c r="F62" s="101">
        <v>0</v>
      </c>
      <c r="G62" s="101">
        <v>0</v>
      </c>
      <c r="H62" s="41">
        <v>0</v>
      </c>
      <c r="I62" s="41">
        <v>0</v>
      </c>
      <c r="J62" s="102">
        <v>4</v>
      </c>
      <c r="K62" s="103">
        <f t="shared" si="31"/>
        <v>0.12903225806451613</v>
      </c>
      <c r="L62" s="104">
        <v>93.88</v>
      </c>
      <c r="M62" s="105">
        <f t="shared" si="52"/>
        <v>0.14814814814814814</v>
      </c>
      <c r="N62" s="103">
        <f t="shared" si="53"/>
        <v>0.14814814814814814</v>
      </c>
      <c r="O62" s="103">
        <f t="shared" si="54"/>
        <v>0.17305281884712317</v>
      </c>
      <c r="P62" s="106">
        <f t="shared" si="32"/>
        <v>1</v>
      </c>
      <c r="Q62" s="107">
        <f t="shared" si="33"/>
        <v>28.076451612903227</v>
      </c>
      <c r="R62" s="140">
        <f t="shared" si="34"/>
        <v>28.076451612903227</v>
      </c>
      <c r="S62" s="108">
        <f t="shared" si="35"/>
        <v>4.4285714285714288</v>
      </c>
      <c r="T62" s="146">
        <f t="shared" si="36"/>
        <v>7</v>
      </c>
      <c r="U62" s="110">
        <f t="shared" si="37"/>
        <v>0.22580645161290322</v>
      </c>
      <c r="V62" s="71">
        <f t="shared" si="38"/>
        <v>0.35186185185610719</v>
      </c>
      <c r="W62" s="68">
        <v>58473</v>
      </c>
      <c r="X62" s="68">
        <v>304</v>
      </c>
      <c r="Y62" s="68">
        <v>24</v>
      </c>
      <c r="Z62" s="41">
        <v>306.25</v>
      </c>
      <c r="AA62" s="69">
        <v>690.14</v>
      </c>
      <c r="AB62" s="41">
        <v>1.01</v>
      </c>
      <c r="AC62" s="48">
        <f t="shared" si="39"/>
        <v>0.44375054336801228</v>
      </c>
      <c r="AD62" s="49">
        <f t="shared" si="40"/>
        <v>5.1989807261471109E-3</v>
      </c>
      <c r="AE62" s="112">
        <f t="shared" si="41"/>
        <v>7.8947368421052627E-2</v>
      </c>
      <c r="AF62" s="107">
        <f t="shared" si="42"/>
        <v>12.760416666666666</v>
      </c>
      <c r="AG62" s="113">
        <v>6</v>
      </c>
      <c r="AH62" s="115">
        <v>25</v>
      </c>
      <c r="AI62" s="116">
        <f>AG62*产品成本!$D$15+AH62*产品成本!$D$16</f>
        <v>159.15492957746486</v>
      </c>
      <c r="AJ62" s="116">
        <f>AG62*产品成本!$E$15+AH62*产品成本!$E$16</f>
        <v>9.44</v>
      </c>
      <c r="AK62" s="116">
        <f>AG62*产品成本!$F$15+AH62*产品成本!$F$16</f>
        <v>10.54</v>
      </c>
      <c r="AL62" s="116">
        <f>AG62*产品成本!$G$15+AH62*产品成本!$G$16</f>
        <v>120.9</v>
      </c>
      <c r="AM62" s="116">
        <f t="shared" si="43"/>
        <v>130.55549999999999</v>
      </c>
      <c r="AN62" s="117">
        <f t="shared" si="44"/>
        <v>430.59042957746482</v>
      </c>
      <c r="AO62" s="147">
        <v>0</v>
      </c>
      <c r="AP62" s="119">
        <v>4</v>
      </c>
      <c r="AQ62" s="120">
        <f t="shared" si="45"/>
        <v>114.48780487804878</v>
      </c>
      <c r="AR62" s="116">
        <f>AO62*产品成本!$D$15+AP62*产品成本!$D$16</f>
        <v>21.408450704225359</v>
      </c>
      <c r="AS62" s="116">
        <f>AO62*产品成本!$E$15+AP62*产品成本!$E$16</f>
        <v>1.28</v>
      </c>
      <c r="AT62" s="116">
        <f>AO62*产品成本!$F$15+AP62*产品成本!$F$16</f>
        <v>1.36</v>
      </c>
      <c r="AU62" s="116"/>
      <c r="AV62" s="116">
        <f t="shared" si="46"/>
        <v>17.173170731707316</v>
      </c>
      <c r="AW62" s="116">
        <f t="shared" si="47"/>
        <v>-3.4346341463414634</v>
      </c>
      <c r="AX62" s="117">
        <f t="shared" si="48"/>
        <v>37.78698728959121</v>
      </c>
      <c r="AY62" s="122">
        <f t="shared" si="55"/>
        <v>392.80344228787362</v>
      </c>
      <c r="AZ62" s="122">
        <f t="shared" si="49"/>
        <v>870.37</v>
      </c>
      <c r="BA62" s="122">
        <f t="shared" si="50"/>
        <v>755.88219512195121</v>
      </c>
      <c r="BB62" s="121">
        <f t="shared" si="51"/>
        <v>56.828752834077591</v>
      </c>
      <c r="BC62" s="123">
        <f t="shared" si="56"/>
        <v>7.5182023337524245E-2</v>
      </c>
      <c r="BD62" s="144" t="s">
        <v>370</v>
      </c>
      <c r="BE62" s="144"/>
    </row>
    <row r="63" spans="1:57" ht="29.1" customHeight="1" x14ac:dyDescent="0.15">
      <c r="A63" s="38" t="s">
        <v>258</v>
      </c>
      <c r="B63" s="58" t="s">
        <v>259</v>
      </c>
      <c r="C63" s="67">
        <v>28</v>
      </c>
      <c r="D63" s="68">
        <v>28</v>
      </c>
      <c r="E63" s="41">
        <v>744.18</v>
      </c>
      <c r="F63" s="101">
        <v>7</v>
      </c>
      <c r="G63" s="101">
        <v>7</v>
      </c>
      <c r="H63" s="41">
        <v>185.27</v>
      </c>
      <c r="I63" s="41">
        <v>26.47</v>
      </c>
      <c r="J63" s="102">
        <v>5</v>
      </c>
      <c r="K63" s="103">
        <f t="shared" ref="K63" si="57">J63/C63</f>
        <v>0.17857142857142858</v>
      </c>
      <c r="L63" s="104">
        <v>124.49</v>
      </c>
      <c r="M63" s="105">
        <f t="shared" ref="M63" si="58">(C63-C62)/C62</f>
        <v>-9.6774193548387094E-2</v>
      </c>
      <c r="N63" s="103">
        <f t="shared" ref="N63" si="59">(D63-D62)/D62</f>
        <v>-9.6774193548387094E-2</v>
      </c>
      <c r="O63" s="103">
        <f t="shared" ref="O63" si="60">(E63-E62)/E62</f>
        <v>-0.14498431701460304</v>
      </c>
      <c r="P63" s="106">
        <f t="shared" ref="P63" si="61">C63/D63</f>
        <v>1</v>
      </c>
      <c r="Q63" s="107">
        <f t="shared" ref="Q63" si="62">E63/D63</f>
        <v>26.577857142857141</v>
      </c>
      <c r="R63" s="140">
        <f t="shared" ref="R63" si="63">E63/C63</f>
        <v>26.577857142857141</v>
      </c>
      <c r="S63" s="108">
        <f t="shared" ref="S63" si="64">C63/7</f>
        <v>4</v>
      </c>
      <c r="T63" s="146">
        <f t="shared" ref="T63" si="65">D63-Y63</f>
        <v>9</v>
      </c>
      <c r="U63" s="110">
        <f t="shared" ref="U63" si="66">T63/D63</f>
        <v>0.32142857142857145</v>
      </c>
      <c r="V63" s="71">
        <f t="shared" ref="V63" si="67">Z63/(E63-I63)</f>
        <v>0.37701857296122387</v>
      </c>
      <c r="W63" s="68">
        <v>50412</v>
      </c>
      <c r="X63" s="68">
        <v>273</v>
      </c>
      <c r="Y63" s="68">
        <v>19</v>
      </c>
      <c r="Z63" s="41">
        <v>270.58999999999997</v>
      </c>
      <c r="AA63" s="69">
        <v>553.45000000000005</v>
      </c>
      <c r="AB63" s="41">
        <v>0.99</v>
      </c>
      <c r="AC63" s="48">
        <f t="shared" ref="AC63" si="68">Z63/AA63</f>
        <v>0.48891498780377624</v>
      </c>
      <c r="AD63" s="49">
        <f t="shared" ref="AD63" si="69">X63/W63</f>
        <v>5.4153772911211618E-3</v>
      </c>
      <c r="AE63" s="112">
        <f t="shared" ref="AE63" si="70">Y63/X63</f>
        <v>6.95970695970696E-2</v>
      </c>
      <c r="AF63" s="107">
        <f t="shared" ref="AF63" si="71">Z63/Y63</f>
        <v>14.241578947368419</v>
      </c>
      <c r="AG63" s="113">
        <v>3</v>
      </c>
      <c r="AH63" s="115">
        <v>25</v>
      </c>
      <c r="AI63" s="116">
        <f>AG63*产品成本!$D$15+AH63*产品成本!$D$16</f>
        <v>146.47887323943669</v>
      </c>
      <c r="AJ63" s="116">
        <f>AG63*产品成本!$E$15+AH63*产品成本!$E$16</f>
        <v>8.7200000000000006</v>
      </c>
      <c r="AK63" s="116">
        <f>AG63*产品成本!$F$15+AH63*产品成本!$F$16</f>
        <v>9.52</v>
      </c>
      <c r="AL63" s="116">
        <f>AG63*产品成本!$G$15+AH63*产品成本!$G$16</f>
        <v>109.2</v>
      </c>
      <c r="AM63" s="116">
        <f t="shared" ref="AM63" si="72">(E63-I63)*0.15</f>
        <v>107.65649999999998</v>
      </c>
      <c r="AN63" s="117">
        <f t="shared" ref="AN63" si="73">SUM(AI63:AM63)</f>
        <v>381.57537323943671</v>
      </c>
      <c r="AO63" s="147">
        <v>2</v>
      </c>
      <c r="AP63" s="119">
        <v>3</v>
      </c>
      <c r="AQ63" s="120">
        <f t="shared" ref="AQ63" si="74">L63/(1-0.15-0.15*0.2)</f>
        <v>151.8170731707317</v>
      </c>
      <c r="AR63" s="116">
        <f>AO63*产品成本!$D$15+AP63*产品成本!$D$16</f>
        <v>24.507042253521139</v>
      </c>
      <c r="AS63" s="116">
        <f>AO63*产品成本!$E$15+AP63*产品成本!$E$16</f>
        <v>1.44</v>
      </c>
      <c r="AT63" s="116">
        <f>AO63*产品成本!$F$15+AP63*产品成本!$F$16</f>
        <v>1.7000000000000002</v>
      </c>
      <c r="AU63" s="116"/>
      <c r="AV63" s="116">
        <f t="shared" ref="AV63" si="75">AQ63*0.15</f>
        <v>22.772560975609753</v>
      </c>
      <c r="AW63" s="116">
        <f t="shared" ref="AW63" si="76">-AV63*0.2</f>
        <v>-4.5545121951219505</v>
      </c>
      <c r="AX63" s="117">
        <f t="shared" ref="AX63" si="77">SUM(AR63:AW63)</f>
        <v>45.865091034008941</v>
      </c>
      <c r="AY63" s="122">
        <f t="shared" ref="AY63" si="78">AN63-AX63</f>
        <v>335.7102822054278</v>
      </c>
      <c r="AZ63" s="122">
        <f t="shared" ref="AZ63" si="79">E63-I63</f>
        <v>717.70999999999992</v>
      </c>
      <c r="BA63" s="122">
        <f t="shared" ref="BA63" si="80">E63-AQ63-I63</f>
        <v>565.89292682926816</v>
      </c>
      <c r="BB63" s="121">
        <f t="shared" ref="BB63" si="81">BA63-AY63-Z63</f>
        <v>-40.407355376159614</v>
      </c>
      <c r="BC63" s="123">
        <f t="shared" ref="BC63" si="82">BB63/BA63</f>
        <v>-7.1404595216562325E-2</v>
      </c>
      <c r="BD63" s="144" t="s">
        <v>370</v>
      </c>
      <c r="BE63" s="144"/>
    </row>
    <row r="64" spans="1:57" ht="29.1" customHeight="1" x14ac:dyDescent="0.15">
      <c r="A64" s="38" t="s">
        <v>262</v>
      </c>
      <c r="B64" s="58" t="s">
        <v>263</v>
      </c>
      <c r="C64" s="67">
        <v>32</v>
      </c>
      <c r="D64" s="68">
        <v>32</v>
      </c>
      <c r="E64" s="41">
        <v>830.12</v>
      </c>
      <c r="F64" s="101">
        <v>22</v>
      </c>
      <c r="G64" s="101">
        <v>22</v>
      </c>
      <c r="H64" s="41">
        <v>570.32000000000005</v>
      </c>
      <c r="I64" s="41">
        <v>25.92</v>
      </c>
      <c r="J64" s="102">
        <v>3</v>
      </c>
      <c r="K64" s="103">
        <f t="shared" ref="K64" si="83">J64/C64</f>
        <v>9.375E-2</v>
      </c>
      <c r="L64" s="104">
        <v>68.680000000000007</v>
      </c>
      <c r="M64" s="105">
        <f t="shared" ref="M64" si="84">(C64-C63)/C63</f>
        <v>0.14285714285714285</v>
      </c>
      <c r="N64" s="103">
        <f t="shared" ref="N64" si="85">(D64-D63)/D63</f>
        <v>0.14285714285714285</v>
      </c>
      <c r="O64" s="103">
        <f t="shared" ref="O64" si="86">(E64-E63)/E63</f>
        <v>0.11548281329785813</v>
      </c>
      <c r="P64" s="106">
        <f t="shared" ref="P64" si="87">C64/D64</f>
        <v>1</v>
      </c>
      <c r="Q64" s="107">
        <f t="shared" ref="Q64" si="88">E64/D64</f>
        <v>25.94125</v>
      </c>
      <c r="R64" s="140">
        <f t="shared" ref="R64" si="89">E64/C64</f>
        <v>25.94125</v>
      </c>
      <c r="S64" s="108">
        <f t="shared" ref="S64" si="90">C64/7</f>
        <v>4.5714285714285712</v>
      </c>
      <c r="T64" s="146">
        <f t="shared" ref="T64" si="91">D64-Y64</f>
        <v>4</v>
      </c>
      <c r="U64" s="110">
        <f t="shared" ref="U64" si="92">T64/D64</f>
        <v>0.125</v>
      </c>
      <c r="V64" s="71">
        <f t="shared" ref="V64" si="93">Z64/(E64-I64)</f>
        <v>0.35966177567769209</v>
      </c>
      <c r="W64" s="68">
        <v>49334</v>
      </c>
      <c r="X64" s="68">
        <v>286</v>
      </c>
      <c r="Y64" s="68">
        <v>28</v>
      </c>
      <c r="Z64" s="41">
        <v>289.24</v>
      </c>
      <c r="AA64" s="69">
        <v>744.27</v>
      </c>
      <c r="AB64" s="41">
        <v>1.01</v>
      </c>
      <c r="AC64" s="48">
        <f t="shared" ref="AC64" si="94">Z64/AA64</f>
        <v>0.38862240853453722</v>
      </c>
      <c r="AD64" s="49">
        <f t="shared" ref="AD64" si="95">X64/W64</f>
        <v>5.7972189565005878E-3</v>
      </c>
      <c r="AE64" s="112">
        <f t="shared" ref="AE64" si="96">Y64/X64</f>
        <v>9.7902097902097904E-2</v>
      </c>
      <c r="AF64" s="107">
        <f t="shared" ref="AF64" si="97">Z64/Y64</f>
        <v>10.33</v>
      </c>
      <c r="AG64" s="113">
        <v>10</v>
      </c>
      <c r="AH64" s="115">
        <v>22</v>
      </c>
      <c r="AI64" s="116">
        <f>AG64*产品成本!$D$15+AH64*产品成本!$D$16</f>
        <v>160.00000000000009</v>
      </c>
      <c r="AJ64" s="116">
        <f>AG64*产品成本!$E$15+AH64*产品成本!$E$16</f>
        <v>9.44</v>
      </c>
      <c r="AK64" s="116">
        <f>AG64*产品成本!$F$15+AH64*产品成本!$F$16</f>
        <v>10.88</v>
      </c>
      <c r="AL64" s="116">
        <f>AG64*产品成本!$G$15+AH64*产品成本!$G$16</f>
        <v>124.8</v>
      </c>
      <c r="AM64" s="116">
        <f t="shared" ref="AM64" si="98">(E64-I64)*0.15</f>
        <v>120.63</v>
      </c>
      <c r="AN64" s="117">
        <f t="shared" ref="AN64" si="99">SUM(AI64:AM64)</f>
        <v>425.75000000000006</v>
      </c>
      <c r="AO64" s="147">
        <v>0</v>
      </c>
      <c r="AP64" s="119">
        <v>3</v>
      </c>
      <c r="AQ64" s="120">
        <f t="shared" ref="AQ64" si="100">L64/(1-0.15-0.15*0.2)</f>
        <v>83.756097560975618</v>
      </c>
      <c r="AR64" s="116">
        <f>AO64*产品成本!$D$15+AP64*产品成本!$D$16</f>
        <v>16.056338028169019</v>
      </c>
      <c r="AS64" s="116">
        <f>AO64*产品成本!$E$15+AP64*产品成本!$E$16</f>
        <v>0.96</v>
      </c>
      <c r="AT64" s="116">
        <f>AO64*产品成本!$F$15+AP64*产品成本!$F$16</f>
        <v>1.02</v>
      </c>
      <c r="AU64" s="116"/>
      <c r="AV64" s="116">
        <f t="shared" ref="AV64" si="101">AQ64*0.15</f>
        <v>12.563414634146342</v>
      </c>
      <c r="AW64" s="116">
        <f t="shared" ref="AW64" si="102">-AV64*0.2</f>
        <v>-2.5126829268292687</v>
      </c>
      <c r="AX64" s="117">
        <f t="shared" ref="AX64" si="103">SUM(AR64:AW64)</f>
        <v>28.087069735486093</v>
      </c>
      <c r="AY64" s="122">
        <f t="shared" ref="AY64" si="104">AN64-AX64</f>
        <v>397.66293026451399</v>
      </c>
      <c r="AZ64" s="122">
        <f t="shared" ref="AZ64" si="105">E64-I64</f>
        <v>804.2</v>
      </c>
      <c r="BA64" s="122">
        <f t="shared" ref="BA64" si="106">E64-AQ64-I64</f>
        <v>720.44390243902444</v>
      </c>
      <c r="BB64" s="121">
        <f t="shared" ref="BB64" si="107">BA64-AY64-Z64</f>
        <v>33.540972174510443</v>
      </c>
      <c r="BC64" s="123">
        <f t="shared" ref="BC64" si="108">BB64/BA64</f>
        <v>4.6555980362883588E-2</v>
      </c>
      <c r="BD64" s="144" t="s">
        <v>370</v>
      </c>
      <c r="BE64" s="144"/>
    </row>
    <row r="65" spans="1:57" ht="29.1" customHeight="1" x14ac:dyDescent="0.15">
      <c r="A65" s="38" t="s">
        <v>458</v>
      </c>
      <c r="B65" s="58" t="s">
        <v>459</v>
      </c>
      <c r="C65" s="67">
        <v>30</v>
      </c>
      <c r="D65" s="68">
        <v>29</v>
      </c>
      <c r="E65" s="41">
        <v>794.9</v>
      </c>
      <c r="F65" s="101">
        <v>23</v>
      </c>
      <c r="G65" s="101">
        <v>22</v>
      </c>
      <c r="H65" s="41">
        <v>609.63</v>
      </c>
      <c r="I65" s="41">
        <v>26.51</v>
      </c>
      <c r="J65" s="102">
        <v>3</v>
      </c>
      <c r="K65" s="103">
        <f t="shared" ref="K65" si="109">J65/C65</f>
        <v>0.1</v>
      </c>
      <c r="L65" s="104">
        <v>61.5</v>
      </c>
      <c r="M65" s="105">
        <f t="shared" ref="M65" si="110">(C65-C64)/C64</f>
        <v>-6.25E-2</v>
      </c>
      <c r="N65" s="103">
        <f t="shared" ref="N65" si="111">(D65-D64)/D64</f>
        <v>-9.375E-2</v>
      </c>
      <c r="O65" s="103">
        <f t="shared" ref="O65" si="112">(E65-E64)/E64</f>
        <v>-4.2427600828795868E-2</v>
      </c>
      <c r="P65" s="106">
        <f t="shared" ref="P65" si="113">C65/D65</f>
        <v>1.0344827586206897</v>
      </c>
      <c r="Q65" s="107">
        <f t="shared" ref="Q65" si="114">E65/D65</f>
        <v>27.410344827586208</v>
      </c>
      <c r="R65" s="140">
        <f t="shared" ref="R65" si="115">E65/C65</f>
        <v>26.496666666666666</v>
      </c>
      <c r="S65" s="108">
        <f t="shared" ref="S65" si="116">C65/7</f>
        <v>4.2857142857142856</v>
      </c>
      <c r="T65" s="146">
        <f t="shared" ref="T65" si="117">D65-Y65</f>
        <v>1</v>
      </c>
      <c r="U65" s="110">
        <f t="shared" ref="U65" si="118">T65/D65</f>
        <v>3.4482758620689655E-2</v>
      </c>
      <c r="V65" s="71">
        <f t="shared" ref="V65" si="119">Z65/(E65-I65)</f>
        <v>0.37902627571936126</v>
      </c>
      <c r="W65" s="68">
        <v>45965</v>
      </c>
      <c r="X65" s="68">
        <v>307</v>
      </c>
      <c r="Y65" s="68">
        <v>28</v>
      </c>
      <c r="Z65" s="41">
        <v>291.24</v>
      </c>
      <c r="AA65" s="69">
        <v>778.34</v>
      </c>
      <c r="AB65" s="41">
        <v>0.95</v>
      </c>
      <c r="AC65" s="48">
        <f t="shared" ref="AC65" si="120">Z65/AA65</f>
        <v>0.37418094919957856</v>
      </c>
      <c r="AD65" s="49">
        <f t="shared" ref="AD65" si="121">X65/W65</f>
        <v>6.6789948874143371E-3</v>
      </c>
      <c r="AE65" s="112">
        <f t="shared" ref="AE65" si="122">Y65/X65</f>
        <v>9.1205211726384364E-2</v>
      </c>
      <c r="AF65" s="107">
        <f t="shared" ref="AF65" si="123">Z65/Y65</f>
        <v>10.401428571428571</v>
      </c>
      <c r="AG65" s="113">
        <v>4</v>
      </c>
      <c r="AH65" s="115">
        <v>26</v>
      </c>
      <c r="AI65" s="116">
        <f>AG65*产品成本!$D$15+AH65*产品成本!$D$16</f>
        <v>156.05633802816908</v>
      </c>
      <c r="AJ65" s="116">
        <f>AG65*产品成本!$E$15+AH65*产品成本!$E$16</f>
        <v>9.2800000000000011</v>
      </c>
      <c r="AK65" s="116">
        <f>AG65*产品成本!$F$15+AH65*产品成本!$F$16</f>
        <v>10.199999999999999</v>
      </c>
      <c r="AL65" s="116">
        <f>AG65*产品成本!$G$15+AH65*产品成本!$G$16</f>
        <v>116.99999999999999</v>
      </c>
      <c r="AM65" s="116">
        <f t="shared" ref="AM65" si="124">(E65-I65)*0.15</f>
        <v>115.2585</v>
      </c>
      <c r="AN65" s="117">
        <f t="shared" ref="AN65" si="125">SUM(AI65:AM65)</f>
        <v>407.79483802816901</v>
      </c>
      <c r="AO65" s="147">
        <v>1</v>
      </c>
      <c r="AP65" s="119">
        <v>2</v>
      </c>
      <c r="AQ65" s="120">
        <f t="shared" ref="AQ65" si="126">L65/(1-0.15-0.15*0.2)</f>
        <v>75</v>
      </c>
      <c r="AR65" s="116">
        <f>AO65*产品成本!$D$15+AP65*产品成本!$D$16</f>
        <v>14.929577464788739</v>
      </c>
      <c r="AS65" s="116">
        <f>AO65*产品成本!$E$15+AP65*产品成本!$E$16</f>
        <v>0.88</v>
      </c>
      <c r="AT65" s="116">
        <f>AO65*产品成本!$F$15+AP65*产品成本!$F$16</f>
        <v>1.02</v>
      </c>
      <c r="AU65" s="116"/>
      <c r="AV65" s="116">
        <f t="shared" ref="AV65" si="127">AQ65*0.15</f>
        <v>11.25</v>
      </c>
      <c r="AW65" s="116">
        <f t="shared" ref="AW65" si="128">-AV65*0.2</f>
        <v>-2.25</v>
      </c>
      <c r="AX65" s="117">
        <f t="shared" ref="AX65" si="129">SUM(AR65:AW65)</f>
        <v>25.829577464788741</v>
      </c>
      <c r="AY65" s="122">
        <f t="shared" ref="AY65" si="130">AN65-AX65</f>
        <v>381.9652605633803</v>
      </c>
      <c r="AZ65" s="122">
        <f t="shared" ref="AZ65" si="131">E65-I65</f>
        <v>768.39</v>
      </c>
      <c r="BA65" s="122">
        <f t="shared" ref="BA65" si="132">E65-AQ65-I65</f>
        <v>693.39</v>
      </c>
      <c r="BB65" s="121">
        <f t="shared" ref="BB65" si="133">BA65-AY65-Z65</f>
        <v>20.18473943661968</v>
      </c>
      <c r="BC65" s="123">
        <f t="shared" ref="BC65" si="134">BB65/BA65</f>
        <v>2.9110225755519518E-2</v>
      </c>
      <c r="BD65" s="144" t="s">
        <v>370</v>
      </c>
      <c r="BE65" s="144"/>
    </row>
    <row r="66" spans="1:57" ht="29.1" customHeight="1" x14ac:dyDescent="0.15">
      <c r="A66" s="127" t="s">
        <v>266</v>
      </c>
      <c r="B66" s="128"/>
      <c r="C66" s="128">
        <f>SUBTOTAL(109,表3_3914[销量])</f>
        <v>1561</v>
      </c>
      <c r="D66" s="128">
        <f>SUBTOTAL(109,表3_3914[订单量])</f>
        <v>1541</v>
      </c>
      <c r="E66" s="128">
        <f>SUBTOTAL(109,表3_3914[销售额])</f>
        <v>39975.300000000017</v>
      </c>
      <c r="F66" s="128">
        <f>SUBTOTAL(109,表3_3914[促销销量])</f>
        <v>204</v>
      </c>
      <c r="G66" s="128">
        <f>SUBTOTAL(109,表3_3914[促销订单量])</f>
        <v>201</v>
      </c>
      <c r="H66" s="128">
        <f>SUBTOTAL(109,表3_3914[促销销售额])</f>
        <v>5179.4400000000014</v>
      </c>
      <c r="I66" s="128">
        <f>SUBTOTAL(109,表3_3914[促销折扣])</f>
        <v>557.93999999999994</v>
      </c>
      <c r="J66" s="128">
        <f>SUBTOTAL(109,表3_3914[退款量])</f>
        <v>142</v>
      </c>
      <c r="K66" s="129">
        <f t="shared" si="31"/>
        <v>9.0967328635490077E-2</v>
      </c>
      <c r="L66" s="130">
        <f>SUBTOTAL(109,表3_3914[退款金额])</f>
        <v>3070.01</v>
      </c>
      <c r="M66" s="128"/>
      <c r="N66" s="128"/>
      <c r="O66" s="128"/>
      <c r="P66" s="131">
        <f>SUBTOTAL(101,表3_3914[客单
销量])</f>
        <v>1.0110199953190384</v>
      </c>
      <c r="Q66" s="131">
        <f>SUBTOTAL(101,表3_3914[客单
价格($)])</f>
        <v>26.12236829425062</v>
      </c>
      <c r="R66" s="131">
        <f>SUBTOTAL(101,表3_3914[销售
均价($)])</f>
        <v>25.832376264931405</v>
      </c>
      <c r="S66" s="131">
        <f>SUBTOTAL(101,表3_3914[日均
销量])</f>
        <v>3.5967741935483857</v>
      </c>
      <c r="T66" s="132">
        <f>SUBTOTAL(109,表3_3914[自然
订单])</f>
        <v>412</v>
      </c>
      <c r="U66" s="133">
        <f t="shared" si="37"/>
        <v>0.2673588578844906</v>
      </c>
      <c r="V66" s="129">
        <f>SUBTOTAL(101,表3_3914[TAcos
(%)])</f>
        <v>0.35459551081256524</v>
      </c>
      <c r="W66" s="128">
        <f>SUBTOTAL(109,表3_3914[展示])</f>
        <v>2165311</v>
      </c>
      <c r="X66" s="128">
        <f>SUBTOTAL(109,表3_3914[点击])</f>
        <v>13536</v>
      </c>
      <c r="Y66" s="128">
        <f>SUBTOTAL(109,表3_3914[广告订单量])</f>
        <v>1129</v>
      </c>
      <c r="Z66" s="128">
        <f>SUBTOTAL(109,表3_3914[广告花费])</f>
        <v>12960.25</v>
      </c>
      <c r="AA66" s="128">
        <f>SUBTOTAL(109,表3_3914[广告销售额])</f>
        <v>28853.94</v>
      </c>
      <c r="AB66" s="128">
        <f>SUBTOTAL(101,表3_3914[CPC])</f>
        <v>0.92919354838709689</v>
      </c>
      <c r="AC66" s="129">
        <f t="shared" si="39"/>
        <v>0.44916742739466431</v>
      </c>
      <c r="AD66" s="129">
        <f t="shared" ref="AD66:AF66" si="135">X66/W66</f>
        <v>6.2512960032069294E-3</v>
      </c>
      <c r="AE66" s="129">
        <f t="shared" si="135"/>
        <v>8.3407210401891252E-2</v>
      </c>
      <c r="AF66" s="131">
        <f t="shared" si="135"/>
        <v>11.479406554472986</v>
      </c>
      <c r="AG66" s="128">
        <f>SUBTOTAL(109,表3_3914[3FT])</f>
        <v>241</v>
      </c>
      <c r="AH66" s="128">
        <f>SUBTOTAL(109,表3_3914[6FT])</f>
        <v>1318</v>
      </c>
      <c r="AI66" s="130">
        <f>SUBTOTAL(109,表3_3914[产品成本])</f>
        <v>8072.3943661971862</v>
      </c>
      <c r="AJ66" s="130">
        <f>SUBTOTAL(109,表3_3914[头程])</f>
        <v>479.6</v>
      </c>
      <c r="AK66" s="130">
        <f>SUBTOTAL(109,表3_3914[入仓费])</f>
        <v>530.06000000000017</v>
      </c>
      <c r="AL66" s="130">
        <f>SUBTOTAL(109,表3_3914[FBA物流])</f>
        <v>6080.0999999999995</v>
      </c>
      <c r="AM66" s="130">
        <f>SUBTOTAL(109,表3_3914[佣金])</f>
        <v>5912.6040000000003</v>
      </c>
      <c r="AN66" s="130">
        <f>SUBTOTAL(109,表3_3914[成本小结])</f>
        <v>21074.758366197191</v>
      </c>
      <c r="AO66" s="135">
        <f>SUBTOTAL(109,表3_3914[退款3FT])</f>
        <v>33</v>
      </c>
      <c r="AP66" s="135">
        <f>SUBTOTAL(109,表3_3914[退款6FT])</f>
        <v>110</v>
      </c>
      <c r="AQ66" s="130">
        <f>SUBTOTAL(109,表3_3914[退款
销售金额])</f>
        <v>3743.914634146342</v>
      </c>
      <c r="AR66" s="130">
        <f>SUBTOTAL(109,表3_3914[退款
产品成本])</f>
        <v>728.16901408450735</v>
      </c>
      <c r="AS66" s="130">
        <f>SUBTOTAL(109,表3_3914[退款头程])</f>
        <v>43.120000000000019</v>
      </c>
      <c r="AT66" s="130">
        <f>SUBTOTAL(109,表3_3914[退款
入仓费])</f>
        <v>48.620000000000019</v>
      </c>
      <c r="AU66" s="130">
        <f>SUBTOTAL(109,表3_3914[退款
FBA物流])</f>
        <v>0</v>
      </c>
      <c r="AV66" s="130">
        <f>SUBTOTAL(109,表3_3914[退款佣金])</f>
        <v>561.58719512195114</v>
      </c>
      <c r="AW66" s="130">
        <f>SUBTOTAL(109,表3_3914[退款
管理费用
佣金的20%])</f>
        <v>-112.31743902439025</v>
      </c>
      <c r="AX66" s="130">
        <f>SUBTOTAL(109,表3_3914[退款
成本小结])</f>
        <v>1269.1787701820683</v>
      </c>
      <c r="AY66" s="130">
        <f>SUBTOTAL(109,表3_3914[净成本])</f>
        <v>19805.579596015119</v>
      </c>
      <c r="AZ66" s="130">
        <f>SUBTOTAL(109,表3_3914[净销售额])</f>
        <v>39417.360000000001</v>
      </c>
      <c r="BA66" s="130">
        <f>SUBTOTAL(109,表3_3914[净销售额
(-退款金额)])</f>
        <v>35673.445365853659</v>
      </c>
      <c r="BB66" s="130">
        <f>SUBTOTAL(109,表3_3914[毛利])</f>
        <v>2907.61576983854</v>
      </c>
      <c r="BC66" s="129">
        <f>SUBTOTAL(101,表3_3914[毛利率])</f>
        <v>4.2349974694435945E-2</v>
      </c>
      <c r="BD66" t="s">
        <v>371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M4:O6" evalError="1"/>
    <ignoredError sqref="BC11:BC20 BC4:BC7 AY4:AY7 AY11:AY20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39988402966399123"/>
  </sheetPr>
  <dimension ref="A1:BE57"/>
  <sheetViews>
    <sheetView workbookViewId="0">
      <pane xSplit="12" ySplit="3" topLeftCell="AU46" activePane="bottomRight" state="frozen"/>
      <selection pane="topRight"/>
      <selection pane="bottomLeft"/>
      <selection pane="bottomRight" activeCell="A56" sqref="A56:XFD56"/>
    </sheetView>
  </sheetViews>
  <sheetFormatPr defaultColWidth="9" defaultRowHeight="13.5" customHeight="1" zero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9.375" customWidth="1"/>
    <col min="6" max="7" width="6.5" customWidth="1"/>
    <col min="8" max="8" width="8.375" customWidth="1"/>
    <col min="9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8.12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4" width="7.375" customWidth="1"/>
    <col min="35" max="35" width="10.375" customWidth="1"/>
    <col min="36" max="37" width="8.375" customWidth="1"/>
    <col min="38" max="40" width="11.5" customWidth="1"/>
    <col min="41" max="41" width="8.875" customWidth="1"/>
    <col min="42" max="42" width="8.5" customWidth="1"/>
    <col min="43" max="43" width="10.375" customWidth="1"/>
    <col min="44" max="44" width="9.25" customWidth="1"/>
    <col min="45" max="45" width="8.625" customWidth="1"/>
    <col min="46" max="46" width="8.125" customWidth="1"/>
    <col min="47" max="47" width="8" customWidth="1"/>
    <col min="48" max="50" width="9.375" customWidth="1"/>
    <col min="51" max="52" width="10.375" customWidth="1"/>
    <col min="53" max="53" width="12" customWidth="1"/>
    <col min="54" max="54" width="10.375" customWidth="1"/>
    <col min="55" max="55" width="9.25" customWidth="1"/>
    <col min="56" max="56" width="33.875" customWidth="1"/>
  </cols>
  <sheetData>
    <row r="1" spans="1:57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80"/>
      <c r="AO1" s="281" t="s">
        <v>4</v>
      </c>
      <c r="AP1" s="282"/>
      <c r="AQ1" s="282"/>
      <c r="AR1" s="282"/>
      <c r="AS1" s="282"/>
      <c r="AT1" s="282"/>
      <c r="AU1" s="282"/>
      <c r="AV1" s="282"/>
      <c r="AW1" s="282"/>
      <c r="AX1" s="282"/>
      <c r="AY1" s="269" t="s">
        <v>5</v>
      </c>
      <c r="AZ1" s="270"/>
      <c r="BA1" s="270"/>
      <c r="BB1" s="270"/>
      <c r="BC1" s="270"/>
    </row>
    <row r="2" spans="1:57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304"/>
      <c r="AI2" s="295" t="s">
        <v>7</v>
      </c>
      <c r="AJ2" s="295"/>
      <c r="AK2" s="295"/>
      <c r="AL2" s="295"/>
      <c r="AM2" s="295"/>
      <c r="AN2" s="295"/>
      <c r="AO2" s="296" t="s">
        <v>6</v>
      </c>
      <c r="AP2" s="305"/>
      <c r="AQ2" s="298" t="s">
        <v>7</v>
      </c>
      <c r="AR2" s="298"/>
      <c r="AS2" s="298"/>
      <c r="AT2" s="298"/>
      <c r="AU2" s="298"/>
      <c r="AV2" s="298"/>
      <c r="AW2" s="298"/>
      <c r="AX2" s="298"/>
      <c r="AY2" s="269"/>
      <c r="AZ2" s="270"/>
      <c r="BA2" s="270"/>
      <c r="BB2" s="270"/>
      <c r="BC2" s="270"/>
    </row>
    <row r="3" spans="1:57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136" t="s">
        <v>372</v>
      </c>
      <c r="AH3" s="137" t="s">
        <v>373</v>
      </c>
      <c r="AI3" s="92" t="s">
        <v>43</v>
      </c>
      <c r="AJ3" s="92" t="s">
        <v>44</v>
      </c>
      <c r="AK3" s="92" t="s">
        <v>45</v>
      </c>
      <c r="AL3" s="92" t="s">
        <v>46</v>
      </c>
      <c r="AM3" s="92" t="s">
        <v>47</v>
      </c>
      <c r="AN3" s="93" t="s">
        <v>48</v>
      </c>
      <c r="AO3" s="138" t="s">
        <v>374</v>
      </c>
      <c r="AP3" s="139" t="s">
        <v>375</v>
      </c>
      <c r="AQ3" s="97" t="s">
        <v>52</v>
      </c>
      <c r="AR3" s="97" t="s">
        <v>53</v>
      </c>
      <c r="AS3" s="97" t="s">
        <v>54</v>
      </c>
      <c r="AT3" s="97" t="s">
        <v>55</v>
      </c>
      <c r="AU3" s="97" t="s">
        <v>56</v>
      </c>
      <c r="AV3" s="98" t="s">
        <v>57</v>
      </c>
      <c r="AW3" s="97" t="s">
        <v>58</v>
      </c>
      <c r="AX3" s="97" t="s">
        <v>59</v>
      </c>
      <c r="AY3" s="99" t="s">
        <v>60</v>
      </c>
      <c r="AZ3" s="99" t="s">
        <v>61</v>
      </c>
      <c r="BA3" s="99" t="s">
        <v>62</v>
      </c>
      <c r="BB3" s="100" t="s">
        <v>63</v>
      </c>
      <c r="BC3" s="100" t="s">
        <v>64</v>
      </c>
      <c r="BD3" s="1" t="s">
        <v>66</v>
      </c>
      <c r="BE3" t="s">
        <v>275</v>
      </c>
    </row>
    <row r="4" spans="1:57" ht="29.1" customHeight="1" x14ac:dyDescent="0.15">
      <c r="A4" s="38" t="s">
        <v>128</v>
      </c>
      <c r="B4" s="66" t="s">
        <v>129</v>
      </c>
      <c r="C4" s="67">
        <v>1</v>
      </c>
      <c r="D4" s="68">
        <v>1</v>
      </c>
      <c r="E4" s="41">
        <v>25.89</v>
      </c>
      <c r="F4" s="101"/>
      <c r="G4" s="101"/>
      <c r="H4" s="41"/>
      <c r="I4" s="41"/>
      <c r="J4" s="102">
        <v>0</v>
      </c>
      <c r="K4" s="103">
        <f t="shared" ref="K4:K35" si="0"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 t="shared" ref="P4:P35" si="1">C4/D4</f>
        <v>1</v>
      </c>
      <c r="Q4" s="107">
        <f t="shared" ref="Q4:Q35" si="2">E4/D4</f>
        <v>25.89</v>
      </c>
      <c r="R4" s="140">
        <f t="shared" ref="R4:R35" si="3">E4/C4</f>
        <v>25.89</v>
      </c>
      <c r="S4" s="108">
        <f t="shared" ref="S4:S29" si="4">C4/7</f>
        <v>0.14285714285714285</v>
      </c>
      <c r="T4" s="109">
        <f t="shared" ref="T4:T12" si="5">D4-Y4</f>
        <v>-2</v>
      </c>
      <c r="U4" s="110">
        <f t="shared" ref="U4:U35" si="6">T4/D4</f>
        <v>-2</v>
      </c>
      <c r="V4" s="71">
        <f t="shared" ref="V4:V35" si="7">Z4/(E4-I4)</f>
        <v>0.88644264194669753</v>
      </c>
      <c r="W4" s="68">
        <v>3623</v>
      </c>
      <c r="X4" s="68">
        <v>23</v>
      </c>
      <c r="Y4" s="68">
        <v>3</v>
      </c>
      <c r="Z4" s="41">
        <v>22.95</v>
      </c>
      <c r="AA4" s="69">
        <v>67.47</v>
      </c>
      <c r="AB4" s="68">
        <v>1</v>
      </c>
      <c r="AC4" s="48">
        <f t="shared" ref="AC4:AC35" si="8">Z4/AA4</f>
        <v>0.34015117830146729</v>
      </c>
      <c r="AD4" s="49">
        <f t="shared" ref="AD4:AD35" si="9">X4/W4</f>
        <v>6.3483301131658848E-3</v>
      </c>
      <c r="AE4" s="112">
        <f t="shared" ref="AE4:AE35" si="10">Y4/X4</f>
        <v>0.13043478260869565</v>
      </c>
      <c r="AF4" s="107">
        <f t="shared" ref="AF4:AF35" si="11">Z4/Y4</f>
        <v>7.6499999999999995</v>
      </c>
      <c r="AG4" s="113">
        <v>1</v>
      </c>
      <c r="AH4" s="115"/>
      <c r="AI4" s="116">
        <f>AG4*产品成本!$D$17+AH4*产品成本!$D$18</f>
        <v>5.63</v>
      </c>
      <c r="AJ4" s="116">
        <f>AG4*产品成本!$E$17+AH4*产品成本!$E$18</f>
        <v>0.32</v>
      </c>
      <c r="AK4" s="116">
        <f>AG4*产品成本!$F$17+AH4*产品成本!$F$18</f>
        <v>0.34</v>
      </c>
      <c r="AL4" s="116">
        <f>AG4*产品成本!$G$17+AH4*产品成本!$G$18</f>
        <v>3.9</v>
      </c>
      <c r="AM4" s="116">
        <f t="shared" ref="AM4:AM35" si="12">(E4-I4)*0.15</f>
        <v>3.8834999999999997</v>
      </c>
      <c r="AN4" s="117">
        <f t="shared" ref="AN4:AN35" si="13">SUM(AI4:AM4)</f>
        <v>14.073499999999999</v>
      </c>
      <c r="AO4" s="118">
        <v>0</v>
      </c>
      <c r="AP4" s="119"/>
      <c r="AQ4" s="141">
        <f>AO4*产品成本!$D$17+AP4*产品成本!$D$18</f>
        <v>0</v>
      </c>
      <c r="AR4" s="142">
        <f>AO4*产品成本!$E$17+AP4*产品成本!$E$18</f>
        <v>0</v>
      </c>
      <c r="AS4" s="142">
        <f>AO4*产品成本!$F$17+AP4*产品成本!$F$18</f>
        <v>0</v>
      </c>
      <c r="AT4" s="142">
        <f>AO4*产品成本!$G$17+AP4*产品成本!$G$18</f>
        <v>0</v>
      </c>
      <c r="AU4" s="142"/>
      <c r="AV4" s="142">
        <f t="shared" ref="AV4:AV35" si="14">AQ4*0.15</f>
        <v>0</v>
      </c>
      <c r="AW4" s="142">
        <f t="shared" ref="AW4:AW35" si="15">-AV4*0.2</f>
        <v>0</v>
      </c>
      <c r="AX4" s="117">
        <f t="shared" ref="AX4:AX29" si="16">SUM(AR4:AW4)</f>
        <v>0</v>
      </c>
      <c r="AY4" s="122">
        <f t="shared" ref="AY4:AY29" si="17">AN4-AX4</f>
        <v>14.073499999999999</v>
      </c>
      <c r="AZ4" s="122">
        <f t="shared" ref="AZ4:AZ35" si="18">E4-I4</f>
        <v>25.89</v>
      </c>
      <c r="BA4" s="122">
        <f t="shared" ref="BA4:BA35" si="19">E4-AQ4-I4</f>
        <v>25.89</v>
      </c>
      <c r="BB4" s="121">
        <f t="shared" ref="BB4:BB12" si="20">BA4-AY4-Z4</f>
        <v>-11.133499999999998</v>
      </c>
      <c r="BC4" s="123">
        <f t="shared" ref="BC4:BC12" si="21">BB4/BA4</f>
        <v>-0.43003089996137495</v>
      </c>
    </row>
    <row r="5" spans="1:57" ht="29.1" customHeight="1" x14ac:dyDescent="0.15">
      <c r="A5" s="38" t="s">
        <v>130</v>
      </c>
      <c r="B5" s="66" t="s">
        <v>131</v>
      </c>
      <c r="C5" s="67">
        <v>9</v>
      </c>
      <c r="D5" s="68">
        <v>9</v>
      </c>
      <c r="E5" s="41">
        <v>233.01</v>
      </c>
      <c r="F5" s="101"/>
      <c r="G5" s="101"/>
      <c r="H5" s="41"/>
      <c r="I5" s="41"/>
      <c r="J5" s="102">
        <v>0</v>
      </c>
      <c r="K5" s="103">
        <f t="shared" si="0"/>
        <v>0</v>
      </c>
      <c r="L5" s="104">
        <v>0</v>
      </c>
      <c r="M5" s="105">
        <f t="shared" ref="M5:M12" si="22">(C5-C4)/C4</f>
        <v>8</v>
      </c>
      <c r="N5" s="103">
        <f t="shared" ref="N5:N12" si="23">(D5-D4)/D4</f>
        <v>8</v>
      </c>
      <c r="O5" s="103">
        <f t="shared" ref="O5:O12" si="24">(E5-E4)/E4</f>
        <v>8</v>
      </c>
      <c r="P5" s="106">
        <f t="shared" si="1"/>
        <v>1</v>
      </c>
      <c r="Q5" s="107">
        <f t="shared" si="2"/>
        <v>25.89</v>
      </c>
      <c r="R5" s="140">
        <f t="shared" si="3"/>
        <v>25.89</v>
      </c>
      <c r="S5" s="108">
        <f t="shared" si="4"/>
        <v>1.2857142857142858</v>
      </c>
      <c r="T5" s="109">
        <f t="shared" si="5"/>
        <v>1</v>
      </c>
      <c r="U5" s="110">
        <f t="shared" si="6"/>
        <v>0.1111111111111111</v>
      </c>
      <c r="V5" s="71">
        <f t="shared" si="7"/>
        <v>0.90365220376807864</v>
      </c>
      <c r="W5" s="68">
        <v>23992</v>
      </c>
      <c r="X5" s="68">
        <v>187</v>
      </c>
      <c r="Y5" s="68">
        <v>8</v>
      </c>
      <c r="Z5" s="41">
        <v>210.56</v>
      </c>
      <c r="AA5" s="69">
        <v>207.12</v>
      </c>
      <c r="AB5" s="68">
        <v>1.1299999999999999</v>
      </c>
      <c r="AC5" s="48">
        <f t="shared" si="8"/>
        <v>1.0166087292390884</v>
      </c>
      <c r="AD5" s="49">
        <f t="shared" si="9"/>
        <v>7.7942647549183062E-3</v>
      </c>
      <c r="AE5" s="112">
        <f t="shared" si="10"/>
        <v>4.2780748663101602E-2</v>
      </c>
      <c r="AF5" s="107">
        <f t="shared" si="11"/>
        <v>26.32</v>
      </c>
      <c r="AG5" s="113">
        <v>9</v>
      </c>
      <c r="AH5" s="115"/>
      <c r="AI5" s="116">
        <f>AG5*产品成本!$D$17+AH5*产品成本!$D$18</f>
        <v>50.67</v>
      </c>
      <c r="AJ5" s="116">
        <f>AG5*产品成本!$E$17+AH5*产品成本!$E$18</f>
        <v>2.88</v>
      </c>
      <c r="AK5" s="116">
        <f>AG5*产品成本!$F$17+AH5*产品成本!$F$18</f>
        <v>3.06</v>
      </c>
      <c r="AL5" s="116">
        <f>AG5*产品成本!$G$17+AH5*产品成本!$G$18</f>
        <v>35.1</v>
      </c>
      <c r="AM5" s="116">
        <f t="shared" si="12"/>
        <v>34.951499999999996</v>
      </c>
      <c r="AN5" s="117">
        <f t="shared" si="13"/>
        <v>126.6615</v>
      </c>
      <c r="AO5" s="118">
        <v>0</v>
      </c>
      <c r="AP5" s="119"/>
      <c r="AQ5" s="141">
        <f>AO5*产品成本!$D$17+AP5*产品成本!$D$18</f>
        <v>0</v>
      </c>
      <c r="AR5" s="142">
        <f>AO5*产品成本!$E$17+AP5*产品成本!$E$18</f>
        <v>0</v>
      </c>
      <c r="AS5" s="142">
        <f>AO5*产品成本!$F$17+AP5*产品成本!$F$18</f>
        <v>0</v>
      </c>
      <c r="AT5" s="142">
        <f>AO5*产品成本!$G$17+AP5*产品成本!$G$18</f>
        <v>0</v>
      </c>
      <c r="AU5" s="142"/>
      <c r="AV5" s="142">
        <f t="shared" si="14"/>
        <v>0</v>
      </c>
      <c r="AW5" s="142">
        <f t="shared" si="15"/>
        <v>0</v>
      </c>
      <c r="AX5" s="117">
        <f t="shared" si="16"/>
        <v>0</v>
      </c>
      <c r="AY5" s="122">
        <f t="shared" si="17"/>
        <v>126.6615</v>
      </c>
      <c r="AZ5" s="122">
        <f t="shared" si="18"/>
        <v>233.01</v>
      </c>
      <c r="BA5" s="122">
        <f t="shared" si="19"/>
        <v>233.01</v>
      </c>
      <c r="BB5" s="121">
        <f t="shared" si="20"/>
        <v>-104.21150000000002</v>
      </c>
      <c r="BC5" s="123">
        <f t="shared" si="21"/>
        <v>-0.44724046178275617</v>
      </c>
    </row>
    <row r="6" spans="1:57" ht="29.1" customHeight="1" x14ac:dyDescent="0.15">
      <c r="A6" s="38" t="s">
        <v>133</v>
      </c>
      <c r="B6" s="66" t="s">
        <v>134</v>
      </c>
      <c r="C6" s="67">
        <v>13</v>
      </c>
      <c r="D6" s="68">
        <v>13</v>
      </c>
      <c r="E6" s="41">
        <v>336.57</v>
      </c>
      <c r="F6" s="101"/>
      <c r="G6" s="101"/>
      <c r="H6" s="41"/>
      <c r="I6" s="41"/>
      <c r="J6" s="102">
        <v>0</v>
      </c>
      <c r="K6" s="103">
        <f t="shared" si="0"/>
        <v>0</v>
      </c>
      <c r="L6" s="104">
        <v>0</v>
      </c>
      <c r="M6" s="105">
        <f t="shared" si="22"/>
        <v>0.44444444444444442</v>
      </c>
      <c r="N6" s="103">
        <f t="shared" si="23"/>
        <v>0.44444444444444442</v>
      </c>
      <c r="O6" s="103">
        <f t="shared" si="24"/>
        <v>0.44444444444444448</v>
      </c>
      <c r="P6" s="106">
        <f t="shared" si="1"/>
        <v>1</v>
      </c>
      <c r="Q6" s="107">
        <f t="shared" si="2"/>
        <v>25.89</v>
      </c>
      <c r="R6" s="140">
        <f t="shared" si="3"/>
        <v>25.89</v>
      </c>
      <c r="S6" s="108">
        <f t="shared" si="4"/>
        <v>1.8571428571428572</v>
      </c>
      <c r="T6" s="109">
        <f t="shared" si="5"/>
        <v>9</v>
      </c>
      <c r="U6" s="110">
        <f t="shared" si="6"/>
        <v>0.69230769230769229</v>
      </c>
      <c r="V6" s="71">
        <f t="shared" si="7"/>
        <v>0.24093056422141013</v>
      </c>
      <c r="W6" s="68">
        <v>5571</v>
      </c>
      <c r="X6" s="68">
        <v>94</v>
      </c>
      <c r="Y6" s="68">
        <v>4</v>
      </c>
      <c r="Z6" s="41">
        <v>81.09</v>
      </c>
      <c r="AA6" s="69" t="s">
        <v>376</v>
      </c>
      <c r="AB6" s="68">
        <v>0.86</v>
      </c>
      <c r="AC6" s="48" t="e">
        <f t="shared" si="8"/>
        <v>#VALUE!</v>
      </c>
      <c r="AD6" s="49">
        <f t="shared" si="9"/>
        <v>1.6873092802010412E-2</v>
      </c>
      <c r="AE6" s="112">
        <f t="shared" si="10"/>
        <v>4.2553191489361701E-2</v>
      </c>
      <c r="AF6" s="107">
        <f t="shared" si="11"/>
        <v>20.272500000000001</v>
      </c>
      <c r="AG6" s="113">
        <v>13</v>
      </c>
      <c r="AH6" s="115"/>
      <c r="AI6" s="116">
        <f>AG6*产品成本!$D$17+AH6*产品成本!$D$18</f>
        <v>73.19</v>
      </c>
      <c r="AJ6" s="116">
        <f>AG6*产品成本!$E$17+AH6*产品成本!$E$18</f>
        <v>4.16</v>
      </c>
      <c r="AK6" s="116">
        <f>AG6*产品成本!$F$17+AH6*产品成本!$F$18</f>
        <v>4.42</v>
      </c>
      <c r="AL6" s="116">
        <f>AG6*产品成本!$G$17+AH6*产品成本!$G$18</f>
        <v>50.699999999999996</v>
      </c>
      <c r="AM6" s="116">
        <f t="shared" si="12"/>
        <v>50.485499999999995</v>
      </c>
      <c r="AN6" s="117">
        <f t="shared" si="13"/>
        <v>182.9555</v>
      </c>
      <c r="AO6" s="118">
        <v>0</v>
      </c>
      <c r="AP6" s="119"/>
      <c r="AQ6" s="141">
        <f>AO6*产品成本!$D$17+AP6*产品成本!$D$18</f>
        <v>0</v>
      </c>
      <c r="AR6" s="142">
        <f>AO6*产品成本!$E$17+AP6*产品成本!$E$18</f>
        <v>0</v>
      </c>
      <c r="AS6" s="142">
        <f>AO6*产品成本!$F$17+AP6*产品成本!$F$18</f>
        <v>0</v>
      </c>
      <c r="AT6" s="142">
        <f>AO6*产品成本!$G$17+AP6*产品成本!$G$18</f>
        <v>0</v>
      </c>
      <c r="AU6" s="142"/>
      <c r="AV6" s="142">
        <f t="shared" si="14"/>
        <v>0</v>
      </c>
      <c r="AW6" s="142">
        <f t="shared" si="15"/>
        <v>0</v>
      </c>
      <c r="AX6" s="117">
        <f t="shared" si="16"/>
        <v>0</v>
      </c>
      <c r="AY6" s="122">
        <f t="shared" si="17"/>
        <v>182.9555</v>
      </c>
      <c r="AZ6" s="122">
        <f t="shared" si="18"/>
        <v>336.57</v>
      </c>
      <c r="BA6" s="122">
        <f t="shared" si="19"/>
        <v>336.57</v>
      </c>
      <c r="BB6" s="121">
        <f t="shared" si="20"/>
        <v>72.524499999999989</v>
      </c>
      <c r="BC6" s="123">
        <f t="shared" si="21"/>
        <v>0.21548117776391237</v>
      </c>
    </row>
    <row r="7" spans="1:57" ht="29.1" customHeight="1" x14ac:dyDescent="0.15">
      <c r="A7" s="38" t="s">
        <v>136</v>
      </c>
      <c r="B7" s="66" t="s">
        <v>137</v>
      </c>
      <c r="C7" s="67">
        <v>25</v>
      </c>
      <c r="D7" s="68">
        <v>23</v>
      </c>
      <c r="E7" s="41">
        <v>587.67999999999995</v>
      </c>
      <c r="F7" s="101"/>
      <c r="G7" s="101"/>
      <c r="H7" s="41"/>
      <c r="I7" s="41"/>
      <c r="J7" s="102">
        <v>0</v>
      </c>
      <c r="K7" s="103">
        <f t="shared" si="0"/>
        <v>0</v>
      </c>
      <c r="L7" s="104">
        <v>0</v>
      </c>
      <c r="M7" s="105">
        <f t="shared" si="22"/>
        <v>0.92307692307692313</v>
      </c>
      <c r="N7" s="103">
        <f t="shared" si="23"/>
        <v>0.76923076923076927</v>
      </c>
      <c r="O7" s="103">
        <f t="shared" si="24"/>
        <v>0.74608550970080512</v>
      </c>
      <c r="P7" s="106">
        <f t="shared" si="1"/>
        <v>1.0869565217391304</v>
      </c>
      <c r="Q7" s="107">
        <f t="shared" si="2"/>
        <v>25.551304347826086</v>
      </c>
      <c r="R7" s="140">
        <f t="shared" si="3"/>
        <v>23.507199999999997</v>
      </c>
      <c r="S7" s="108">
        <f t="shared" si="4"/>
        <v>3.5714285714285716</v>
      </c>
      <c r="T7" s="109">
        <f t="shared" si="5"/>
        <v>4</v>
      </c>
      <c r="U7" s="110">
        <f t="shared" si="6"/>
        <v>0.17391304347826086</v>
      </c>
      <c r="V7" s="71">
        <f t="shared" si="7"/>
        <v>0.42193030220528183</v>
      </c>
      <c r="W7" s="68">
        <v>13993</v>
      </c>
      <c r="X7" s="68">
        <v>268</v>
      </c>
      <c r="Y7" s="68">
        <v>19</v>
      </c>
      <c r="Z7" s="41">
        <v>247.96</v>
      </c>
      <c r="AA7" s="69">
        <v>494.48</v>
      </c>
      <c r="AB7" s="68">
        <v>0.93</v>
      </c>
      <c r="AC7" s="48">
        <f t="shared" si="8"/>
        <v>0.50145607506875911</v>
      </c>
      <c r="AD7" s="49">
        <f t="shared" si="9"/>
        <v>1.9152433359536911E-2</v>
      </c>
      <c r="AE7" s="112">
        <f t="shared" si="10"/>
        <v>7.0895522388059698E-2</v>
      </c>
      <c r="AF7" s="107">
        <f t="shared" si="11"/>
        <v>13.050526315789474</v>
      </c>
      <c r="AG7" s="113">
        <v>25</v>
      </c>
      <c r="AH7" s="115"/>
      <c r="AI7" s="116">
        <f>AG7*产品成本!$D$17+AH7*产品成本!$D$18</f>
        <v>140.75</v>
      </c>
      <c r="AJ7" s="116">
        <f>AG7*产品成本!$E$17+AH7*产品成本!$E$18</f>
        <v>8</v>
      </c>
      <c r="AK7" s="116">
        <f>AG7*产品成本!$F$17+AH7*产品成本!$F$18</f>
        <v>8.5</v>
      </c>
      <c r="AL7" s="116">
        <f>AG7*产品成本!$G$17+AH7*产品成本!$G$18</f>
        <v>97.5</v>
      </c>
      <c r="AM7" s="116">
        <f t="shared" si="12"/>
        <v>88.151999999999987</v>
      </c>
      <c r="AN7" s="117">
        <f t="shared" si="13"/>
        <v>342.90199999999999</v>
      </c>
      <c r="AO7" s="118">
        <v>0</v>
      </c>
      <c r="AP7" s="119"/>
      <c r="AQ7" s="141">
        <f>AO7*产品成本!$D$17+AP7*产品成本!$D$18</f>
        <v>0</v>
      </c>
      <c r="AR7" s="142">
        <f>AO7*产品成本!$E$17+AP7*产品成本!$E$18</f>
        <v>0</v>
      </c>
      <c r="AS7" s="142">
        <f>AO7*产品成本!$F$17+AP7*产品成本!$F$18</f>
        <v>0</v>
      </c>
      <c r="AT7" s="142">
        <f>AO7*产品成本!$G$17+AP7*产品成本!$G$18</f>
        <v>0</v>
      </c>
      <c r="AU7" s="142"/>
      <c r="AV7" s="142">
        <f t="shared" si="14"/>
        <v>0</v>
      </c>
      <c r="AW7" s="142">
        <f t="shared" si="15"/>
        <v>0</v>
      </c>
      <c r="AX7" s="117">
        <f t="shared" si="16"/>
        <v>0</v>
      </c>
      <c r="AY7" s="122">
        <f t="shared" si="17"/>
        <v>342.90199999999999</v>
      </c>
      <c r="AZ7" s="122">
        <f t="shared" si="18"/>
        <v>587.67999999999995</v>
      </c>
      <c r="BA7" s="122">
        <f t="shared" si="19"/>
        <v>587.67999999999995</v>
      </c>
      <c r="BB7" s="121">
        <f t="shared" si="20"/>
        <v>-3.1820000000000448</v>
      </c>
      <c r="BC7" s="123">
        <f t="shared" si="21"/>
        <v>-5.4145112986660176E-3</v>
      </c>
      <c r="BD7" t="s">
        <v>377</v>
      </c>
      <c r="BE7" t="s">
        <v>91</v>
      </c>
    </row>
    <row r="8" spans="1:57" ht="29.1" customHeight="1" x14ac:dyDescent="0.15">
      <c r="A8" s="38" t="s">
        <v>139</v>
      </c>
      <c r="B8" s="66" t="s">
        <v>140</v>
      </c>
      <c r="C8" s="67">
        <v>17</v>
      </c>
      <c r="D8" s="68">
        <v>17</v>
      </c>
      <c r="E8" s="41">
        <v>446.36</v>
      </c>
      <c r="F8" s="101"/>
      <c r="G8" s="101"/>
      <c r="H8" s="41"/>
      <c r="I8" s="41"/>
      <c r="J8" s="102">
        <v>2</v>
      </c>
      <c r="K8" s="103">
        <f t="shared" si="0"/>
        <v>0.11764705882352941</v>
      </c>
      <c r="L8" s="104">
        <v>41</v>
      </c>
      <c r="M8" s="105">
        <f t="shared" si="22"/>
        <v>-0.32</v>
      </c>
      <c r="N8" s="103">
        <f t="shared" si="23"/>
        <v>-0.2608695652173913</v>
      </c>
      <c r="O8" s="103">
        <f t="shared" si="24"/>
        <v>-0.24047100462836909</v>
      </c>
      <c r="P8" s="106">
        <f t="shared" si="1"/>
        <v>1</v>
      </c>
      <c r="Q8" s="107">
        <f t="shared" si="2"/>
        <v>26.256470588235295</v>
      </c>
      <c r="R8" s="140">
        <f t="shared" si="3"/>
        <v>26.256470588235295</v>
      </c>
      <c r="S8" s="108">
        <f t="shared" si="4"/>
        <v>2.4285714285714284</v>
      </c>
      <c r="T8" s="109">
        <f t="shared" si="5"/>
        <v>-3</v>
      </c>
      <c r="U8" s="110">
        <f t="shared" si="6"/>
        <v>-0.17647058823529413</v>
      </c>
      <c r="V8" s="71">
        <f t="shared" si="7"/>
        <v>0.81449950712429431</v>
      </c>
      <c r="W8" s="68">
        <v>14788</v>
      </c>
      <c r="X8" s="68">
        <v>386</v>
      </c>
      <c r="Y8" s="68">
        <v>20</v>
      </c>
      <c r="Z8" s="41">
        <v>363.56</v>
      </c>
      <c r="AA8" s="69">
        <v>535.22</v>
      </c>
      <c r="AB8" s="68">
        <v>0.94</v>
      </c>
      <c r="AC8" s="48">
        <f t="shared" si="8"/>
        <v>0.67927207503456521</v>
      </c>
      <c r="AD8" s="49">
        <f t="shared" si="9"/>
        <v>2.6102245063565052E-2</v>
      </c>
      <c r="AE8" s="112">
        <f t="shared" si="10"/>
        <v>5.181347150259067E-2</v>
      </c>
      <c r="AF8" s="107">
        <f t="shared" si="11"/>
        <v>18.178000000000001</v>
      </c>
      <c r="AG8" s="113">
        <v>17</v>
      </c>
      <c r="AH8" s="115"/>
      <c r="AI8" s="116">
        <f>AG8*产品成本!$D$17+AH8*产品成本!$D$18</f>
        <v>95.71</v>
      </c>
      <c r="AJ8" s="116">
        <f>AG8*产品成本!$E$17+AH8*产品成本!$E$18</f>
        <v>5.44</v>
      </c>
      <c r="AK8" s="116">
        <f>AG8*产品成本!$F$17+AH8*产品成本!$F$18</f>
        <v>5.78</v>
      </c>
      <c r="AL8" s="116">
        <f>AG8*产品成本!$G$17+AH8*产品成本!$G$18</f>
        <v>66.3</v>
      </c>
      <c r="AM8" s="116">
        <f t="shared" si="12"/>
        <v>66.953999999999994</v>
      </c>
      <c r="AN8" s="117">
        <f t="shared" si="13"/>
        <v>240.18399999999997</v>
      </c>
      <c r="AO8" s="118">
        <v>2</v>
      </c>
      <c r="AP8" s="119"/>
      <c r="AQ8" s="141">
        <f>AO8*产品成本!$D$17+AP8*产品成本!$D$18</f>
        <v>11.26</v>
      </c>
      <c r="AR8" s="142">
        <f>AO8*产品成本!$E$17+AP8*产品成本!$E$18</f>
        <v>0.64</v>
      </c>
      <c r="AS8" s="142">
        <f>AO8*产品成本!$F$17+AP8*产品成本!$F$18</f>
        <v>0.68</v>
      </c>
      <c r="AT8" s="142">
        <f>AO8*产品成本!$G$17+AP8*产品成本!$G$18</f>
        <v>7.8</v>
      </c>
      <c r="AU8" s="142"/>
      <c r="AV8" s="142">
        <f t="shared" si="14"/>
        <v>1.6889999999999998</v>
      </c>
      <c r="AW8" s="142">
        <f t="shared" si="15"/>
        <v>-0.33779999999999999</v>
      </c>
      <c r="AX8" s="117">
        <f t="shared" si="16"/>
        <v>10.4712</v>
      </c>
      <c r="AY8" s="122">
        <f t="shared" si="17"/>
        <v>229.71279999999996</v>
      </c>
      <c r="AZ8" s="122">
        <f t="shared" si="18"/>
        <v>446.36</v>
      </c>
      <c r="BA8" s="122">
        <f t="shared" si="19"/>
        <v>435.1</v>
      </c>
      <c r="BB8" s="121">
        <f t="shared" si="20"/>
        <v>-158.17279999999994</v>
      </c>
      <c r="BC8" s="123">
        <f t="shared" si="21"/>
        <v>-0.36353206159503548</v>
      </c>
      <c r="BD8" t="s">
        <v>378</v>
      </c>
      <c r="BE8" t="s">
        <v>94</v>
      </c>
    </row>
    <row r="9" spans="1:57" ht="29.1" customHeight="1" x14ac:dyDescent="0.15">
      <c r="A9" s="38" t="s">
        <v>142</v>
      </c>
      <c r="B9" s="66" t="s">
        <v>143</v>
      </c>
      <c r="C9" s="67">
        <v>15</v>
      </c>
      <c r="D9" s="68">
        <v>14</v>
      </c>
      <c r="E9" s="41">
        <v>397.99</v>
      </c>
      <c r="F9" s="101"/>
      <c r="G9" s="101"/>
      <c r="H9" s="41"/>
      <c r="I9" s="41"/>
      <c r="J9" s="102">
        <v>3</v>
      </c>
      <c r="K9" s="103">
        <f t="shared" si="0"/>
        <v>0.2</v>
      </c>
      <c r="L9" s="104">
        <v>64.67</v>
      </c>
      <c r="M9" s="105">
        <f t="shared" si="22"/>
        <v>-0.11764705882352941</v>
      </c>
      <c r="N9" s="103">
        <f t="shared" si="23"/>
        <v>-0.17647058823529413</v>
      </c>
      <c r="O9" s="103">
        <f t="shared" si="24"/>
        <v>-0.10836544493234161</v>
      </c>
      <c r="P9" s="106">
        <f t="shared" si="1"/>
        <v>1.0714285714285714</v>
      </c>
      <c r="Q9" s="107">
        <f t="shared" si="2"/>
        <v>28.427857142857142</v>
      </c>
      <c r="R9" s="140">
        <f t="shared" si="3"/>
        <v>26.532666666666668</v>
      </c>
      <c r="S9" s="108">
        <f t="shared" si="4"/>
        <v>2.1428571428571428</v>
      </c>
      <c r="T9" s="109">
        <f t="shared" si="5"/>
        <v>4</v>
      </c>
      <c r="U9" s="110">
        <f t="shared" si="6"/>
        <v>0.2857142857142857</v>
      </c>
      <c r="V9" s="71">
        <f t="shared" si="7"/>
        <v>0.93514912434985809</v>
      </c>
      <c r="W9" s="68">
        <v>21556</v>
      </c>
      <c r="X9" s="68">
        <v>421</v>
      </c>
      <c r="Y9" s="68">
        <v>10</v>
      </c>
      <c r="Z9" s="41">
        <v>372.18</v>
      </c>
      <c r="AA9" s="69">
        <v>293.11</v>
      </c>
      <c r="AB9" s="68">
        <v>0.89</v>
      </c>
      <c r="AC9" s="48">
        <f t="shared" si="8"/>
        <v>1.2697622053154105</v>
      </c>
      <c r="AD9" s="49">
        <f t="shared" si="9"/>
        <v>1.9530525143811466E-2</v>
      </c>
      <c r="AE9" s="112">
        <f t="shared" si="10"/>
        <v>2.3752969121140142E-2</v>
      </c>
      <c r="AF9" s="107">
        <f t="shared" si="11"/>
        <v>37.218000000000004</v>
      </c>
      <c r="AG9" s="113">
        <v>15</v>
      </c>
      <c r="AH9" s="115"/>
      <c r="AI9" s="116">
        <f>AG9*产品成本!$D$17+AH9*产品成本!$D$18</f>
        <v>84.45</v>
      </c>
      <c r="AJ9" s="116">
        <f>AG9*产品成本!$E$17+AH9*产品成本!$E$18</f>
        <v>4.8</v>
      </c>
      <c r="AK9" s="116">
        <f>AG9*产品成本!$F$17+AH9*产品成本!$F$18</f>
        <v>5.1000000000000005</v>
      </c>
      <c r="AL9" s="116">
        <f>AG9*产品成本!$G$17+AH9*产品成本!$G$18</f>
        <v>58.5</v>
      </c>
      <c r="AM9" s="116">
        <f t="shared" si="12"/>
        <v>59.698499999999996</v>
      </c>
      <c r="AN9" s="117">
        <f t="shared" si="13"/>
        <v>212.54849999999999</v>
      </c>
      <c r="AO9" s="118">
        <v>3</v>
      </c>
      <c r="AP9" s="119"/>
      <c r="AQ9" s="141">
        <f>AO9*产品成本!$D$17+AP9*产品成本!$D$18</f>
        <v>16.89</v>
      </c>
      <c r="AR9" s="142">
        <f>AO9*产品成本!$E$17+AP9*产品成本!$E$18</f>
        <v>0.96</v>
      </c>
      <c r="AS9" s="142">
        <f>AO9*产品成本!$F$17+AP9*产品成本!$F$18</f>
        <v>1.02</v>
      </c>
      <c r="AT9" s="142">
        <f>AO9*产品成本!$G$17+AP9*产品成本!$G$18</f>
        <v>11.7</v>
      </c>
      <c r="AU9" s="142"/>
      <c r="AV9" s="142">
        <f t="shared" si="14"/>
        <v>2.5335000000000001</v>
      </c>
      <c r="AW9" s="142">
        <f t="shared" si="15"/>
        <v>-0.50670000000000004</v>
      </c>
      <c r="AX9" s="117">
        <f t="shared" si="16"/>
        <v>15.706799999999999</v>
      </c>
      <c r="AY9" s="122">
        <f t="shared" si="17"/>
        <v>196.8417</v>
      </c>
      <c r="AZ9" s="122">
        <f t="shared" si="18"/>
        <v>397.99</v>
      </c>
      <c r="BA9" s="122">
        <f t="shared" si="19"/>
        <v>381.1</v>
      </c>
      <c r="BB9" s="121">
        <f t="shared" si="20"/>
        <v>-187.92169999999999</v>
      </c>
      <c r="BC9" s="123">
        <f t="shared" si="21"/>
        <v>-0.49310338493833633</v>
      </c>
      <c r="BD9" t="s">
        <v>379</v>
      </c>
      <c r="BE9" t="s">
        <v>94</v>
      </c>
    </row>
    <row r="10" spans="1:57" ht="29.1" customHeight="1" x14ac:dyDescent="0.15">
      <c r="A10" s="38" t="s">
        <v>144</v>
      </c>
      <c r="B10" s="66" t="s">
        <v>145</v>
      </c>
      <c r="C10" s="67">
        <v>24</v>
      </c>
      <c r="D10" s="68">
        <v>24</v>
      </c>
      <c r="E10" s="41">
        <f>645.36*0.9</f>
        <v>580.82400000000007</v>
      </c>
      <c r="F10" s="101"/>
      <c r="G10" s="101"/>
      <c r="H10" s="41"/>
      <c r="I10" s="41"/>
      <c r="J10" s="102">
        <v>2</v>
      </c>
      <c r="K10" s="103">
        <f t="shared" si="0"/>
        <v>8.3333333333333329E-2</v>
      </c>
      <c r="L10" s="104">
        <v>47.34</v>
      </c>
      <c r="M10" s="105">
        <f t="shared" si="22"/>
        <v>0.6</v>
      </c>
      <c r="N10" s="103">
        <f t="shared" si="23"/>
        <v>0.7142857142857143</v>
      </c>
      <c r="O10" s="103">
        <f t="shared" si="24"/>
        <v>0.4593934520967865</v>
      </c>
      <c r="P10" s="106">
        <f t="shared" si="1"/>
        <v>1</v>
      </c>
      <c r="Q10" s="107">
        <f t="shared" si="2"/>
        <v>24.201000000000004</v>
      </c>
      <c r="R10" s="140">
        <f t="shared" si="3"/>
        <v>24.201000000000004</v>
      </c>
      <c r="S10" s="108">
        <f t="shared" si="4"/>
        <v>3.4285714285714284</v>
      </c>
      <c r="T10" s="109">
        <f t="shared" si="5"/>
        <v>6</v>
      </c>
      <c r="U10" s="110">
        <f t="shared" si="6"/>
        <v>0.25</v>
      </c>
      <c r="V10" s="71">
        <f t="shared" si="7"/>
        <v>0.61915485585995067</v>
      </c>
      <c r="W10" s="68">
        <v>25003</v>
      </c>
      <c r="X10" s="68">
        <v>432</v>
      </c>
      <c r="Y10" s="68">
        <v>18</v>
      </c>
      <c r="Z10" s="41">
        <v>359.62</v>
      </c>
      <c r="AA10" s="69">
        <v>484.02</v>
      </c>
      <c r="AB10" s="68">
        <v>0.83</v>
      </c>
      <c r="AC10" s="48">
        <f t="shared" si="8"/>
        <v>0.74298582703194083</v>
      </c>
      <c r="AD10" s="49">
        <f t="shared" si="9"/>
        <v>1.7277926648802143E-2</v>
      </c>
      <c r="AE10" s="112">
        <f t="shared" si="10"/>
        <v>4.1666666666666664E-2</v>
      </c>
      <c r="AF10" s="107">
        <f t="shared" si="11"/>
        <v>19.978888888888889</v>
      </c>
      <c r="AG10" s="113">
        <v>24</v>
      </c>
      <c r="AH10" s="115"/>
      <c r="AI10" s="116">
        <f>AG10*产品成本!$D$17+AH10*产品成本!$D$18</f>
        <v>135.12</v>
      </c>
      <c r="AJ10" s="116">
        <f>AG10*产品成本!$E$17+AH10*产品成本!$E$18</f>
        <v>7.68</v>
      </c>
      <c r="AK10" s="116">
        <f>AG10*产品成本!$F$17+AH10*产品成本!$F$18</f>
        <v>8.16</v>
      </c>
      <c r="AL10" s="116">
        <f>AG10*产品成本!$G$17+AH10*产品成本!$G$18</f>
        <v>93.6</v>
      </c>
      <c r="AM10" s="116">
        <f t="shared" si="12"/>
        <v>87.12360000000001</v>
      </c>
      <c r="AN10" s="117">
        <f t="shared" si="13"/>
        <v>331.68360000000001</v>
      </c>
      <c r="AO10" s="118">
        <v>2</v>
      </c>
      <c r="AP10" s="119"/>
      <c r="AQ10" s="141">
        <f>AO10*产品成本!$D$17+AP10*产品成本!$D$18</f>
        <v>11.26</v>
      </c>
      <c r="AR10" s="142">
        <f>AO10*产品成本!$E$17+AP10*产品成本!$E$18</f>
        <v>0.64</v>
      </c>
      <c r="AS10" s="142">
        <f>AO10*产品成本!$F$17+AP10*产品成本!$F$18</f>
        <v>0.68</v>
      </c>
      <c r="AT10" s="142">
        <f>AO10*产品成本!$G$17+AP10*产品成本!$G$18</f>
        <v>7.8</v>
      </c>
      <c r="AU10" s="142"/>
      <c r="AV10" s="142">
        <f t="shared" si="14"/>
        <v>1.6889999999999998</v>
      </c>
      <c r="AW10" s="142">
        <f t="shared" si="15"/>
        <v>-0.33779999999999999</v>
      </c>
      <c r="AX10" s="117">
        <f t="shared" si="16"/>
        <v>10.4712</v>
      </c>
      <c r="AY10" s="122">
        <f t="shared" si="17"/>
        <v>321.2124</v>
      </c>
      <c r="AZ10" s="122">
        <f t="shared" si="18"/>
        <v>580.82400000000007</v>
      </c>
      <c r="BA10" s="122">
        <f t="shared" si="19"/>
        <v>569.56400000000008</v>
      </c>
      <c r="BB10" s="121">
        <f t="shared" si="20"/>
        <v>-111.26839999999993</v>
      </c>
      <c r="BC10" s="123">
        <f t="shared" si="21"/>
        <v>-0.19535715038169532</v>
      </c>
      <c r="BD10" t="s">
        <v>380</v>
      </c>
      <c r="BE10" t="s">
        <v>381</v>
      </c>
    </row>
    <row r="11" spans="1:57" ht="29.1" customHeight="1" x14ac:dyDescent="0.15">
      <c r="A11" s="38" t="s">
        <v>147</v>
      </c>
      <c r="B11" s="66" t="s">
        <v>148</v>
      </c>
      <c r="C11" s="67">
        <v>17</v>
      </c>
      <c r="D11" s="68">
        <v>17</v>
      </c>
      <c r="E11" s="41">
        <v>411.4</v>
      </c>
      <c r="F11" s="101"/>
      <c r="G11" s="101"/>
      <c r="H11" s="41"/>
      <c r="I11" s="41"/>
      <c r="J11" s="102">
        <v>1</v>
      </c>
      <c r="K11" s="103">
        <f t="shared" si="0"/>
        <v>5.8823529411764705E-2</v>
      </c>
      <c r="L11" s="104">
        <v>23.67</v>
      </c>
      <c r="M11" s="105">
        <f t="shared" si="22"/>
        <v>-0.29166666666666669</v>
      </c>
      <c r="N11" s="103">
        <f t="shared" si="23"/>
        <v>-0.29166666666666669</v>
      </c>
      <c r="O11" s="103">
        <f t="shared" si="24"/>
        <v>-0.29169593542966554</v>
      </c>
      <c r="P11" s="106">
        <f t="shared" si="1"/>
        <v>1</v>
      </c>
      <c r="Q11" s="107">
        <f t="shared" si="2"/>
        <v>24.2</v>
      </c>
      <c r="R11" s="140">
        <f t="shared" si="3"/>
        <v>24.2</v>
      </c>
      <c r="S11" s="108">
        <f t="shared" si="4"/>
        <v>2.4285714285714284</v>
      </c>
      <c r="T11" s="109">
        <f t="shared" si="5"/>
        <v>4</v>
      </c>
      <c r="U11" s="110">
        <f t="shared" si="6"/>
        <v>0.23529411764705882</v>
      </c>
      <c r="V11" s="71">
        <f t="shared" si="7"/>
        <v>1.1737724842002917</v>
      </c>
      <c r="W11" s="68">
        <v>22037</v>
      </c>
      <c r="X11" s="68">
        <v>436</v>
      </c>
      <c r="Y11" s="68">
        <v>13</v>
      </c>
      <c r="Z11" s="41">
        <v>482.89</v>
      </c>
      <c r="AA11" s="69">
        <v>314.60000000000002</v>
      </c>
      <c r="AB11" s="68">
        <v>1.1100000000000001</v>
      </c>
      <c r="AC11" s="48">
        <f t="shared" si="8"/>
        <v>1.5349332485696121</v>
      </c>
      <c r="AD11" s="49">
        <f t="shared" si="9"/>
        <v>1.9784907201524708E-2</v>
      </c>
      <c r="AE11" s="112">
        <f t="shared" si="10"/>
        <v>2.9816513761467892E-2</v>
      </c>
      <c r="AF11" s="107">
        <f t="shared" si="11"/>
        <v>37.145384615384614</v>
      </c>
      <c r="AG11" s="113">
        <v>17</v>
      </c>
      <c r="AH11" s="115"/>
      <c r="AI11" s="116">
        <f>AG11*产品成本!$D$17+AH11*产品成本!$D$18</f>
        <v>95.71</v>
      </c>
      <c r="AJ11" s="116">
        <f>AG11*产品成本!$E$17+AH11*产品成本!$E$18</f>
        <v>5.44</v>
      </c>
      <c r="AK11" s="116">
        <f>AG11*产品成本!$F$17+AH11*产品成本!$F$18</f>
        <v>5.78</v>
      </c>
      <c r="AL11" s="116">
        <f>AG11*产品成本!$G$17+AH11*产品成本!$G$18</f>
        <v>66.3</v>
      </c>
      <c r="AM11" s="116">
        <f t="shared" si="12"/>
        <v>61.709999999999994</v>
      </c>
      <c r="AN11" s="117">
        <f t="shared" si="13"/>
        <v>234.94</v>
      </c>
      <c r="AO11" s="118">
        <v>1</v>
      </c>
      <c r="AP11" s="119"/>
      <c r="AQ11" s="141">
        <f>AO11*产品成本!$D$17+AP11*产品成本!$D$18</f>
        <v>5.63</v>
      </c>
      <c r="AR11" s="142">
        <f>AO11*产品成本!$E$17+AP11*产品成本!$E$18</f>
        <v>0.32</v>
      </c>
      <c r="AS11" s="142">
        <f>AO11*产品成本!$F$17+AP11*产品成本!$F$18</f>
        <v>0.34</v>
      </c>
      <c r="AT11" s="142">
        <f>AO11*产品成本!$G$17+AP11*产品成本!$G$18</f>
        <v>3.9</v>
      </c>
      <c r="AU11" s="142"/>
      <c r="AV11" s="142">
        <f t="shared" si="14"/>
        <v>0.84449999999999992</v>
      </c>
      <c r="AW11" s="142">
        <f t="shared" si="15"/>
        <v>-0.16889999999999999</v>
      </c>
      <c r="AX11" s="117">
        <f t="shared" si="16"/>
        <v>5.2355999999999998</v>
      </c>
      <c r="AY11" s="122">
        <f t="shared" si="17"/>
        <v>229.70439999999999</v>
      </c>
      <c r="AZ11" s="122">
        <f t="shared" si="18"/>
        <v>411.4</v>
      </c>
      <c r="BA11" s="122">
        <f t="shared" si="19"/>
        <v>405.77</v>
      </c>
      <c r="BB11" s="121">
        <f t="shared" si="20"/>
        <v>-306.82439999999997</v>
      </c>
      <c r="BC11" s="123">
        <f t="shared" si="21"/>
        <v>-0.75615348596495546</v>
      </c>
      <c r="BD11" t="s">
        <v>382</v>
      </c>
    </row>
    <row r="12" spans="1:57" ht="29.1" customHeight="1" x14ac:dyDescent="0.15">
      <c r="A12" s="38" t="s">
        <v>150</v>
      </c>
      <c r="B12" s="66" t="s">
        <v>151</v>
      </c>
      <c r="C12" s="67">
        <v>5</v>
      </c>
      <c r="D12" s="68">
        <v>5</v>
      </c>
      <c r="E12" s="41">
        <v>126.38</v>
      </c>
      <c r="F12" s="101"/>
      <c r="G12" s="101"/>
      <c r="H12" s="41"/>
      <c r="I12" s="41"/>
      <c r="J12" s="102">
        <v>8</v>
      </c>
      <c r="K12" s="103">
        <f t="shared" si="0"/>
        <v>1.6</v>
      </c>
      <c r="L12" s="104">
        <v>171.55</v>
      </c>
      <c r="M12" s="105">
        <f t="shared" si="22"/>
        <v>-0.70588235294117652</v>
      </c>
      <c r="N12" s="103">
        <f t="shared" si="23"/>
        <v>-0.70588235294117652</v>
      </c>
      <c r="O12" s="103">
        <f t="shared" si="24"/>
        <v>-0.69280505590666019</v>
      </c>
      <c r="P12" s="106">
        <f t="shared" si="1"/>
        <v>1</v>
      </c>
      <c r="Q12" s="107">
        <f t="shared" si="2"/>
        <v>25.276</v>
      </c>
      <c r="R12" s="140">
        <f t="shared" si="3"/>
        <v>25.276</v>
      </c>
      <c r="S12" s="108">
        <f t="shared" si="4"/>
        <v>0.7142857142857143</v>
      </c>
      <c r="T12" s="109">
        <f t="shared" si="5"/>
        <v>1</v>
      </c>
      <c r="U12" s="110">
        <f t="shared" si="6"/>
        <v>0.2</v>
      </c>
      <c r="V12" s="71">
        <f t="shared" si="7"/>
        <v>1.1044469061560376</v>
      </c>
      <c r="W12" s="68">
        <v>8091</v>
      </c>
      <c r="X12" s="68">
        <v>135</v>
      </c>
      <c r="Y12" s="68">
        <v>4</v>
      </c>
      <c r="Z12" s="41">
        <v>139.58000000000001</v>
      </c>
      <c r="AA12" s="69">
        <v>104.87</v>
      </c>
      <c r="AB12" s="68">
        <v>1.03</v>
      </c>
      <c r="AC12" s="48">
        <f t="shared" si="8"/>
        <v>1.3309812148374178</v>
      </c>
      <c r="AD12" s="49">
        <f t="shared" si="9"/>
        <v>1.6685205784204672E-2</v>
      </c>
      <c r="AE12" s="112">
        <f t="shared" si="10"/>
        <v>2.9629629629629631E-2</v>
      </c>
      <c r="AF12" s="107">
        <f t="shared" si="11"/>
        <v>34.895000000000003</v>
      </c>
      <c r="AG12" s="113">
        <v>5</v>
      </c>
      <c r="AH12" s="115"/>
      <c r="AI12" s="116">
        <f>AG12*产品成本!$D$17+AH12*产品成本!$D$18</f>
        <v>28.15</v>
      </c>
      <c r="AJ12" s="116">
        <f>AG12*产品成本!$E$17+AH12*产品成本!$E$18</f>
        <v>1.6</v>
      </c>
      <c r="AK12" s="116">
        <f>AG12*产品成本!$F$17+AH12*产品成本!$F$18</f>
        <v>1.7000000000000002</v>
      </c>
      <c r="AL12" s="116">
        <f>AG12*产品成本!$G$17+AH12*产品成本!$G$18</f>
        <v>19.5</v>
      </c>
      <c r="AM12" s="116">
        <f t="shared" si="12"/>
        <v>18.956999999999997</v>
      </c>
      <c r="AN12" s="117">
        <f t="shared" si="13"/>
        <v>69.906999999999996</v>
      </c>
      <c r="AO12" s="118">
        <v>8</v>
      </c>
      <c r="AP12" s="119"/>
      <c r="AQ12" s="141">
        <f>AO12*产品成本!$D$17+AP12*产品成本!$D$18</f>
        <v>45.04</v>
      </c>
      <c r="AR12" s="142">
        <f>AO12*产品成本!$E$17+AP12*产品成本!$E$18</f>
        <v>2.56</v>
      </c>
      <c r="AS12" s="142">
        <f>AO12*产品成本!$F$17+AP12*产品成本!$F$18</f>
        <v>2.72</v>
      </c>
      <c r="AT12" s="142">
        <f>AO12*产品成本!$G$17+AP12*产品成本!$G$18</f>
        <v>31.2</v>
      </c>
      <c r="AU12" s="142"/>
      <c r="AV12" s="142">
        <f t="shared" si="14"/>
        <v>6.7559999999999993</v>
      </c>
      <c r="AW12" s="142">
        <f t="shared" si="15"/>
        <v>-1.3512</v>
      </c>
      <c r="AX12" s="117">
        <f t="shared" si="16"/>
        <v>41.884799999999998</v>
      </c>
      <c r="AY12" s="122">
        <f t="shared" si="17"/>
        <v>28.022199999999998</v>
      </c>
      <c r="AZ12" s="122">
        <f t="shared" si="18"/>
        <v>126.38</v>
      </c>
      <c r="BA12" s="122">
        <f t="shared" si="19"/>
        <v>81.34</v>
      </c>
      <c r="BB12" s="121">
        <f t="shared" si="20"/>
        <v>-86.262200000000007</v>
      </c>
      <c r="BC12" s="123">
        <f t="shared" si="21"/>
        <v>-1.0605138923039095</v>
      </c>
      <c r="BD12" t="s">
        <v>383</v>
      </c>
    </row>
    <row r="13" spans="1:57" ht="29.1" customHeight="1" x14ac:dyDescent="0.15">
      <c r="A13" s="38" t="s">
        <v>154</v>
      </c>
      <c r="B13" s="66" t="s">
        <v>155</v>
      </c>
      <c r="C13" s="67">
        <v>30</v>
      </c>
      <c r="D13" s="68">
        <v>30</v>
      </c>
      <c r="E13" s="41">
        <v>806.7</v>
      </c>
      <c r="F13" s="101"/>
      <c r="G13" s="101"/>
      <c r="H13" s="41"/>
      <c r="I13" s="41"/>
      <c r="J13" s="102">
        <v>1</v>
      </c>
      <c r="K13" s="103">
        <f t="shared" si="0"/>
        <v>3.3333333333333333E-2</v>
      </c>
      <c r="L13" s="104">
        <v>20.27</v>
      </c>
      <c r="M13" s="105">
        <f t="shared" ref="M13:M29" si="25">(C13-C12)/C12</f>
        <v>5</v>
      </c>
      <c r="N13" s="103">
        <f t="shared" ref="N13:N29" si="26">(D13-D12)/D12</f>
        <v>5</v>
      </c>
      <c r="O13" s="103">
        <f t="shared" ref="O13:O29" si="27">(E13-E12)/E12</f>
        <v>5.3831302421269198</v>
      </c>
      <c r="P13" s="106">
        <f t="shared" si="1"/>
        <v>1</v>
      </c>
      <c r="Q13" s="107">
        <f t="shared" si="2"/>
        <v>26.89</v>
      </c>
      <c r="R13" s="140">
        <f t="shared" si="3"/>
        <v>26.89</v>
      </c>
      <c r="S13" s="108">
        <f t="shared" si="4"/>
        <v>4.2857142857142856</v>
      </c>
      <c r="T13" s="109">
        <f t="shared" ref="T13:T29" si="28">D13-Y13</f>
        <v>6</v>
      </c>
      <c r="U13" s="110">
        <f t="shared" si="6"/>
        <v>0.2</v>
      </c>
      <c r="V13" s="71">
        <f t="shared" si="7"/>
        <v>0.71942481715631579</v>
      </c>
      <c r="W13" s="68">
        <v>23919</v>
      </c>
      <c r="X13" s="68">
        <v>569</v>
      </c>
      <c r="Y13" s="68">
        <v>24</v>
      </c>
      <c r="Z13" s="41">
        <v>580.36</v>
      </c>
      <c r="AA13" s="111">
        <v>633.46</v>
      </c>
      <c r="AB13" s="68">
        <v>1.03</v>
      </c>
      <c r="AC13" s="48">
        <f t="shared" si="8"/>
        <v>0.91617465980488111</v>
      </c>
      <c r="AD13" s="49">
        <f t="shared" si="9"/>
        <v>2.3788619925582174E-2</v>
      </c>
      <c r="AE13" s="112">
        <f t="shared" si="10"/>
        <v>4.21792618629174E-2</v>
      </c>
      <c r="AF13" s="107">
        <f t="shared" si="11"/>
        <v>24.181666666666668</v>
      </c>
      <c r="AG13" s="113">
        <v>30</v>
      </c>
      <c r="AH13" s="115"/>
      <c r="AI13" s="116">
        <f>AG13*产品成本!$D$17+AH13*产品成本!$D$18</f>
        <v>168.9</v>
      </c>
      <c r="AJ13" s="116">
        <f>AG13*产品成本!$E$17+AH13*产品成本!$E$18</f>
        <v>9.6</v>
      </c>
      <c r="AK13" s="116">
        <f>AG13*产品成本!$F$17+AH13*产品成本!$F$18</f>
        <v>10.200000000000001</v>
      </c>
      <c r="AL13" s="116">
        <f>AG13*产品成本!$G$17+AH13*产品成本!$G$18</f>
        <v>117</v>
      </c>
      <c r="AM13" s="116">
        <f t="shared" si="12"/>
        <v>121.005</v>
      </c>
      <c r="AN13" s="117">
        <f t="shared" si="13"/>
        <v>426.70499999999998</v>
      </c>
      <c r="AO13" s="118">
        <v>1</v>
      </c>
      <c r="AP13" s="119"/>
      <c r="AQ13" s="141">
        <f>AO13*产品成本!$D$17+AP13*产品成本!$D$18</f>
        <v>5.63</v>
      </c>
      <c r="AR13" s="142">
        <f>AO13*产品成本!$E$17+AP13*产品成本!$E$18</f>
        <v>0.32</v>
      </c>
      <c r="AS13" s="142">
        <f>AO13*产品成本!$F$17+AP13*产品成本!$F$18</f>
        <v>0.34</v>
      </c>
      <c r="AT13" s="142">
        <f>AO13*产品成本!$G$17+AP13*产品成本!$G$18</f>
        <v>3.9</v>
      </c>
      <c r="AU13" s="142"/>
      <c r="AV13" s="142">
        <f t="shared" si="14"/>
        <v>0.84449999999999992</v>
      </c>
      <c r="AW13" s="142">
        <f t="shared" si="15"/>
        <v>-0.16889999999999999</v>
      </c>
      <c r="AX13" s="117">
        <f t="shared" si="16"/>
        <v>5.2355999999999998</v>
      </c>
      <c r="AY13" s="122">
        <f t="shared" si="17"/>
        <v>421.46940000000001</v>
      </c>
      <c r="AZ13" s="122">
        <f t="shared" si="18"/>
        <v>806.7</v>
      </c>
      <c r="BA13" s="122">
        <f t="shared" si="19"/>
        <v>801.07</v>
      </c>
      <c r="BB13" s="121">
        <f t="shared" ref="BB13:BB29" si="29">BA13-AY13-Z13</f>
        <v>-200.75939999999997</v>
      </c>
      <c r="BC13" s="123">
        <f t="shared" ref="BC13:BC29" si="30">BB13/BA13</f>
        <v>-0.25061405370317197</v>
      </c>
    </row>
    <row r="14" spans="1:57" ht="29.1" customHeight="1" x14ac:dyDescent="0.15">
      <c r="A14" s="38" t="s">
        <v>156</v>
      </c>
      <c r="B14" s="66" t="s">
        <v>157</v>
      </c>
      <c r="C14" s="67">
        <v>34</v>
      </c>
      <c r="D14" s="68">
        <v>34</v>
      </c>
      <c r="E14" s="41">
        <v>813.26</v>
      </c>
      <c r="F14" s="101">
        <v>5</v>
      </c>
      <c r="G14" s="101">
        <v>5</v>
      </c>
      <c r="H14" s="41">
        <v>126.37</v>
      </c>
      <c r="I14" s="41">
        <v>9.9600000000000009</v>
      </c>
      <c r="J14" s="102">
        <v>1</v>
      </c>
      <c r="K14" s="103">
        <f t="shared" si="0"/>
        <v>2.9411764705882353E-2</v>
      </c>
      <c r="L14" s="104">
        <v>21.3</v>
      </c>
      <c r="M14" s="105">
        <f t="shared" si="25"/>
        <v>0.13333333333333333</v>
      </c>
      <c r="N14" s="103">
        <f t="shared" si="26"/>
        <v>0.13333333333333333</v>
      </c>
      <c r="O14" s="103">
        <f t="shared" si="27"/>
        <v>8.1318953762240555E-3</v>
      </c>
      <c r="P14" s="106">
        <f t="shared" si="1"/>
        <v>1</v>
      </c>
      <c r="Q14" s="107">
        <f t="shared" si="2"/>
        <v>23.919411764705881</v>
      </c>
      <c r="R14" s="140">
        <f t="shared" si="3"/>
        <v>23.919411764705881</v>
      </c>
      <c r="S14" s="108">
        <f t="shared" si="4"/>
        <v>4.8571428571428568</v>
      </c>
      <c r="T14" s="109">
        <f t="shared" si="28"/>
        <v>5</v>
      </c>
      <c r="U14" s="110">
        <f t="shared" si="6"/>
        <v>0.14705882352941177</v>
      </c>
      <c r="V14" s="71">
        <f t="shared" si="7"/>
        <v>0.82832067720652314</v>
      </c>
      <c r="W14" s="68">
        <v>30778</v>
      </c>
      <c r="X14" s="68">
        <v>645</v>
      </c>
      <c r="Y14" s="68">
        <v>29</v>
      </c>
      <c r="Z14" s="41">
        <v>665.39</v>
      </c>
      <c r="AA14" s="111">
        <v>688.29</v>
      </c>
      <c r="AB14" s="68">
        <v>1.03</v>
      </c>
      <c r="AC14" s="48">
        <f t="shared" si="8"/>
        <v>0.96672914033328983</v>
      </c>
      <c r="AD14" s="49">
        <f t="shared" si="9"/>
        <v>2.0956527389693936E-2</v>
      </c>
      <c r="AE14" s="112">
        <f t="shared" si="10"/>
        <v>4.4961240310077519E-2</v>
      </c>
      <c r="AF14" s="107">
        <f t="shared" si="11"/>
        <v>22.944482758620691</v>
      </c>
      <c r="AG14" s="113">
        <v>34</v>
      </c>
      <c r="AH14" s="115"/>
      <c r="AI14" s="116">
        <f>AG14*产品成本!$D$17+AH14*产品成本!$D$18</f>
        <v>191.42</v>
      </c>
      <c r="AJ14" s="116">
        <f>AG14*产品成本!$E$17+AH14*产品成本!$E$18</f>
        <v>10.88</v>
      </c>
      <c r="AK14" s="116">
        <f>AG14*产品成本!$F$17+AH14*产品成本!$F$18</f>
        <v>11.56</v>
      </c>
      <c r="AL14" s="116">
        <f>AG14*产品成本!$G$17+AH14*产品成本!$G$18</f>
        <v>132.6</v>
      </c>
      <c r="AM14" s="116">
        <f t="shared" si="12"/>
        <v>120.49499999999999</v>
      </c>
      <c r="AN14" s="117">
        <f t="shared" si="13"/>
        <v>466.95499999999998</v>
      </c>
      <c r="AO14" s="118">
        <v>1</v>
      </c>
      <c r="AP14" s="119"/>
      <c r="AQ14" s="141">
        <f>AO14*产品成本!$D$17+AP14*产品成本!$D$18</f>
        <v>5.63</v>
      </c>
      <c r="AR14" s="142">
        <f>AO14*产品成本!$E$17+AP14*产品成本!$E$18</f>
        <v>0.32</v>
      </c>
      <c r="AS14" s="142">
        <f>AO14*产品成本!$F$17+AP14*产品成本!$F$18</f>
        <v>0.34</v>
      </c>
      <c r="AT14" s="142">
        <f>AO14*产品成本!$G$17+AP14*产品成本!$G$18</f>
        <v>3.9</v>
      </c>
      <c r="AU14" s="142"/>
      <c r="AV14" s="142">
        <f t="shared" si="14"/>
        <v>0.84449999999999992</v>
      </c>
      <c r="AW14" s="142">
        <f t="shared" si="15"/>
        <v>-0.16889999999999999</v>
      </c>
      <c r="AX14" s="117">
        <f t="shared" si="16"/>
        <v>5.2355999999999998</v>
      </c>
      <c r="AY14" s="122">
        <f t="shared" si="17"/>
        <v>461.71940000000001</v>
      </c>
      <c r="AZ14" s="122">
        <f t="shared" si="18"/>
        <v>803.3</v>
      </c>
      <c r="BA14" s="122">
        <f t="shared" si="19"/>
        <v>797.67</v>
      </c>
      <c r="BB14" s="121">
        <f t="shared" si="29"/>
        <v>-329.43940000000003</v>
      </c>
      <c r="BC14" s="123">
        <f t="shared" si="30"/>
        <v>-0.41300211867062825</v>
      </c>
    </row>
    <row r="15" spans="1:57" ht="29.1" customHeight="1" x14ac:dyDescent="0.15">
      <c r="A15" s="38" t="s">
        <v>158</v>
      </c>
      <c r="B15" s="66" t="s">
        <v>159</v>
      </c>
      <c r="C15" s="67">
        <v>22</v>
      </c>
      <c r="D15" s="68">
        <v>21</v>
      </c>
      <c r="E15" s="41">
        <v>586.17999999999995</v>
      </c>
      <c r="F15" s="101">
        <v>8</v>
      </c>
      <c r="G15" s="101">
        <v>7</v>
      </c>
      <c r="H15" s="41">
        <v>215.12</v>
      </c>
      <c r="I15" s="41">
        <v>13.45</v>
      </c>
      <c r="J15" s="102">
        <v>0</v>
      </c>
      <c r="K15" s="103">
        <f t="shared" si="0"/>
        <v>0</v>
      </c>
      <c r="L15" s="104">
        <v>0</v>
      </c>
      <c r="M15" s="105">
        <f t="shared" si="25"/>
        <v>-0.35294117647058826</v>
      </c>
      <c r="N15" s="103">
        <f t="shared" si="26"/>
        <v>-0.38235294117647056</v>
      </c>
      <c r="O15" s="103">
        <f t="shared" si="27"/>
        <v>-0.27922189705629202</v>
      </c>
      <c r="P15" s="106">
        <f t="shared" si="1"/>
        <v>1.0476190476190477</v>
      </c>
      <c r="Q15" s="107">
        <f t="shared" si="2"/>
        <v>27.91333333333333</v>
      </c>
      <c r="R15" s="140">
        <f t="shared" si="3"/>
        <v>26.644545454545451</v>
      </c>
      <c r="S15" s="108">
        <f t="shared" si="4"/>
        <v>3.1428571428571428</v>
      </c>
      <c r="T15" s="109">
        <f t="shared" si="28"/>
        <v>14</v>
      </c>
      <c r="U15" s="110">
        <f t="shared" si="6"/>
        <v>0.66666666666666663</v>
      </c>
      <c r="V15" s="71">
        <f t="shared" si="7"/>
        <v>0.27915422624971631</v>
      </c>
      <c r="W15" s="68">
        <v>7341</v>
      </c>
      <c r="X15" s="68">
        <v>198</v>
      </c>
      <c r="Y15" s="68">
        <v>7</v>
      </c>
      <c r="Z15" s="41">
        <v>159.88</v>
      </c>
      <c r="AA15" s="111">
        <v>188.23</v>
      </c>
      <c r="AB15" s="68">
        <v>0.81</v>
      </c>
      <c r="AC15" s="48">
        <f t="shared" si="8"/>
        <v>0.84938638899219043</v>
      </c>
      <c r="AD15" s="49">
        <f t="shared" si="9"/>
        <v>2.6971802206783815E-2</v>
      </c>
      <c r="AE15" s="112">
        <f t="shared" si="10"/>
        <v>3.5353535353535352E-2</v>
      </c>
      <c r="AF15" s="107">
        <f t="shared" si="11"/>
        <v>22.84</v>
      </c>
      <c r="AG15" s="113">
        <v>22</v>
      </c>
      <c r="AH15" s="115"/>
      <c r="AI15" s="116">
        <f>AG15*产品成本!$D$17+AH15*产品成本!$D$18</f>
        <v>123.86</v>
      </c>
      <c r="AJ15" s="116">
        <f>AG15*产品成本!$E$17+AH15*产品成本!$E$18</f>
        <v>7.04</v>
      </c>
      <c r="AK15" s="116">
        <f>AG15*产品成本!$F$17+AH15*产品成本!$F$18</f>
        <v>7.48</v>
      </c>
      <c r="AL15" s="116">
        <f>AG15*产品成本!$G$17+AH15*产品成本!$G$18</f>
        <v>85.8</v>
      </c>
      <c r="AM15" s="116">
        <f t="shared" si="12"/>
        <v>85.90949999999998</v>
      </c>
      <c r="AN15" s="117">
        <f t="shared" si="13"/>
        <v>310.08949999999999</v>
      </c>
      <c r="AO15" s="118">
        <v>0</v>
      </c>
      <c r="AP15" s="119"/>
      <c r="AQ15" s="141">
        <f>AO15*产品成本!$D$17+AP15*产品成本!$D$18</f>
        <v>0</v>
      </c>
      <c r="AR15" s="142">
        <f>AO15*产品成本!$E$17+AP15*产品成本!$E$18</f>
        <v>0</v>
      </c>
      <c r="AS15" s="142">
        <f>AO15*产品成本!$F$17+AP15*产品成本!$F$18</f>
        <v>0</v>
      </c>
      <c r="AT15" s="142">
        <f>AO15*产品成本!$G$17+AP15*产品成本!$G$18</f>
        <v>0</v>
      </c>
      <c r="AU15" s="142"/>
      <c r="AV15" s="142">
        <f t="shared" si="14"/>
        <v>0</v>
      </c>
      <c r="AW15" s="142">
        <f t="shared" si="15"/>
        <v>0</v>
      </c>
      <c r="AX15" s="117">
        <f t="shared" si="16"/>
        <v>0</v>
      </c>
      <c r="AY15" s="122">
        <f t="shared" si="17"/>
        <v>310.08949999999999</v>
      </c>
      <c r="AZ15" s="122">
        <f t="shared" si="18"/>
        <v>572.7299999999999</v>
      </c>
      <c r="BA15" s="122">
        <f t="shared" si="19"/>
        <v>572.7299999999999</v>
      </c>
      <c r="BB15" s="121">
        <f t="shared" si="29"/>
        <v>102.76049999999992</v>
      </c>
      <c r="BC15" s="123">
        <f t="shared" si="30"/>
        <v>0.17942224084647204</v>
      </c>
    </row>
    <row r="16" spans="1:57" ht="29.1" customHeight="1" x14ac:dyDescent="0.15">
      <c r="A16" s="38" t="s">
        <v>160</v>
      </c>
      <c r="B16" s="66" t="s">
        <v>161</v>
      </c>
      <c r="C16" s="67">
        <v>8</v>
      </c>
      <c r="D16" s="68">
        <v>8</v>
      </c>
      <c r="E16" s="41">
        <v>209.72</v>
      </c>
      <c r="F16" s="101">
        <v>0</v>
      </c>
      <c r="G16" s="101">
        <v>0</v>
      </c>
      <c r="H16" s="41">
        <v>0</v>
      </c>
      <c r="I16" s="41">
        <v>0</v>
      </c>
      <c r="J16" s="102">
        <v>1</v>
      </c>
      <c r="K16" s="103">
        <f t="shared" si="0"/>
        <v>0.125</v>
      </c>
      <c r="L16" s="104">
        <v>23.67</v>
      </c>
      <c r="M16" s="105">
        <f t="shared" si="25"/>
        <v>-0.63636363636363635</v>
      </c>
      <c r="N16" s="103">
        <f t="shared" si="26"/>
        <v>-0.61904761904761907</v>
      </c>
      <c r="O16" s="103">
        <f t="shared" si="27"/>
        <v>-0.64222593742536416</v>
      </c>
      <c r="P16" s="106">
        <f t="shared" si="1"/>
        <v>1</v>
      </c>
      <c r="Q16" s="107">
        <f t="shared" si="2"/>
        <v>26.215</v>
      </c>
      <c r="R16" s="140">
        <f t="shared" si="3"/>
        <v>26.215</v>
      </c>
      <c r="S16" s="108">
        <f t="shared" si="4"/>
        <v>1.1428571428571428</v>
      </c>
      <c r="T16" s="109">
        <f t="shared" si="28"/>
        <v>6</v>
      </c>
      <c r="U16" s="110">
        <f t="shared" si="6"/>
        <v>0.75</v>
      </c>
      <c r="V16" s="71">
        <f t="shared" si="7"/>
        <v>0.27355521647911502</v>
      </c>
      <c r="W16" s="68">
        <v>3852</v>
      </c>
      <c r="X16" s="68">
        <v>71</v>
      </c>
      <c r="Y16" s="68">
        <v>2</v>
      </c>
      <c r="Z16" s="41">
        <v>57.37</v>
      </c>
      <c r="AA16" s="111">
        <v>53.78</v>
      </c>
      <c r="AB16" s="68">
        <v>0.81</v>
      </c>
      <c r="AC16" s="48">
        <f t="shared" si="8"/>
        <v>1.0667534399404983</v>
      </c>
      <c r="AD16" s="49">
        <f t="shared" si="9"/>
        <v>1.8431983385254414E-2</v>
      </c>
      <c r="AE16" s="112">
        <f t="shared" si="10"/>
        <v>2.8169014084507043E-2</v>
      </c>
      <c r="AF16" s="107">
        <f t="shared" si="11"/>
        <v>28.684999999999999</v>
      </c>
      <c r="AG16" s="113">
        <v>8</v>
      </c>
      <c r="AH16" s="115"/>
      <c r="AI16" s="116">
        <f>AG16*产品成本!$D$17+AH16*产品成本!$D$18</f>
        <v>45.04</v>
      </c>
      <c r="AJ16" s="116">
        <f>AG16*产品成本!$E$17+AH16*产品成本!$E$18</f>
        <v>2.56</v>
      </c>
      <c r="AK16" s="116">
        <f>AG16*产品成本!$F$17+AH16*产品成本!$F$18</f>
        <v>2.72</v>
      </c>
      <c r="AL16" s="116">
        <f>AG16*产品成本!$G$17+AH16*产品成本!$G$18</f>
        <v>31.2</v>
      </c>
      <c r="AM16" s="116">
        <f t="shared" si="12"/>
        <v>31.457999999999998</v>
      </c>
      <c r="AN16" s="117">
        <f t="shared" si="13"/>
        <v>112.97799999999999</v>
      </c>
      <c r="AO16" s="118">
        <v>1</v>
      </c>
      <c r="AP16" s="119"/>
      <c r="AQ16" s="141">
        <f>AO16*产品成本!$D$17+AP16*产品成本!$D$18</f>
        <v>5.63</v>
      </c>
      <c r="AR16" s="142">
        <f>AO16*产品成本!$E$17+AP16*产品成本!$E$18</f>
        <v>0.32</v>
      </c>
      <c r="AS16" s="142">
        <f>AO16*产品成本!$F$17+AP16*产品成本!$F$18</f>
        <v>0.34</v>
      </c>
      <c r="AT16" s="142">
        <f>AO16*产品成本!$G$17+AP16*产品成本!$G$18</f>
        <v>3.9</v>
      </c>
      <c r="AU16" s="142"/>
      <c r="AV16" s="142">
        <f t="shared" si="14"/>
        <v>0.84449999999999992</v>
      </c>
      <c r="AW16" s="142">
        <f t="shared" si="15"/>
        <v>-0.16889999999999999</v>
      </c>
      <c r="AX16" s="117">
        <f t="shared" si="16"/>
        <v>5.2355999999999998</v>
      </c>
      <c r="AY16" s="122">
        <f t="shared" si="17"/>
        <v>107.74239999999999</v>
      </c>
      <c r="AZ16" s="122">
        <f t="shared" si="18"/>
        <v>209.72</v>
      </c>
      <c r="BA16" s="122">
        <f t="shared" si="19"/>
        <v>204.09</v>
      </c>
      <c r="BB16" s="121">
        <f t="shared" si="29"/>
        <v>38.977600000000017</v>
      </c>
      <c r="BC16" s="123">
        <f t="shared" si="30"/>
        <v>0.19098240972120151</v>
      </c>
    </row>
    <row r="17" spans="1:56" ht="29.1" customHeight="1" x14ac:dyDescent="0.15">
      <c r="A17" s="38" t="s">
        <v>162</v>
      </c>
      <c r="B17" s="66" t="s">
        <v>163</v>
      </c>
      <c r="C17" s="67">
        <v>10</v>
      </c>
      <c r="D17" s="68">
        <v>10</v>
      </c>
      <c r="E17" s="41">
        <v>268.89999999999998</v>
      </c>
      <c r="F17" s="101">
        <v>1</v>
      </c>
      <c r="G17" s="101">
        <v>1</v>
      </c>
      <c r="H17" s="41">
        <v>26.89</v>
      </c>
      <c r="I17" s="41">
        <v>2.69</v>
      </c>
      <c r="J17" s="102">
        <v>3</v>
      </c>
      <c r="K17" s="103">
        <f t="shared" si="0"/>
        <v>0.3</v>
      </c>
      <c r="L17" s="104">
        <v>67.709999999999994</v>
      </c>
      <c r="M17" s="105">
        <f t="shared" si="25"/>
        <v>0.25</v>
      </c>
      <c r="N17" s="103">
        <f t="shared" si="26"/>
        <v>0.25</v>
      </c>
      <c r="O17" s="103">
        <f t="shared" si="27"/>
        <v>0.28218577150486351</v>
      </c>
      <c r="P17" s="106">
        <f t="shared" si="1"/>
        <v>1</v>
      </c>
      <c r="Q17" s="107">
        <f t="shared" si="2"/>
        <v>26.889999999999997</v>
      </c>
      <c r="R17" s="140">
        <f t="shared" si="3"/>
        <v>26.889999999999997</v>
      </c>
      <c r="S17" s="108">
        <f t="shared" si="4"/>
        <v>1.4285714285714286</v>
      </c>
      <c r="T17" s="109">
        <f t="shared" si="28"/>
        <v>3</v>
      </c>
      <c r="U17" s="110">
        <f t="shared" si="6"/>
        <v>0.3</v>
      </c>
      <c r="V17" s="71">
        <f t="shared" si="7"/>
        <v>0.36242064535517077</v>
      </c>
      <c r="W17" s="68">
        <v>4447</v>
      </c>
      <c r="X17" s="68">
        <v>120</v>
      </c>
      <c r="Y17" s="68">
        <v>7</v>
      </c>
      <c r="Z17" s="41">
        <v>96.48</v>
      </c>
      <c r="AA17" s="111">
        <v>188.23</v>
      </c>
      <c r="AB17" s="68">
        <v>0.8</v>
      </c>
      <c r="AC17" s="48">
        <f t="shared" si="8"/>
        <v>0.51256441587419654</v>
      </c>
      <c r="AD17" s="49">
        <f t="shared" si="9"/>
        <v>2.6984483921744996E-2</v>
      </c>
      <c r="AE17" s="112">
        <f t="shared" si="10"/>
        <v>5.8333333333333334E-2</v>
      </c>
      <c r="AF17" s="107">
        <f t="shared" si="11"/>
        <v>13.782857142857143</v>
      </c>
      <c r="AG17" s="113">
        <v>10</v>
      </c>
      <c r="AH17" s="115"/>
      <c r="AI17" s="116">
        <f>AG17*产品成本!$D$17+AH17*产品成本!$D$18</f>
        <v>56.3</v>
      </c>
      <c r="AJ17" s="116">
        <f>AG17*产品成本!$E$17+AH17*产品成本!$E$18</f>
        <v>3.2</v>
      </c>
      <c r="AK17" s="116">
        <f>AG17*产品成本!$F$17+AH17*产品成本!$F$18</f>
        <v>3.4000000000000004</v>
      </c>
      <c r="AL17" s="116">
        <f>AG17*产品成本!$G$17+AH17*产品成本!$G$18</f>
        <v>39</v>
      </c>
      <c r="AM17" s="116">
        <f t="shared" si="12"/>
        <v>39.931499999999993</v>
      </c>
      <c r="AN17" s="117">
        <f t="shared" si="13"/>
        <v>141.83150000000001</v>
      </c>
      <c r="AO17" s="118">
        <v>3</v>
      </c>
      <c r="AP17" s="119"/>
      <c r="AQ17" s="141">
        <f>AO17*产品成本!$D$17+AP17*产品成本!$D$18</f>
        <v>16.89</v>
      </c>
      <c r="AR17" s="142">
        <f>AO17*产品成本!$E$17+AP17*产品成本!$E$18</f>
        <v>0.96</v>
      </c>
      <c r="AS17" s="142">
        <f>AO17*产品成本!$F$17+AP17*产品成本!$F$18</f>
        <v>1.02</v>
      </c>
      <c r="AT17" s="142">
        <f>AO17*产品成本!$G$17+AP17*产品成本!$G$18</f>
        <v>11.7</v>
      </c>
      <c r="AU17" s="142"/>
      <c r="AV17" s="142">
        <f t="shared" si="14"/>
        <v>2.5335000000000001</v>
      </c>
      <c r="AW17" s="142">
        <f t="shared" si="15"/>
        <v>-0.50670000000000004</v>
      </c>
      <c r="AX17" s="117">
        <f t="shared" si="16"/>
        <v>15.706799999999999</v>
      </c>
      <c r="AY17" s="122">
        <f t="shared" si="17"/>
        <v>126.1247</v>
      </c>
      <c r="AZ17" s="122">
        <f t="shared" si="18"/>
        <v>266.20999999999998</v>
      </c>
      <c r="BA17" s="122">
        <f t="shared" si="19"/>
        <v>249.32</v>
      </c>
      <c r="BB17" s="121">
        <f t="shared" si="29"/>
        <v>26.715299999999985</v>
      </c>
      <c r="BC17" s="123">
        <f t="shared" si="30"/>
        <v>0.10715265522220434</v>
      </c>
    </row>
    <row r="18" spans="1:56" ht="29.1" customHeight="1" x14ac:dyDescent="0.15">
      <c r="A18" s="38" t="s">
        <v>165</v>
      </c>
      <c r="B18" s="38" t="s">
        <v>166</v>
      </c>
      <c r="C18" s="67">
        <v>43</v>
      </c>
      <c r="D18" s="68">
        <v>42</v>
      </c>
      <c r="E18" s="41">
        <v>891.61</v>
      </c>
      <c r="F18" s="101">
        <v>0</v>
      </c>
      <c r="G18" s="101">
        <v>0</v>
      </c>
      <c r="H18" s="41">
        <v>0</v>
      </c>
      <c r="I18" s="41">
        <v>0</v>
      </c>
      <c r="J18" s="102">
        <v>2</v>
      </c>
      <c r="K18" s="103">
        <f t="shared" si="0"/>
        <v>4.6511627906976744E-2</v>
      </c>
      <c r="L18" s="104">
        <v>37.76</v>
      </c>
      <c r="M18" s="105">
        <f t="shared" si="25"/>
        <v>3.3</v>
      </c>
      <c r="N18" s="103">
        <f t="shared" si="26"/>
        <v>3.2</v>
      </c>
      <c r="O18" s="103">
        <f t="shared" si="27"/>
        <v>2.3157679434734106</v>
      </c>
      <c r="P18" s="106">
        <f t="shared" si="1"/>
        <v>1.0238095238095237</v>
      </c>
      <c r="Q18" s="107">
        <f t="shared" si="2"/>
        <v>21.228809523809524</v>
      </c>
      <c r="R18" s="140">
        <f t="shared" si="3"/>
        <v>20.735116279069768</v>
      </c>
      <c r="S18" s="108">
        <f t="shared" si="4"/>
        <v>6.1428571428571432</v>
      </c>
      <c r="T18" s="109">
        <f t="shared" si="28"/>
        <v>11</v>
      </c>
      <c r="U18" s="110">
        <f t="shared" si="6"/>
        <v>0.26190476190476192</v>
      </c>
      <c r="V18" s="71">
        <f t="shared" si="7"/>
        <v>0.43921669788360385</v>
      </c>
      <c r="W18" s="68">
        <v>22491</v>
      </c>
      <c r="X18" s="68">
        <v>426</v>
      </c>
      <c r="Y18" s="68">
        <v>31</v>
      </c>
      <c r="Z18" s="41">
        <v>391.61</v>
      </c>
      <c r="AA18" s="111">
        <v>662.8</v>
      </c>
      <c r="AB18" s="68">
        <v>0.92</v>
      </c>
      <c r="AC18" s="48">
        <f t="shared" si="8"/>
        <v>0.59084188292094153</v>
      </c>
      <c r="AD18" s="49">
        <f t="shared" si="9"/>
        <v>1.8940909697212217E-2</v>
      </c>
      <c r="AE18" s="112">
        <f t="shared" si="10"/>
        <v>7.2769953051643188E-2</v>
      </c>
      <c r="AF18" s="107">
        <f t="shared" si="11"/>
        <v>12.632580645161291</v>
      </c>
      <c r="AG18" s="113">
        <v>43</v>
      </c>
      <c r="AH18" s="115"/>
      <c r="AI18" s="116">
        <f>AG18*产品成本!$D$17+AH18*产品成本!$D$18</f>
        <v>242.09</v>
      </c>
      <c r="AJ18" s="116">
        <f>AG18*产品成本!$E$17+AH18*产品成本!$E$18</f>
        <v>13.76</v>
      </c>
      <c r="AK18" s="116">
        <f>AG18*产品成本!$F$17+AH18*产品成本!$F$18</f>
        <v>14.620000000000001</v>
      </c>
      <c r="AL18" s="116">
        <f>AG18*产品成本!$G$17+AH18*产品成本!$G$18</f>
        <v>167.7</v>
      </c>
      <c r="AM18" s="116">
        <f t="shared" si="12"/>
        <v>133.7415</v>
      </c>
      <c r="AN18" s="117">
        <f t="shared" si="13"/>
        <v>571.91149999999993</v>
      </c>
      <c r="AO18" s="118">
        <v>2</v>
      </c>
      <c r="AP18" s="119"/>
      <c r="AQ18" s="141">
        <f>AO18*产品成本!$D$17+AP18*产品成本!$D$18</f>
        <v>11.26</v>
      </c>
      <c r="AR18" s="142">
        <f>AO18*产品成本!$E$17+AP18*产品成本!$E$18</f>
        <v>0.64</v>
      </c>
      <c r="AS18" s="142">
        <f>AO18*产品成本!$F$17+AP18*产品成本!$F$18</f>
        <v>0.68</v>
      </c>
      <c r="AT18" s="142">
        <f>AO18*产品成本!$G$17+AP18*产品成本!$G$18</f>
        <v>7.8</v>
      </c>
      <c r="AU18" s="142"/>
      <c r="AV18" s="142">
        <f t="shared" si="14"/>
        <v>1.6889999999999998</v>
      </c>
      <c r="AW18" s="142">
        <f t="shared" si="15"/>
        <v>-0.33779999999999999</v>
      </c>
      <c r="AX18" s="117">
        <f t="shared" si="16"/>
        <v>10.4712</v>
      </c>
      <c r="AY18" s="122">
        <f t="shared" si="17"/>
        <v>561.44029999999998</v>
      </c>
      <c r="AZ18" s="122">
        <f t="shared" si="18"/>
        <v>891.61</v>
      </c>
      <c r="BA18" s="122">
        <f t="shared" si="19"/>
        <v>880.35</v>
      </c>
      <c r="BB18" s="121">
        <f t="shared" si="29"/>
        <v>-72.70029999999997</v>
      </c>
      <c r="BC18" s="123">
        <f t="shared" si="30"/>
        <v>-8.2581132504117638E-2</v>
      </c>
    </row>
    <row r="19" spans="1:56" ht="29.1" customHeight="1" x14ac:dyDescent="0.15">
      <c r="A19" s="38" t="s">
        <v>167</v>
      </c>
      <c r="B19" s="38" t="s">
        <v>168</v>
      </c>
      <c r="C19" s="67">
        <v>52</v>
      </c>
      <c r="D19" s="68">
        <v>51</v>
      </c>
      <c r="E19" s="41">
        <v>1141.1500000000001</v>
      </c>
      <c r="F19" s="101">
        <v>0</v>
      </c>
      <c r="G19" s="101">
        <v>0</v>
      </c>
      <c r="H19" s="41">
        <v>0</v>
      </c>
      <c r="I19" s="41">
        <v>0</v>
      </c>
      <c r="J19" s="102">
        <v>3</v>
      </c>
      <c r="K19" s="103">
        <f t="shared" si="0"/>
        <v>5.7692307692307696E-2</v>
      </c>
      <c r="L19" s="104">
        <v>56.69</v>
      </c>
      <c r="M19" s="105">
        <f t="shared" si="25"/>
        <v>0.20930232558139536</v>
      </c>
      <c r="N19" s="103">
        <f t="shared" si="26"/>
        <v>0.21428571428571427</v>
      </c>
      <c r="O19" s="103">
        <f t="shared" si="27"/>
        <v>0.2798757304202511</v>
      </c>
      <c r="P19" s="106">
        <f t="shared" si="1"/>
        <v>1.0196078431372548</v>
      </c>
      <c r="Q19" s="107">
        <f t="shared" si="2"/>
        <v>22.375490196078434</v>
      </c>
      <c r="R19" s="140">
        <f t="shared" si="3"/>
        <v>21.945192307692309</v>
      </c>
      <c r="S19" s="108">
        <f t="shared" si="4"/>
        <v>7.4285714285714288</v>
      </c>
      <c r="T19" s="109">
        <f t="shared" si="28"/>
        <v>6</v>
      </c>
      <c r="U19" s="110">
        <f t="shared" si="6"/>
        <v>0.11764705882352941</v>
      </c>
      <c r="V19" s="71">
        <f t="shared" si="7"/>
        <v>0.5484467423213425</v>
      </c>
      <c r="W19" s="68">
        <v>36970</v>
      </c>
      <c r="X19" s="68">
        <v>694</v>
      </c>
      <c r="Y19" s="68">
        <v>45</v>
      </c>
      <c r="Z19" s="41">
        <v>625.86</v>
      </c>
      <c r="AA19" s="111">
        <v>1038.5899999999999</v>
      </c>
      <c r="AB19" s="68">
        <v>0.9</v>
      </c>
      <c r="AC19" s="48">
        <f t="shared" si="8"/>
        <v>0.60260545547328592</v>
      </c>
      <c r="AD19" s="49">
        <f t="shared" si="9"/>
        <v>1.8771977278874762E-2</v>
      </c>
      <c r="AE19" s="112">
        <f t="shared" si="10"/>
        <v>6.4841498559077809E-2</v>
      </c>
      <c r="AF19" s="107">
        <f t="shared" si="11"/>
        <v>13.907999999999999</v>
      </c>
      <c r="AG19" s="113">
        <v>53</v>
      </c>
      <c r="AH19" s="115"/>
      <c r="AI19" s="116">
        <f>AG19*产品成本!$D$17+AH19*产品成本!$D$18</f>
        <v>298.39</v>
      </c>
      <c r="AJ19" s="116">
        <f>AG19*产品成本!$E$17+AH19*产品成本!$E$18</f>
        <v>16.96</v>
      </c>
      <c r="AK19" s="116">
        <f>AG19*产品成本!$F$17+AH19*产品成本!$F$18</f>
        <v>18.02</v>
      </c>
      <c r="AL19" s="116">
        <f>AG19*产品成本!$G$17+AH19*产品成本!$G$18</f>
        <v>206.7</v>
      </c>
      <c r="AM19" s="116">
        <f t="shared" si="12"/>
        <v>171.17250000000001</v>
      </c>
      <c r="AN19" s="117">
        <f t="shared" si="13"/>
        <v>711.24249999999995</v>
      </c>
      <c r="AO19" s="118">
        <v>3</v>
      </c>
      <c r="AP19" s="119"/>
      <c r="AQ19" s="141">
        <f>AO19*产品成本!$D$17+AP19*产品成本!$D$18</f>
        <v>16.89</v>
      </c>
      <c r="AR19" s="142">
        <f>AO19*产品成本!$E$17+AP19*产品成本!$E$18</f>
        <v>0.96</v>
      </c>
      <c r="AS19" s="142">
        <f>AO19*产品成本!$F$17+AP19*产品成本!$F$18</f>
        <v>1.02</v>
      </c>
      <c r="AT19" s="142">
        <f>AO19*产品成本!$G$17+AP19*产品成本!$G$18</f>
        <v>11.7</v>
      </c>
      <c r="AU19" s="142"/>
      <c r="AV19" s="142">
        <f t="shared" si="14"/>
        <v>2.5335000000000001</v>
      </c>
      <c r="AW19" s="142">
        <f t="shared" si="15"/>
        <v>-0.50670000000000004</v>
      </c>
      <c r="AX19" s="117">
        <f t="shared" si="16"/>
        <v>15.706799999999999</v>
      </c>
      <c r="AY19" s="122">
        <f t="shared" si="17"/>
        <v>695.53569999999991</v>
      </c>
      <c r="AZ19" s="122">
        <f t="shared" si="18"/>
        <v>1141.1500000000001</v>
      </c>
      <c r="BA19" s="122">
        <f t="shared" si="19"/>
        <v>1124.26</v>
      </c>
      <c r="BB19" s="121">
        <f t="shared" si="29"/>
        <v>-197.13569999999993</v>
      </c>
      <c r="BC19" s="123">
        <f t="shared" si="30"/>
        <v>-0.1753470727411808</v>
      </c>
    </row>
    <row r="20" spans="1:56" ht="29.1" customHeight="1" x14ac:dyDescent="0.15">
      <c r="A20" s="38" t="s">
        <v>169</v>
      </c>
      <c r="B20" s="38" t="s">
        <v>170</v>
      </c>
      <c r="C20" s="67">
        <v>36</v>
      </c>
      <c r="D20" s="68">
        <v>34</v>
      </c>
      <c r="E20" s="41">
        <v>899.53</v>
      </c>
      <c r="F20" s="101">
        <v>2</v>
      </c>
      <c r="G20" s="101">
        <v>2</v>
      </c>
      <c r="H20" s="41">
        <v>45.72</v>
      </c>
      <c r="I20" s="41">
        <v>4.58</v>
      </c>
      <c r="J20" s="102">
        <v>5</v>
      </c>
      <c r="K20" s="103">
        <f t="shared" si="0"/>
        <v>0.1388888888888889</v>
      </c>
      <c r="L20" s="104">
        <v>113.61</v>
      </c>
      <c r="M20" s="105">
        <f t="shared" si="25"/>
        <v>-0.30769230769230771</v>
      </c>
      <c r="N20" s="103">
        <f t="shared" si="26"/>
        <v>-0.33333333333333331</v>
      </c>
      <c r="O20" s="103">
        <f t="shared" si="27"/>
        <v>-0.2117337773298866</v>
      </c>
      <c r="P20" s="106">
        <f t="shared" si="1"/>
        <v>1.0588235294117647</v>
      </c>
      <c r="Q20" s="107">
        <f t="shared" si="2"/>
        <v>26.456764705882353</v>
      </c>
      <c r="R20" s="140">
        <f t="shared" si="3"/>
        <v>24.986944444444443</v>
      </c>
      <c r="S20" s="108">
        <f t="shared" si="4"/>
        <v>5.1428571428571432</v>
      </c>
      <c r="T20" s="109">
        <f t="shared" si="28"/>
        <v>6</v>
      </c>
      <c r="U20" s="110">
        <f t="shared" si="6"/>
        <v>0.17647058823529413</v>
      </c>
      <c r="V20" s="71">
        <f t="shared" si="7"/>
        <v>0.58731772724733233</v>
      </c>
      <c r="W20" s="68">
        <v>40483</v>
      </c>
      <c r="X20" s="68">
        <v>615</v>
      </c>
      <c r="Y20" s="68">
        <v>28</v>
      </c>
      <c r="Z20" s="41">
        <v>525.62</v>
      </c>
      <c r="AA20" s="111">
        <v>725.42</v>
      </c>
      <c r="AB20" s="68">
        <v>0.85</v>
      </c>
      <c r="AC20" s="48">
        <f t="shared" si="8"/>
        <v>0.72457335061068073</v>
      </c>
      <c r="AD20" s="49">
        <f t="shared" si="9"/>
        <v>1.5191561890176123E-2</v>
      </c>
      <c r="AE20" s="112">
        <f t="shared" si="10"/>
        <v>4.5528455284552849E-2</v>
      </c>
      <c r="AF20" s="107">
        <f t="shared" si="11"/>
        <v>18.772142857142857</v>
      </c>
      <c r="AG20" s="113">
        <v>36</v>
      </c>
      <c r="AH20" s="115"/>
      <c r="AI20" s="116">
        <f>AG20*产品成本!$D$17+AH20*产品成本!$D$18</f>
        <v>202.68</v>
      </c>
      <c r="AJ20" s="116">
        <f>AG20*产品成本!$E$17+AH20*产品成本!$E$18</f>
        <v>11.52</v>
      </c>
      <c r="AK20" s="116">
        <f>AG20*产品成本!$F$17+AH20*产品成本!$F$18</f>
        <v>12.24</v>
      </c>
      <c r="AL20" s="116">
        <f>AG20*产品成本!$G$17+AH20*产品成本!$G$18</f>
        <v>140.4</v>
      </c>
      <c r="AM20" s="116">
        <f t="shared" si="12"/>
        <v>134.24249999999998</v>
      </c>
      <c r="AN20" s="117">
        <f t="shared" si="13"/>
        <v>501.08249999999998</v>
      </c>
      <c r="AO20" s="118">
        <v>5</v>
      </c>
      <c r="AP20" s="119"/>
      <c r="AQ20" s="141">
        <f>AO20*产品成本!$D$17+AP20*产品成本!$D$18</f>
        <v>28.15</v>
      </c>
      <c r="AR20" s="142">
        <f>AO20*产品成本!$E$17+AP20*产品成本!$E$18</f>
        <v>1.6</v>
      </c>
      <c r="AS20" s="142">
        <f>AO20*产品成本!$F$17+AP20*产品成本!$F$18</f>
        <v>1.7000000000000002</v>
      </c>
      <c r="AT20" s="142">
        <f>AO20*产品成本!$G$17+AP20*产品成本!$G$18</f>
        <v>19.5</v>
      </c>
      <c r="AU20" s="142"/>
      <c r="AV20" s="142">
        <f t="shared" si="14"/>
        <v>4.2224999999999993</v>
      </c>
      <c r="AW20" s="142">
        <f t="shared" si="15"/>
        <v>-0.84449999999999992</v>
      </c>
      <c r="AX20" s="117">
        <f t="shared" si="16"/>
        <v>26.178000000000001</v>
      </c>
      <c r="AY20" s="122">
        <f t="shared" si="17"/>
        <v>474.90449999999998</v>
      </c>
      <c r="AZ20" s="122">
        <f t="shared" si="18"/>
        <v>894.94999999999993</v>
      </c>
      <c r="BA20" s="122">
        <f t="shared" si="19"/>
        <v>866.8</v>
      </c>
      <c r="BB20" s="121">
        <f t="shared" si="29"/>
        <v>-133.72450000000003</v>
      </c>
      <c r="BC20" s="123">
        <f t="shared" si="30"/>
        <v>-0.15427376557452704</v>
      </c>
    </row>
    <row r="21" spans="1:56" ht="29.1" customHeight="1" x14ac:dyDescent="0.15">
      <c r="A21" s="38" t="s">
        <v>172</v>
      </c>
      <c r="B21" s="38" t="s">
        <v>173</v>
      </c>
      <c r="C21" s="67">
        <v>28</v>
      </c>
      <c r="D21" s="68">
        <v>28</v>
      </c>
      <c r="E21" s="41">
        <v>640.08000000000004</v>
      </c>
      <c r="F21" s="101">
        <v>0</v>
      </c>
      <c r="G21" s="101">
        <v>0</v>
      </c>
      <c r="H21" s="41">
        <v>0</v>
      </c>
      <c r="I21" s="41">
        <v>0</v>
      </c>
      <c r="J21" s="102">
        <v>2</v>
      </c>
      <c r="K21" s="103">
        <f t="shared" si="0"/>
        <v>7.1428571428571425E-2</v>
      </c>
      <c r="L21" s="104">
        <v>43.79</v>
      </c>
      <c r="M21" s="105">
        <f t="shared" si="25"/>
        <v>-0.22222222222222221</v>
      </c>
      <c r="N21" s="103">
        <f t="shared" si="26"/>
        <v>-0.17647058823529413</v>
      </c>
      <c r="O21" s="103">
        <f t="shared" si="27"/>
        <v>-0.28842840149856031</v>
      </c>
      <c r="P21" s="106">
        <f t="shared" si="1"/>
        <v>1</v>
      </c>
      <c r="Q21" s="107">
        <f t="shared" si="2"/>
        <v>22.860000000000003</v>
      </c>
      <c r="R21" s="140">
        <f t="shared" si="3"/>
        <v>22.860000000000003</v>
      </c>
      <c r="S21" s="108">
        <f t="shared" si="4"/>
        <v>4</v>
      </c>
      <c r="T21" s="109">
        <f t="shared" si="28"/>
        <v>5</v>
      </c>
      <c r="U21" s="110">
        <f t="shared" si="6"/>
        <v>0.17857142857142858</v>
      </c>
      <c r="V21" s="71">
        <f t="shared" si="7"/>
        <v>0.73672040994875632</v>
      </c>
      <c r="W21" s="68">
        <v>27854</v>
      </c>
      <c r="X21" s="68">
        <v>548</v>
      </c>
      <c r="Y21" s="68">
        <v>23</v>
      </c>
      <c r="Z21" s="41">
        <v>471.56</v>
      </c>
      <c r="AA21" s="111">
        <v>529.84</v>
      </c>
      <c r="AB21" s="68">
        <v>0.86</v>
      </c>
      <c r="AC21" s="48">
        <f t="shared" si="8"/>
        <v>0.89000452966933408</v>
      </c>
      <c r="AD21" s="49">
        <f t="shared" si="9"/>
        <v>1.9674014504200473E-2</v>
      </c>
      <c r="AE21" s="112">
        <f t="shared" si="10"/>
        <v>4.1970802919708027E-2</v>
      </c>
      <c r="AF21" s="107">
        <f t="shared" si="11"/>
        <v>20.502608695652174</v>
      </c>
      <c r="AG21" s="113">
        <v>28</v>
      </c>
      <c r="AH21" s="115"/>
      <c r="AI21" s="116">
        <f>AG21*产品成本!$D$17+AH21*产品成本!$D$18</f>
        <v>157.63999999999999</v>
      </c>
      <c r="AJ21" s="116">
        <f>AG21*产品成本!$E$17+AH21*产品成本!$E$18</f>
        <v>8.9600000000000009</v>
      </c>
      <c r="AK21" s="116">
        <f>AG21*产品成本!$F$17+AH21*产品成本!$F$18</f>
        <v>9.5200000000000014</v>
      </c>
      <c r="AL21" s="116">
        <f>AG21*产品成本!$G$17+AH21*产品成本!$G$18</f>
        <v>109.2</v>
      </c>
      <c r="AM21" s="116">
        <f t="shared" si="12"/>
        <v>96.012</v>
      </c>
      <c r="AN21" s="117">
        <f t="shared" si="13"/>
        <v>381.33199999999999</v>
      </c>
      <c r="AO21" s="118">
        <v>2</v>
      </c>
      <c r="AP21" s="119"/>
      <c r="AQ21" s="141">
        <f>AO21*产品成本!$D$17+AP21*产品成本!$D$18</f>
        <v>11.26</v>
      </c>
      <c r="AR21" s="142">
        <f>AO21*产品成本!$E$17+AP21*产品成本!$E$18</f>
        <v>0.64</v>
      </c>
      <c r="AS21" s="142">
        <f>AO21*产品成本!$F$17+AP21*产品成本!$F$18</f>
        <v>0.68</v>
      </c>
      <c r="AT21" s="142">
        <f>AO21*产品成本!$G$17+AP21*产品成本!$G$18</f>
        <v>7.8</v>
      </c>
      <c r="AU21" s="142"/>
      <c r="AV21" s="142">
        <f t="shared" si="14"/>
        <v>1.6889999999999998</v>
      </c>
      <c r="AW21" s="142">
        <f t="shared" si="15"/>
        <v>-0.33779999999999999</v>
      </c>
      <c r="AX21" s="117">
        <f t="shared" si="16"/>
        <v>10.4712</v>
      </c>
      <c r="AY21" s="122">
        <f t="shared" si="17"/>
        <v>370.86079999999998</v>
      </c>
      <c r="AZ21" s="122">
        <f t="shared" si="18"/>
        <v>640.08000000000004</v>
      </c>
      <c r="BA21" s="122">
        <f t="shared" si="19"/>
        <v>628.82000000000005</v>
      </c>
      <c r="BB21" s="121">
        <f t="shared" si="29"/>
        <v>-213.60079999999994</v>
      </c>
      <c r="BC21" s="123">
        <f t="shared" si="30"/>
        <v>-0.33968512451894012</v>
      </c>
    </row>
    <row r="22" spans="1:56" ht="29.1" customHeight="1" x14ac:dyDescent="0.15">
      <c r="A22" s="38" t="s">
        <v>175</v>
      </c>
      <c r="B22" s="38" t="s">
        <v>176</v>
      </c>
      <c r="C22" s="67">
        <v>27</v>
      </c>
      <c r="D22" s="68">
        <v>26</v>
      </c>
      <c r="E22" s="41">
        <v>720.63</v>
      </c>
      <c r="F22" s="101">
        <v>5</v>
      </c>
      <c r="G22" s="101">
        <v>5</v>
      </c>
      <c r="H22" s="41">
        <v>134.44999999999999</v>
      </c>
      <c r="I22" s="41">
        <v>13.45</v>
      </c>
      <c r="J22" s="102">
        <v>4</v>
      </c>
      <c r="K22" s="103">
        <f t="shared" si="0"/>
        <v>0.14814814814814814</v>
      </c>
      <c r="L22" s="104">
        <v>74.8</v>
      </c>
      <c r="M22" s="105">
        <f t="shared" si="25"/>
        <v>-3.5714285714285712E-2</v>
      </c>
      <c r="N22" s="103">
        <f t="shared" si="26"/>
        <v>-7.1428571428571425E-2</v>
      </c>
      <c r="O22" s="103">
        <f t="shared" si="27"/>
        <v>0.12584364454443187</v>
      </c>
      <c r="P22" s="106">
        <f t="shared" si="1"/>
        <v>1.0384615384615385</v>
      </c>
      <c r="Q22" s="107">
        <f t="shared" si="2"/>
        <v>27.716538461538462</v>
      </c>
      <c r="R22" s="140">
        <f t="shared" si="3"/>
        <v>26.69</v>
      </c>
      <c r="S22" s="108">
        <f t="shared" si="4"/>
        <v>3.8571428571428572</v>
      </c>
      <c r="T22" s="109">
        <f t="shared" si="28"/>
        <v>10</v>
      </c>
      <c r="U22" s="110">
        <f t="shared" si="6"/>
        <v>0.38461538461538464</v>
      </c>
      <c r="V22" s="71">
        <f t="shared" si="7"/>
        <v>0.57457790095873751</v>
      </c>
      <c r="W22" s="68">
        <v>32749</v>
      </c>
      <c r="X22" s="68">
        <v>555</v>
      </c>
      <c r="Y22" s="68">
        <v>16</v>
      </c>
      <c r="Z22" s="41">
        <v>406.33</v>
      </c>
      <c r="AA22" s="111">
        <v>424.44</v>
      </c>
      <c r="AB22" s="68">
        <v>0.73</v>
      </c>
      <c r="AC22" s="48">
        <f t="shared" si="8"/>
        <v>0.95733201394778999</v>
      </c>
      <c r="AD22" s="49">
        <f t="shared" si="9"/>
        <v>1.6947082353659652E-2</v>
      </c>
      <c r="AE22" s="112">
        <f t="shared" si="10"/>
        <v>2.8828828828828829E-2</v>
      </c>
      <c r="AF22" s="107">
        <f t="shared" si="11"/>
        <v>25.395624999999999</v>
      </c>
      <c r="AG22" s="113">
        <v>27</v>
      </c>
      <c r="AH22" s="115"/>
      <c r="AI22" s="116">
        <f>AG22*产品成本!$D$17+AH22*产品成本!$D$18</f>
        <v>152.01</v>
      </c>
      <c r="AJ22" s="116">
        <f>AG22*产品成本!$E$17+AH22*产品成本!$E$18</f>
        <v>8.64</v>
      </c>
      <c r="AK22" s="116">
        <f>AG22*产品成本!$F$17+AH22*产品成本!$F$18</f>
        <v>9.1800000000000015</v>
      </c>
      <c r="AL22" s="116">
        <f>AG22*产品成本!$G$17+AH22*产品成本!$G$18</f>
        <v>105.3</v>
      </c>
      <c r="AM22" s="116">
        <f t="shared" si="12"/>
        <v>106.07699999999998</v>
      </c>
      <c r="AN22" s="117">
        <f t="shared" si="13"/>
        <v>381.20699999999999</v>
      </c>
      <c r="AO22" s="118">
        <v>4</v>
      </c>
      <c r="AP22" s="119"/>
      <c r="AQ22" s="141">
        <f>AO22*产品成本!$D$17+AP22*产品成本!$D$18</f>
        <v>22.52</v>
      </c>
      <c r="AR22" s="142">
        <f>AO22*产品成本!$E$17+AP22*产品成本!$E$18</f>
        <v>1.28</v>
      </c>
      <c r="AS22" s="142">
        <f>AO22*产品成本!$F$17+AP22*产品成本!$F$18</f>
        <v>1.36</v>
      </c>
      <c r="AT22" s="142">
        <f>AO22*产品成本!$G$17+AP22*产品成本!$G$18</f>
        <v>15.6</v>
      </c>
      <c r="AU22" s="142"/>
      <c r="AV22" s="142">
        <f t="shared" si="14"/>
        <v>3.3779999999999997</v>
      </c>
      <c r="AW22" s="142">
        <f t="shared" si="15"/>
        <v>-0.67559999999999998</v>
      </c>
      <c r="AX22" s="117">
        <f t="shared" si="16"/>
        <v>20.942399999999999</v>
      </c>
      <c r="AY22" s="122">
        <f t="shared" si="17"/>
        <v>360.26459999999997</v>
      </c>
      <c r="AZ22" s="122">
        <f t="shared" si="18"/>
        <v>707.18</v>
      </c>
      <c r="BA22" s="122">
        <f t="shared" si="19"/>
        <v>684.66</v>
      </c>
      <c r="BB22" s="121">
        <f t="shared" si="29"/>
        <v>-81.934599999999989</v>
      </c>
      <c r="BC22" s="123">
        <f t="shared" si="30"/>
        <v>-0.11967195396255075</v>
      </c>
    </row>
    <row r="23" spans="1:56" ht="29.1" customHeight="1" x14ac:dyDescent="0.15">
      <c r="A23" s="38" t="s">
        <v>177</v>
      </c>
      <c r="B23" s="38" t="s">
        <v>178</v>
      </c>
      <c r="C23" s="67">
        <v>23</v>
      </c>
      <c r="D23" s="68">
        <v>23</v>
      </c>
      <c r="E23" s="41">
        <v>529.59</v>
      </c>
      <c r="F23" s="101">
        <v>0</v>
      </c>
      <c r="G23" s="101">
        <v>0</v>
      </c>
      <c r="H23" s="41">
        <v>0</v>
      </c>
      <c r="I23" s="41">
        <v>0</v>
      </c>
      <c r="J23" s="102">
        <v>3</v>
      </c>
      <c r="K23" s="103">
        <f t="shared" si="0"/>
        <v>0.13043478260869565</v>
      </c>
      <c r="L23" s="104">
        <v>67.459999999999994</v>
      </c>
      <c r="M23" s="105">
        <f t="shared" si="25"/>
        <v>-0.14814814814814814</v>
      </c>
      <c r="N23" s="103">
        <f t="shared" si="26"/>
        <v>-0.11538461538461539</v>
      </c>
      <c r="O23" s="103">
        <f t="shared" si="27"/>
        <v>-0.26510136963490272</v>
      </c>
      <c r="P23" s="106">
        <f t="shared" si="1"/>
        <v>1</v>
      </c>
      <c r="Q23" s="107">
        <f t="shared" si="2"/>
        <v>23.025652173913045</v>
      </c>
      <c r="R23" s="140">
        <f t="shared" si="3"/>
        <v>23.025652173913045</v>
      </c>
      <c r="S23" s="108">
        <f t="shared" si="4"/>
        <v>3.2857142857142856</v>
      </c>
      <c r="T23" s="109">
        <f t="shared" si="28"/>
        <v>7</v>
      </c>
      <c r="U23" s="110">
        <f t="shared" si="6"/>
        <v>0.30434782608695654</v>
      </c>
      <c r="V23" s="71">
        <f t="shared" si="7"/>
        <v>0.36207254668705979</v>
      </c>
      <c r="W23" s="68">
        <v>16030</v>
      </c>
      <c r="X23" s="68">
        <v>284</v>
      </c>
      <c r="Y23" s="68">
        <v>16</v>
      </c>
      <c r="Z23" s="41">
        <v>191.75</v>
      </c>
      <c r="AA23" s="111">
        <v>373.76</v>
      </c>
      <c r="AB23" s="68">
        <v>0.68</v>
      </c>
      <c r="AC23" s="48">
        <f t="shared" si="8"/>
        <v>0.51302975171232879</v>
      </c>
      <c r="AD23" s="49">
        <f t="shared" si="9"/>
        <v>1.7716781035558328E-2</v>
      </c>
      <c r="AE23" s="112">
        <f t="shared" si="10"/>
        <v>5.6338028169014086E-2</v>
      </c>
      <c r="AF23" s="107">
        <f t="shared" si="11"/>
        <v>11.984375</v>
      </c>
      <c r="AG23" s="113">
        <v>23</v>
      </c>
      <c r="AH23" s="115"/>
      <c r="AI23" s="116">
        <f>AG23*产品成本!$D$17+AH23*产品成本!$D$18</f>
        <v>129.49</v>
      </c>
      <c r="AJ23" s="116">
        <f>AG23*产品成本!$E$17+AH23*产品成本!$E$18</f>
        <v>7.36</v>
      </c>
      <c r="AK23" s="116">
        <f>AG23*产品成本!$F$17+AH23*产品成本!$F$18</f>
        <v>7.82</v>
      </c>
      <c r="AL23" s="116">
        <f>AG23*产品成本!$G$17+AH23*产品成本!$G$18</f>
        <v>89.7</v>
      </c>
      <c r="AM23" s="116">
        <f t="shared" si="12"/>
        <v>79.438500000000005</v>
      </c>
      <c r="AN23" s="117">
        <f t="shared" si="13"/>
        <v>313.80849999999998</v>
      </c>
      <c r="AO23" s="118">
        <v>3</v>
      </c>
      <c r="AP23" s="119"/>
      <c r="AQ23" s="141">
        <f>AO23*产品成本!$D$17+AP23*产品成本!$D$18</f>
        <v>16.89</v>
      </c>
      <c r="AR23" s="142">
        <f>AO23*产品成本!$E$17+AP23*产品成本!$E$18</f>
        <v>0.96</v>
      </c>
      <c r="AS23" s="142">
        <f>AO23*产品成本!$F$17+AP23*产品成本!$F$18</f>
        <v>1.02</v>
      </c>
      <c r="AT23" s="142">
        <f>AO23*产品成本!$G$17+AP23*产品成本!$G$18</f>
        <v>11.7</v>
      </c>
      <c r="AU23" s="142"/>
      <c r="AV23" s="142">
        <f t="shared" si="14"/>
        <v>2.5335000000000001</v>
      </c>
      <c r="AW23" s="142">
        <f t="shared" si="15"/>
        <v>-0.50670000000000004</v>
      </c>
      <c r="AX23" s="117">
        <f t="shared" si="16"/>
        <v>15.706799999999999</v>
      </c>
      <c r="AY23" s="122">
        <f t="shared" si="17"/>
        <v>298.10169999999999</v>
      </c>
      <c r="AZ23" s="122">
        <f t="shared" si="18"/>
        <v>529.59</v>
      </c>
      <c r="BA23" s="122">
        <f t="shared" si="19"/>
        <v>512.70000000000005</v>
      </c>
      <c r="BB23" s="121">
        <f t="shared" si="29"/>
        <v>22.848300000000052</v>
      </c>
      <c r="BC23" s="123">
        <f t="shared" si="30"/>
        <v>4.4564657694558321E-2</v>
      </c>
    </row>
    <row r="24" spans="1:56" ht="29.1" customHeight="1" x14ac:dyDescent="0.15">
      <c r="A24" s="38" t="s">
        <v>179</v>
      </c>
      <c r="B24" s="38" t="s">
        <v>180</v>
      </c>
      <c r="C24" s="67">
        <v>28</v>
      </c>
      <c r="D24" s="68">
        <v>28</v>
      </c>
      <c r="E24" s="41">
        <v>639.79999999999995</v>
      </c>
      <c r="F24" s="101">
        <v>1</v>
      </c>
      <c r="G24" s="101">
        <v>1</v>
      </c>
      <c r="H24" s="41">
        <v>22.85</v>
      </c>
      <c r="I24" s="41">
        <v>22.85</v>
      </c>
      <c r="J24" s="102">
        <v>8</v>
      </c>
      <c r="K24" s="103">
        <f t="shared" si="0"/>
        <v>0.2857142857142857</v>
      </c>
      <c r="L24" s="104">
        <v>168.49</v>
      </c>
      <c r="M24" s="105">
        <f t="shared" si="25"/>
        <v>0.21739130434782608</v>
      </c>
      <c r="N24" s="103">
        <f t="shared" si="26"/>
        <v>0.21739130434782608</v>
      </c>
      <c r="O24" s="103">
        <f t="shared" si="27"/>
        <v>0.20810438263562361</v>
      </c>
      <c r="P24" s="106">
        <f t="shared" si="1"/>
        <v>1</v>
      </c>
      <c r="Q24" s="107">
        <f t="shared" si="2"/>
        <v>22.849999999999998</v>
      </c>
      <c r="R24" s="140">
        <f t="shared" si="3"/>
        <v>22.849999999999998</v>
      </c>
      <c r="S24" s="108">
        <f t="shared" si="4"/>
        <v>4</v>
      </c>
      <c r="T24" s="109">
        <f t="shared" si="28"/>
        <v>8</v>
      </c>
      <c r="U24" s="110">
        <f t="shared" si="6"/>
        <v>0.2857142857142857</v>
      </c>
      <c r="V24" s="71">
        <f t="shared" si="7"/>
        <v>0.37912310560012974</v>
      </c>
      <c r="W24" s="68">
        <v>18360</v>
      </c>
      <c r="X24" s="68">
        <v>356</v>
      </c>
      <c r="Y24" s="68">
        <v>20</v>
      </c>
      <c r="Z24" s="41">
        <v>233.9</v>
      </c>
      <c r="AA24" s="111">
        <v>458.18</v>
      </c>
      <c r="AB24" s="68">
        <v>0.66</v>
      </c>
      <c r="AC24" s="48">
        <f t="shared" si="8"/>
        <v>0.5104980575319743</v>
      </c>
      <c r="AD24" s="49">
        <f t="shared" si="9"/>
        <v>1.9389978213507627E-2</v>
      </c>
      <c r="AE24" s="112">
        <f t="shared" si="10"/>
        <v>5.6179775280898875E-2</v>
      </c>
      <c r="AF24" s="107">
        <f t="shared" si="11"/>
        <v>11.695</v>
      </c>
      <c r="AG24" s="113">
        <v>28</v>
      </c>
      <c r="AH24" s="115"/>
      <c r="AI24" s="116">
        <f>AG24*产品成本!$D$17+AH24*产品成本!$D$18</f>
        <v>157.63999999999999</v>
      </c>
      <c r="AJ24" s="116">
        <f>AG24*产品成本!$E$17+AH24*产品成本!$E$18</f>
        <v>8.9600000000000009</v>
      </c>
      <c r="AK24" s="116">
        <f>AG24*产品成本!$F$17+AH24*产品成本!$F$18</f>
        <v>9.5200000000000014</v>
      </c>
      <c r="AL24" s="116">
        <f>AG24*产品成本!$G$17+AH24*产品成本!$G$18</f>
        <v>109.2</v>
      </c>
      <c r="AM24" s="116">
        <f t="shared" si="12"/>
        <v>92.54249999999999</v>
      </c>
      <c r="AN24" s="117">
        <f t="shared" si="13"/>
        <v>377.86249999999995</v>
      </c>
      <c r="AO24" s="118">
        <v>8</v>
      </c>
      <c r="AP24" s="119"/>
      <c r="AQ24" s="141">
        <f>AO24*产品成本!$D$17+AP24*产品成本!$D$18</f>
        <v>45.04</v>
      </c>
      <c r="AR24" s="142">
        <f>AO24*产品成本!$E$17+AP24*产品成本!$E$18</f>
        <v>2.56</v>
      </c>
      <c r="AS24" s="142">
        <f>AO24*产品成本!$F$17+AP24*产品成本!$F$18</f>
        <v>2.72</v>
      </c>
      <c r="AT24" s="142">
        <f>AO24*产品成本!$G$17+AP24*产品成本!$G$18</f>
        <v>31.2</v>
      </c>
      <c r="AU24" s="142"/>
      <c r="AV24" s="142">
        <f t="shared" si="14"/>
        <v>6.7559999999999993</v>
      </c>
      <c r="AW24" s="142">
        <f t="shared" si="15"/>
        <v>-1.3512</v>
      </c>
      <c r="AX24" s="117">
        <f t="shared" si="16"/>
        <v>41.884799999999998</v>
      </c>
      <c r="AY24" s="122">
        <f t="shared" si="17"/>
        <v>335.97769999999997</v>
      </c>
      <c r="AZ24" s="122">
        <f t="shared" si="18"/>
        <v>616.94999999999993</v>
      </c>
      <c r="BA24" s="122">
        <f t="shared" si="19"/>
        <v>571.91</v>
      </c>
      <c r="BB24" s="121">
        <f t="shared" si="29"/>
        <v>2.0322999999999922</v>
      </c>
      <c r="BC24" s="123">
        <f t="shared" si="30"/>
        <v>3.5535311500061065E-3</v>
      </c>
    </row>
    <row r="25" spans="1:56" ht="29.1" customHeight="1" x14ac:dyDescent="0.15">
      <c r="A25" s="38" t="s">
        <v>181</v>
      </c>
      <c r="B25" s="38" t="s">
        <v>182</v>
      </c>
      <c r="C25" s="67">
        <v>31</v>
      </c>
      <c r="D25" s="68">
        <v>30</v>
      </c>
      <c r="E25" s="41">
        <v>708.35</v>
      </c>
      <c r="F25" s="101">
        <v>5</v>
      </c>
      <c r="G25" s="101">
        <v>4</v>
      </c>
      <c r="H25" s="41">
        <v>114.25</v>
      </c>
      <c r="I25" s="41">
        <v>22.85</v>
      </c>
      <c r="J25" s="102">
        <v>2</v>
      </c>
      <c r="K25" s="103">
        <f t="shared" si="0"/>
        <v>6.4516129032258063E-2</v>
      </c>
      <c r="L25" s="104">
        <v>43.78</v>
      </c>
      <c r="M25" s="105">
        <f t="shared" si="25"/>
        <v>0.10714285714285714</v>
      </c>
      <c r="N25" s="103">
        <f t="shared" si="26"/>
        <v>7.1428571428571425E-2</v>
      </c>
      <c r="O25" s="103">
        <f t="shared" si="27"/>
        <v>0.10714285714285726</v>
      </c>
      <c r="P25" s="106">
        <f t="shared" si="1"/>
        <v>1.0333333333333334</v>
      </c>
      <c r="Q25" s="107">
        <f t="shared" si="2"/>
        <v>23.611666666666668</v>
      </c>
      <c r="R25" s="140">
        <f t="shared" si="3"/>
        <v>22.85</v>
      </c>
      <c r="S25" s="108">
        <f t="shared" si="4"/>
        <v>4.4285714285714288</v>
      </c>
      <c r="T25" s="109">
        <f t="shared" si="28"/>
        <v>7</v>
      </c>
      <c r="U25" s="110">
        <f t="shared" si="6"/>
        <v>0.23333333333333334</v>
      </c>
      <c r="V25" s="71">
        <f t="shared" si="7"/>
        <v>0.35824945295404814</v>
      </c>
      <c r="W25" s="68">
        <v>18025</v>
      </c>
      <c r="X25" s="68">
        <v>373</v>
      </c>
      <c r="Y25" s="68">
        <v>23</v>
      </c>
      <c r="Z25" s="41">
        <v>245.58</v>
      </c>
      <c r="AA25" s="111">
        <v>531.85</v>
      </c>
      <c r="AB25" s="68">
        <v>0.66</v>
      </c>
      <c r="AC25" s="48">
        <f t="shared" si="8"/>
        <v>0.46174673310143838</v>
      </c>
      <c r="AD25" s="49">
        <f t="shared" si="9"/>
        <v>2.0693481276005548E-2</v>
      </c>
      <c r="AE25" s="112">
        <f t="shared" si="10"/>
        <v>6.1662198391420911E-2</v>
      </c>
      <c r="AF25" s="107">
        <f t="shared" si="11"/>
        <v>10.677391304347827</v>
      </c>
      <c r="AG25" s="113">
        <v>31</v>
      </c>
      <c r="AH25" s="115"/>
      <c r="AI25" s="116">
        <f>AG25*产品成本!$D$17+AH25*产品成本!$D$18</f>
        <v>174.53</v>
      </c>
      <c r="AJ25" s="116">
        <f>AG25*产品成本!$E$17+AH25*产品成本!$E$18</f>
        <v>9.92</v>
      </c>
      <c r="AK25" s="116">
        <f>AG25*产品成本!$F$17+AH25*产品成本!$F$18</f>
        <v>10.540000000000001</v>
      </c>
      <c r="AL25" s="116">
        <f>AG25*产品成本!$G$17+AH25*产品成本!$G$18</f>
        <v>120.89999999999999</v>
      </c>
      <c r="AM25" s="116">
        <f t="shared" si="12"/>
        <v>102.825</v>
      </c>
      <c r="AN25" s="117">
        <f t="shared" si="13"/>
        <v>418.71499999999997</v>
      </c>
      <c r="AO25" s="118">
        <v>2</v>
      </c>
      <c r="AP25" s="119"/>
      <c r="AQ25" s="141">
        <f>AO25*产品成本!$D$17+AP25*产品成本!$D$18</f>
        <v>11.26</v>
      </c>
      <c r="AR25" s="142">
        <f>AO25*产品成本!$E$17+AP25*产品成本!$E$18</f>
        <v>0.64</v>
      </c>
      <c r="AS25" s="142">
        <f>AO25*产品成本!$F$17+AP25*产品成本!$F$18</f>
        <v>0.68</v>
      </c>
      <c r="AT25" s="142">
        <f>AO25*产品成本!$G$17+AP25*产品成本!$G$18</f>
        <v>7.8</v>
      </c>
      <c r="AU25" s="142"/>
      <c r="AV25" s="142">
        <f t="shared" si="14"/>
        <v>1.6889999999999998</v>
      </c>
      <c r="AW25" s="142">
        <f t="shared" si="15"/>
        <v>-0.33779999999999999</v>
      </c>
      <c r="AX25" s="117">
        <f t="shared" si="16"/>
        <v>10.4712</v>
      </c>
      <c r="AY25" s="122">
        <f t="shared" si="17"/>
        <v>408.24379999999996</v>
      </c>
      <c r="AZ25" s="122">
        <f t="shared" si="18"/>
        <v>685.5</v>
      </c>
      <c r="BA25" s="122">
        <f t="shared" si="19"/>
        <v>674.24</v>
      </c>
      <c r="BB25" s="121">
        <f t="shared" si="29"/>
        <v>20.416200000000032</v>
      </c>
      <c r="BC25" s="123">
        <f t="shared" si="30"/>
        <v>3.0280315614617987E-2</v>
      </c>
    </row>
    <row r="26" spans="1:56" ht="29.1" customHeight="1" x14ac:dyDescent="0.15">
      <c r="A26" s="38" t="s">
        <v>183</v>
      </c>
      <c r="B26" s="38" t="s">
        <v>184</v>
      </c>
      <c r="C26" s="67">
        <v>35</v>
      </c>
      <c r="D26" s="68">
        <v>35</v>
      </c>
      <c r="E26" s="41">
        <v>796.81</v>
      </c>
      <c r="F26" s="101">
        <v>0</v>
      </c>
      <c r="G26" s="101">
        <v>0</v>
      </c>
      <c r="H26" s="41">
        <v>0</v>
      </c>
      <c r="I26" s="41">
        <v>0</v>
      </c>
      <c r="J26" s="102">
        <v>5</v>
      </c>
      <c r="K26" s="103">
        <f t="shared" si="0"/>
        <v>0.14285714285714285</v>
      </c>
      <c r="L26" s="104">
        <v>102.08</v>
      </c>
      <c r="M26" s="105">
        <f t="shared" si="25"/>
        <v>0.12903225806451613</v>
      </c>
      <c r="N26" s="103">
        <f t="shared" si="26"/>
        <v>0.16666666666666666</v>
      </c>
      <c r="O26" s="103">
        <f t="shared" si="27"/>
        <v>0.1248817674878237</v>
      </c>
      <c r="P26" s="106">
        <f t="shared" si="1"/>
        <v>1</v>
      </c>
      <c r="Q26" s="107">
        <f t="shared" si="2"/>
        <v>22.765999999999998</v>
      </c>
      <c r="R26" s="140">
        <f t="shared" si="3"/>
        <v>22.765999999999998</v>
      </c>
      <c r="S26" s="108">
        <f t="shared" si="4"/>
        <v>5</v>
      </c>
      <c r="T26" s="109">
        <f t="shared" si="28"/>
        <v>17</v>
      </c>
      <c r="U26" s="110">
        <f t="shared" si="6"/>
        <v>0.48571428571428571</v>
      </c>
      <c r="V26" s="71">
        <f t="shared" si="7"/>
        <v>0.26971298050978276</v>
      </c>
      <c r="W26" s="68">
        <v>19249</v>
      </c>
      <c r="X26" s="68">
        <v>339</v>
      </c>
      <c r="Y26" s="68">
        <v>18</v>
      </c>
      <c r="Z26" s="41">
        <v>214.91</v>
      </c>
      <c r="AA26" s="111">
        <v>413.34</v>
      </c>
      <c r="AB26" s="68">
        <v>0.63</v>
      </c>
      <c r="AC26" s="48">
        <f t="shared" si="8"/>
        <v>0.51993516233609138</v>
      </c>
      <c r="AD26" s="49">
        <f t="shared" si="9"/>
        <v>1.7611304483349785E-2</v>
      </c>
      <c r="AE26" s="112">
        <f t="shared" si="10"/>
        <v>5.3097345132743362E-2</v>
      </c>
      <c r="AF26" s="107">
        <f t="shared" si="11"/>
        <v>11.939444444444444</v>
      </c>
      <c r="AG26" s="113">
        <v>35</v>
      </c>
      <c r="AH26" s="115"/>
      <c r="AI26" s="116">
        <f>AG26*产品成本!$D$17+AH26*产品成本!$D$18</f>
        <v>197.04999999999998</v>
      </c>
      <c r="AJ26" s="116">
        <f>AG26*产品成本!$E$17+AH26*产品成本!$E$18</f>
        <v>11.200000000000001</v>
      </c>
      <c r="AK26" s="116">
        <f>AG26*产品成本!$F$17+AH26*产品成本!$F$18</f>
        <v>11.9</v>
      </c>
      <c r="AL26" s="116">
        <f>AG26*产品成本!$G$17+AH26*产品成本!$G$18</f>
        <v>136.5</v>
      </c>
      <c r="AM26" s="116">
        <f t="shared" si="12"/>
        <v>119.52149999999999</v>
      </c>
      <c r="AN26" s="117">
        <f t="shared" si="13"/>
        <v>476.17149999999998</v>
      </c>
      <c r="AO26" s="118">
        <v>5</v>
      </c>
      <c r="AP26" s="119"/>
      <c r="AQ26" s="141">
        <f>AO26*产品成本!$D$17+AP26*产品成本!$D$18</f>
        <v>28.15</v>
      </c>
      <c r="AR26" s="142">
        <f>AO26*产品成本!$E$17+AP26*产品成本!$E$18</f>
        <v>1.6</v>
      </c>
      <c r="AS26" s="142">
        <f>AO26*产品成本!$F$17+AP26*产品成本!$F$18</f>
        <v>1.7000000000000002</v>
      </c>
      <c r="AT26" s="142">
        <f>AO26*产品成本!$G$17+AP26*产品成本!$G$18</f>
        <v>19.5</v>
      </c>
      <c r="AU26" s="142"/>
      <c r="AV26" s="142">
        <f t="shared" si="14"/>
        <v>4.2224999999999993</v>
      </c>
      <c r="AW26" s="142">
        <f t="shared" si="15"/>
        <v>-0.84449999999999992</v>
      </c>
      <c r="AX26" s="117">
        <f t="shared" si="16"/>
        <v>26.178000000000001</v>
      </c>
      <c r="AY26" s="122">
        <f t="shared" si="17"/>
        <v>449.99349999999998</v>
      </c>
      <c r="AZ26" s="122">
        <f t="shared" si="18"/>
        <v>796.81</v>
      </c>
      <c r="BA26" s="122">
        <f t="shared" si="19"/>
        <v>768.66</v>
      </c>
      <c r="BB26" s="121">
        <f t="shared" si="29"/>
        <v>103.75649999999999</v>
      </c>
      <c r="BC26" s="123">
        <f t="shared" si="30"/>
        <v>0.13498360783701505</v>
      </c>
    </row>
    <row r="27" spans="1:56" ht="29.1" customHeight="1" x14ac:dyDescent="0.15">
      <c r="A27" s="38" t="s">
        <v>185</v>
      </c>
      <c r="B27" s="38" t="s">
        <v>186</v>
      </c>
      <c r="C27" s="67">
        <v>39</v>
      </c>
      <c r="D27" s="68">
        <v>37</v>
      </c>
      <c r="E27" s="41">
        <v>891.15</v>
      </c>
      <c r="F27" s="101">
        <v>5</v>
      </c>
      <c r="G27" s="101">
        <v>3</v>
      </c>
      <c r="H27" s="41">
        <v>114.25</v>
      </c>
      <c r="I27" s="41">
        <v>22.85</v>
      </c>
      <c r="J27" s="143">
        <v>12</v>
      </c>
      <c r="K27" s="103">
        <f t="shared" si="0"/>
        <v>0.30769230769230771</v>
      </c>
      <c r="L27" s="104">
        <v>237.31</v>
      </c>
      <c r="M27" s="105">
        <f t="shared" si="25"/>
        <v>0.11428571428571428</v>
      </c>
      <c r="N27" s="103">
        <f t="shared" si="26"/>
        <v>5.7142857142857141E-2</v>
      </c>
      <c r="O27" s="103">
        <f t="shared" si="27"/>
        <v>0.11839710847002427</v>
      </c>
      <c r="P27" s="106">
        <f t="shared" si="1"/>
        <v>1.0540540540540539</v>
      </c>
      <c r="Q27" s="107">
        <f t="shared" si="2"/>
        <v>24.085135135135136</v>
      </c>
      <c r="R27" s="140">
        <f t="shared" si="3"/>
        <v>22.849999999999998</v>
      </c>
      <c r="S27" s="108">
        <f t="shared" si="4"/>
        <v>5.5714285714285712</v>
      </c>
      <c r="T27" s="109">
        <f t="shared" si="28"/>
        <v>13</v>
      </c>
      <c r="U27" s="110">
        <f t="shared" si="6"/>
        <v>0.35135135135135137</v>
      </c>
      <c r="V27" s="71">
        <f t="shared" si="7"/>
        <v>0.24279626857077047</v>
      </c>
      <c r="W27" s="68">
        <v>14860</v>
      </c>
      <c r="X27" s="68">
        <v>326</v>
      </c>
      <c r="Y27" s="68">
        <v>24</v>
      </c>
      <c r="Z27" s="41">
        <v>210.82</v>
      </c>
      <c r="AA27" s="111">
        <v>593.24</v>
      </c>
      <c r="AB27" s="68">
        <v>0.65</v>
      </c>
      <c r="AC27" s="48">
        <f t="shared" si="8"/>
        <v>0.35537050772031553</v>
      </c>
      <c r="AD27" s="49">
        <f t="shared" si="9"/>
        <v>2.1938088829071334E-2</v>
      </c>
      <c r="AE27" s="112">
        <f t="shared" si="10"/>
        <v>7.3619631901840496E-2</v>
      </c>
      <c r="AF27" s="107">
        <f t="shared" si="11"/>
        <v>8.7841666666666658</v>
      </c>
      <c r="AG27" s="113">
        <v>39</v>
      </c>
      <c r="AH27" s="115"/>
      <c r="AI27" s="116">
        <f>AG27*产品成本!$D$17+AH27*产品成本!$D$18</f>
        <v>219.57</v>
      </c>
      <c r="AJ27" s="116">
        <f>AG27*产品成本!$E$17+AH27*产品成本!$E$18</f>
        <v>12.48</v>
      </c>
      <c r="AK27" s="116">
        <f>AG27*产品成本!$F$17+AH27*产品成本!$F$18</f>
        <v>13.260000000000002</v>
      </c>
      <c r="AL27" s="116">
        <f>AG27*产品成本!$G$17+AH27*产品成本!$G$18</f>
        <v>152.1</v>
      </c>
      <c r="AM27" s="116">
        <f t="shared" si="12"/>
        <v>130.24499999999998</v>
      </c>
      <c r="AN27" s="117">
        <f t="shared" si="13"/>
        <v>527.65499999999997</v>
      </c>
      <c r="AO27" s="118">
        <v>12</v>
      </c>
      <c r="AP27" s="119"/>
      <c r="AQ27" s="141">
        <f>AO27*产品成本!$D$17+AP27*产品成本!$D$18</f>
        <v>67.56</v>
      </c>
      <c r="AR27" s="142">
        <f>AO27*产品成本!$E$17+AP27*产品成本!$E$18</f>
        <v>3.84</v>
      </c>
      <c r="AS27" s="142">
        <f>AO27*产品成本!$F$17+AP27*产品成本!$F$18</f>
        <v>4.08</v>
      </c>
      <c r="AT27" s="142">
        <f>AO27*产品成本!$G$17+AP27*产品成本!$G$18</f>
        <v>46.8</v>
      </c>
      <c r="AU27" s="142"/>
      <c r="AV27" s="142">
        <f t="shared" si="14"/>
        <v>10.134</v>
      </c>
      <c r="AW27" s="142">
        <f t="shared" si="15"/>
        <v>-2.0268000000000002</v>
      </c>
      <c r="AX27" s="117">
        <f t="shared" si="16"/>
        <v>62.827199999999998</v>
      </c>
      <c r="AY27" s="122">
        <f t="shared" si="17"/>
        <v>464.82779999999997</v>
      </c>
      <c r="AZ27" s="122">
        <f t="shared" si="18"/>
        <v>868.3</v>
      </c>
      <c r="BA27" s="122">
        <f t="shared" si="19"/>
        <v>800.7399999999999</v>
      </c>
      <c r="BB27" s="121">
        <f t="shared" si="29"/>
        <v>125.09219999999993</v>
      </c>
      <c r="BC27" s="123">
        <f t="shared" si="30"/>
        <v>0.15622074581012557</v>
      </c>
    </row>
    <row r="28" spans="1:56" ht="29.1" customHeight="1" x14ac:dyDescent="0.15">
      <c r="A28" s="38" t="s">
        <v>187</v>
      </c>
      <c r="B28" s="38" t="s">
        <v>188</v>
      </c>
      <c r="C28" s="67">
        <v>28</v>
      </c>
      <c r="D28" s="68">
        <v>28</v>
      </c>
      <c r="E28" s="41">
        <v>639.79999999999995</v>
      </c>
      <c r="F28" s="101">
        <v>1</v>
      </c>
      <c r="G28" s="101">
        <v>1</v>
      </c>
      <c r="H28" s="41">
        <v>22.85</v>
      </c>
      <c r="I28" s="41">
        <v>22.85</v>
      </c>
      <c r="J28" s="143">
        <v>2</v>
      </c>
      <c r="K28" s="103">
        <f t="shared" si="0"/>
        <v>7.1428571428571425E-2</v>
      </c>
      <c r="L28" s="104">
        <v>40.22</v>
      </c>
      <c r="M28" s="105">
        <f t="shared" si="25"/>
        <v>-0.28205128205128205</v>
      </c>
      <c r="N28" s="103">
        <f t="shared" si="26"/>
        <v>-0.24324324324324326</v>
      </c>
      <c r="O28" s="103">
        <f t="shared" si="27"/>
        <v>-0.2820512820512821</v>
      </c>
      <c r="P28" s="106">
        <f t="shared" si="1"/>
        <v>1</v>
      </c>
      <c r="Q28" s="107">
        <f t="shared" si="2"/>
        <v>22.849999999999998</v>
      </c>
      <c r="R28" s="140">
        <f t="shared" si="3"/>
        <v>22.849999999999998</v>
      </c>
      <c r="S28" s="108">
        <f t="shared" si="4"/>
        <v>4</v>
      </c>
      <c r="T28" s="109">
        <f t="shared" si="28"/>
        <v>12</v>
      </c>
      <c r="U28" s="110">
        <f t="shared" si="6"/>
        <v>0.42857142857142855</v>
      </c>
      <c r="V28" s="71">
        <f t="shared" si="7"/>
        <v>0.2955506929248724</v>
      </c>
      <c r="W28" s="68">
        <v>14641</v>
      </c>
      <c r="X28" s="68">
        <v>257</v>
      </c>
      <c r="Y28" s="68">
        <v>16</v>
      </c>
      <c r="Z28" s="41">
        <v>182.34</v>
      </c>
      <c r="AA28" s="111">
        <v>364.9</v>
      </c>
      <c r="AB28" s="68">
        <v>0.71</v>
      </c>
      <c r="AC28" s="48">
        <f t="shared" si="8"/>
        <v>0.49969854754727328</v>
      </c>
      <c r="AD28" s="49">
        <f t="shared" si="9"/>
        <v>1.7553445802882317E-2</v>
      </c>
      <c r="AE28" s="112">
        <f t="shared" si="10"/>
        <v>6.2256809338521402E-2</v>
      </c>
      <c r="AF28" s="107">
        <f t="shared" si="11"/>
        <v>11.39625</v>
      </c>
      <c r="AG28" s="113">
        <v>28</v>
      </c>
      <c r="AH28" s="115"/>
      <c r="AI28" s="116">
        <f>AG28*产品成本!$D$17+AH28*产品成本!$D$18</f>
        <v>157.63999999999999</v>
      </c>
      <c r="AJ28" s="116">
        <f>AG28*产品成本!$E$17+AH28*产品成本!$E$18</f>
        <v>8.9600000000000009</v>
      </c>
      <c r="AK28" s="116">
        <f>AG28*产品成本!$F$17+AH28*产品成本!$F$18</f>
        <v>9.5200000000000014</v>
      </c>
      <c r="AL28" s="116">
        <f>AG28*产品成本!$G$17+AH28*产品成本!$G$18</f>
        <v>109.2</v>
      </c>
      <c r="AM28" s="116">
        <f t="shared" si="12"/>
        <v>92.54249999999999</v>
      </c>
      <c r="AN28" s="117">
        <f t="shared" si="13"/>
        <v>377.86249999999995</v>
      </c>
      <c r="AO28" s="118">
        <v>2</v>
      </c>
      <c r="AP28" s="119"/>
      <c r="AQ28" s="141">
        <f>AO28*产品成本!$D$17+AP28*产品成本!$D$18</f>
        <v>11.26</v>
      </c>
      <c r="AR28" s="142">
        <f>AO28*产品成本!$E$17+AP28*产品成本!$E$18</f>
        <v>0.64</v>
      </c>
      <c r="AS28" s="142">
        <f>AO28*产品成本!$F$17+AP28*产品成本!$F$18</f>
        <v>0.68</v>
      </c>
      <c r="AT28" s="142">
        <f>AO28*产品成本!$G$17+AP28*产品成本!$G$18</f>
        <v>7.8</v>
      </c>
      <c r="AU28" s="142"/>
      <c r="AV28" s="142">
        <f t="shared" si="14"/>
        <v>1.6889999999999998</v>
      </c>
      <c r="AW28" s="142">
        <f t="shared" si="15"/>
        <v>-0.33779999999999999</v>
      </c>
      <c r="AX28" s="117">
        <f t="shared" si="16"/>
        <v>10.4712</v>
      </c>
      <c r="AY28" s="122">
        <f t="shared" si="17"/>
        <v>367.39129999999994</v>
      </c>
      <c r="AZ28" s="122">
        <f t="shared" si="18"/>
        <v>616.94999999999993</v>
      </c>
      <c r="BA28" s="122">
        <f t="shared" si="19"/>
        <v>605.68999999999994</v>
      </c>
      <c r="BB28" s="121">
        <f t="shared" si="29"/>
        <v>55.958699999999993</v>
      </c>
      <c r="BC28" s="123">
        <f t="shared" si="30"/>
        <v>9.2388350476316258E-2</v>
      </c>
    </row>
    <row r="29" spans="1:56" ht="29.1" customHeight="1" x14ac:dyDescent="0.15">
      <c r="A29" s="38" t="s">
        <v>189</v>
      </c>
      <c r="B29" s="38" t="s">
        <v>190</v>
      </c>
      <c r="C29" s="67">
        <v>27</v>
      </c>
      <c r="D29" s="68">
        <v>26</v>
      </c>
      <c r="E29" s="41">
        <v>616.95000000000005</v>
      </c>
      <c r="F29" s="101">
        <v>10</v>
      </c>
      <c r="G29" s="101">
        <v>9</v>
      </c>
      <c r="H29" s="41">
        <v>228.5</v>
      </c>
      <c r="I29" s="41">
        <v>22.85</v>
      </c>
      <c r="J29" s="143">
        <v>6</v>
      </c>
      <c r="K29" s="103">
        <f t="shared" si="0"/>
        <v>0.22222222222222221</v>
      </c>
      <c r="L29" s="104">
        <v>106.23</v>
      </c>
      <c r="M29" s="105">
        <f t="shared" si="25"/>
        <v>-3.5714285714285712E-2</v>
      </c>
      <c r="N29" s="103">
        <f t="shared" si="26"/>
        <v>-7.1428571428571425E-2</v>
      </c>
      <c r="O29" s="103">
        <f t="shared" si="27"/>
        <v>-3.5714285714285574E-2</v>
      </c>
      <c r="P29" s="106">
        <f t="shared" si="1"/>
        <v>1.0384615384615385</v>
      </c>
      <c r="Q29" s="107">
        <f t="shared" si="2"/>
        <v>23.728846153846156</v>
      </c>
      <c r="R29" s="140">
        <f t="shared" si="3"/>
        <v>22.85</v>
      </c>
      <c r="S29" s="108">
        <f t="shared" si="4"/>
        <v>3.8571428571428572</v>
      </c>
      <c r="T29" s="109">
        <f t="shared" si="28"/>
        <v>5</v>
      </c>
      <c r="U29" s="110">
        <f t="shared" si="6"/>
        <v>0.19230769230769232</v>
      </c>
      <c r="V29" s="71">
        <f t="shared" si="7"/>
        <v>0.38544016158895811</v>
      </c>
      <c r="W29" s="68">
        <v>19525</v>
      </c>
      <c r="X29" s="68">
        <v>324</v>
      </c>
      <c r="Y29" s="68">
        <v>21</v>
      </c>
      <c r="Z29" s="41">
        <v>228.99</v>
      </c>
      <c r="AA29" s="111">
        <v>478.1</v>
      </c>
      <c r="AB29" s="68">
        <v>0.71</v>
      </c>
      <c r="AC29" s="48">
        <f t="shared" si="8"/>
        <v>0.47895837690859655</v>
      </c>
      <c r="AD29" s="49">
        <f t="shared" si="9"/>
        <v>1.6594110115236874E-2</v>
      </c>
      <c r="AE29" s="112">
        <f t="shared" si="10"/>
        <v>6.4814814814814811E-2</v>
      </c>
      <c r="AF29" s="107">
        <f t="shared" si="11"/>
        <v>10.904285714285715</v>
      </c>
      <c r="AG29" s="113">
        <v>27</v>
      </c>
      <c r="AH29" s="115"/>
      <c r="AI29" s="116">
        <f>AG29*产品成本!$D$17+AH29*产品成本!$D$18</f>
        <v>152.01</v>
      </c>
      <c r="AJ29" s="116">
        <f>AG29*产品成本!$E$17+AH29*产品成本!$E$18</f>
        <v>8.64</v>
      </c>
      <c r="AK29" s="116">
        <f>AG29*产品成本!$F$17+AH29*产品成本!$F$18</f>
        <v>9.1800000000000015</v>
      </c>
      <c r="AL29" s="116">
        <f>AG29*产品成本!$G$17+AH29*产品成本!$G$18</f>
        <v>105.3</v>
      </c>
      <c r="AM29" s="116">
        <f t="shared" si="12"/>
        <v>89.114999999999995</v>
      </c>
      <c r="AN29" s="117">
        <f t="shared" si="13"/>
        <v>364.245</v>
      </c>
      <c r="AO29" s="118">
        <v>6</v>
      </c>
      <c r="AP29" s="119"/>
      <c r="AQ29" s="141">
        <f>AO29*产品成本!$D$17+AP29*产品成本!$D$18</f>
        <v>33.78</v>
      </c>
      <c r="AR29" s="142">
        <f>AO29*产品成本!$E$17+AP29*产品成本!$E$18</f>
        <v>1.92</v>
      </c>
      <c r="AS29" s="142">
        <f>AO29*产品成本!$F$17+AP29*产品成本!$F$18</f>
        <v>2.04</v>
      </c>
      <c r="AT29" s="142">
        <f>AO29*产品成本!$G$17+AP29*产品成本!$G$18</f>
        <v>23.4</v>
      </c>
      <c r="AU29" s="142"/>
      <c r="AV29" s="142">
        <f t="shared" si="14"/>
        <v>5.0670000000000002</v>
      </c>
      <c r="AW29" s="142">
        <f t="shared" si="15"/>
        <v>-1.0134000000000001</v>
      </c>
      <c r="AX29" s="117">
        <f t="shared" si="16"/>
        <v>31.413599999999999</v>
      </c>
      <c r="AY29" s="122">
        <f t="shared" si="17"/>
        <v>332.83140000000003</v>
      </c>
      <c r="AZ29" s="122">
        <f t="shared" si="18"/>
        <v>594.1</v>
      </c>
      <c r="BA29" s="122">
        <f t="shared" si="19"/>
        <v>560.32000000000005</v>
      </c>
      <c r="BB29" s="121">
        <f t="shared" si="29"/>
        <v>-1.5013999999999896</v>
      </c>
      <c r="BC29" s="123">
        <f t="shared" si="30"/>
        <v>-2.6795402627070057E-3</v>
      </c>
    </row>
    <row r="30" spans="1:56" ht="29.1" customHeight="1" x14ac:dyDescent="0.15">
      <c r="A30" s="38" t="s">
        <v>191</v>
      </c>
      <c r="B30" s="38" t="s">
        <v>192</v>
      </c>
      <c r="C30" s="67">
        <v>17</v>
      </c>
      <c r="D30" s="68">
        <v>17</v>
      </c>
      <c r="E30" s="41">
        <v>388.45</v>
      </c>
      <c r="F30" s="101">
        <v>1</v>
      </c>
      <c r="G30" s="101">
        <v>1</v>
      </c>
      <c r="H30" s="41">
        <v>22.85</v>
      </c>
      <c r="I30" s="41">
        <v>2.29</v>
      </c>
      <c r="J30" s="143">
        <v>4</v>
      </c>
      <c r="K30" s="103">
        <f t="shared" si="0"/>
        <v>0.23529411764705882</v>
      </c>
      <c r="L30" s="104">
        <v>79.430000000000007</v>
      </c>
      <c r="M30" s="105">
        <f t="shared" ref="M30:M53" si="31">(C30-C29)/C29</f>
        <v>-0.37037037037037035</v>
      </c>
      <c r="N30" s="103">
        <f t="shared" ref="N30:N53" si="32">(D30-D29)/D29</f>
        <v>-0.34615384615384615</v>
      </c>
      <c r="O30" s="103">
        <f t="shared" ref="O30:O53" si="33">(E30-E29)/E29</f>
        <v>-0.37037037037037046</v>
      </c>
      <c r="P30" s="106">
        <f t="shared" si="1"/>
        <v>1</v>
      </c>
      <c r="Q30" s="107">
        <f t="shared" si="2"/>
        <v>22.849999999999998</v>
      </c>
      <c r="R30" s="140">
        <f t="shared" si="3"/>
        <v>22.849999999999998</v>
      </c>
      <c r="S30" s="108">
        <f t="shared" ref="S30:S53" si="34">C30/7</f>
        <v>2.4285714285714284</v>
      </c>
      <c r="T30" s="109">
        <f t="shared" ref="T30:T53" si="35">D30-Y30</f>
        <v>5</v>
      </c>
      <c r="U30" s="110">
        <f t="shared" si="6"/>
        <v>0.29411764705882354</v>
      </c>
      <c r="V30" s="71">
        <f t="shared" si="7"/>
        <v>0.52089807333747673</v>
      </c>
      <c r="W30" s="68">
        <v>14590</v>
      </c>
      <c r="X30" s="68">
        <v>286</v>
      </c>
      <c r="Y30" s="68">
        <v>12</v>
      </c>
      <c r="Z30" s="41">
        <v>201.15</v>
      </c>
      <c r="AA30" s="111">
        <v>267.33999999999997</v>
      </c>
      <c r="AB30" s="68">
        <v>0.7</v>
      </c>
      <c r="AC30" s="48">
        <f t="shared" si="8"/>
        <v>0.75241265803845303</v>
      </c>
      <c r="AD30" s="49">
        <f t="shared" si="9"/>
        <v>1.9602467443454421E-2</v>
      </c>
      <c r="AE30" s="112">
        <f t="shared" si="10"/>
        <v>4.195804195804196E-2</v>
      </c>
      <c r="AF30" s="107">
        <f t="shared" si="11"/>
        <v>16.762499999999999</v>
      </c>
      <c r="AG30" s="113">
        <v>17</v>
      </c>
      <c r="AH30" s="115"/>
      <c r="AI30" s="116">
        <f>AG30*产品成本!$D$17+AH30*产品成本!$D$18</f>
        <v>95.71</v>
      </c>
      <c r="AJ30" s="116">
        <f>AG30*产品成本!$E$17+AH30*产品成本!$E$18</f>
        <v>5.44</v>
      </c>
      <c r="AK30" s="116">
        <f>AG30*产品成本!$F$17+AH30*产品成本!$F$18</f>
        <v>5.78</v>
      </c>
      <c r="AL30" s="116">
        <f>AG30*产品成本!$G$17+AH30*产品成本!$G$18</f>
        <v>66.3</v>
      </c>
      <c r="AM30" s="116">
        <f t="shared" si="12"/>
        <v>57.923999999999992</v>
      </c>
      <c r="AN30" s="117">
        <f t="shared" si="13"/>
        <v>231.154</v>
      </c>
      <c r="AO30" s="118">
        <v>4</v>
      </c>
      <c r="AP30" s="119"/>
      <c r="AQ30" s="141">
        <f>AO30*产品成本!$D$17+AP30*产品成本!$D$18</f>
        <v>22.52</v>
      </c>
      <c r="AR30" s="142">
        <f>AO30*产品成本!$E$17+AP30*产品成本!$E$18</f>
        <v>1.28</v>
      </c>
      <c r="AS30" s="142">
        <f>AO30*产品成本!$F$17+AP30*产品成本!$F$18</f>
        <v>1.36</v>
      </c>
      <c r="AT30" s="142">
        <f>AO30*产品成本!$G$17+AP30*产品成本!$G$18</f>
        <v>15.6</v>
      </c>
      <c r="AU30" s="142"/>
      <c r="AV30" s="142">
        <f t="shared" si="14"/>
        <v>3.3779999999999997</v>
      </c>
      <c r="AW30" s="142">
        <f t="shared" si="15"/>
        <v>-0.67559999999999998</v>
      </c>
      <c r="AX30" s="117">
        <f t="shared" ref="AX30:AX53" si="36">SUM(AR30:AW30)</f>
        <v>20.942399999999999</v>
      </c>
      <c r="AY30" s="122">
        <f t="shared" ref="AY30:AY53" si="37">AN30-AX30</f>
        <v>210.2116</v>
      </c>
      <c r="AZ30" s="122">
        <f t="shared" si="18"/>
        <v>386.15999999999997</v>
      </c>
      <c r="BA30" s="122">
        <f t="shared" si="19"/>
        <v>363.64</v>
      </c>
      <c r="BB30" s="121">
        <f t="shared" ref="BB30:BB53" si="38">BA30-AY30-Z30</f>
        <v>-47.721600000000024</v>
      </c>
      <c r="BC30" s="123">
        <f t="shared" ref="BC30:BC53" si="39">BB30/BA30</f>
        <v>-0.13123308766912337</v>
      </c>
    </row>
    <row r="31" spans="1:56" ht="29.1" customHeight="1" x14ac:dyDescent="0.15">
      <c r="A31" s="38" t="s">
        <v>193</v>
      </c>
      <c r="B31" s="38" t="s">
        <v>194</v>
      </c>
      <c r="C31" s="67">
        <v>25</v>
      </c>
      <c r="D31" s="68">
        <v>25</v>
      </c>
      <c r="E31" s="41">
        <v>637.28</v>
      </c>
      <c r="F31" s="101">
        <v>2</v>
      </c>
      <c r="G31" s="101">
        <v>2</v>
      </c>
      <c r="H31" s="41">
        <v>53.78</v>
      </c>
      <c r="I31" s="41">
        <v>5.37</v>
      </c>
      <c r="J31" s="143">
        <v>4</v>
      </c>
      <c r="K31" s="103">
        <f t="shared" si="0"/>
        <v>0.16</v>
      </c>
      <c r="L31" s="104">
        <v>73.44</v>
      </c>
      <c r="M31" s="105">
        <f t="shared" si="31"/>
        <v>0.47058823529411764</v>
      </c>
      <c r="N31" s="103">
        <f t="shared" si="32"/>
        <v>0.47058823529411764</v>
      </c>
      <c r="O31" s="103">
        <f t="shared" si="33"/>
        <v>0.64057150212382541</v>
      </c>
      <c r="P31" s="106">
        <f t="shared" si="1"/>
        <v>1</v>
      </c>
      <c r="Q31" s="107">
        <f t="shared" si="2"/>
        <v>25.491199999999999</v>
      </c>
      <c r="R31" s="140">
        <f t="shared" si="3"/>
        <v>25.491199999999999</v>
      </c>
      <c r="S31" s="108">
        <f t="shared" si="34"/>
        <v>3.5714285714285716</v>
      </c>
      <c r="T31" s="109">
        <f t="shared" si="35"/>
        <v>3</v>
      </c>
      <c r="U31" s="110">
        <f t="shared" si="6"/>
        <v>0.12</v>
      </c>
      <c r="V31" s="71">
        <f t="shared" si="7"/>
        <v>0.30238483328322074</v>
      </c>
      <c r="W31" s="68">
        <v>14836</v>
      </c>
      <c r="X31" s="68">
        <v>283</v>
      </c>
      <c r="Y31" s="68">
        <v>22</v>
      </c>
      <c r="Z31" s="41">
        <v>191.08</v>
      </c>
      <c r="AA31" s="111">
        <v>554.86</v>
      </c>
      <c r="AB31" s="68">
        <v>0.68</v>
      </c>
      <c r="AC31" s="48">
        <f t="shared" si="8"/>
        <v>0.34437515769743721</v>
      </c>
      <c r="AD31" s="49">
        <f t="shared" si="9"/>
        <v>1.9075222431922351E-2</v>
      </c>
      <c r="AE31" s="112">
        <f t="shared" si="10"/>
        <v>7.7738515901060068E-2</v>
      </c>
      <c r="AF31" s="107">
        <f t="shared" si="11"/>
        <v>8.6854545454545455</v>
      </c>
      <c r="AG31" s="113">
        <v>25</v>
      </c>
      <c r="AH31" s="115">
        <v>0</v>
      </c>
      <c r="AI31" s="116">
        <f>AG31*产品成本!$D$17+AH31*产品成本!$D$18</f>
        <v>140.75</v>
      </c>
      <c r="AJ31" s="116">
        <f>AG31*产品成本!$E$17+AH31*产品成本!$E$18</f>
        <v>8</v>
      </c>
      <c r="AK31" s="116">
        <f>AG31*产品成本!$F$17+AH31*产品成本!$F$18</f>
        <v>8.5</v>
      </c>
      <c r="AL31" s="116">
        <f>AG31*产品成本!$G$17+AH31*产品成本!$G$18</f>
        <v>97.5</v>
      </c>
      <c r="AM31" s="116">
        <f t="shared" si="12"/>
        <v>94.78649999999999</v>
      </c>
      <c r="AN31" s="117">
        <f t="shared" si="13"/>
        <v>349.53649999999999</v>
      </c>
      <c r="AO31" s="118">
        <v>4</v>
      </c>
      <c r="AP31" s="119">
        <v>0</v>
      </c>
      <c r="AQ31" s="141">
        <f>AO31*产品成本!$D$17+AP31*产品成本!$D$18</f>
        <v>22.52</v>
      </c>
      <c r="AR31" s="142">
        <f>AO31*产品成本!$E$17+AP31*产品成本!$E$18</f>
        <v>1.28</v>
      </c>
      <c r="AS31" s="142">
        <f>AO31*产品成本!$F$17+AP31*产品成本!$F$18</f>
        <v>1.36</v>
      </c>
      <c r="AT31" s="142">
        <f>AO31*产品成本!$G$17+AP31*产品成本!$G$18</f>
        <v>15.6</v>
      </c>
      <c r="AU31" s="142"/>
      <c r="AV31" s="142">
        <f t="shared" si="14"/>
        <v>3.3779999999999997</v>
      </c>
      <c r="AW31" s="142">
        <f t="shared" si="15"/>
        <v>-0.67559999999999998</v>
      </c>
      <c r="AX31" s="117">
        <f t="shared" si="36"/>
        <v>20.942399999999999</v>
      </c>
      <c r="AY31" s="122">
        <f t="shared" si="37"/>
        <v>328.59409999999997</v>
      </c>
      <c r="AZ31" s="122">
        <f t="shared" si="18"/>
        <v>631.91</v>
      </c>
      <c r="BA31" s="122">
        <f t="shared" si="19"/>
        <v>609.39</v>
      </c>
      <c r="BB31" s="121">
        <f t="shared" si="38"/>
        <v>89.715900000000005</v>
      </c>
      <c r="BC31" s="123">
        <f t="shared" si="39"/>
        <v>0.14722246837000935</v>
      </c>
    </row>
    <row r="32" spans="1:56" ht="29.1" customHeight="1" x14ac:dyDescent="0.15">
      <c r="A32" s="38" t="s">
        <v>195</v>
      </c>
      <c r="B32" s="38" t="s">
        <v>196</v>
      </c>
      <c r="C32" s="67">
        <v>25</v>
      </c>
      <c r="D32" s="68">
        <v>24</v>
      </c>
      <c r="E32" s="41">
        <v>541.71</v>
      </c>
      <c r="F32" s="101">
        <v>4</v>
      </c>
      <c r="G32" s="101">
        <v>4</v>
      </c>
      <c r="H32" s="41">
        <v>97.56</v>
      </c>
      <c r="I32" s="41">
        <v>9.76</v>
      </c>
      <c r="J32" s="143">
        <v>4</v>
      </c>
      <c r="K32" s="103">
        <f t="shared" si="0"/>
        <v>0.16</v>
      </c>
      <c r="L32" s="104">
        <v>76.42</v>
      </c>
      <c r="M32" s="105">
        <f t="shared" si="31"/>
        <v>0</v>
      </c>
      <c r="N32" s="103">
        <f t="shared" si="32"/>
        <v>-0.04</v>
      </c>
      <c r="O32" s="103">
        <f t="shared" si="33"/>
        <v>-0.14996547828270138</v>
      </c>
      <c r="P32" s="106">
        <f t="shared" si="1"/>
        <v>1.0416666666666667</v>
      </c>
      <c r="Q32" s="107">
        <f t="shared" si="2"/>
        <v>22.571250000000003</v>
      </c>
      <c r="R32" s="140">
        <f t="shared" si="3"/>
        <v>21.668400000000002</v>
      </c>
      <c r="S32" s="108">
        <f t="shared" si="34"/>
        <v>3.5714285714285716</v>
      </c>
      <c r="T32" s="109">
        <f t="shared" si="35"/>
        <v>12</v>
      </c>
      <c r="U32" s="110">
        <f t="shared" si="6"/>
        <v>0.5</v>
      </c>
      <c r="V32" s="71">
        <f t="shared" si="7"/>
        <v>0.3646395337907698</v>
      </c>
      <c r="W32" s="68">
        <v>18576</v>
      </c>
      <c r="X32" s="68">
        <v>282</v>
      </c>
      <c r="Y32" s="68">
        <v>12</v>
      </c>
      <c r="Z32" s="41">
        <v>193.97</v>
      </c>
      <c r="AA32" s="111">
        <v>262.74</v>
      </c>
      <c r="AB32" s="68">
        <v>0.69</v>
      </c>
      <c r="AC32" s="48">
        <f t="shared" si="8"/>
        <v>0.73825835426657527</v>
      </c>
      <c r="AD32" s="49">
        <f t="shared" si="9"/>
        <v>1.5180878552971577E-2</v>
      </c>
      <c r="AE32" s="112">
        <f t="shared" si="10"/>
        <v>4.2553191489361701E-2</v>
      </c>
      <c r="AF32" s="107">
        <f t="shared" si="11"/>
        <v>16.164166666666667</v>
      </c>
      <c r="AG32" s="113">
        <v>23</v>
      </c>
      <c r="AH32" s="115">
        <v>2</v>
      </c>
      <c r="AI32" s="116">
        <f>AG32*产品成本!$D$17+AH32*产品成本!$D$18</f>
        <v>134.66560000000001</v>
      </c>
      <c r="AJ32" s="116">
        <f>AG32*产品成本!$E$17+AH32*产品成本!$E$18</f>
        <v>8.088957746478874</v>
      </c>
      <c r="AK32" s="116">
        <f>AG32*产品成本!$F$17+AH32*产品成本!$F$18</f>
        <v>8.5</v>
      </c>
      <c r="AL32" s="116">
        <f>AG32*产品成本!$G$17+AH32*产品成本!$G$18</f>
        <v>97.5</v>
      </c>
      <c r="AM32" s="116">
        <f t="shared" si="12"/>
        <v>79.792500000000004</v>
      </c>
      <c r="AN32" s="117">
        <f t="shared" si="13"/>
        <v>328.54705774647891</v>
      </c>
      <c r="AO32" s="118">
        <v>4</v>
      </c>
      <c r="AP32" s="119">
        <v>0</v>
      </c>
      <c r="AQ32" s="141">
        <f>AO32*产品成本!$D$17+AP32*产品成本!$D$18</f>
        <v>22.52</v>
      </c>
      <c r="AR32" s="142">
        <f>AO32*产品成本!$E$17+AP32*产品成本!$E$18</f>
        <v>1.28</v>
      </c>
      <c r="AS32" s="142">
        <f>AO32*产品成本!$F$17+AP32*产品成本!$F$18</f>
        <v>1.36</v>
      </c>
      <c r="AT32" s="142">
        <f>AO32*产品成本!$G$17+AP32*产品成本!$G$18</f>
        <v>15.6</v>
      </c>
      <c r="AU32" s="142"/>
      <c r="AV32" s="142">
        <f t="shared" si="14"/>
        <v>3.3779999999999997</v>
      </c>
      <c r="AW32" s="142">
        <f t="shared" si="15"/>
        <v>-0.67559999999999998</v>
      </c>
      <c r="AX32" s="117">
        <f t="shared" si="36"/>
        <v>20.942399999999999</v>
      </c>
      <c r="AY32" s="122">
        <f t="shared" si="37"/>
        <v>307.60465774647889</v>
      </c>
      <c r="AZ32" s="122">
        <f t="shared" si="18"/>
        <v>531.95000000000005</v>
      </c>
      <c r="BA32" s="122">
        <f t="shared" si="19"/>
        <v>509.43000000000006</v>
      </c>
      <c r="BB32" s="121">
        <f t="shared" si="38"/>
        <v>7.8553422535211723</v>
      </c>
      <c r="BC32" s="123">
        <f t="shared" si="39"/>
        <v>1.5419865837349923E-2</v>
      </c>
      <c r="BD32" t="s">
        <v>197</v>
      </c>
    </row>
    <row r="33" spans="1:56" ht="29.1" customHeight="1" x14ac:dyDescent="0.15">
      <c r="A33" s="38" t="s">
        <v>198</v>
      </c>
      <c r="B33" s="38" t="s">
        <v>199</v>
      </c>
      <c r="C33" s="67">
        <v>7</v>
      </c>
      <c r="D33" s="68">
        <v>7</v>
      </c>
      <c r="E33" s="41">
        <v>173.23</v>
      </c>
      <c r="F33" s="101">
        <v>3</v>
      </c>
      <c r="G33" s="101">
        <v>3</v>
      </c>
      <c r="H33" s="41">
        <v>75.67</v>
      </c>
      <c r="I33" s="41">
        <v>9.99</v>
      </c>
      <c r="J33" s="143">
        <v>4</v>
      </c>
      <c r="K33" s="103">
        <f t="shared" si="0"/>
        <v>0.5714285714285714</v>
      </c>
      <c r="L33" s="104">
        <v>87.1</v>
      </c>
      <c r="M33" s="105">
        <f t="shared" si="31"/>
        <v>-0.72</v>
      </c>
      <c r="N33" s="103">
        <f t="shared" si="32"/>
        <v>-0.70833333333333337</v>
      </c>
      <c r="O33" s="103">
        <f t="shared" si="33"/>
        <v>-0.68021635192261543</v>
      </c>
      <c r="P33" s="106">
        <f t="shared" si="1"/>
        <v>1</v>
      </c>
      <c r="Q33" s="107">
        <f t="shared" si="2"/>
        <v>24.747142857142855</v>
      </c>
      <c r="R33" s="140">
        <f t="shared" si="3"/>
        <v>24.747142857142855</v>
      </c>
      <c r="S33" s="108">
        <f t="shared" si="34"/>
        <v>1</v>
      </c>
      <c r="T33" s="109">
        <f t="shared" si="35"/>
        <v>2</v>
      </c>
      <c r="U33" s="110">
        <f t="shared" si="6"/>
        <v>0.2857142857142857</v>
      </c>
      <c r="V33" s="71">
        <f t="shared" si="7"/>
        <v>0.82577799558931653</v>
      </c>
      <c r="W33" s="68">
        <v>14341</v>
      </c>
      <c r="X33" s="68">
        <v>189</v>
      </c>
      <c r="Y33" s="68">
        <v>5</v>
      </c>
      <c r="Z33" s="41">
        <v>134.80000000000001</v>
      </c>
      <c r="AA33" s="111">
        <v>125.84</v>
      </c>
      <c r="AB33" s="68">
        <v>0.71</v>
      </c>
      <c r="AC33" s="48">
        <f t="shared" si="8"/>
        <v>1.0712015257469802</v>
      </c>
      <c r="AD33" s="49">
        <f t="shared" si="9"/>
        <v>1.3178997280524371E-2</v>
      </c>
      <c r="AE33" s="112">
        <f t="shared" si="10"/>
        <v>2.6455026455026454E-2</v>
      </c>
      <c r="AF33" s="107">
        <f t="shared" si="11"/>
        <v>26.96</v>
      </c>
      <c r="AG33" s="113">
        <v>4</v>
      </c>
      <c r="AH33" s="115">
        <v>3</v>
      </c>
      <c r="AI33" s="116">
        <f>AG33*产品成本!$D$17+AH33*产品成本!$D$18</f>
        <v>30.2834</v>
      </c>
      <c r="AJ33" s="116">
        <f>AG33*产品成本!$E$17+AH33*产品成本!$E$18</f>
        <v>2.3734366197183112</v>
      </c>
      <c r="AK33" s="116">
        <f>AG33*产品成本!$F$17+AH33*产品成本!$F$18</f>
        <v>2.38</v>
      </c>
      <c r="AL33" s="116">
        <f>AG33*产品成本!$G$17+AH33*产品成本!$G$18</f>
        <v>27.299999999999997</v>
      </c>
      <c r="AM33" s="116">
        <f t="shared" si="12"/>
        <v>24.485999999999997</v>
      </c>
      <c r="AN33" s="117">
        <f t="shared" si="13"/>
        <v>86.822836619718316</v>
      </c>
      <c r="AO33" s="118">
        <v>4</v>
      </c>
      <c r="AP33" s="119">
        <v>0</v>
      </c>
      <c r="AQ33" s="141">
        <f>AO33*产品成本!$D$17+AP33*产品成本!$D$18</f>
        <v>22.52</v>
      </c>
      <c r="AR33" s="142">
        <f>AO33*产品成本!$E$17+AP33*产品成本!$E$18</f>
        <v>1.28</v>
      </c>
      <c r="AS33" s="142">
        <f>AO33*产品成本!$F$17+AP33*产品成本!$F$18</f>
        <v>1.36</v>
      </c>
      <c r="AT33" s="142">
        <f>AO33*产品成本!$G$17+AP33*产品成本!$G$18</f>
        <v>15.6</v>
      </c>
      <c r="AU33" s="142"/>
      <c r="AV33" s="142">
        <f t="shared" si="14"/>
        <v>3.3779999999999997</v>
      </c>
      <c r="AW33" s="142">
        <f t="shared" si="15"/>
        <v>-0.67559999999999998</v>
      </c>
      <c r="AX33" s="117">
        <f t="shared" si="36"/>
        <v>20.942399999999999</v>
      </c>
      <c r="AY33" s="122">
        <f t="shared" si="37"/>
        <v>65.880436619718324</v>
      </c>
      <c r="AZ33" s="122">
        <f t="shared" si="18"/>
        <v>163.23999999999998</v>
      </c>
      <c r="BA33" s="122">
        <f t="shared" si="19"/>
        <v>140.71999999999997</v>
      </c>
      <c r="BB33" s="121">
        <f t="shared" si="38"/>
        <v>-59.960436619718365</v>
      </c>
      <c r="BC33" s="123">
        <f t="shared" si="39"/>
        <v>-0.42609747455740749</v>
      </c>
      <c r="BD33" t="s">
        <v>384</v>
      </c>
    </row>
    <row r="34" spans="1:56" ht="29.1" customHeight="1" x14ac:dyDescent="0.15">
      <c r="A34" s="38" t="s">
        <v>200</v>
      </c>
      <c r="B34" s="38" t="s">
        <v>201</v>
      </c>
      <c r="C34" s="67">
        <v>21</v>
      </c>
      <c r="D34" s="68">
        <v>21</v>
      </c>
      <c r="E34" s="41">
        <v>434.69</v>
      </c>
      <c r="F34" s="101">
        <v>6</v>
      </c>
      <c r="G34" s="101">
        <v>6</v>
      </c>
      <c r="H34" s="41">
        <v>114.84</v>
      </c>
      <c r="I34" s="41">
        <v>12.7</v>
      </c>
      <c r="J34" s="143">
        <v>4</v>
      </c>
      <c r="K34" s="103">
        <f t="shared" si="0"/>
        <v>0.19047619047619047</v>
      </c>
      <c r="L34" s="104">
        <v>75.900000000000006</v>
      </c>
      <c r="M34" s="105">
        <f t="shared" si="31"/>
        <v>2</v>
      </c>
      <c r="N34" s="103">
        <f t="shared" si="32"/>
        <v>2</v>
      </c>
      <c r="O34" s="103">
        <f t="shared" si="33"/>
        <v>1.5093228655544655</v>
      </c>
      <c r="P34" s="106">
        <f t="shared" si="1"/>
        <v>1</v>
      </c>
      <c r="Q34" s="107">
        <f t="shared" si="2"/>
        <v>20.699523809523811</v>
      </c>
      <c r="R34" s="140">
        <f t="shared" si="3"/>
        <v>20.699523809523811</v>
      </c>
      <c r="S34" s="108">
        <f t="shared" si="34"/>
        <v>3</v>
      </c>
      <c r="T34" s="109">
        <f t="shared" si="35"/>
        <v>9</v>
      </c>
      <c r="U34" s="110">
        <f t="shared" si="6"/>
        <v>0.42857142857142855</v>
      </c>
      <c r="V34" s="71">
        <f t="shared" si="7"/>
        <v>0.56150619682930869</v>
      </c>
      <c r="W34" s="68">
        <v>23004</v>
      </c>
      <c r="X34" s="68">
        <v>329</v>
      </c>
      <c r="Y34" s="68">
        <v>12</v>
      </c>
      <c r="Z34" s="41">
        <v>236.95</v>
      </c>
      <c r="AA34" s="111">
        <v>244.98</v>
      </c>
      <c r="AB34" s="68">
        <v>0.72</v>
      </c>
      <c r="AC34" s="48">
        <f t="shared" si="8"/>
        <v>0.96722181402563479</v>
      </c>
      <c r="AD34" s="49">
        <f t="shared" si="9"/>
        <v>1.4301860545992001E-2</v>
      </c>
      <c r="AE34" s="112">
        <f t="shared" si="10"/>
        <v>3.64741641337386E-2</v>
      </c>
      <c r="AF34" s="107">
        <f t="shared" si="11"/>
        <v>19.745833333333334</v>
      </c>
      <c r="AG34" s="113">
        <v>12</v>
      </c>
      <c r="AH34" s="115">
        <v>9</v>
      </c>
      <c r="AI34" s="116">
        <f>AG34*产品成本!$D$17+AH34*产品成本!$D$18</f>
        <v>90.850200000000001</v>
      </c>
      <c r="AJ34" s="116">
        <f>AG34*产品成本!$E$17+AH34*产品成本!$E$18</f>
        <v>7.1203098591549328</v>
      </c>
      <c r="AK34" s="116">
        <f>AG34*产品成本!$F$17+AH34*产品成本!$F$18</f>
        <v>7.1400000000000006</v>
      </c>
      <c r="AL34" s="116">
        <f>AG34*产品成本!$G$17+AH34*产品成本!$G$18</f>
        <v>81.900000000000006</v>
      </c>
      <c r="AM34" s="116">
        <f t="shared" si="12"/>
        <v>63.298499999999997</v>
      </c>
      <c r="AN34" s="117">
        <f t="shared" si="13"/>
        <v>250.30900985915491</v>
      </c>
      <c r="AO34" s="118">
        <v>3</v>
      </c>
      <c r="AP34" s="119">
        <v>1</v>
      </c>
      <c r="AQ34" s="141">
        <f>AO34*产品成本!$D$17+AP34*产品成本!$D$18</f>
        <v>19.477800000000002</v>
      </c>
      <c r="AR34" s="142">
        <f>AO34*产品成本!$E$17+AP34*产品成本!$E$18</f>
        <v>1.324478873239437</v>
      </c>
      <c r="AS34" s="142">
        <f>AO34*产品成本!$F$17+AP34*产品成本!$F$18</f>
        <v>1.36</v>
      </c>
      <c r="AT34" s="142">
        <f>AO34*产品成本!$G$17+AP34*产品成本!$G$18</f>
        <v>15.6</v>
      </c>
      <c r="AU34" s="142"/>
      <c r="AV34" s="142">
        <f t="shared" si="14"/>
        <v>2.9216700000000002</v>
      </c>
      <c r="AW34" s="142">
        <f t="shared" si="15"/>
        <v>-0.58433400000000002</v>
      </c>
      <c r="AX34" s="117">
        <f t="shared" si="36"/>
        <v>20.621814873239437</v>
      </c>
      <c r="AY34" s="122">
        <f t="shared" si="37"/>
        <v>229.68719498591548</v>
      </c>
      <c r="AZ34" s="122">
        <f t="shared" si="18"/>
        <v>421.99</v>
      </c>
      <c r="BA34" s="122">
        <f t="shared" si="19"/>
        <v>402.51220000000001</v>
      </c>
      <c r="BB34" s="121">
        <f t="shared" si="38"/>
        <v>-64.124994985915464</v>
      </c>
      <c r="BC34" s="123">
        <f t="shared" si="39"/>
        <v>-0.15931192889536133</v>
      </c>
    </row>
    <row r="35" spans="1:56" ht="29.1" customHeight="1" x14ac:dyDescent="0.15">
      <c r="A35" s="38" t="s">
        <v>202</v>
      </c>
      <c r="B35" s="38" t="s">
        <v>203</v>
      </c>
      <c r="C35" s="67">
        <v>22</v>
      </c>
      <c r="D35" s="68">
        <v>22</v>
      </c>
      <c r="E35" s="41">
        <v>448.38</v>
      </c>
      <c r="F35" s="101">
        <v>3</v>
      </c>
      <c r="G35" s="101">
        <v>3</v>
      </c>
      <c r="H35" s="41">
        <v>75.27</v>
      </c>
      <c r="I35" s="41">
        <v>8.74</v>
      </c>
      <c r="J35" s="143">
        <v>2</v>
      </c>
      <c r="K35" s="103">
        <f t="shared" si="0"/>
        <v>9.0909090909090912E-2</v>
      </c>
      <c r="L35" s="104">
        <v>41.4</v>
      </c>
      <c r="M35" s="105">
        <f t="shared" si="31"/>
        <v>4.7619047619047616E-2</v>
      </c>
      <c r="N35" s="103">
        <f t="shared" si="32"/>
        <v>4.7619047619047616E-2</v>
      </c>
      <c r="O35" s="103">
        <f t="shared" si="33"/>
        <v>3.1493708159838041E-2</v>
      </c>
      <c r="P35" s="106">
        <f t="shared" si="1"/>
        <v>1</v>
      </c>
      <c r="Q35" s="107">
        <f t="shared" si="2"/>
        <v>20.380909090909089</v>
      </c>
      <c r="R35" s="140">
        <f t="shared" si="3"/>
        <v>20.380909090909089</v>
      </c>
      <c r="S35" s="108">
        <f t="shared" si="34"/>
        <v>3.1428571428571428</v>
      </c>
      <c r="T35" s="109">
        <f t="shared" si="35"/>
        <v>5</v>
      </c>
      <c r="U35" s="110">
        <f t="shared" si="6"/>
        <v>0.22727272727272727</v>
      </c>
      <c r="V35" s="71">
        <f t="shared" si="7"/>
        <v>0.68913201710490413</v>
      </c>
      <c r="W35" s="68">
        <v>28160</v>
      </c>
      <c r="X35" s="68">
        <v>393</v>
      </c>
      <c r="Y35" s="68">
        <v>17</v>
      </c>
      <c r="Z35" s="41">
        <v>302.97000000000003</v>
      </c>
      <c r="AA35" s="111">
        <v>351.09</v>
      </c>
      <c r="AB35" s="68">
        <v>0.77</v>
      </c>
      <c r="AC35" s="48">
        <f t="shared" si="8"/>
        <v>0.86294112620695562</v>
      </c>
      <c r="AD35" s="49">
        <f t="shared" si="9"/>
        <v>1.3955965909090909E-2</v>
      </c>
      <c r="AE35" s="112">
        <f t="shared" si="10"/>
        <v>4.3256997455470736E-2</v>
      </c>
      <c r="AF35" s="107">
        <f t="shared" si="11"/>
        <v>17.821764705882355</v>
      </c>
      <c r="AG35" s="113">
        <v>11</v>
      </c>
      <c r="AH35" s="115">
        <v>11</v>
      </c>
      <c r="AI35" s="116">
        <f>AG35*产品成本!$D$17+AH35*产品成本!$D$18</f>
        <v>90.395800000000008</v>
      </c>
      <c r="AJ35" s="116">
        <f>AG35*产品成本!$E$17+AH35*产品成本!$E$18</f>
        <v>7.529267605633807</v>
      </c>
      <c r="AK35" s="116">
        <f>AG35*产品成本!$F$17+AH35*产品成本!$F$18</f>
        <v>7.48</v>
      </c>
      <c r="AL35" s="116">
        <f>AG35*产品成本!$G$17+AH35*产品成本!$G$18</f>
        <v>85.8</v>
      </c>
      <c r="AM35" s="116">
        <f t="shared" si="12"/>
        <v>65.945999999999998</v>
      </c>
      <c r="AN35" s="117">
        <f t="shared" si="13"/>
        <v>257.15106760563378</v>
      </c>
      <c r="AO35" s="118">
        <v>2</v>
      </c>
      <c r="AP35" s="119">
        <v>0</v>
      </c>
      <c r="AQ35" s="141">
        <f>AO35*产品成本!$D$17+AP35*产品成本!$D$18</f>
        <v>11.26</v>
      </c>
      <c r="AR35" s="142">
        <f>AO35*产品成本!$E$17+AP35*产品成本!$E$18</f>
        <v>0.64</v>
      </c>
      <c r="AS35" s="142">
        <f>AO35*产品成本!$F$17+AP35*产品成本!$F$18</f>
        <v>0.68</v>
      </c>
      <c r="AT35" s="142">
        <f>AO35*产品成本!$G$17+AP35*产品成本!$G$18</f>
        <v>7.8</v>
      </c>
      <c r="AU35" s="142"/>
      <c r="AV35" s="142">
        <f t="shared" si="14"/>
        <v>1.6889999999999998</v>
      </c>
      <c r="AW35" s="142">
        <f t="shared" si="15"/>
        <v>-0.33779999999999999</v>
      </c>
      <c r="AX35" s="117">
        <f t="shared" si="36"/>
        <v>10.4712</v>
      </c>
      <c r="AY35" s="122">
        <f t="shared" si="37"/>
        <v>246.67986760563377</v>
      </c>
      <c r="AZ35" s="122">
        <f t="shared" si="18"/>
        <v>439.64</v>
      </c>
      <c r="BA35" s="122">
        <f t="shared" si="19"/>
        <v>428.38</v>
      </c>
      <c r="BB35" s="121">
        <f t="shared" si="38"/>
        <v>-121.26986760563381</v>
      </c>
      <c r="BC35" s="123">
        <f t="shared" si="39"/>
        <v>-0.28308947104354498</v>
      </c>
      <c r="BD35" t="s">
        <v>385</v>
      </c>
    </row>
    <row r="36" spans="1:56" ht="29.1" customHeight="1" x14ac:dyDescent="0.15">
      <c r="A36" s="38" t="s">
        <v>205</v>
      </c>
      <c r="B36" s="38" t="s">
        <v>206</v>
      </c>
      <c r="C36" s="67">
        <v>27</v>
      </c>
      <c r="D36" s="68">
        <v>27</v>
      </c>
      <c r="E36" s="41">
        <v>638.63</v>
      </c>
      <c r="F36" s="101">
        <v>10</v>
      </c>
      <c r="G36" s="101">
        <v>10</v>
      </c>
      <c r="H36" s="41">
        <v>200</v>
      </c>
      <c r="I36" s="41">
        <v>21.61</v>
      </c>
      <c r="J36" s="143">
        <v>4</v>
      </c>
      <c r="K36" s="103">
        <f t="shared" ref="K36:K57" si="40">J36/C36</f>
        <v>0.14814814814814814</v>
      </c>
      <c r="L36" s="104">
        <v>80.209999999999994</v>
      </c>
      <c r="M36" s="105">
        <f t="shared" si="31"/>
        <v>0.22727272727272727</v>
      </c>
      <c r="N36" s="103">
        <f t="shared" si="32"/>
        <v>0.22727272727272727</v>
      </c>
      <c r="O36" s="103">
        <f t="shared" si="33"/>
        <v>0.4243052767741648</v>
      </c>
      <c r="P36" s="106">
        <f t="shared" ref="P36:P53" si="41">C36/D36</f>
        <v>1</v>
      </c>
      <c r="Q36" s="107">
        <f t="shared" ref="Q36:Q53" si="42">E36/D36</f>
        <v>23.652962962962963</v>
      </c>
      <c r="R36" s="140">
        <f t="shared" ref="R36:R53" si="43">E36/C36</f>
        <v>23.652962962962963</v>
      </c>
      <c r="S36" s="108">
        <f t="shared" si="34"/>
        <v>3.8571428571428572</v>
      </c>
      <c r="T36" s="109">
        <f t="shared" si="35"/>
        <v>14</v>
      </c>
      <c r="U36" s="110">
        <f t="shared" ref="U36:U57" si="44">T36/D36</f>
        <v>0.51851851851851849</v>
      </c>
      <c r="V36" s="71">
        <f t="shared" ref="V36:V53" si="45">Z36/(E36-I36)</f>
        <v>0.42588570872905251</v>
      </c>
      <c r="W36" s="68">
        <v>24031</v>
      </c>
      <c r="X36" s="68">
        <v>347</v>
      </c>
      <c r="Y36" s="68">
        <v>13</v>
      </c>
      <c r="Z36" s="41">
        <v>262.77999999999997</v>
      </c>
      <c r="AA36" s="111">
        <v>298.17</v>
      </c>
      <c r="AB36" s="68">
        <v>0.76</v>
      </c>
      <c r="AC36" s="48">
        <f t="shared" ref="AC36:AC57" si="46">Z36/AA36</f>
        <v>0.88130932018647068</v>
      </c>
      <c r="AD36" s="49">
        <f t="shared" ref="AD36:AD53" si="47">X36/W36</f>
        <v>1.4439682077316799E-2</v>
      </c>
      <c r="AE36" s="112">
        <f t="shared" ref="AE36:AE53" si="48">Y36/X36</f>
        <v>3.7463976945244955E-2</v>
      </c>
      <c r="AF36" s="107">
        <f t="shared" ref="AF36:AF53" si="49">Z36/Y36</f>
        <v>20.213846153846152</v>
      </c>
      <c r="AG36" s="113">
        <v>16</v>
      </c>
      <c r="AH36" s="115">
        <v>11</v>
      </c>
      <c r="AI36" s="116">
        <f>AG36*产品成本!$D$17+AH36*产品成本!$D$18</f>
        <v>118.5458</v>
      </c>
      <c r="AJ36" s="116">
        <f>AG36*产品成本!$E$17+AH36*产品成本!$E$18</f>
        <v>9.1292676056338067</v>
      </c>
      <c r="AK36" s="116">
        <f>AG36*产品成本!$F$17+AH36*产品成本!$F$18</f>
        <v>9.18</v>
      </c>
      <c r="AL36" s="116">
        <f>AG36*产品成本!$G$17+AH36*产品成本!$G$18</f>
        <v>105.3</v>
      </c>
      <c r="AM36" s="116">
        <f t="shared" ref="AM36:AM53" si="50">(E36-I36)*0.15</f>
        <v>92.552999999999997</v>
      </c>
      <c r="AN36" s="117">
        <f t="shared" ref="AN36:AN53" si="51">SUM(AI36:AM36)</f>
        <v>334.7080676056338</v>
      </c>
      <c r="AO36" s="118">
        <v>3</v>
      </c>
      <c r="AP36" s="119">
        <v>1</v>
      </c>
      <c r="AQ36" s="141">
        <f>AO36*产品成本!$D$17+AP36*产品成本!$D$18</f>
        <v>19.477800000000002</v>
      </c>
      <c r="AR36" s="142">
        <f>AO36*产品成本!$E$17+AP36*产品成本!$E$18</f>
        <v>1.324478873239437</v>
      </c>
      <c r="AS36" s="142">
        <f>AO36*产品成本!$F$17+AP36*产品成本!$F$18</f>
        <v>1.36</v>
      </c>
      <c r="AT36" s="142">
        <f>AO36*产品成本!$G$17+AP36*产品成本!$G$18</f>
        <v>15.6</v>
      </c>
      <c r="AU36" s="142"/>
      <c r="AV36" s="142">
        <f t="shared" ref="AV36:AV53" si="52">AQ36*0.15</f>
        <v>2.9216700000000002</v>
      </c>
      <c r="AW36" s="142">
        <f t="shared" ref="AW36:AW53" si="53">-AV36*0.2</f>
        <v>-0.58433400000000002</v>
      </c>
      <c r="AX36" s="117">
        <f t="shared" si="36"/>
        <v>20.621814873239437</v>
      </c>
      <c r="AY36" s="122">
        <f t="shared" si="37"/>
        <v>314.08625273239437</v>
      </c>
      <c r="AZ36" s="122">
        <f t="shared" ref="AZ36:AZ53" si="54">E36-I36</f>
        <v>617.02</v>
      </c>
      <c r="BA36" s="122">
        <f t="shared" ref="BA36:BA53" si="55">E36-AQ36-I36</f>
        <v>597.54219999999998</v>
      </c>
      <c r="BB36" s="121">
        <f t="shared" si="38"/>
        <v>20.675947267605636</v>
      </c>
      <c r="BC36" s="123">
        <f t="shared" si="39"/>
        <v>3.4601652013206155E-2</v>
      </c>
    </row>
    <row r="37" spans="1:56" ht="29.1" customHeight="1" x14ac:dyDescent="0.15">
      <c r="A37" s="38" t="s">
        <v>208</v>
      </c>
      <c r="B37" s="38" t="s">
        <v>209</v>
      </c>
      <c r="C37" s="67">
        <v>22</v>
      </c>
      <c r="D37" s="68">
        <v>22</v>
      </c>
      <c r="E37" s="41">
        <v>492.68</v>
      </c>
      <c r="F37" s="101">
        <v>10</v>
      </c>
      <c r="G37" s="101">
        <v>10</v>
      </c>
      <c r="H37" s="41">
        <v>218.5</v>
      </c>
      <c r="I37" s="41">
        <v>25.94</v>
      </c>
      <c r="J37" s="143">
        <v>5</v>
      </c>
      <c r="K37" s="103">
        <f t="shared" si="40"/>
        <v>0.22727272727272727</v>
      </c>
      <c r="L37" s="104">
        <v>90.88</v>
      </c>
      <c r="M37" s="105">
        <f t="shared" si="31"/>
        <v>-0.18518518518518517</v>
      </c>
      <c r="N37" s="103">
        <f t="shared" si="32"/>
        <v>-0.18518518518518517</v>
      </c>
      <c r="O37" s="103">
        <f t="shared" si="33"/>
        <v>-0.22853608505707529</v>
      </c>
      <c r="P37" s="106">
        <f t="shared" si="41"/>
        <v>1</v>
      </c>
      <c r="Q37" s="107">
        <f t="shared" si="42"/>
        <v>22.394545454545455</v>
      </c>
      <c r="R37" s="140">
        <f t="shared" si="43"/>
        <v>22.394545454545455</v>
      </c>
      <c r="S37" s="108">
        <f t="shared" si="34"/>
        <v>3.1428571428571428</v>
      </c>
      <c r="T37" s="109">
        <f t="shared" si="35"/>
        <v>8</v>
      </c>
      <c r="U37" s="110">
        <f t="shared" si="44"/>
        <v>0.36363636363636365</v>
      </c>
      <c r="V37" s="71">
        <f t="shared" si="45"/>
        <v>0.51210524060504781</v>
      </c>
      <c r="W37" s="68">
        <v>22463</v>
      </c>
      <c r="X37" s="68">
        <v>316</v>
      </c>
      <c r="Y37" s="68">
        <v>14</v>
      </c>
      <c r="Z37" s="41">
        <v>239.02</v>
      </c>
      <c r="AA37" s="111">
        <v>322.44</v>
      </c>
      <c r="AB37" s="68">
        <v>0.76</v>
      </c>
      <c r="AC37" s="48">
        <f t="shared" si="46"/>
        <v>0.74128520034735146</v>
      </c>
      <c r="AD37" s="49">
        <f t="shared" si="47"/>
        <v>1.4067577794595557E-2</v>
      </c>
      <c r="AE37" s="112">
        <f t="shared" si="48"/>
        <v>4.4303797468354431E-2</v>
      </c>
      <c r="AF37" s="107">
        <f t="shared" si="49"/>
        <v>17.072857142857142</v>
      </c>
      <c r="AG37" s="113">
        <v>12</v>
      </c>
      <c r="AH37" s="115">
        <v>10</v>
      </c>
      <c r="AI37" s="116">
        <f>AG37*产品成本!$D$17+AH37*产品成本!$D$18</f>
        <v>93.438000000000002</v>
      </c>
      <c r="AJ37" s="116">
        <f>AG37*产品成本!$E$17+AH37*产品成本!$E$18</f>
        <v>7.48478873239437</v>
      </c>
      <c r="AK37" s="116">
        <f>AG37*产品成本!$F$17+AH37*产品成本!$F$18</f>
        <v>7.48</v>
      </c>
      <c r="AL37" s="116">
        <f>AG37*产品成本!$G$17+AH37*产品成本!$G$18</f>
        <v>85.8</v>
      </c>
      <c r="AM37" s="116">
        <f t="shared" si="50"/>
        <v>70.010999999999996</v>
      </c>
      <c r="AN37" s="117">
        <f t="shared" si="51"/>
        <v>264.21378873239439</v>
      </c>
      <c r="AO37" s="118">
        <v>3</v>
      </c>
      <c r="AP37" s="119">
        <v>2</v>
      </c>
      <c r="AQ37" s="141">
        <f>AO37*产品成本!$D$17+AP37*产品成本!$D$18</f>
        <v>22.0656</v>
      </c>
      <c r="AR37" s="142">
        <f>AO37*产品成本!$E$17+AP37*产品成本!$E$18</f>
        <v>1.6889577464788741</v>
      </c>
      <c r="AS37" s="142">
        <f>AO37*产品成本!$F$17+AP37*产品成本!$F$18</f>
        <v>1.7000000000000002</v>
      </c>
      <c r="AT37" s="142">
        <f>AO37*产品成本!$G$17+AP37*产品成本!$G$18</f>
        <v>19.5</v>
      </c>
      <c r="AU37" s="142"/>
      <c r="AV37" s="142">
        <f t="shared" si="52"/>
        <v>3.3098399999999999</v>
      </c>
      <c r="AW37" s="142">
        <f t="shared" si="53"/>
        <v>-0.661968</v>
      </c>
      <c r="AX37" s="117">
        <f t="shared" si="36"/>
        <v>25.536829746478872</v>
      </c>
      <c r="AY37" s="122">
        <f t="shared" si="37"/>
        <v>238.67695898591552</v>
      </c>
      <c r="AZ37" s="122">
        <f t="shared" si="54"/>
        <v>466.74</v>
      </c>
      <c r="BA37" s="122">
        <f t="shared" si="55"/>
        <v>444.67439999999999</v>
      </c>
      <c r="BB37" s="121">
        <f t="shared" si="38"/>
        <v>-33.022558985915538</v>
      </c>
      <c r="BC37" s="123">
        <f t="shared" si="39"/>
        <v>-7.4262334386498388E-2</v>
      </c>
    </row>
    <row r="38" spans="1:56" ht="29.1" customHeight="1" x14ac:dyDescent="0.15">
      <c r="A38" s="38" t="s">
        <v>210</v>
      </c>
      <c r="B38" s="38" t="s">
        <v>211</v>
      </c>
      <c r="C38" s="67">
        <v>17</v>
      </c>
      <c r="D38" s="68">
        <v>17</v>
      </c>
      <c r="E38" s="41">
        <v>319.33</v>
      </c>
      <c r="F38" s="101">
        <v>8</v>
      </c>
      <c r="G38" s="101">
        <v>8</v>
      </c>
      <c r="H38" s="41">
        <v>142.18</v>
      </c>
      <c r="I38" s="41">
        <v>16.899999999999999</v>
      </c>
      <c r="J38" s="143">
        <v>4</v>
      </c>
      <c r="K38" s="103">
        <f t="shared" si="40"/>
        <v>0.23529411764705882</v>
      </c>
      <c r="L38" s="104">
        <v>92.31</v>
      </c>
      <c r="M38" s="105">
        <f t="shared" si="31"/>
        <v>-0.22727272727272727</v>
      </c>
      <c r="N38" s="103">
        <f t="shared" si="32"/>
        <v>-0.22727272727272727</v>
      </c>
      <c r="O38" s="103">
        <f t="shared" si="33"/>
        <v>-0.35185110010554521</v>
      </c>
      <c r="P38" s="106">
        <f t="shared" si="41"/>
        <v>1</v>
      </c>
      <c r="Q38" s="107">
        <f t="shared" si="42"/>
        <v>18.784117647058821</v>
      </c>
      <c r="R38" s="140">
        <f t="shared" si="43"/>
        <v>18.784117647058821</v>
      </c>
      <c r="S38" s="108">
        <f t="shared" si="34"/>
        <v>2.4285714285714284</v>
      </c>
      <c r="T38" s="109">
        <f t="shared" si="35"/>
        <v>12</v>
      </c>
      <c r="U38" s="110">
        <f t="shared" si="44"/>
        <v>0.70588235294117652</v>
      </c>
      <c r="V38" s="71">
        <f t="shared" si="45"/>
        <v>0.40839202460073404</v>
      </c>
      <c r="W38" s="68">
        <v>12980</v>
      </c>
      <c r="X38" s="68">
        <v>176</v>
      </c>
      <c r="Y38" s="68">
        <v>5</v>
      </c>
      <c r="Z38" s="41">
        <v>123.51</v>
      </c>
      <c r="AA38" s="111">
        <v>75.47</v>
      </c>
      <c r="AB38" s="68">
        <v>0.7</v>
      </c>
      <c r="AC38" s="48">
        <f t="shared" si="46"/>
        <v>1.6365443222472507</v>
      </c>
      <c r="AD38" s="49">
        <f t="shared" si="47"/>
        <v>1.3559322033898305E-2</v>
      </c>
      <c r="AE38" s="112">
        <f t="shared" si="48"/>
        <v>2.8409090909090908E-2</v>
      </c>
      <c r="AF38" s="107">
        <f t="shared" si="49"/>
        <v>24.702000000000002</v>
      </c>
      <c r="AG38" s="113">
        <v>11</v>
      </c>
      <c r="AH38" s="115">
        <v>6</v>
      </c>
      <c r="AI38" s="116">
        <f>AG38*产品成本!$D$17+AH38*产品成本!$D$18</f>
        <v>77.456800000000001</v>
      </c>
      <c r="AJ38" s="116">
        <f>AG38*产品成本!$E$17+AH38*产品成本!$E$18</f>
        <v>5.7068732394366215</v>
      </c>
      <c r="AK38" s="116">
        <f>AG38*产品成本!$F$17+AH38*产品成本!$F$18</f>
        <v>5.78</v>
      </c>
      <c r="AL38" s="116">
        <f>AG38*产品成本!$G$17+AH38*产品成本!$G$18</f>
        <v>66.3</v>
      </c>
      <c r="AM38" s="116">
        <f t="shared" si="50"/>
        <v>45.3645</v>
      </c>
      <c r="AN38" s="117">
        <f t="shared" si="51"/>
        <v>200.60817323943661</v>
      </c>
      <c r="AO38" s="118">
        <v>4</v>
      </c>
      <c r="AP38" s="119">
        <v>0</v>
      </c>
      <c r="AQ38" s="141">
        <f>AO38*产品成本!$D$17+AP38*产品成本!$D$18</f>
        <v>22.52</v>
      </c>
      <c r="AR38" s="142">
        <f>AO38*产品成本!$E$17+AP38*产品成本!$E$18</f>
        <v>1.28</v>
      </c>
      <c r="AS38" s="142">
        <f>AO38*产品成本!$F$17+AP38*产品成本!$F$18</f>
        <v>1.36</v>
      </c>
      <c r="AT38" s="142">
        <f>AO38*产品成本!$G$17+AP38*产品成本!$G$18</f>
        <v>15.6</v>
      </c>
      <c r="AU38" s="142"/>
      <c r="AV38" s="142">
        <f t="shared" si="52"/>
        <v>3.3779999999999997</v>
      </c>
      <c r="AW38" s="142">
        <f t="shared" si="53"/>
        <v>-0.67559999999999998</v>
      </c>
      <c r="AX38" s="117">
        <f t="shared" si="36"/>
        <v>20.942399999999999</v>
      </c>
      <c r="AY38" s="122">
        <f t="shared" si="37"/>
        <v>179.66577323943662</v>
      </c>
      <c r="AZ38" s="122">
        <f t="shared" si="54"/>
        <v>302.43</v>
      </c>
      <c r="BA38" s="122">
        <f t="shared" si="55"/>
        <v>279.91000000000003</v>
      </c>
      <c r="BB38" s="121">
        <f t="shared" si="38"/>
        <v>-23.265773239436598</v>
      </c>
      <c r="BC38" s="123">
        <f t="shared" si="39"/>
        <v>-8.3118764029282963E-2</v>
      </c>
      <c r="BD38" t="s">
        <v>287</v>
      </c>
    </row>
    <row r="39" spans="1:56" ht="29.1" customHeight="1" x14ac:dyDescent="0.15">
      <c r="A39" s="38" t="s">
        <v>213</v>
      </c>
      <c r="B39" s="38" t="s">
        <v>214</v>
      </c>
      <c r="C39" s="67">
        <v>22</v>
      </c>
      <c r="D39" s="68">
        <v>22</v>
      </c>
      <c r="E39" s="41">
        <v>383.41</v>
      </c>
      <c r="F39" s="101">
        <v>3</v>
      </c>
      <c r="G39" s="101">
        <v>3</v>
      </c>
      <c r="H39" s="41">
        <v>39.75</v>
      </c>
      <c r="I39" s="41">
        <v>3.95</v>
      </c>
      <c r="J39" s="143">
        <v>1</v>
      </c>
      <c r="K39" s="103">
        <f t="shared" si="40"/>
        <v>4.5454545454545456E-2</v>
      </c>
      <c r="L39" s="104">
        <v>13.54</v>
      </c>
      <c r="M39" s="105">
        <f t="shared" si="31"/>
        <v>0.29411764705882354</v>
      </c>
      <c r="N39" s="103">
        <f t="shared" si="32"/>
        <v>0.29411764705882354</v>
      </c>
      <c r="O39" s="103">
        <f t="shared" si="33"/>
        <v>0.20067015313312261</v>
      </c>
      <c r="P39" s="106">
        <f t="shared" si="41"/>
        <v>1</v>
      </c>
      <c r="Q39" s="107">
        <f t="shared" si="42"/>
        <v>17.427727272727275</v>
      </c>
      <c r="R39" s="140">
        <f t="shared" si="43"/>
        <v>17.427727272727275</v>
      </c>
      <c r="S39" s="108">
        <f t="shared" si="34"/>
        <v>3.1428571428571428</v>
      </c>
      <c r="T39" s="109">
        <f t="shared" si="35"/>
        <v>3</v>
      </c>
      <c r="U39" s="110">
        <f t="shared" si="44"/>
        <v>0.13636363636363635</v>
      </c>
      <c r="V39" s="71">
        <f t="shared" si="45"/>
        <v>0.40146524007800555</v>
      </c>
      <c r="W39" s="68">
        <v>19968</v>
      </c>
      <c r="X39" s="68">
        <v>221</v>
      </c>
      <c r="Y39" s="68">
        <v>19</v>
      </c>
      <c r="Z39" s="41">
        <v>152.34</v>
      </c>
      <c r="AA39" s="111">
        <v>331.58</v>
      </c>
      <c r="AB39" s="68">
        <v>0.69</v>
      </c>
      <c r="AC39" s="48">
        <f t="shared" si="46"/>
        <v>0.45943663670908985</v>
      </c>
      <c r="AD39" s="49">
        <f t="shared" si="47"/>
        <v>1.1067708333333334E-2</v>
      </c>
      <c r="AE39" s="112">
        <f t="shared" si="48"/>
        <v>8.5972850678733032E-2</v>
      </c>
      <c r="AF39" s="107">
        <f t="shared" si="49"/>
        <v>8.0178947368421056</v>
      </c>
      <c r="AG39" s="113">
        <v>12</v>
      </c>
      <c r="AH39" s="115">
        <v>10</v>
      </c>
      <c r="AI39" s="116">
        <f>AG39*产品成本!$D$17+AH39*产品成本!$D$18</f>
        <v>93.438000000000002</v>
      </c>
      <c r="AJ39" s="116">
        <f>AG39*产品成本!$E$17+AH39*产品成本!$E$18</f>
        <v>7.48478873239437</v>
      </c>
      <c r="AK39" s="116">
        <f>AG39*产品成本!$F$17+AH39*产品成本!$F$18</f>
        <v>7.48</v>
      </c>
      <c r="AL39" s="116">
        <f>AG39*产品成本!$G$17+AH39*产品成本!$G$18</f>
        <v>85.8</v>
      </c>
      <c r="AM39" s="116">
        <f t="shared" si="50"/>
        <v>56.919000000000004</v>
      </c>
      <c r="AN39" s="117">
        <f t="shared" si="51"/>
        <v>251.12178873239438</v>
      </c>
      <c r="AO39" s="118">
        <v>0</v>
      </c>
      <c r="AP39" s="119">
        <v>1</v>
      </c>
      <c r="AQ39" s="141">
        <f>AO39*产品成本!$D$17+AP39*产品成本!$D$18</f>
        <v>2.5878000000000001</v>
      </c>
      <c r="AR39" s="142">
        <f>AO39*产品成本!$E$17+AP39*产品成本!$E$18</f>
        <v>0.36447887323943701</v>
      </c>
      <c r="AS39" s="142">
        <f>AO39*产品成本!$F$17+AP39*产品成本!$F$18</f>
        <v>0.34</v>
      </c>
      <c r="AT39" s="142">
        <f>AO39*产品成本!$G$17+AP39*产品成本!$G$18</f>
        <v>3.9</v>
      </c>
      <c r="AU39" s="142"/>
      <c r="AV39" s="142">
        <f t="shared" si="52"/>
        <v>0.38817000000000002</v>
      </c>
      <c r="AW39" s="142">
        <f t="shared" si="53"/>
        <v>-7.7634000000000009E-2</v>
      </c>
      <c r="AX39" s="117">
        <f t="shared" si="36"/>
        <v>4.9150148732394365</v>
      </c>
      <c r="AY39" s="122">
        <f t="shared" si="37"/>
        <v>246.20677385915494</v>
      </c>
      <c r="AZ39" s="122">
        <f t="shared" si="54"/>
        <v>379.46000000000004</v>
      </c>
      <c r="BA39" s="122">
        <f t="shared" si="55"/>
        <v>376.87220000000002</v>
      </c>
      <c r="BB39" s="121">
        <f t="shared" si="38"/>
        <v>-21.674573859154918</v>
      </c>
      <c r="BC39" s="123">
        <f t="shared" si="39"/>
        <v>-5.7511734373495625E-2</v>
      </c>
      <c r="BD39" t="s">
        <v>215</v>
      </c>
    </row>
    <row r="40" spans="1:56" ht="29.1" customHeight="1" x14ac:dyDescent="0.15">
      <c r="A40" s="38" t="s">
        <v>216</v>
      </c>
      <c r="B40" s="38" t="s">
        <v>217</v>
      </c>
      <c r="C40" s="67">
        <v>10</v>
      </c>
      <c r="D40" s="68">
        <v>10</v>
      </c>
      <c r="E40" s="41">
        <v>178.26</v>
      </c>
      <c r="F40" s="101">
        <v>2</v>
      </c>
      <c r="G40" s="101">
        <v>2</v>
      </c>
      <c r="H40" s="41">
        <v>37.21</v>
      </c>
      <c r="I40" s="41">
        <v>3.94</v>
      </c>
      <c r="J40" s="143">
        <v>4</v>
      </c>
      <c r="K40" s="103">
        <f t="shared" si="40"/>
        <v>0.4</v>
      </c>
      <c r="L40" s="104">
        <v>68.22</v>
      </c>
      <c r="M40" s="105">
        <f t="shared" si="31"/>
        <v>-0.54545454545454541</v>
      </c>
      <c r="N40" s="103">
        <f t="shared" si="32"/>
        <v>-0.54545454545454541</v>
      </c>
      <c r="O40" s="103">
        <f t="shared" si="33"/>
        <v>-0.53506689966354559</v>
      </c>
      <c r="P40" s="106">
        <f t="shared" si="41"/>
        <v>1</v>
      </c>
      <c r="Q40" s="107">
        <f t="shared" si="42"/>
        <v>17.826000000000001</v>
      </c>
      <c r="R40" s="140">
        <f t="shared" si="43"/>
        <v>17.826000000000001</v>
      </c>
      <c r="S40" s="108">
        <f t="shared" si="34"/>
        <v>1.4285714285714286</v>
      </c>
      <c r="T40" s="109">
        <f t="shared" si="35"/>
        <v>1</v>
      </c>
      <c r="U40" s="110">
        <f t="shared" si="44"/>
        <v>0.1</v>
      </c>
      <c r="V40" s="71">
        <f t="shared" si="45"/>
        <v>0.61427260211106016</v>
      </c>
      <c r="W40" s="68">
        <v>19681</v>
      </c>
      <c r="X40" s="68">
        <v>156</v>
      </c>
      <c r="Y40" s="68">
        <v>9</v>
      </c>
      <c r="Z40" s="41">
        <v>107.08</v>
      </c>
      <c r="AA40" s="111">
        <v>162.62</v>
      </c>
      <c r="AB40" s="68">
        <v>0.69</v>
      </c>
      <c r="AC40" s="48">
        <f t="shared" si="46"/>
        <v>0.65846759316197268</v>
      </c>
      <c r="AD40" s="49">
        <f t="shared" si="47"/>
        <v>7.9264265027183586E-3</v>
      </c>
      <c r="AE40" s="112">
        <f t="shared" si="48"/>
        <v>5.7692307692307696E-2</v>
      </c>
      <c r="AF40" s="107">
        <f t="shared" si="49"/>
        <v>11.897777777777778</v>
      </c>
      <c r="AG40" s="113">
        <v>2</v>
      </c>
      <c r="AH40" s="115">
        <v>8</v>
      </c>
      <c r="AI40" s="116">
        <f>AG40*产品成本!$D$17+AH40*产品成本!$D$18</f>
        <v>31.962400000000002</v>
      </c>
      <c r="AJ40" s="116">
        <f>AG40*产品成本!$E$17+AH40*产品成本!$E$18</f>
        <v>3.5558309859154962</v>
      </c>
      <c r="AK40" s="116">
        <f>AG40*产品成本!$F$17+AH40*产品成本!$F$18</f>
        <v>3.4000000000000004</v>
      </c>
      <c r="AL40" s="116">
        <f>AG40*产品成本!$G$17+AH40*产品成本!$G$18</f>
        <v>39</v>
      </c>
      <c r="AM40" s="116">
        <f t="shared" si="50"/>
        <v>26.148</v>
      </c>
      <c r="AN40" s="117">
        <f t="shared" si="51"/>
        <v>104.0662309859155</v>
      </c>
      <c r="AO40" s="118">
        <v>3</v>
      </c>
      <c r="AP40" s="119">
        <v>1</v>
      </c>
      <c r="AQ40" s="141">
        <f>AO40*产品成本!$D$17+AP40*产品成本!$D$18</f>
        <v>19.477800000000002</v>
      </c>
      <c r="AR40" s="142">
        <f>AO40*产品成本!$E$17+AP40*产品成本!$E$18</f>
        <v>1.324478873239437</v>
      </c>
      <c r="AS40" s="142">
        <f>AO40*产品成本!$F$17+AP40*产品成本!$F$18</f>
        <v>1.36</v>
      </c>
      <c r="AT40" s="142">
        <f>AO40*产品成本!$G$17+AP40*产品成本!$G$18</f>
        <v>15.6</v>
      </c>
      <c r="AU40" s="142"/>
      <c r="AV40" s="142">
        <f t="shared" si="52"/>
        <v>2.9216700000000002</v>
      </c>
      <c r="AW40" s="142">
        <f t="shared" si="53"/>
        <v>-0.58433400000000002</v>
      </c>
      <c r="AX40" s="117">
        <f t="shared" si="36"/>
        <v>20.621814873239437</v>
      </c>
      <c r="AY40" s="122">
        <f t="shared" si="37"/>
        <v>83.444416112676066</v>
      </c>
      <c r="AZ40" s="122">
        <f t="shared" si="54"/>
        <v>174.32</v>
      </c>
      <c r="BA40" s="122">
        <f t="shared" si="55"/>
        <v>154.84219999999999</v>
      </c>
      <c r="BB40" s="121">
        <f t="shared" si="38"/>
        <v>-35.682216112676073</v>
      </c>
      <c r="BC40" s="123">
        <f t="shared" si="39"/>
        <v>-0.23044245117077952</v>
      </c>
      <c r="BD40" t="s">
        <v>288</v>
      </c>
    </row>
    <row r="41" spans="1:56" ht="29.1" customHeight="1" x14ac:dyDescent="0.15">
      <c r="A41" s="38" t="s">
        <v>219</v>
      </c>
      <c r="B41" s="38" t="s">
        <v>220</v>
      </c>
      <c r="C41" s="67">
        <v>7</v>
      </c>
      <c r="D41" s="68">
        <v>7</v>
      </c>
      <c r="E41" s="41">
        <v>176.61</v>
      </c>
      <c r="F41" s="101">
        <v>2</v>
      </c>
      <c r="G41" s="101">
        <v>2</v>
      </c>
      <c r="H41" s="41">
        <v>48.78</v>
      </c>
      <c r="I41" s="41">
        <v>5.0999999999999996</v>
      </c>
      <c r="J41" s="143">
        <v>3</v>
      </c>
      <c r="K41" s="103">
        <f t="shared" si="40"/>
        <v>0.42857142857142855</v>
      </c>
      <c r="L41" s="104">
        <v>62.76</v>
      </c>
      <c r="M41" s="105">
        <f t="shared" si="31"/>
        <v>-0.3</v>
      </c>
      <c r="N41" s="103">
        <f t="shared" si="32"/>
        <v>-0.3</v>
      </c>
      <c r="O41" s="103">
        <f t="shared" si="33"/>
        <v>-9.256142712891156E-3</v>
      </c>
      <c r="P41" s="106">
        <f t="shared" si="41"/>
        <v>1</v>
      </c>
      <c r="Q41" s="107">
        <f t="shared" si="42"/>
        <v>25.23</v>
      </c>
      <c r="R41" s="140">
        <f t="shared" si="43"/>
        <v>25.23</v>
      </c>
      <c r="S41" s="108">
        <f t="shared" si="34"/>
        <v>1</v>
      </c>
      <c r="T41" s="109">
        <f t="shared" si="35"/>
        <v>2</v>
      </c>
      <c r="U41" s="110">
        <f t="shared" si="44"/>
        <v>0.2857142857142857</v>
      </c>
      <c r="V41" s="71">
        <f t="shared" si="45"/>
        <v>0.24284298291644799</v>
      </c>
      <c r="W41" s="68">
        <v>6404</v>
      </c>
      <c r="X41" s="68">
        <v>61</v>
      </c>
      <c r="Y41" s="68">
        <v>5</v>
      </c>
      <c r="Z41" s="41">
        <v>41.65</v>
      </c>
      <c r="AA41" s="111">
        <v>122.83</v>
      </c>
      <c r="AB41" s="68">
        <v>0.68</v>
      </c>
      <c r="AC41" s="48">
        <f t="shared" si="46"/>
        <v>0.33908654237564112</v>
      </c>
      <c r="AD41" s="49">
        <f t="shared" si="47"/>
        <v>9.525296689569019E-3</v>
      </c>
      <c r="AE41" s="112">
        <f t="shared" si="48"/>
        <v>8.1967213114754092E-2</v>
      </c>
      <c r="AF41" s="107">
        <f t="shared" si="49"/>
        <v>8.33</v>
      </c>
      <c r="AG41" s="113">
        <v>5</v>
      </c>
      <c r="AH41" s="115">
        <v>2</v>
      </c>
      <c r="AI41" s="116">
        <f>AG41*产品成本!$D$17+AH41*产品成本!$D$18</f>
        <v>33.325600000000001</v>
      </c>
      <c r="AJ41" s="116">
        <f>AG41*产品成本!$E$17+AH41*产品成本!$E$18</f>
        <v>2.3289577464788742</v>
      </c>
      <c r="AK41" s="116">
        <f>AG41*产品成本!$F$17+AH41*产品成本!$F$18</f>
        <v>2.3800000000000003</v>
      </c>
      <c r="AL41" s="116">
        <f>AG41*产品成本!$G$17+AH41*产品成本!$G$18</f>
        <v>27.3</v>
      </c>
      <c r="AM41" s="116">
        <f t="shared" si="50"/>
        <v>25.726500000000001</v>
      </c>
      <c r="AN41" s="117">
        <f t="shared" si="51"/>
        <v>91.06105774647888</v>
      </c>
      <c r="AO41" s="118">
        <v>1</v>
      </c>
      <c r="AP41" s="119">
        <v>1</v>
      </c>
      <c r="AQ41" s="141">
        <f>AO41*产品成本!$D$17+AP41*产品成本!$D$18</f>
        <v>8.2178000000000004</v>
      </c>
      <c r="AR41" s="142">
        <f>AO41*产品成本!$E$17+AP41*产品成本!$E$18</f>
        <v>0.68447887323943701</v>
      </c>
      <c r="AS41" s="142">
        <f>AO41*产品成本!$F$17+AP41*产品成本!$F$18</f>
        <v>0.68</v>
      </c>
      <c r="AT41" s="142">
        <f>AO41*产品成本!$G$17+AP41*产品成本!$G$18</f>
        <v>7.8</v>
      </c>
      <c r="AU41" s="142"/>
      <c r="AV41" s="142">
        <f t="shared" si="52"/>
        <v>1.2326699999999999</v>
      </c>
      <c r="AW41" s="142">
        <f t="shared" si="53"/>
        <v>-0.246534</v>
      </c>
      <c r="AX41" s="117">
        <f t="shared" si="36"/>
        <v>10.150614873239437</v>
      </c>
      <c r="AY41" s="122">
        <f t="shared" si="37"/>
        <v>80.910442873239447</v>
      </c>
      <c r="AZ41" s="122">
        <f t="shared" si="54"/>
        <v>171.51000000000002</v>
      </c>
      <c r="BA41" s="122">
        <f t="shared" si="55"/>
        <v>163.29220000000001</v>
      </c>
      <c r="BB41" s="121">
        <f t="shared" si="38"/>
        <v>40.731757126760563</v>
      </c>
      <c r="BC41" s="123">
        <f t="shared" si="39"/>
        <v>0.24944092324532685</v>
      </c>
    </row>
    <row r="42" spans="1:56" ht="29.1" customHeight="1" x14ac:dyDescent="0.15">
      <c r="A42" s="38" t="s">
        <v>221</v>
      </c>
      <c r="B42" s="38" t="s">
        <v>222</v>
      </c>
      <c r="C42" s="67">
        <v>9</v>
      </c>
      <c r="D42" s="68">
        <v>9</v>
      </c>
      <c r="E42" s="41">
        <v>195.25</v>
      </c>
      <c r="F42" s="101">
        <v>5</v>
      </c>
      <c r="G42" s="101">
        <v>5</v>
      </c>
      <c r="H42" s="41">
        <v>102.96</v>
      </c>
      <c r="I42" s="41">
        <v>11.09</v>
      </c>
      <c r="J42" s="143">
        <v>3</v>
      </c>
      <c r="K42" s="103">
        <f t="shared" si="40"/>
        <v>0.33333333333333331</v>
      </c>
      <c r="L42" s="104">
        <v>53.16</v>
      </c>
      <c r="M42" s="105">
        <f t="shared" si="31"/>
        <v>0.2857142857142857</v>
      </c>
      <c r="N42" s="103">
        <f t="shared" si="32"/>
        <v>0.2857142857142857</v>
      </c>
      <c r="O42" s="103">
        <f t="shared" si="33"/>
        <v>0.10554328746956562</v>
      </c>
      <c r="P42" s="106">
        <f t="shared" si="41"/>
        <v>1</v>
      </c>
      <c r="Q42" s="107">
        <f t="shared" si="42"/>
        <v>21.694444444444443</v>
      </c>
      <c r="R42" s="140">
        <f t="shared" si="43"/>
        <v>21.694444444444443</v>
      </c>
      <c r="S42" s="108">
        <f t="shared" si="34"/>
        <v>1.2857142857142858</v>
      </c>
      <c r="T42" s="109">
        <f t="shared" si="35"/>
        <v>6</v>
      </c>
      <c r="U42" s="110">
        <f t="shared" si="44"/>
        <v>0.66666666666666663</v>
      </c>
      <c r="V42" s="71">
        <f t="shared" si="45"/>
        <v>0.26949391833188535</v>
      </c>
      <c r="W42" s="68">
        <v>7112</v>
      </c>
      <c r="X42" s="68">
        <v>73</v>
      </c>
      <c r="Y42" s="68">
        <v>3</v>
      </c>
      <c r="Z42" s="41">
        <v>49.63</v>
      </c>
      <c r="AA42" s="111">
        <v>57.27</v>
      </c>
      <c r="AB42" s="68">
        <v>0.68</v>
      </c>
      <c r="AC42" s="48">
        <f t="shared" si="46"/>
        <v>0.86659682207089228</v>
      </c>
      <c r="AD42" s="49">
        <f t="shared" si="47"/>
        <v>1.0264341957255342E-2</v>
      </c>
      <c r="AE42" s="112">
        <f t="shared" si="48"/>
        <v>4.1095890410958902E-2</v>
      </c>
      <c r="AF42" s="107">
        <f t="shared" si="49"/>
        <v>16.543333333333333</v>
      </c>
      <c r="AG42" s="113">
        <v>4</v>
      </c>
      <c r="AH42" s="115">
        <v>5</v>
      </c>
      <c r="AI42" s="116">
        <f>AG42*产品成本!$D$17+AH42*产品成本!$D$18</f>
        <v>35.459000000000003</v>
      </c>
      <c r="AJ42" s="116">
        <f>AG42*产品成本!$E$17+AH42*产品成本!$E$18</f>
        <v>3.1023943661971849</v>
      </c>
      <c r="AK42" s="116">
        <f>AG42*产品成本!$F$17+AH42*产品成本!$F$18</f>
        <v>3.0600000000000005</v>
      </c>
      <c r="AL42" s="116">
        <f>AG42*产品成本!$G$17+AH42*产品成本!$G$18</f>
        <v>35.1</v>
      </c>
      <c r="AM42" s="116">
        <f t="shared" si="50"/>
        <v>27.623999999999999</v>
      </c>
      <c r="AN42" s="117">
        <f t="shared" si="51"/>
        <v>104.34539436619718</v>
      </c>
      <c r="AO42" s="118">
        <v>2</v>
      </c>
      <c r="AP42" s="119">
        <v>1</v>
      </c>
      <c r="AQ42" s="141">
        <f>AO42*产品成本!$D$17+AP42*产品成本!$D$18</f>
        <v>13.847799999999999</v>
      </c>
      <c r="AR42" s="142">
        <f>AO42*产品成本!$E$17+AP42*产品成本!$E$18</f>
        <v>1.004478873239437</v>
      </c>
      <c r="AS42" s="142">
        <f>AO42*产品成本!$F$17+AP42*产品成本!$F$18</f>
        <v>1.02</v>
      </c>
      <c r="AT42" s="142">
        <f>AO42*产品成本!$G$17+AP42*产品成本!$G$18</f>
        <v>11.7</v>
      </c>
      <c r="AU42" s="142"/>
      <c r="AV42" s="142">
        <f t="shared" si="52"/>
        <v>2.0771699999999997</v>
      </c>
      <c r="AW42" s="142">
        <f t="shared" si="53"/>
        <v>-0.41543399999999997</v>
      </c>
      <c r="AX42" s="117">
        <f t="shared" si="36"/>
        <v>15.386214873239437</v>
      </c>
      <c r="AY42" s="122">
        <f t="shared" si="37"/>
        <v>88.959179492957745</v>
      </c>
      <c r="AZ42" s="122">
        <f t="shared" si="54"/>
        <v>184.16</v>
      </c>
      <c r="BA42" s="122">
        <f t="shared" si="55"/>
        <v>170.31219999999999</v>
      </c>
      <c r="BB42" s="121">
        <f t="shared" si="38"/>
        <v>31.723020507042243</v>
      </c>
      <c r="BC42" s="123">
        <f t="shared" si="39"/>
        <v>0.18626393474479364</v>
      </c>
    </row>
    <row r="43" spans="1:56" ht="29.1" customHeight="1" x14ac:dyDescent="0.15">
      <c r="A43" s="38" t="s">
        <v>223</v>
      </c>
      <c r="B43" s="38" t="s">
        <v>224</v>
      </c>
      <c r="C43" s="67">
        <v>11</v>
      </c>
      <c r="D43" s="68">
        <v>11</v>
      </c>
      <c r="E43" s="41">
        <v>248.16</v>
      </c>
      <c r="F43" s="101">
        <v>7</v>
      </c>
      <c r="G43" s="101">
        <v>7</v>
      </c>
      <c r="H43" s="41">
        <v>151.36000000000001</v>
      </c>
      <c r="I43" s="41">
        <v>19.57</v>
      </c>
      <c r="J43" s="143">
        <v>7</v>
      </c>
      <c r="K43" s="103">
        <f t="shared" si="40"/>
        <v>0.63636363636363635</v>
      </c>
      <c r="L43" s="104">
        <v>120.58</v>
      </c>
      <c r="M43" s="105">
        <f t="shared" si="31"/>
        <v>0.22222222222222221</v>
      </c>
      <c r="N43" s="103">
        <f t="shared" si="32"/>
        <v>0.22222222222222221</v>
      </c>
      <c r="O43" s="103">
        <f t="shared" si="33"/>
        <v>0.27098591549295775</v>
      </c>
      <c r="P43" s="106">
        <f t="shared" si="41"/>
        <v>1</v>
      </c>
      <c r="Q43" s="107">
        <f t="shared" si="42"/>
        <v>22.56</v>
      </c>
      <c r="R43" s="140">
        <f t="shared" si="43"/>
        <v>22.56</v>
      </c>
      <c r="S43" s="108">
        <f t="shared" si="34"/>
        <v>1.5714285714285714</v>
      </c>
      <c r="T43" s="109">
        <f t="shared" si="35"/>
        <v>5</v>
      </c>
      <c r="U43" s="110">
        <f t="shared" si="44"/>
        <v>0.45454545454545453</v>
      </c>
      <c r="V43" s="71">
        <f t="shared" si="45"/>
        <v>0.27127170917362964</v>
      </c>
      <c r="W43" s="68">
        <v>6307</v>
      </c>
      <c r="X43" s="68">
        <v>93</v>
      </c>
      <c r="Y43" s="68">
        <v>6</v>
      </c>
      <c r="Z43" s="41">
        <v>62.01</v>
      </c>
      <c r="AA43" s="111">
        <v>143.30000000000001</v>
      </c>
      <c r="AB43" s="68">
        <v>0.67</v>
      </c>
      <c r="AC43" s="48">
        <f t="shared" si="46"/>
        <v>0.43272854152128398</v>
      </c>
      <c r="AD43" s="49">
        <f t="shared" si="47"/>
        <v>1.4745520849849373E-2</v>
      </c>
      <c r="AE43" s="112">
        <f t="shared" si="48"/>
        <v>6.4516129032258063E-2</v>
      </c>
      <c r="AF43" s="107">
        <f t="shared" si="49"/>
        <v>10.334999999999999</v>
      </c>
      <c r="AG43" s="113">
        <v>7</v>
      </c>
      <c r="AH43" s="115">
        <v>4</v>
      </c>
      <c r="AI43" s="116">
        <f>AG43*产品成本!$D$17+AH43*产品成本!$D$18</f>
        <v>49.761199999999995</v>
      </c>
      <c r="AJ43" s="116">
        <f>AG43*产品成本!$E$17+AH43*产品成本!$E$18</f>
        <v>3.6979154929577485</v>
      </c>
      <c r="AK43" s="116">
        <f>AG43*产品成本!$F$17+AH43*产品成本!$F$18</f>
        <v>3.74</v>
      </c>
      <c r="AL43" s="116">
        <f>AG43*产品成本!$G$17+AH43*产品成本!$G$18</f>
        <v>42.9</v>
      </c>
      <c r="AM43" s="116">
        <f t="shared" si="50"/>
        <v>34.288499999999999</v>
      </c>
      <c r="AN43" s="117">
        <f t="shared" si="51"/>
        <v>134.38761549295774</v>
      </c>
      <c r="AO43" s="118">
        <v>3</v>
      </c>
      <c r="AP43" s="119">
        <v>4</v>
      </c>
      <c r="AQ43" s="141">
        <f>AO43*产品成本!$D$17+AP43*产品成本!$D$18</f>
        <v>27.241199999999999</v>
      </c>
      <c r="AR43" s="142">
        <f>AO43*产品成本!$E$17+AP43*产品成本!$E$18</f>
        <v>2.4179154929577482</v>
      </c>
      <c r="AS43" s="142">
        <f>AO43*产品成本!$F$17+AP43*产品成本!$F$18</f>
        <v>2.38</v>
      </c>
      <c r="AT43" s="142">
        <f>AO43*产品成本!$G$17+AP43*产品成本!$G$18</f>
        <v>27.299999999999997</v>
      </c>
      <c r="AU43" s="142"/>
      <c r="AV43" s="142">
        <f t="shared" si="52"/>
        <v>4.0861799999999997</v>
      </c>
      <c r="AW43" s="142">
        <f t="shared" si="53"/>
        <v>-0.81723599999999996</v>
      </c>
      <c r="AX43" s="117">
        <f t="shared" si="36"/>
        <v>35.366859492957744</v>
      </c>
      <c r="AY43" s="122">
        <f t="shared" si="37"/>
        <v>99.020755999999992</v>
      </c>
      <c r="AZ43" s="122">
        <f t="shared" si="54"/>
        <v>228.59</v>
      </c>
      <c r="BA43" s="122">
        <f t="shared" si="55"/>
        <v>201.34880000000001</v>
      </c>
      <c r="BB43" s="121">
        <f t="shared" si="38"/>
        <v>40.318044000000022</v>
      </c>
      <c r="BC43" s="123">
        <f t="shared" si="39"/>
        <v>0.20023980277011841</v>
      </c>
      <c r="BD43" t="s">
        <v>225</v>
      </c>
    </row>
    <row r="44" spans="1:56" ht="29.1" customHeight="1" x14ac:dyDescent="0.15">
      <c r="A44" s="56" t="s">
        <v>226</v>
      </c>
      <c r="B44" s="57" t="s">
        <v>227</v>
      </c>
      <c r="C44" s="67">
        <v>14</v>
      </c>
      <c r="D44" s="68">
        <v>14</v>
      </c>
      <c r="E44" s="41">
        <v>300.79000000000002</v>
      </c>
      <c r="F44" s="101">
        <v>5</v>
      </c>
      <c r="G44" s="101">
        <v>100.65</v>
      </c>
      <c r="H44" s="41">
        <v>11.09</v>
      </c>
      <c r="I44" s="41">
        <v>0</v>
      </c>
      <c r="J44" s="143">
        <v>0</v>
      </c>
      <c r="K44" s="103">
        <f t="shared" si="40"/>
        <v>0</v>
      </c>
      <c r="L44" s="104">
        <v>0</v>
      </c>
      <c r="M44" s="105">
        <f t="shared" si="31"/>
        <v>0.27272727272727271</v>
      </c>
      <c r="N44" s="103">
        <f t="shared" si="32"/>
        <v>0.27272727272727271</v>
      </c>
      <c r="O44" s="103">
        <f t="shared" si="33"/>
        <v>0.21208091553836245</v>
      </c>
      <c r="P44" s="106">
        <f t="shared" si="41"/>
        <v>1</v>
      </c>
      <c r="Q44" s="107">
        <f t="shared" si="42"/>
        <v>21.485000000000003</v>
      </c>
      <c r="R44" s="140">
        <f t="shared" si="43"/>
        <v>21.485000000000003</v>
      </c>
      <c r="S44" s="108">
        <f t="shared" si="34"/>
        <v>2</v>
      </c>
      <c r="T44" s="109">
        <f t="shared" si="35"/>
        <v>4</v>
      </c>
      <c r="U44" s="110">
        <f t="shared" si="44"/>
        <v>0.2857142857142857</v>
      </c>
      <c r="V44" s="71">
        <f t="shared" si="45"/>
        <v>0.30379999335084273</v>
      </c>
      <c r="W44" s="68">
        <v>10011</v>
      </c>
      <c r="X44" s="68">
        <v>144</v>
      </c>
      <c r="Y44" s="68">
        <v>10</v>
      </c>
      <c r="Z44" s="41">
        <v>91.38</v>
      </c>
      <c r="AA44" s="111">
        <v>211.46</v>
      </c>
      <c r="AB44" s="68">
        <v>0.63</v>
      </c>
      <c r="AC44" s="48">
        <f t="shared" si="46"/>
        <v>0.43213846590371696</v>
      </c>
      <c r="AD44" s="49">
        <f t="shared" si="47"/>
        <v>1.438417740485466E-2</v>
      </c>
      <c r="AE44" s="112">
        <f t="shared" si="48"/>
        <v>6.9444444444444448E-2</v>
      </c>
      <c r="AF44" s="107">
        <f t="shared" si="49"/>
        <v>9.1379999999999999</v>
      </c>
      <c r="AG44" s="113">
        <v>4</v>
      </c>
      <c r="AH44" s="115">
        <v>10</v>
      </c>
      <c r="AI44" s="116">
        <f>AG44*产品成本!$D$17+AH44*产品成本!$D$18</f>
        <v>48.397999999999996</v>
      </c>
      <c r="AJ44" s="116">
        <f>AG44*产品成本!$E$17+AH44*产品成本!$E$18</f>
        <v>4.9247887323943704</v>
      </c>
      <c r="AK44" s="116">
        <f>AG44*产品成本!$F$17+AH44*产品成本!$F$18</f>
        <v>4.7600000000000007</v>
      </c>
      <c r="AL44" s="116">
        <f>AG44*产品成本!$G$17+AH44*产品成本!$G$18</f>
        <v>54.6</v>
      </c>
      <c r="AM44" s="116">
        <f t="shared" si="50"/>
        <v>45.118500000000004</v>
      </c>
      <c r="AN44" s="117">
        <f t="shared" si="51"/>
        <v>157.80128873239437</v>
      </c>
      <c r="AO44" s="118">
        <v>0</v>
      </c>
      <c r="AP44" s="119">
        <v>0</v>
      </c>
      <c r="AQ44" s="141">
        <f>AO44*产品成本!$D$17+AP44*产品成本!$D$18</f>
        <v>0</v>
      </c>
      <c r="AR44" s="142">
        <f>AO44*产品成本!$E$17+AP44*产品成本!$E$18</f>
        <v>0</v>
      </c>
      <c r="AS44" s="142">
        <f>AO44*产品成本!$F$17+AP44*产品成本!$F$18</f>
        <v>0</v>
      </c>
      <c r="AT44" s="142">
        <f>AO44*产品成本!$G$17+AP44*产品成本!$G$18</f>
        <v>0</v>
      </c>
      <c r="AU44" s="142"/>
      <c r="AV44" s="142">
        <f t="shared" si="52"/>
        <v>0</v>
      </c>
      <c r="AW44" s="142">
        <f t="shared" si="53"/>
        <v>0</v>
      </c>
      <c r="AX44" s="117">
        <f t="shared" si="36"/>
        <v>0</v>
      </c>
      <c r="AY44" s="122">
        <f t="shared" si="37"/>
        <v>157.80128873239437</v>
      </c>
      <c r="AZ44" s="122">
        <f t="shared" si="54"/>
        <v>300.79000000000002</v>
      </c>
      <c r="BA44" s="122">
        <f t="shared" si="55"/>
        <v>300.79000000000002</v>
      </c>
      <c r="BB44" s="121">
        <f t="shared" si="38"/>
        <v>51.608711267605656</v>
      </c>
      <c r="BC44" s="123">
        <f t="shared" si="39"/>
        <v>0.17157721755246402</v>
      </c>
    </row>
    <row r="45" spans="1:56" ht="29.1" customHeight="1" x14ac:dyDescent="0.15">
      <c r="A45" s="38" t="s">
        <v>228</v>
      </c>
      <c r="B45" s="58" t="s">
        <v>229</v>
      </c>
      <c r="C45" s="67">
        <v>17</v>
      </c>
      <c r="D45" s="68">
        <v>17</v>
      </c>
      <c r="E45" s="41">
        <v>388.85</v>
      </c>
      <c r="F45" s="101">
        <v>1</v>
      </c>
      <c r="G45" s="101">
        <v>1</v>
      </c>
      <c r="H45" s="41">
        <v>19.690000000000001</v>
      </c>
      <c r="I45" s="41">
        <v>1.97</v>
      </c>
      <c r="J45" s="143">
        <v>2</v>
      </c>
      <c r="K45" s="103">
        <f t="shared" si="40"/>
        <v>0.11764705882352941</v>
      </c>
      <c r="L45" s="104">
        <v>38.630000000000003</v>
      </c>
      <c r="M45" s="105">
        <f t="shared" si="31"/>
        <v>0.21428571428571427</v>
      </c>
      <c r="N45" s="103">
        <f t="shared" si="32"/>
        <v>0.21428571428571427</v>
      </c>
      <c r="O45" s="103">
        <f t="shared" si="33"/>
        <v>0.29276239236676749</v>
      </c>
      <c r="P45" s="106">
        <f t="shared" si="41"/>
        <v>1</v>
      </c>
      <c r="Q45" s="107">
        <f t="shared" si="42"/>
        <v>22.873529411764707</v>
      </c>
      <c r="R45" s="140">
        <f t="shared" si="43"/>
        <v>22.873529411764707</v>
      </c>
      <c r="S45" s="108">
        <f t="shared" si="34"/>
        <v>2.4285714285714284</v>
      </c>
      <c r="T45" s="109">
        <f t="shared" si="35"/>
        <v>-2</v>
      </c>
      <c r="U45" s="110">
        <f t="shared" si="44"/>
        <v>-0.11764705882352941</v>
      </c>
      <c r="V45" s="71">
        <f t="shared" si="45"/>
        <v>0.38223738626964432</v>
      </c>
      <c r="W45" s="68">
        <v>11926</v>
      </c>
      <c r="X45" s="68">
        <v>232</v>
      </c>
      <c r="Y45" s="68">
        <v>19</v>
      </c>
      <c r="Z45" s="41">
        <v>147.88</v>
      </c>
      <c r="AA45" s="111">
        <v>437.36</v>
      </c>
      <c r="AB45" s="68">
        <v>0.64</v>
      </c>
      <c r="AC45" s="48">
        <f t="shared" si="46"/>
        <v>0.33811962685202118</v>
      </c>
      <c r="AD45" s="49">
        <f t="shared" si="47"/>
        <v>1.9453295321147073E-2</v>
      </c>
      <c r="AE45" s="112">
        <f t="shared" si="48"/>
        <v>8.1896551724137928E-2</v>
      </c>
      <c r="AF45" s="107">
        <f t="shared" si="49"/>
        <v>7.7831578947368421</v>
      </c>
      <c r="AG45" s="113">
        <v>12</v>
      </c>
      <c r="AH45" s="115">
        <v>5</v>
      </c>
      <c r="AI45" s="116">
        <f>AG45*产品成本!$D$17+AH45*产品成本!$D$18</f>
        <v>80.498999999999995</v>
      </c>
      <c r="AJ45" s="116">
        <f>AG45*产品成本!$E$17+AH45*产品成本!$E$18</f>
        <v>5.6623943661971854</v>
      </c>
      <c r="AK45" s="116">
        <f>AG45*产品成本!$F$17+AH45*产品成本!$F$18</f>
        <v>5.78</v>
      </c>
      <c r="AL45" s="116">
        <f>AG45*产品成本!$G$17+AH45*产品成本!$G$18</f>
        <v>66.3</v>
      </c>
      <c r="AM45" s="116">
        <f t="shared" si="50"/>
        <v>58.031999999999996</v>
      </c>
      <c r="AN45" s="117">
        <f t="shared" si="51"/>
        <v>216.27339436619718</v>
      </c>
      <c r="AO45" s="118">
        <v>1</v>
      </c>
      <c r="AP45" s="119">
        <v>1</v>
      </c>
      <c r="AQ45" s="141">
        <f>AO45*产品成本!$D$17+AP45*产品成本!$D$18</f>
        <v>8.2178000000000004</v>
      </c>
      <c r="AR45" s="142">
        <f>AO45*产品成本!$E$17+AP45*产品成本!$E$18</f>
        <v>0.68447887323943701</v>
      </c>
      <c r="AS45" s="142">
        <f>AO45*产品成本!$F$17+AP45*产品成本!$F$18</f>
        <v>0.68</v>
      </c>
      <c r="AT45" s="142">
        <f>AO45*产品成本!$G$17+AP45*产品成本!$G$18</f>
        <v>7.8</v>
      </c>
      <c r="AU45" s="142"/>
      <c r="AV45" s="142">
        <f t="shared" si="52"/>
        <v>1.2326699999999999</v>
      </c>
      <c r="AW45" s="142">
        <f t="shared" si="53"/>
        <v>-0.246534</v>
      </c>
      <c r="AX45" s="117">
        <f t="shared" si="36"/>
        <v>10.150614873239437</v>
      </c>
      <c r="AY45" s="122">
        <f t="shared" si="37"/>
        <v>206.12277949295773</v>
      </c>
      <c r="AZ45" s="122">
        <f t="shared" si="54"/>
        <v>386.88</v>
      </c>
      <c r="BA45" s="122">
        <f t="shared" si="55"/>
        <v>378.66219999999998</v>
      </c>
      <c r="BB45" s="121">
        <f t="shared" si="38"/>
        <v>24.659420507042256</v>
      </c>
      <c r="BC45" s="123">
        <f t="shared" si="39"/>
        <v>6.5122477255565137E-2</v>
      </c>
    </row>
    <row r="46" spans="1:56" ht="29.1" customHeight="1" x14ac:dyDescent="0.15">
      <c r="A46" s="38" t="s">
        <v>230</v>
      </c>
      <c r="B46" s="58" t="s">
        <v>231</v>
      </c>
      <c r="C46" s="67">
        <v>23</v>
      </c>
      <c r="D46" s="68">
        <v>23</v>
      </c>
      <c r="E46" s="41">
        <v>516.01</v>
      </c>
      <c r="F46" s="101">
        <v>0</v>
      </c>
      <c r="G46" s="101">
        <v>0</v>
      </c>
      <c r="H46" s="41">
        <v>0</v>
      </c>
      <c r="I46" s="41">
        <v>0</v>
      </c>
      <c r="J46" s="143">
        <v>2</v>
      </c>
      <c r="K46" s="103">
        <f t="shared" si="40"/>
        <v>8.6956521739130432E-2</v>
      </c>
      <c r="L46" s="104">
        <v>33.520000000000003</v>
      </c>
      <c r="M46" s="105">
        <f t="shared" si="31"/>
        <v>0.35294117647058826</v>
      </c>
      <c r="N46" s="103">
        <f t="shared" si="32"/>
        <v>0.35294117647058826</v>
      </c>
      <c r="O46" s="103">
        <f t="shared" si="33"/>
        <v>0.32701555869872689</v>
      </c>
      <c r="P46" s="106">
        <f t="shared" si="41"/>
        <v>1</v>
      </c>
      <c r="Q46" s="107">
        <f t="shared" si="42"/>
        <v>22.435217391304349</v>
      </c>
      <c r="R46" s="140">
        <f t="shared" si="43"/>
        <v>22.435217391304349</v>
      </c>
      <c r="S46" s="108">
        <f t="shared" si="34"/>
        <v>3.2857142857142856</v>
      </c>
      <c r="T46" s="109">
        <f t="shared" si="35"/>
        <v>7</v>
      </c>
      <c r="U46" s="110">
        <f t="shared" si="44"/>
        <v>0.30434782608695654</v>
      </c>
      <c r="V46" s="71">
        <f t="shared" si="45"/>
        <v>0.32127284354954361</v>
      </c>
      <c r="W46" s="68">
        <v>13119</v>
      </c>
      <c r="X46" s="68">
        <v>262</v>
      </c>
      <c r="Y46" s="68">
        <v>16</v>
      </c>
      <c r="Z46" s="41">
        <v>165.78</v>
      </c>
      <c r="AA46" s="111">
        <v>351.07</v>
      </c>
      <c r="AB46" s="68">
        <v>0.63</v>
      </c>
      <c r="AC46" s="48">
        <f t="shared" si="46"/>
        <v>0.47221351867149003</v>
      </c>
      <c r="AD46" s="49">
        <f t="shared" si="47"/>
        <v>1.9971034377620246E-2</v>
      </c>
      <c r="AE46" s="112">
        <f t="shared" si="48"/>
        <v>6.1068702290076333E-2</v>
      </c>
      <c r="AF46" s="107">
        <f t="shared" si="49"/>
        <v>10.36125</v>
      </c>
      <c r="AG46" s="113">
        <v>14</v>
      </c>
      <c r="AH46" s="115">
        <v>9</v>
      </c>
      <c r="AI46" s="116">
        <f>AG46*产品成本!$D$17+AH46*产品成本!$D$18</f>
        <v>102.11019999999999</v>
      </c>
      <c r="AJ46" s="116">
        <f>AG46*产品成本!$E$17+AH46*产品成本!$E$18</f>
        <v>7.7603098591549333</v>
      </c>
      <c r="AK46" s="116">
        <f>AG46*产品成本!$F$17+AH46*产品成本!$F$18</f>
        <v>7.82</v>
      </c>
      <c r="AL46" s="116">
        <f>AG46*产品成本!$G$17+AH46*产品成本!$G$18</f>
        <v>89.7</v>
      </c>
      <c r="AM46" s="116">
        <f t="shared" si="50"/>
        <v>77.401499999999999</v>
      </c>
      <c r="AN46" s="117">
        <f t="shared" si="51"/>
        <v>284.79200985915492</v>
      </c>
      <c r="AO46" s="118">
        <v>1</v>
      </c>
      <c r="AP46" s="119">
        <v>1</v>
      </c>
      <c r="AQ46" s="141">
        <f>AO46*产品成本!$D$17+AP46*产品成本!$D$18</f>
        <v>8.2178000000000004</v>
      </c>
      <c r="AR46" s="142">
        <f>AO46*产品成本!$E$17+AP46*产品成本!$E$18</f>
        <v>0.68447887323943701</v>
      </c>
      <c r="AS46" s="142">
        <f>AO46*产品成本!$F$17+AP46*产品成本!$F$18</f>
        <v>0.68</v>
      </c>
      <c r="AT46" s="142">
        <f>AO46*产品成本!$G$17+AP46*产品成本!$G$18</f>
        <v>7.8</v>
      </c>
      <c r="AU46" s="142"/>
      <c r="AV46" s="142">
        <f t="shared" si="52"/>
        <v>1.2326699999999999</v>
      </c>
      <c r="AW46" s="142">
        <f t="shared" si="53"/>
        <v>-0.246534</v>
      </c>
      <c r="AX46" s="117">
        <f t="shared" si="36"/>
        <v>10.150614873239437</v>
      </c>
      <c r="AY46" s="122">
        <f t="shared" si="37"/>
        <v>274.6413949859155</v>
      </c>
      <c r="AZ46" s="122">
        <f t="shared" si="54"/>
        <v>516.01</v>
      </c>
      <c r="BA46" s="122">
        <f t="shared" si="55"/>
        <v>507.79219999999998</v>
      </c>
      <c r="BB46" s="121">
        <f t="shared" si="38"/>
        <v>67.370805014084482</v>
      </c>
      <c r="BC46" s="123">
        <f t="shared" si="39"/>
        <v>0.13267396587439603</v>
      </c>
    </row>
    <row r="47" spans="1:56" ht="29.1" customHeight="1" x14ac:dyDescent="0.15">
      <c r="A47" s="38" t="s">
        <v>232</v>
      </c>
      <c r="B47" s="58" t="s">
        <v>233</v>
      </c>
      <c r="C47" s="67">
        <v>25</v>
      </c>
      <c r="D47" s="68">
        <v>25</v>
      </c>
      <c r="E47" s="41">
        <v>550.88</v>
      </c>
      <c r="F47" s="101">
        <v>6</v>
      </c>
      <c r="G47" s="101">
        <v>6</v>
      </c>
      <c r="H47" s="41">
        <v>131.66999999999999</v>
      </c>
      <c r="I47" s="41">
        <v>16.57</v>
      </c>
      <c r="J47" s="143">
        <v>3</v>
      </c>
      <c r="K47" s="103">
        <f t="shared" si="40"/>
        <v>0.12</v>
      </c>
      <c r="L47" s="104">
        <v>50.68</v>
      </c>
      <c r="M47" s="105">
        <f t="shared" si="31"/>
        <v>8.6956521739130432E-2</v>
      </c>
      <c r="N47" s="103">
        <f t="shared" si="32"/>
        <v>8.6956521739130432E-2</v>
      </c>
      <c r="O47" s="103">
        <f t="shared" si="33"/>
        <v>6.7576209763376693E-2</v>
      </c>
      <c r="P47" s="106">
        <f t="shared" si="41"/>
        <v>1</v>
      </c>
      <c r="Q47" s="107">
        <f t="shared" si="42"/>
        <v>22.0352</v>
      </c>
      <c r="R47" s="140">
        <f t="shared" si="43"/>
        <v>22.0352</v>
      </c>
      <c r="S47" s="108">
        <f t="shared" si="34"/>
        <v>3.5714285714285716</v>
      </c>
      <c r="T47" s="109">
        <f t="shared" si="35"/>
        <v>7</v>
      </c>
      <c r="U47" s="110">
        <f t="shared" si="44"/>
        <v>0.28000000000000003</v>
      </c>
      <c r="V47" s="71">
        <f t="shared" si="45"/>
        <v>0.27085399861503623</v>
      </c>
      <c r="W47" s="68">
        <v>10177</v>
      </c>
      <c r="X47" s="68">
        <v>231</v>
      </c>
      <c r="Y47" s="68">
        <v>18</v>
      </c>
      <c r="Z47" s="41">
        <v>144.72</v>
      </c>
      <c r="AA47" s="111">
        <v>390.87</v>
      </c>
      <c r="AB47" s="68">
        <v>0.63</v>
      </c>
      <c r="AC47" s="48">
        <f t="shared" si="46"/>
        <v>0.37025097858623068</v>
      </c>
      <c r="AD47" s="49">
        <f t="shared" si="47"/>
        <v>2.2698241131964232E-2</v>
      </c>
      <c r="AE47" s="112">
        <f t="shared" si="48"/>
        <v>7.792207792207792E-2</v>
      </c>
      <c r="AF47" s="107">
        <f t="shared" si="49"/>
        <v>8.0399999999999991</v>
      </c>
      <c r="AG47" s="113">
        <v>25</v>
      </c>
      <c r="AH47" s="115">
        <v>0</v>
      </c>
      <c r="AI47" s="116">
        <f>AG47*产品成本!$D$17+AH47*产品成本!$D$18</f>
        <v>140.75</v>
      </c>
      <c r="AJ47" s="116">
        <f>AG47*产品成本!$E$17+AH47*产品成本!$E$18</f>
        <v>8</v>
      </c>
      <c r="AK47" s="116">
        <f>AG47*产品成本!$F$17+AH47*产品成本!$F$18</f>
        <v>8.5</v>
      </c>
      <c r="AL47" s="116">
        <f>AG47*产品成本!$G$17+AH47*产品成本!$G$18</f>
        <v>97.5</v>
      </c>
      <c r="AM47" s="116">
        <f t="shared" si="50"/>
        <v>80.146499999999989</v>
      </c>
      <c r="AN47" s="117">
        <f t="shared" si="51"/>
        <v>334.8965</v>
      </c>
      <c r="AO47" s="118">
        <v>2</v>
      </c>
      <c r="AP47" s="119">
        <v>1</v>
      </c>
      <c r="AQ47" s="141">
        <f>AO47*产品成本!$D$17+AP47*产品成本!$D$18</f>
        <v>13.847799999999999</v>
      </c>
      <c r="AR47" s="142">
        <f>AO47*产品成本!$E$17+AP47*产品成本!$E$18</f>
        <v>1.004478873239437</v>
      </c>
      <c r="AS47" s="142">
        <f>AO47*产品成本!$F$17+AP47*产品成本!$F$18</f>
        <v>1.02</v>
      </c>
      <c r="AT47" s="142">
        <f>AO47*产品成本!$G$17+AP47*产品成本!$G$18</f>
        <v>11.7</v>
      </c>
      <c r="AU47" s="142"/>
      <c r="AV47" s="142">
        <f t="shared" si="52"/>
        <v>2.0771699999999997</v>
      </c>
      <c r="AW47" s="142">
        <f t="shared" si="53"/>
        <v>-0.41543399999999997</v>
      </c>
      <c r="AX47" s="117">
        <f t="shared" si="36"/>
        <v>15.386214873239437</v>
      </c>
      <c r="AY47" s="122">
        <f t="shared" si="37"/>
        <v>319.51028512676055</v>
      </c>
      <c r="AZ47" s="122">
        <f t="shared" si="54"/>
        <v>534.30999999999995</v>
      </c>
      <c r="BA47" s="122">
        <f t="shared" si="55"/>
        <v>520.46219999999994</v>
      </c>
      <c r="BB47" s="121">
        <f t="shared" si="38"/>
        <v>56.23191487323939</v>
      </c>
      <c r="BC47" s="123">
        <f t="shared" si="39"/>
        <v>0.10804226488155988</v>
      </c>
    </row>
    <row r="48" spans="1:56" ht="29.1" customHeight="1" x14ac:dyDescent="0.15">
      <c r="A48" s="38" t="s">
        <v>236</v>
      </c>
      <c r="B48" s="58" t="s">
        <v>237</v>
      </c>
      <c r="C48" s="67">
        <v>15</v>
      </c>
      <c r="D48" s="68">
        <v>15</v>
      </c>
      <c r="E48" s="41">
        <v>340.45</v>
      </c>
      <c r="F48" s="101">
        <v>3</v>
      </c>
      <c r="G48" s="101">
        <v>3</v>
      </c>
      <c r="H48" s="41">
        <v>72.599999999999994</v>
      </c>
      <c r="I48" s="41">
        <v>8.4700000000000006</v>
      </c>
      <c r="J48" s="143">
        <v>0</v>
      </c>
      <c r="K48" s="103">
        <f t="shared" si="40"/>
        <v>0</v>
      </c>
      <c r="L48" s="104">
        <v>0</v>
      </c>
      <c r="M48" s="105">
        <f t="shared" si="31"/>
        <v>-0.4</v>
      </c>
      <c r="N48" s="103">
        <f t="shared" si="32"/>
        <v>-0.4</v>
      </c>
      <c r="O48" s="103">
        <f t="shared" si="33"/>
        <v>-0.38198881789137384</v>
      </c>
      <c r="P48" s="106">
        <f t="shared" si="41"/>
        <v>1</v>
      </c>
      <c r="Q48" s="107">
        <f t="shared" si="42"/>
        <v>22.696666666666665</v>
      </c>
      <c r="R48" s="140">
        <f t="shared" si="43"/>
        <v>22.696666666666665</v>
      </c>
      <c r="S48" s="108">
        <f t="shared" si="34"/>
        <v>2.1428571428571428</v>
      </c>
      <c r="T48" s="109">
        <f t="shared" si="35"/>
        <v>5</v>
      </c>
      <c r="U48" s="110">
        <f t="shared" si="44"/>
        <v>0.33333333333333331</v>
      </c>
      <c r="V48" s="71">
        <f t="shared" si="45"/>
        <v>0.50120489186095551</v>
      </c>
      <c r="W48" s="68">
        <v>13578</v>
      </c>
      <c r="X48" s="68">
        <v>255</v>
      </c>
      <c r="Y48" s="68">
        <v>10</v>
      </c>
      <c r="Z48" s="41">
        <v>166.39</v>
      </c>
      <c r="AA48" s="111">
        <v>221.89</v>
      </c>
      <c r="AB48" s="68">
        <v>0.65</v>
      </c>
      <c r="AC48" s="48">
        <f t="shared" si="46"/>
        <v>0.7498760647167515</v>
      </c>
      <c r="AD48" s="49">
        <f t="shared" si="47"/>
        <v>1.8780380026513478E-2</v>
      </c>
      <c r="AE48" s="112">
        <f t="shared" si="48"/>
        <v>3.9215686274509803E-2</v>
      </c>
      <c r="AF48" s="107">
        <f t="shared" si="49"/>
        <v>16.638999999999999</v>
      </c>
      <c r="AG48" s="113">
        <v>10</v>
      </c>
      <c r="AH48" s="115">
        <v>5</v>
      </c>
      <c r="AI48" s="116">
        <f>AG48*产品成本!$D$17+AH48*产品成本!$D$18</f>
        <v>69.239000000000004</v>
      </c>
      <c r="AJ48" s="116">
        <f>AG48*产品成本!$E$17+AH48*产品成本!$E$18</f>
        <v>5.0223943661971848</v>
      </c>
      <c r="AK48" s="116">
        <f>AG48*产品成本!$F$17+AH48*产品成本!$F$18</f>
        <v>5.1000000000000005</v>
      </c>
      <c r="AL48" s="116">
        <f>AG48*产品成本!$G$17+AH48*产品成本!$G$18</f>
        <v>58.5</v>
      </c>
      <c r="AM48" s="116">
        <f t="shared" si="50"/>
        <v>49.79699999999999</v>
      </c>
      <c r="AN48" s="117">
        <f t="shared" si="51"/>
        <v>187.6583943661972</v>
      </c>
      <c r="AO48" s="118">
        <v>0</v>
      </c>
      <c r="AP48" s="119">
        <v>0</v>
      </c>
      <c r="AQ48" s="141">
        <f>AO48*产品成本!$D$17+AP48*产品成本!$D$18</f>
        <v>0</v>
      </c>
      <c r="AR48" s="142">
        <f>AO48*产品成本!$E$17+AP48*产品成本!$E$18</f>
        <v>0</v>
      </c>
      <c r="AS48" s="142">
        <f>AO48*产品成本!$F$17+AP48*产品成本!$F$18</f>
        <v>0</v>
      </c>
      <c r="AT48" s="142">
        <f>AO48*产品成本!$G$17+AP48*产品成本!$G$18</f>
        <v>0</v>
      </c>
      <c r="AU48" s="142"/>
      <c r="AV48" s="142">
        <f t="shared" si="52"/>
        <v>0</v>
      </c>
      <c r="AW48" s="142">
        <f t="shared" si="53"/>
        <v>0</v>
      </c>
      <c r="AX48" s="117">
        <f t="shared" si="36"/>
        <v>0</v>
      </c>
      <c r="AY48" s="122">
        <f t="shared" si="37"/>
        <v>187.6583943661972</v>
      </c>
      <c r="AZ48" s="122">
        <f t="shared" si="54"/>
        <v>331.97999999999996</v>
      </c>
      <c r="BA48" s="122">
        <f t="shared" si="55"/>
        <v>331.97999999999996</v>
      </c>
      <c r="BB48" s="121">
        <f t="shared" si="38"/>
        <v>-22.068394366197225</v>
      </c>
      <c r="BC48" s="123">
        <f t="shared" si="39"/>
        <v>-6.6475071890466975E-2</v>
      </c>
    </row>
    <row r="49" spans="1:56" ht="29.1" customHeight="1" x14ac:dyDescent="0.15">
      <c r="A49" s="38" t="s">
        <v>240</v>
      </c>
      <c r="B49" s="58" t="s">
        <v>241</v>
      </c>
      <c r="C49" s="67">
        <v>18</v>
      </c>
      <c r="D49" s="68">
        <v>17</v>
      </c>
      <c r="E49" s="41">
        <v>399.52</v>
      </c>
      <c r="F49" s="101">
        <v>14</v>
      </c>
      <c r="G49" s="101">
        <v>13</v>
      </c>
      <c r="H49" s="41">
        <v>311.74</v>
      </c>
      <c r="I49" s="41">
        <v>31.17</v>
      </c>
      <c r="J49" s="143">
        <v>5</v>
      </c>
      <c r="K49" s="103">
        <f t="shared" si="40"/>
        <v>0.27777777777777779</v>
      </c>
      <c r="L49" s="104">
        <v>105.67</v>
      </c>
      <c r="M49" s="105">
        <f t="shared" si="31"/>
        <v>0.2</v>
      </c>
      <c r="N49" s="103">
        <f t="shared" si="32"/>
        <v>0.13333333333333333</v>
      </c>
      <c r="O49" s="103">
        <f t="shared" si="33"/>
        <v>0.17350565428109854</v>
      </c>
      <c r="P49" s="106">
        <f t="shared" si="41"/>
        <v>1.0588235294117647</v>
      </c>
      <c r="Q49" s="107">
        <f t="shared" si="42"/>
        <v>23.501176470588234</v>
      </c>
      <c r="R49" s="140">
        <f t="shared" si="43"/>
        <v>22.195555555555554</v>
      </c>
      <c r="S49" s="108">
        <f t="shared" si="34"/>
        <v>2.5714285714285716</v>
      </c>
      <c r="T49" s="109">
        <f t="shared" si="35"/>
        <v>3</v>
      </c>
      <c r="U49" s="110">
        <f t="shared" si="44"/>
        <v>0.17647058823529413</v>
      </c>
      <c r="V49" s="71">
        <f t="shared" si="45"/>
        <v>0.43806162617076161</v>
      </c>
      <c r="W49" s="68">
        <v>6431</v>
      </c>
      <c r="X49" s="68">
        <v>237</v>
      </c>
      <c r="Y49" s="68">
        <v>14</v>
      </c>
      <c r="Z49" s="41">
        <v>161.36000000000001</v>
      </c>
      <c r="AA49" s="111">
        <v>320.45</v>
      </c>
      <c r="AB49" s="68">
        <v>0.68</v>
      </c>
      <c r="AC49" s="48">
        <f t="shared" si="46"/>
        <v>0.50354189421126549</v>
      </c>
      <c r="AD49" s="49">
        <f t="shared" si="47"/>
        <v>3.6852744518737365E-2</v>
      </c>
      <c r="AE49" s="112">
        <f t="shared" si="48"/>
        <v>5.9071729957805907E-2</v>
      </c>
      <c r="AF49" s="107">
        <f t="shared" si="49"/>
        <v>11.525714285714287</v>
      </c>
      <c r="AG49" s="113">
        <v>10</v>
      </c>
      <c r="AH49" s="115">
        <v>8</v>
      </c>
      <c r="AI49" s="116">
        <f>AG49*产品成本!$D$17+AH49*产品成本!$D$18</f>
        <v>77.002399999999994</v>
      </c>
      <c r="AJ49" s="116">
        <f>AG49*产品成本!$E$17+AH49*产品成本!$E$18</f>
        <v>6.1158309859154958</v>
      </c>
      <c r="AK49" s="116">
        <f>AG49*产品成本!$F$17+AH49*产品成本!$F$18</f>
        <v>6.120000000000001</v>
      </c>
      <c r="AL49" s="116">
        <f>AG49*产品成本!$G$17+AH49*产品成本!$G$18</f>
        <v>70.2</v>
      </c>
      <c r="AM49" s="116">
        <f t="shared" si="50"/>
        <v>55.252499999999991</v>
      </c>
      <c r="AN49" s="117">
        <f t="shared" si="51"/>
        <v>214.69073098591548</v>
      </c>
      <c r="AO49" s="118">
        <v>5</v>
      </c>
      <c r="AP49" s="119">
        <v>0</v>
      </c>
      <c r="AQ49" s="141">
        <f>AO49*产品成本!$D$17+AP49*产品成本!$D$18</f>
        <v>28.15</v>
      </c>
      <c r="AR49" s="142">
        <f>AO49*产品成本!$E$17+AP49*产品成本!$E$18</f>
        <v>1.6</v>
      </c>
      <c r="AS49" s="142">
        <f>AO49*产品成本!$F$17+AP49*产品成本!$F$18</f>
        <v>1.7000000000000002</v>
      </c>
      <c r="AT49" s="142">
        <f>AO49*产品成本!$G$17+AP49*产品成本!$G$18</f>
        <v>19.5</v>
      </c>
      <c r="AU49" s="142"/>
      <c r="AV49" s="142">
        <f t="shared" si="52"/>
        <v>4.2224999999999993</v>
      </c>
      <c r="AW49" s="142">
        <f t="shared" si="53"/>
        <v>-0.84449999999999992</v>
      </c>
      <c r="AX49" s="117">
        <f t="shared" si="36"/>
        <v>26.178000000000001</v>
      </c>
      <c r="AY49" s="122">
        <f t="shared" si="37"/>
        <v>188.51273098591548</v>
      </c>
      <c r="AZ49" s="122">
        <f t="shared" si="54"/>
        <v>368.34999999999997</v>
      </c>
      <c r="BA49" s="122">
        <f t="shared" si="55"/>
        <v>340.2</v>
      </c>
      <c r="BB49" s="121">
        <f t="shared" si="38"/>
        <v>-9.6727309859155071</v>
      </c>
      <c r="BC49" s="123">
        <f t="shared" si="39"/>
        <v>-2.8432483791638763E-2</v>
      </c>
    </row>
    <row r="50" spans="1:56" ht="29.1" customHeight="1" x14ac:dyDescent="0.15">
      <c r="A50" s="38" t="s">
        <v>244</v>
      </c>
      <c r="B50" s="58" t="s">
        <v>245</v>
      </c>
      <c r="C50" s="67">
        <v>32</v>
      </c>
      <c r="D50" s="68">
        <v>32</v>
      </c>
      <c r="E50" s="41">
        <v>724.79</v>
      </c>
      <c r="F50" s="101">
        <v>21</v>
      </c>
      <c r="G50" s="101">
        <v>21</v>
      </c>
      <c r="H50" s="41">
        <v>476.63</v>
      </c>
      <c r="I50" s="41">
        <v>48.88</v>
      </c>
      <c r="J50" s="143">
        <v>4</v>
      </c>
      <c r="K50" s="103">
        <f t="shared" si="40"/>
        <v>0.125</v>
      </c>
      <c r="L50" s="104">
        <v>76.64</v>
      </c>
      <c r="M50" s="105">
        <f t="shared" si="31"/>
        <v>0.77777777777777779</v>
      </c>
      <c r="N50" s="103">
        <f t="shared" si="32"/>
        <v>0.88235294117647056</v>
      </c>
      <c r="O50" s="103">
        <f t="shared" si="33"/>
        <v>0.81415198237885467</v>
      </c>
      <c r="P50" s="106">
        <f t="shared" si="41"/>
        <v>1</v>
      </c>
      <c r="Q50" s="107">
        <f t="shared" si="42"/>
        <v>22.649687499999999</v>
      </c>
      <c r="R50" s="140">
        <f t="shared" si="43"/>
        <v>22.649687499999999</v>
      </c>
      <c r="S50" s="108">
        <f t="shared" si="34"/>
        <v>4.5714285714285712</v>
      </c>
      <c r="T50" s="109">
        <f t="shared" si="35"/>
        <v>6</v>
      </c>
      <c r="U50" s="110">
        <f t="shared" si="44"/>
        <v>0.1875</v>
      </c>
      <c r="V50" s="71">
        <f t="shared" si="45"/>
        <v>0.3111952774777707</v>
      </c>
      <c r="W50" s="68">
        <v>13696</v>
      </c>
      <c r="X50" s="68">
        <v>288</v>
      </c>
      <c r="Y50" s="68">
        <v>26</v>
      </c>
      <c r="Z50" s="41">
        <v>210.34</v>
      </c>
      <c r="AA50" s="111">
        <v>592.39</v>
      </c>
      <c r="AB50" s="68">
        <v>0.73</v>
      </c>
      <c r="AC50" s="48">
        <f t="shared" si="46"/>
        <v>0.3550701396039771</v>
      </c>
      <c r="AD50" s="49">
        <f t="shared" si="47"/>
        <v>2.1028037383177569E-2</v>
      </c>
      <c r="AE50" s="112">
        <f t="shared" si="48"/>
        <v>9.0277777777777776E-2</v>
      </c>
      <c r="AF50" s="107">
        <f t="shared" si="49"/>
        <v>8.09</v>
      </c>
      <c r="AG50" s="113">
        <v>21</v>
      </c>
      <c r="AH50" s="115">
        <v>11</v>
      </c>
      <c r="AI50" s="116">
        <f>AG50*产品成本!$D$17+AH50*产品成本!$D$18</f>
        <v>146.69580000000002</v>
      </c>
      <c r="AJ50" s="116">
        <f>AG50*产品成本!$E$17+AH50*产品成本!$E$18</f>
        <v>10.729267605633808</v>
      </c>
      <c r="AK50" s="116">
        <f>AG50*产品成本!$F$17+AH50*产品成本!$F$18</f>
        <v>10.88</v>
      </c>
      <c r="AL50" s="116">
        <f>AG50*产品成本!$G$17+AH50*产品成本!$G$18</f>
        <v>124.79999999999998</v>
      </c>
      <c r="AM50" s="116">
        <f t="shared" si="50"/>
        <v>101.3865</v>
      </c>
      <c r="AN50" s="117">
        <f t="shared" si="51"/>
        <v>394.49156760563386</v>
      </c>
      <c r="AO50" s="118">
        <v>4</v>
      </c>
      <c r="AP50" s="119">
        <v>0</v>
      </c>
      <c r="AQ50" s="141">
        <f>AO50*产品成本!$D$17+AP50*产品成本!$D$18</f>
        <v>22.52</v>
      </c>
      <c r="AR50" s="142">
        <f>AO50*产品成本!$E$17+AP50*产品成本!$E$18</f>
        <v>1.28</v>
      </c>
      <c r="AS50" s="142">
        <f>AO50*产品成本!$F$17+AP50*产品成本!$F$18</f>
        <v>1.36</v>
      </c>
      <c r="AT50" s="142">
        <f>AO50*产品成本!$G$17+AP50*产品成本!$G$18</f>
        <v>15.6</v>
      </c>
      <c r="AU50" s="142"/>
      <c r="AV50" s="142">
        <f t="shared" si="52"/>
        <v>3.3779999999999997</v>
      </c>
      <c r="AW50" s="142">
        <f t="shared" si="53"/>
        <v>-0.67559999999999998</v>
      </c>
      <c r="AX50" s="117">
        <f t="shared" si="36"/>
        <v>20.942399999999999</v>
      </c>
      <c r="AY50" s="122">
        <f t="shared" si="37"/>
        <v>373.54916760563384</v>
      </c>
      <c r="AZ50" s="122">
        <f t="shared" si="54"/>
        <v>675.91</v>
      </c>
      <c r="BA50" s="122">
        <f t="shared" si="55"/>
        <v>653.39</v>
      </c>
      <c r="BB50" s="121">
        <f t="shared" si="38"/>
        <v>69.500832394366142</v>
      </c>
      <c r="BC50" s="123">
        <f t="shared" si="39"/>
        <v>0.10636959915879665</v>
      </c>
    </row>
    <row r="51" spans="1:56" ht="29.1" customHeight="1" x14ac:dyDescent="0.15">
      <c r="A51" s="38" t="s">
        <v>247</v>
      </c>
      <c r="B51" s="58" t="s">
        <v>248</v>
      </c>
      <c r="C51" s="67">
        <v>23</v>
      </c>
      <c r="D51" s="68">
        <v>22</v>
      </c>
      <c r="E51" s="41">
        <v>487.3</v>
      </c>
      <c r="F51" s="101">
        <v>9</v>
      </c>
      <c r="G51" s="101">
        <v>8</v>
      </c>
      <c r="H51" s="41">
        <v>199.76</v>
      </c>
      <c r="I51" s="41">
        <v>24.36</v>
      </c>
      <c r="J51" s="143">
        <v>1</v>
      </c>
      <c r="K51" s="103">
        <f t="shared" si="40"/>
        <v>4.3478260869565216E-2</v>
      </c>
      <c r="L51" s="104">
        <v>19.16</v>
      </c>
      <c r="M51" s="105">
        <f t="shared" si="31"/>
        <v>-0.28125</v>
      </c>
      <c r="N51" s="103">
        <f t="shared" si="32"/>
        <v>-0.3125</v>
      </c>
      <c r="O51" s="103">
        <f t="shared" si="33"/>
        <v>-0.3276673243284261</v>
      </c>
      <c r="P51" s="106">
        <f t="shared" si="41"/>
        <v>1.0454545454545454</v>
      </c>
      <c r="Q51" s="107">
        <f t="shared" si="42"/>
        <v>22.150000000000002</v>
      </c>
      <c r="R51" s="140">
        <f t="shared" si="43"/>
        <v>21.18695652173913</v>
      </c>
      <c r="S51" s="108">
        <f t="shared" si="34"/>
        <v>3.2857142857142856</v>
      </c>
      <c r="T51" s="109">
        <f t="shared" si="35"/>
        <v>8</v>
      </c>
      <c r="U51" s="110">
        <f t="shared" si="44"/>
        <v>0.36363636363636365</v>
      </c>
      <c r="V51" s="71">
        <f t="shared" si="45"/>
        <v>0.5071931567805763</v>
      </c>
      <c r="W51" s="68">
        <v>20063</v>
      </c>
      <c r="X51" s="68">
        <v>315</v>
      </c>
      <c r="Y51" s="68">
        <v>14</v>
      </c>
      <c r="Z51" s="41">
        <v>234.8</v>
      </c>
      <c r="AA51" s="111">
        <v>269.23</v>
      </c>
      <c r="AB51" s="68">
        <v>0.75</v>
      </c>
      <c r="AC51" s="48">
        <f t="shared" si="46"/>
        <v>0.87211677747650707</v>
      </c>
      <c r="AD51" s="49">
        <f t="shared" si="47"/>
        <v>1.5700543288640782E-2</v>
      </c>
      <c r="AE51" s="112">
        <f t="shared" si="48"/>
        <v>4.4444444444444446E-2</v>
      </c>
      <c r="AF51" s="107">
        <f t="shared" si="49"/>
        <v>16.771428571428572</v>
      </c>
      <c r="AG51" s="113">
        <v>12</v>
      </c>
      <c r="AH51" s="115">
        <v>11</v>
      </c>
      <c r="AI51" s="116">
        <f>AG51*产品成本!$D$17+AH51*产品成本!$D$18</f>
        <v>96.025800000000004</v>
      </c>
      <c r="AJ51" s="116">
        <f>AG51*产品成本!$E$17+AH51*产品成本!$E$18</f>
        <v>7.8492676056338073</v>
      </c>
      <c r="AK51" s="116">
        <f>AG51*产品成本!$F$17+AH51*产品成本!$F$18</f>
        <v>7.82</v>
      </c>
      <c r="AL51" s="116">
        <f>AG51*产品成本!$G$17+AH51*产品成本!$G$18</f>
        <v>89.699999999999989</v>
      </c>
      <c r="AM51" s="116">
        <f t="shared" si="50"/>
        <v>69.441000000000003</v>
      </c>
      <c r="AN51" s="117">
        <f t="shared" si="51"/>
        <v>270.83606760563384</v>
      </c>
      <c r="AO51" s="118">
        <v>1</v>
      </c>
      <c r="AP51" s="119">
        <v>0</v>
      </c>
      <c r="AQ51" s="141">
        <f>AO51*产品成本!$D$17+AP51*产品成本!$D$18</f>
        <v>5.63</v>
      </c>
      <c r="AR51" s="142">
        <f>AO51*产品成本!$E$17+AP51*产品成本!$E$18</f>
        <v>0.32</v>
      </c>
      <c r="AS51" s="142">
        <f>AO51*产品成本!$F$17+AP51*产品成本!$F$18</f>
        <v>0.34</v>
      </c>
      <c r="AT51" s="142">
        <f>AO51*产品成本!$G$17+AP51*产品成本!$G$18</f>
        <v>3.9</v>
      </c>
      <c r="AU51" s="142"/>
      <c r="AV51" s="142">
        <f t="shared" si="52"/>
        <v>0.84449999999999992</v>
      </c>
      <c r="AW51" s="142">
        <f t="shared" si="53"/>
        <v>-0.16889999999999999</v>
      </c>
      <c r="AX51" s="117">
        <f t="shared" si="36"/>
        <v>5.2355999999999998</v>
      </c>
      <c r="AY51" s="122">
        <f t="shared" si="37"/>
        <v>265.60046760563387</v>
      </c>
      <c r="AZ51" s="122">
        <f t="shared" si="54"/>
        <v>462.94</v>
      </c>
      <c r="BA51" s="122">
        <f t="shared" si="55"/>
        <v>457.31</v>
      </c>
      <c r="BB51" s="121">
        <f t="shared" si="38"/>
        <v>-43.090467605633876</v>
      </c>
      <c r="BC51" s="123">
        <f t="shared" si="39"/>
        <v>-9.4225946525625673E-2</v>
      </c>
    </row>
    <row r="52" spans="1:56" ht="29.1" customHeight="1" x14ac:dyDescent="0.15">
      <c r="A52" s="38" t="s">
        <v>250</v>
      </c>
      <c r="B52" s="58" t="s">
        <v>251</v>
      </c>
      <c r="C52" s="67">
        <v>25</v>
      </c>
      <c r="D52" s="68">
        <v>25</v>
      </c>
      <c r="E52" s="41">
        <v>566.04</v>
      </c>
      <c r="F52" s="101">
        <v>3</v>
      </c>
      <c r="G52" s="101">
        <v>3</v>
      </c>
      <c r="H52" s="41">
        <v>63.58</v>
      </c>
      <c r="I52" s="41">
        <v>7.34</v>
      </c>
      <c r="J52" s="143">
        <v>3</v>
      </c>
      <c r="K52" s="103">
        <f t="shared" si="40"/>
        <v>0.12</v>
      </c>
      <c r="L52" s="104">
        <v>56.05</v>
      </c>
      <c r="M52" s="105">
        <f t="shared" si="31"/>
        <v>8.6956521739130432E-2</v>
      </c>
      <c r="N52" s="103">
        <f t="shared" si="32"/>
        <v>0.13636363636363635</v>
      </c>
      <c r="O52" s="103">
        <f t="shared" si="33"/>
        <v>0.16158423968807706</v>
      </c>
      <c r="P52" s="106">
        <f t="shared" si="41"/>
        <v>1</v>
      </c>
      <c r="Q52" s="107">
        <f t="shared" si="42"/>
        <v>22.641599999999997</v>
      </c>
      <c r="R52" s="140">
        <f t="shared" si="43"/>
        <v>22.641599999999997</v>
      </c>
      <c r="S52" s="108">
        <f t="shared" si="34"/>
        <v>3.5714285714285716</v>
      </c>
      <c r="T52" s="109">
        <f t="shared" si="35"/>
        <v>0</v>
      </c>
      <c r="U52" s="110">
        <f t="shared" si="44"/>
        <v>0</v>
      </c>
      <c r="V52" s="71">
        <f t="shared" si="45"/>
        <v>0.36937533560050123</v>
      </c>
      <c r="W52" s="68">
        <v>17409</v>
      </c>
      <c r="X52" s="68">
        <v>286</v>
      </c>
      <c r="Y52" s="68">
        <v>25</v>
      </c>
      <c r="Z52" s="41">
        <v>206.37</v>
      </c>
      <c r="AA52" s="111">
        <v>517.94000000000005</v>
      </c>
      <c r="AB52" s="68">
        <v>0.72</v>
      </c>
      <c r="AC52" s="48">
        <f t="shared" si="46"/>
        <v>0.39844383519326559</v>
      </c>
      <c r="AD52" s="49">
        <f t="shared" si="47"/>
        <v>1.642828422080533E-2</v>
      </c>
      <c r="AE52" s="112">
        <f t="shared" si="48"/>
        <v>8.7412587412587409E-2</v>
      </c>
      <c r="AF52" s="107">
        <f t="shared" si="49"/>
        <v>8.2547999999999995</v>
      </c>
      <c r="AG52" s="113">
        <v>13</v>
      </c>
      <c r="AH52" s="115">
        <v>12</v>
      </c>
      <c r="AI52" s="116">
        <f>AG52*产品成本!$D$17+AH52*产品成本!$D$18</f>
        <v>104.2436</v>
      </c>
      <c r="AJ52" s="116">
        <f>AG52*产品成本!$E$17+AH52*产品成本!$E$18</f>
        <v>8.533746478873244</v>
      </c>
      <c r="AK52" s="116">
        <f>AG52*产品成本!$F$17+AH52*产品成本!$F$18</f>
        <v>8.5</v>
      </c>
      <c r="AL52" s="116">
        <f>AG52*产品成本!$G$17+AH52*产品成本!$G$18</f>
        <v>97.5</v>
      </c>
      <c r="AM52" s="116">
        <f t="shared" si="50"/>
        <v>83.804999999999993</v>
      </c>
      <c r="AN52" s="117">
        <f t="shared" si="51"/>
        <v>302.58234647887326</v>
      </c>
      <c r="AO52" s="118">
        <v>2</v>
      </c>
      <c r="AP52" s="119">
        <v>1</v>
      </c>
      <c r="AQ52" s="141">
        <f>AO52*产品成本!$D$17+AP52*产品成本!$D$18</f>
        <v>13.847799999999999</v>
      </c>
      <c r="AR52" s="142">
        <f>AO52*产品成本!$E$17+AP52*产品成本!$E$18</f>
        <v>1.004478873239437</v>
      </c>
      <c r="AS52" s="142">
        <f>AO52*产品成本!$F$17+AP52*产品成本!$F$18</f>
        <v>1.02</v>
      </c>
      <c r="AT52" s="142">
        <f>AO52*产品成本!$G$17+AP52*产品成本!$G$18</f>
        <v>11.7</v>
      </c>
      <c r="AU52" s="142"/>
      <c r="AV52" s="142">
        <f t="shared" si="52"/>
        <v>2.0771699999999997</v>
      </c>
      <c r="AW52" s="142">
        <f t="shared" si="53"/>
        <v>-0.41543399999999997</v>
      </c>
      <c r="AX52" s="117">
        <f t="shared" si="36"/>
        <v>15.386214873239437</v>
      </c>
      <c r="AY52" s="122">
        <f t="shared" si="37"/>
        <v>287.19613160563381</v>
      </c>
      <c r="AZ52" s="122">
        <f t="shared" si="54"/>
        <v>558.69999999999993</v>
      </c>
      <c r="BA52" s="122">
        <f t="shared" si="55"/>
        <v>544.85219999999993</v>
      </c>
      <c r="BB52" s="121">
        <f t="shared" si="38"/>
        <v>51.286068394366112</v>
      </c>
      <c r="BC52" s="123">
        <f t="shared" si="39"/>
        <v>9.4128404720337219E-2</v>
      </c>
      <c r="BD52" s="144" t="s">
        <v>386</v>
      </c>
    </row>
    <row r="53" spans="1:56" ht="29.1" customHeight="1" x14ac:dyDescent="0.15">
      <c r="A53" s="38" t="s">
        <v>254</v>
      </c>
      <c r="B53" s="58" t="s">
        <v>255</v>
      </c>
      <c r="C53" s="67">
        <v>23</v>
      </c>
      <c r="D53" s="68">
        <v>23</v>
      </c>
      <c r="E53" s="41">
        <v>516.01</v>
      </c>
      <c r="F53" s="101">
        <v>17</v>
      </c>
      <c r="G53" s="101">
        <v>17</v>
      </c>
      <c r="H53" s="41">
        <v>384.34</v>
      </c>
      <c r="I53" s="41">
        <v>40.86</v>
      </c>
      <c r="J53" s="143">
        <v>7</v>
      </c>
      <c r="K53" s="103">
        <f t="shared" si="40"/>
        <v>0.30434782608695654</v>
      </c>
      <c r="L53" s="104">
        <v>122.87</v>
      </c>
      <c r="M53" s="105">
        <f t="shared" si="31"/>
        <v>-0.08</v>
      </c>
      <c r="N53" s="103">
        <f t="shared" si="32"/>
        <v>-0.08</v>
      </c>
      <c r="O53" s="103">
        <f t="shared" si="33"/>
        <v>-8.8385979789414135E-2</v>
      </c>
      <c r="P53" s="106">
        <f t="shared" si="41"/>
        <v>1</v>
      </c>
      <c r="Q53" s="107">
        <f t="shared" si="42"/>
        <v>22.435217391304349</v>
      </c>
      <c r="R53" s="140">
        <f t="shared" si="43"/>
        <v>22.435217391304349</v>
      </c>
      <c r="S53" s="108">
        <f t="shared" si="34"/>
        <v>3.2857142857142856</v>
      </c>
      <c r="T53" s="109">
        <f t="shared" si="35"/>
        <v>5</v>
      </c>
      <c r="U53" s="110">
        <f t="shared" si="44"/>
        <v>0.21739130434782608</v>
      </c>
      <c r="V53" s="71">
        <f t="shared" si="45"/>
        <v>0.43981900452488687</v>
      </c>
      <c r="W53" s="68">
        <v>16338</v>
      </c>
      <c r="X53" s="68">
        <v>284</v>
      </c>
      <c r="Y53" s="68">
        <v>18</v>
      </c>
      <c r="Z53" s="41">
        <v>208.98</v>
      </c>
      <c r="AA53" s="111">
        <v>418.57</v>
      </c>
      <c r="AB53" s="68">
        <v>0.74</v>
      </c>
      <c r="AC53" s="48">
        <f t="shared" si="46"/>
        <v>0.49927132857108725</v>
      </c>
      <c r="AD53" s="49">
        <f t="shared" si="47"/>
        <v>1.7382788591014813E-2</v>
      </c>
      <c r="AE53" s="112">
        <f t="shared" si="48"/>
        <v>6.3380281690140844E-2</v>
      </c>
      <c r="AF53" s="107">
        <f t="shared" si="49"/>
        <v>11.61</v>
      </c>
      <c r="AG53" s="113">
        <v>14</v>
      </c>
      <c r="AH53" s="115">
        <v>9</v>
      </c>
      <c r="AI53" s="116">
        <f>AG53*产品成本!$D$17+AH53*产品成本!$D$18</f>
        <v>102.11019999999999</v>
      </c>
      <c r="AJ53" s="116">
        <f>AG53*产品成本!$E$17+AH53*产品成本!$E$18</f>
        <v>7.7603098591549333</v>
      </c>
      <c r="AK53" s="116">
        <f>AG53*产品成本!$F$17+AH53*产品成本!$F$18</f>
        <v>7.82</v>
      </c>
      <c r="AL53" s="116">
        <f>AG53*产品成本!$G$17+AH53*产品成本!$G$18</f>
        <v>89.7</v>
      </c>
      <c r="AM53" s="116">
        <f t="shared" si="50"/>
        <v>71.272499999999994</v>
      </c>
      <c r="AN53" s="117">
        <f t="shared" si="51"/>
        <v>278.6630098591549</v>
      </c>
      <c r="AO53" s="118">
        <v>3</v>
      </c>
      <c r="AP53" s="119">
        <v>4</v>
      </c>
      <c r="AQ53" s="141">
        <f>AO53*产品成本!$D$17+AP53*产品成本!$D$18</f>
        <v>27.241199999999999</v>
      </c>
      <c r="AR53" s="142">
        <f>AO53*产品成本!$E$17+AP53*产品成本!$E$18</f>
        <v>2.4179154929577482</v>
      </c>
      <c r="AS53" s="142">
        <f>AO53*产品成本!$F$17+AP53*产品成本!$F$18</f>
        <v>2.38</v>
      </c>
      <c r="AT53" s="142">
        <f>AO53*产品成本!$G$17+AP53*产品成本!$G$18</f>
        <v>27.299999999999997</v>
      </c>
      <c r="AU53" s="142"/>
      <c r="AV53" s="142">
        <f t="shared" si="52"/>
        <v>4.0861799999999997</v>
      </c>
      <c r="AW53" s="142">
        <f t="shared" si="53"/>
        <v>-0.81723599999999996</v>
      </c>
      <c r="AX53" s="117">
        <f t="shared" si="36"/>
        <v>35.366859492957744</v>
      </c>
      <c r="AY53" s="122">
        <f t="shared" si="37"/>
        <v>243.29615036619714</v>
      </c>
      <c r="AZ53" s="122">
        <f t="shared" si="54"/>
        <v>475.15</v>
      </c>
      <c r="BA53" s="122">
        <f t="shared" si="55"/>
        <v>447.90879999999999</v>
      </c>
      <c r="BB53" s="121">
        <f t="shared" si="38"/>
        <v>-4.3673503661971438</v>
      </c>
      <c r="BC53" s="123">
        <f t="shared" si="39"/>
        <v>-9.7505348548569352E-3</v>
      </c>
    </row>
    <row r="54" spans="1:56" ht="29.1" customHeight="1" x14ac:dyDescent="0.15">
      <c r="A54" s="38" t="s">
        <v>258</v>
      </c>
      <c r="B54" s="58" t="s">
        <v>259</v>
      </c>
      <c r="C54" s="67">
        <v>32</v>
      </c>
      <c r="D54" s="68">
        <v>32</v>
      </c>
      <c r="E54" s="41">
        <v>712.47</v>
      </c>
      <c r="F54" s="101">
        <v>21</v>
      </c>
      <c r="G54" s="101">
        <v>21</v>
      </c>
      <c r="H54" s="41">
        <v>460.9</v>
      </c>
      <c r="I54" s="41">
        <v>21.95</v>
      </c>
      <c r="J54" s="143">
        <v>6</v>
      </c>
      <c r="K54" s="103">
        <f t="shared" ref="K54" si="56">J54/C54</f>
        <v>0.1875</v>
      </c>
      <c r="L54" s="104">
        <v>116.94</v>
      </c>
      <c r="M54" s="105">
        <f t="shared" ref="M54" si="57">(C54-C53)/C53</f>
        <v>0.39130434782608697</v>
      </c>
      <c r="N54" s="103">
        <f t="shared" ref="N54" si="58">(D54-D53)/D53</f>
        <v>0.39130434782608697</v>
      </c>
      <c r="O54" s="103">
        <f t="shared" ref="O54" si="59">(E54-E53)/E53</f>
        <v>0.38072905563845671</v>
      </c>
      <c r="P54" s="106">
        <f t="shared" ref="P54" si="60">C54/D54</f>
        <v>1</v>
      </c>
      <c r="Q54" s="107">
        <f t="shared" ref="Q54" si="61">E54/D54</f>
        <v>22.264687500000001</v>
      </c>
      <c r="R54" s="140">
        <f t="shared" ref="R54" si="62">E54/C54</f>
        <v>22.264687500000001</v>
      </c>
      <c r="S54" s="108">
        <f t="shared" ref="S54" si="63">C54/7</f>
        <v>4.5714285714285712</v>
      </c>
      <c r="T54" s="109">
        <f t="shared" ref="T54" si="64">D54-Y54</f>
        <v>4</v>
      </c>
      <c r="U54" s="110">
        <f t="shared" ref="U54" si="65">T54/D54</f>
        <v>0.125</v>
      </c>
      <c r="V54" s="71">
        <f t="shared" ref="V54" si="66">Z54/(E54-I54)</f>
        <v>0.36214736720152929</v>
      </c>
      <c r="W54" s="68">
        <v>24343</v>
      </c>
      <c r="X54" s="68">
        <v>357</v>
      </c>
      <c r="Y54" s="68">
        <v>28</v>
      </c>
      <c r="Z54" s="41">
        <v>250.07</v>
      </c>
      <c r="AA54" s="111">
        <v>656.56</v>
      </c>
      <c r="AB54" s="68">
        <v>0.7</v>
      </c>
      <c r="AC54" s="48">
        <f t="shared" ref="AC54" si="67">Z54/AA54</f>
        <v>0.3808791275740222</v>
      </c>
      <c r="AD54" s="49">
        <f t="shared" ref="AD54" si="68">X54/W54</f>
        <v>1.4665406893152036E-2</v>
      </c>
      <c r="AE54" s="112">
        <f t="shared" ref="AE54" si="69">Y54/X54</f>
        <v>7.8431372549019607E-2</v>
      </c>
      <c r="AF54" s="107">
        <f t="shared" ref="AF54" si="70">Z54/Y54</f>
        <v>8.9310714285714283</v>
      </c>
      <c r="AG54" s="113">
        <v>19</v>
      </c>
      <c r="AH54" s="115">
        <v>13</v>
      </c>
      <c r="AI54" s="116">
        <f>AG54*产品成本!$D$17+AH54*产品成本!$D$18</f>
        <v>140.6114</v>
      </c>
      <c r="AJ54" s="116">
        <f>AG54*产品成本!$E$17+AH54*产品成本!$E$18</f>
        <v>10.81822535211268</v>
      </c>
      <c r="AK54" s="116">
        <f>AG54*产品成本!$F$17+AH54*产品成本!$F$18</f>
        <v>10.88</v>
      </c>
      <c r="AL54" s="116">
        <f>AG54*产品成本!$G$17+AH54*产品成本!$G$18</f>
        <v>124.79999999999998</v>
      </c>
      <c r="AM54" s="116">
        <f t="shared" ref="AM54" si="71">(E54-I54)*0.15</f>
        <v>103.57799999999999</v>
      </c>
      <c r="AN54" s="117">
        <f t="shared" ref="AN54" si="72">SUM(AI54:AM54)</f>
        <v>390.6876253521126</v>
      </c>
      <c r="AO54" s="118">
        <v>5</v>
      </c>
      <c r="AP54" s="119">
        <v>1</v>
      </c>
      <c r="AQ54" s="141">
        <f>AO54*产品成本!$D$17+AP54*产品成本!$D$18</f>
        <v>30.7378</v>
      </c>
      <c r="AR54" s="142">
        <f>AO54*产品成本!$E$17+AP54*产品成本!$E$18</f>
        <v>1.9644788732394372</v>
      </c>
      <c r="AS54" s="142">
        <f>AO54*产品成本!$F$17+AP54*产品成本!$F$18</f>
        <v>2.04</v>
      </c>
      <c r="AT54" s="142">
        <f>AO54*产品成本!$G$17+AP54*产品成本!$G$18</f>
        <v>23.4</v>
      </c>
      <c r="AU54" s="142"/>
      <c r="AV54" s="142">
        <f t="shared" ref="AV54" si="73">AQ54*0.15</f>
        <v>4.6106699999999998</v>
      </c>
      <c r="AW54" s="142">
        <f t="shared" ref="AW54" si="74">-AV54*0.2</f>
        <v>-0.92213400000000001</v>
      </c>
      <c r="AX54" s="117">
        <f t="shared" ref="AX54" si="75">SUM(AR54:AW54)</f>
        <v>31.093014873239433</v>
      </c>
      <c r="AY54" s="122">
        <f t="shared" ref="AY54" si="76">AN54-AX54</f>
        <v>359.59461047887316</v>
      </c>
      <c r="AZ54" s="122">
        <f t="shared" ref="AZ54" si="77">E54-I54</f>
        <v>690.52</v>
      </c>
      <c r="BA54" s="122">
        <f t="shared" ref="BA54" si="78">E54-AQ54-I54</f>
        <v>659.78219999999999</v>
      </c>
      <c r="BB54" s="121">
        <f t="shared" ref="BB54" si="79">BA54-AY54-Z54</f>
        <v>50.117589521126831</v>
      </c>
      <c r="BC54" s="123">
        <f t="shared" ref="BC54" si="80">BB54/BA54</f>
        <v>7.5960808765569654E-2</v>
      </c>
    </row>
    <row r="55" spans="1:56" ht="29.1" customHeight="1" x14ac:dyDescent="0.15">
      <c r="A55" s="38" t="s">
        <v>262</v>
      </c>
      <c r="B55" s="58" t="s">
        <v>263</v>
      </c>
      <c r="C55" s="67">
        <v>26</v>
      </c>
      <c r="D55" s="68">
        <v>26</v>
      </c>
      <c r="E55" s="41">
        <v>588.61</v>
      </c>
      <c r="F55" s="101">
        <v>19</v>
      </c>
      <c r="G55" s="101">
        <v>19</v>
      </c>
      <c r="H55" s="41">
        <v>428.23</v>
      </c>
      <c r="I55" s="41">
        <v>22.54</v>
      </c>
      <c r="J55" s="143">
        <v>3</v>
      </c>
      <c r="K55" s="103">
        <f t="shared" ref="K55" si="81">J55/C55</f>
        <v>0.11538461538461539</v>
      </c>
      <c r="L55" s="104">
        <v>59.93</v>
      </c>
      <c r="M55" s="105">
        <f t="shared" ref="M55" si="82">(C55-C54)/C54</f>
        <v>-0.1875</v>
      </c>
      <c r="N55" s="103">
        <f t="shared" ref="N55" si="83">(D55-D54)/D54</f>
        <v>-0.1875</v>
      </c>
      <c r="O55" s="103">
        <f t="shared" ref="O55" si="84">(E55-E54)/E54</f>
        <v>-0.17384591631928364</v>
      </c>
      <c r="P55" s="106">
        <f t="shared" ref="P55" si="85">C55/D55</f>
        <v>1</v>
      </c>
      <c r="Q55" s="107">
        <f t="shared" ref="Q55" si="86">E55/D55</f>
        <v>22.638846153846153</v>
      </c>
      <c r="R55" s="140">
        <f t="shared" ref="R55" si="87">E55/C55</f>
        <v>22.638846153846153</v>
      </c>
      <c r="S55" s="108">
        <f t="shared" ref="S55" si="88">C55/7</f>
        <v>3.7142857142857144</v>
      </c>
      <c r="T55" s="109">
        <f t="shared" ref="T55" si="89">D55-Y55</f>
        <v>6</v>
      </c>
      <c r="U55" s="110">
        <f t="shared" ref="U55" si="90">T55/D55</f>
        <v>0.23076923076923078</v>
      </c>
      <c r="V55" s="71">
        <f t="shared" ref="V55" si="91">Z55/(E55-I55)</f>
        <v>0.49084035543307364</v>
      </c>
      <c r="W55" s="68">
        <v>26258</v>
      </c>
      <c r="X55" s="68">
        <v>415</v>
      </c>
      <c r="Y55" s="68">
        <v>20</v>
      </c>
      <c r="Z55" s="41">
        <v>277.85000000000002</v>
      </c>
      <c r="AA55" s="111">
        <v>518.29999999999995</v>
      </c>
      <c r="AB55" s="68">
        <v>0.67</v>
      </c>
      <c r="AC55" s="48">
        <f t="shared" ref="AC55" si="92">Z55/AA55</f>
        <v>0.53607949064248517</v>
      </c>
      <c r="AD55" s="49">
        <f t="shared" ref="AD55" si="93">X55/W55</f>
        <v>1.5804707136872573E-2</v>
      </c>
      <c r="AE55" s="112">
        <f t="shared" ref="AE55" si="94">Y55/X55</f>
        <v>4.8192771084337352E-2</v>
      </c>
      <c r="AF55" s="107">
        <f t="shared" ref="AF55" si="95">Z55/Y55</f>
        <v>13.892500000000002</v>
      </c>
      <c r="AG55" s="113">
        <v>17</v>
      </c>
      <c r="AH55" s="115">
        <v>9</v>
      </c>
      <c r="AI55" s="116">
        <f>AG55*产品成本!$D$17+AH55*产品成本!$D$18</f>
        <v>119.00019999999999</v>
      </c>
      <c r="AJ55" s="116">
        <f>AG55*产品成本!$E$17+AH55*产品成本!$E$18</f>
        <v>8.7203098591549342</v>
      </c>
      <c r="AK55" s="116">
        <f>AG55*产品成本!$F$17+AH55*产品成本!$F$18</f>
        <v>8.84</v>
      </c>
      <c r="AL55" s="116">
        <f>AG55*产品成本!$G$17+AH55*产品成本!$G$18</f>
        <v>101.4</v>
      </c>
      <c r="AM55" s="116">
        <f t="shared" ref="AM55" si="96">(E55-I55)*0.15</f>
        <v>84.910499999999999</v>
      </c>
      <c r="AN55" s="117">
        <f t="shared" ref="AN55" si="97">SUM(AI55:AM55)</f>
        <v>322.87100985915492</v>
      </c>
      <c r="AO55" s="118">
        <v>2</v>
      </c>
      <c r="AP55" s="119">
        <v>1</v>
      </c>
      <c r="AQ55" s="141">
        <f>AO55*产品成本!$D$17+AP55*产品成本!$D$18</f>
        <v>13.847799999999999</v>
      </c>
      <c r="AR55" s="142">
        <f>AO55*产品成本!$E$17+AP55*产品成本!$E$18</f>
        <v>1.004478873239437</v>
      </c>
      <c r="AS55" s="142">
        <f>AO55*产品成本!$F$17+AP55*产品成本!$F$18</f>
        <v>1.02</v>
      </c>
      <c r="AT55" s="142">
        <f>AO55*产品成本!$G$17+AP55*产品成本!$G$18</f>
        <v>11.7</v>
      </c>
      <c r="AU55" s="142"/>
      <c r="AV55" s="142">
        <f t="shared" ref="AV55" si="98">AQ55*0.15</f>
        <v>2.0771699999999997</v>
      </c>
      <c r="AW55" s="142">
        <f t="shared" ref="AW55" si="99">-AV55*0.2</f>
        <v>-0.41543399999999997</v>
      </c>
      <c r="AX55" s="117">
        <f t="shared" ref="AX55" si="100">SUM(AR55:AW55)</f>
        <v>15.386214873239437</v>
      </c>
      <c r="AY55" s="122">
        <f t="shared" ref="AY55" si="101">AN55-AX55</f>
        <v>307.48479498591547</v>
      </c>
      <c r="AZ55" s="122">
        <f t="shared" ref="AZ55" si="102">E55-I55</f>
        <v>566.07000000000005</v>
      </c>
      <c r="BA55" s="122">
        <f t="shared" ref="BA55" si="103">E55-AQ55-I55</f>
        <v>552.22220000000004</v>
      </c>
      <c r="BB55" s="121">
        <f t="shared" ref="BB55" si="104">BA55-AY55-Z55</f>
        <v>-33.11259498591545</v>
      </c>
      <c r="BC55" s="123">
        <f t="shared" ref="BC55" si="105">BB55/BA55</f>
        <v>-5.9962448061514816E-2</v>
      </c>
    </row>
    <row r="56" spans="1:56" ht="29.1" customHeight="1" x14ac:dyDescent="0.15">
      <c r="A56" s="38" t="s">
        <v>458</v>
      </c>
      <c r="B56" s="58" t="s">
        <v>459</v>
      </c>
      <c r="C56" s="67">
        <v>25</v>
      </c>
      <c r="D56" s="68">
        <v>23</v>
      </c>
      <c r="E56" s="41">
        <v>548.67999999999995</v>
      </c>
      <c r="F56" s="101">
        <v>24</v>
      </c>
      <c r="G56" s="101">
        <v>23</v>
      </c>
      <c r="H56" s="41">
        <v>524.48</v>
      </c>
      <c r="I56" s="41">
        <v>21.85</v>
      </c>
      <c r="J56" s="143">
        <v>4</v>
      </c>
      <c r="K56" s="103">
        <f t="shared" ref="K56" si="106">J56/C56</f>
        <v>0.16</v>
      </c>
      <c r="L56" s="104">
        <v>78.78</v>
      </c>
      <c r="M56" s="105">
        <f t="shared" ref="M56" si="107">(C56-C55)/C55</f>
        <v>-3.8461538461538464E-2</v>
      </c>
      <c r="N56" s="103">
        <f t="shared" ref="N56" si="108">(D56-D55)/D55</f>
        <v>-0.11538461538461539</v>
      </c>
      <c r="O56" s="103">
        <f t="shared" ref="O56" si="109">(E56-E55)/E55</f>
        <v>-6.7837787329471239E-2</v>
      </c>
      <c r="P56" s="106">
        <f t="shared" ref="P56" si="110">C56/D56</f>
        <v>1.0869565217391304</v>
      </c>
      <c r="Q56" s="107">
        <f t="shared" ref="Q56" si="111">E56/D56</f>
        <v>23.85565217391304</v>
      </c>
      <c r="R56" s="140">
        <f t="shared" ref="R56" si="112">E56/C56</f>
        <v>21.947199999999999</v>
      </c>
      <c r="S56" s="108">
        <f t="shared" ref="S56" si="113">C56/7</f>
        <v>3.5714285714285716</v>
      </c>
      <c r="T56" s="109">
        <f t="shared" ref="T56" si="114">D56-Y56</f>
        <v>3</v>
      </c>
      <c r="U56" s="110">
        <f t="shared" ref="U56" si="115">T56/D56</f>
        <v>0.13043478260869565</v>
      </c>
      <c r="V56" s="71">
        <f t="shared" ref="V56" si="116">Z56/(E56-I56)</f>
        <v>0.57464457225290899</v>
      </c>
      <c r="W56" s="68">
        <v>25422</v>
      </c>
      <c r="X56" s="68">
        <v>435</v>
      </c>
      <c r="Y56" s="68">
        <v>20</v>
      </c>
      <c r="Z56" s="41">
        <v>302.74</v>
      </c>
      <c r="AA56" s="111">
        <v>501.91</v>
      </c>
      <c r="AB56" s="68">
        <v>0.7</v>
      </c>
      <c r="AC56" s="48">
        <f t="shared" ref="AC56" si="117">Z56/AA56</f>
        <v>0.60317586818353885</v>
      </c>
      <c r="AD56" s="49">
        <f t="shared" ref="AD56" si="118">X56/W56</f>
        <v>1.7111163559122022E-2</v>
      </c>
      <c r="AE56" s="112">
        <f t="shared" ref="AE56" si="119">Y56/X56</f>
        <v>4.5977011494252873E-2</v>
      </c>
      <c r="AF56" s="107">
        <f t="shared" ref="AF56" si="120">Z56/Y56</f>
        <v>15.137</v>
      </c>
      <c r="AG56" s="113">
        <v>13</v>
      </c>
      <c r="AH56" s="115">
        <v>12</v>
      </c>
      <c r="AI56" s="116">
        <f>AG56*产品成本!$D$17+AH56*产品成本!$D$18</f>
        <v>104.2436</v>
      </c>
      <c r="AJ56" s="116">
        <f>AG56*产品成本!$E$17+AH56*产品成本!$E$18</f>
        <v>8.533746478873244</v>
      </c>
      <c r="AK56" s="116">
        <f>AG56*产品成本!$F$17+AH56*产品成本!$F$18</f>
        <v>8.5</v>
      </c>
      <c r="AL56" s="116">
        <f>AG56*产品成本!$G$17+AH56*产品成本!$G$18</f>
        <v>97.5</v>
      </c>
      <c r="AM56" s="116">
        <f t="shared" ref="AM56" si="121">(E56-I56)*0.15</f>
        <v>79.024499999999989</v>
      </c>
      <c r="AN56" s="117">
        <f t="shared" ref="AN56" si="122">SUM(AI56:AM56)</f>
        <v>297.80184647887324</v>
      </c>
      <c r="AO56" s="118">
        <v>4</v>
      </c>
      <c r="AP56" s="119">
        <v>0</v>
      </c>
      <c r="AQ56" s="141">
        <f>AO56*产品成本!$D$17+AP56*产品成本!$D$18</f>
        <v>22.52</v>
      </c>
      <c r="AR56" s="142">
        <f>AO56*产品成本!$E$17+AP56*产品成本!$E$18</f>
        <v>1.28</v>
      </c>
      <c r="AS56" s="142">
        <f>AO56*产品成本!$F$17+AP56*产品成本!$F$18</f>
        <v>1.36</v>
      </c>
      <c r="AT56" s="142">
        <f>AO56*产品成本!$G$17+AP56*产品成本!$G$18</f>
        <v>15.6</v>
      </c>
      <c r="AU56" s="142"/>
      <c r="AV56" s="142">
        <f t="shared" ref="AV56" si="123">AQ56*0.15</f>
        <v>3.3779999999999997</v>
      </c>
      <c r="AW56" s="142">
        <f t="shared" ref="AW56" si="124">-AV56*0.2</f>
        <v>-0.67559999999999998</v>
      </c>
      <c r="AX56" s="117">
        <f t="shared" ref="AX56" si="125">SUM(AR56:AW56)</f>
        <v>20.942399999999999</v>
      </c>
      <c r="AY56" s="122">
        <f t="shared" ref="AY56" si="126">AN56-AX56</f>
        <v>276.85944647887322</v>
      </c>
      <c r="AZ56" s="122">
        <f t="shared" ref="AZ56" si="127">E56-I56</f>
        <v>526.82999999999993</v>
      </c>
      <c r="BA56" s="122">
        <f t="shared" ref="BA56" si="128">E56-AQ56-I56</f>
        <v>504.30999999999995</v>
      </c>
      <c r="BB56" s="121">
        <f t="shared" ref="BB56" si="129">BA56-AY56-Z56</f>
        <v>-75.289446478873288</v>
      </c>
      <c r="BC56" s="123">
        <f t="shared" ref="BC56" si="130">BB56/BA56</f>
        <v>-0.14929199595263487</v>
      </c>
    </row>
    <row r="57" spans="1:56" ht="29.1" customHeight="1" x14ac:dyDescent="0.15">
      <c r="A57" s="127" t="s">
        <v>266</v>
      </c>
      <c r="B57" s="128"/>
      <c r="C57" s="128">
        <f>SUBTOTAL(109,表3_391410[销量])</f>
        <v>1167</v>
      </c>
      <c r="D57" s="128">
        <f>SUBTOTAL(109,表3_391410[订单量])</f>
        <v>1149</v>
      </c>
      <c r="E57" s="128">
        <f>SUBTOTAL(109,表3_391410[销售额])</f>
        <v>26842.784000000003</v>
      </c>
      <c r="F57" s="128">
        <f>SUBTOTAL(109,表3_391410[促销销量])</f>
        <v>252</v>
      </c>
      <c r="G57" s="128">
        <f>SUBTOTAL(109,表3_391410[促销订单量])</f>
        <v>339.65</v>
      </c>
      <c r="H57" s="128">
        <f>SUBTOTAL(109,表3_391410[促销销售额])</f>
        <v>5516.67</v>
      </c>
      <c r="I57" s="128">
        <f>SUBTOTAL(109,表3_391410[促销折扣])</f>
        <v>561.29</v>
      </c>
      <c r="J57" s="128">
        <f>SUBTOTAL(109,表3_391410[退款量])</f>
        <v>169</v>
      </c>
      <c r="K57" s="129">
        <f t="shared" si="40"/>
        <v>0.14481576692373607</v>
      </c>
      <c r="L57" s="130">
        <f>SUBTOTAL(109,表3_391410[退款金额])</f>
        <v>3347.62</v>
      </c>
      <c r="M57" s="128"/>
      <c r="N57" s="128"/>
      <c r="O57" s="128"/>
      <c r="P57" s="131">
        <f>SUBTOTAL(101,表3_391410[客单
销量])</f>
        <v>1.0133105049948656</v>
      </c>
      <c r="Q57" s="131">
        <f>SUBTOTAL(101,表3_391410[客单
价格($)])</f>
        <v>23.527124233821315</v>
      </c>
      <c r="R57" s="131">
        <f>SUBTOTAL(101,表3_391410[销售
均价($)])</f>
        <v>23.214217685108842</v>
      </c>
      <c r="S57" s="131">
        <f>SUBTOTAL(101,表3_391410[日均
销量])</f>
        <v>3.1455525606469017</v>
      </c>
      <c r="T57" s="132">
        <f>SUBTOTAL(109,表3_391410[自然
订单])</f>
        <v>308</v>
      </c>
      <c r="U57" s="133">
        <f t="shared" si="44"/>
        <v>0.26805918189730199</v>
      </c>
      <c r="V57" s="129">
        <f>SUBTOTAL(101,表3_391410[TAcos
(%)])</f>
        <v>0.49858099518949101</v>
      </c>
      <c r="W57" s="128">
        <f>SUBTOTAL(109,表3_391410[展示])</f>
        <v>931452</v>
      </c>
      <c r="X57" s="128">
        <f>SUBTOTAL(109,表3_391410[点击])</f>
        <v>16028</v>
      </c>
      <c r="Y57" s="128">
        <f>SUBTOTAL(109,表3_391410[广告订单量])</f>
        <v>841</v>
      </c>
      <c r="Z57" s="128">
        <f>SUBTOTAL(109,表3_391410[广告花费])</f>
        <v>12636.739999999996</v>
      </c>
      <c r="AA57" s="128">
        <f>SUBTOTAL(109,表3_391410[广告销售额])</f>
        <v>19575.87</v>
      </c>
      <c r="AB57" s="128">
        <f>SUBTOTAL(101,表3_391410[CPC])</f>
        <v>0.77226415094339651</v>
      </c>
      <c r="AC57" s="129">
        <f t="shared" si="46"/>
        <v>0.6455263546396659</v>
      </c>
      <c r="AD57" s="129">
        <f t="shared" ref="AD57:AF57" si="131">X57/W57</f>
        <v>1.7207542632363234E-2</v>
      </c>
      <c r="AE57" s="129">
        <f t="shared" si="131"/>
        <v>5.2470676316446217E-2</v>
      </c>
      <c r="AF57" s="131">
        <f t="shared" si="131"/>
        <v>15.025850178359091</v>
      </c>
      <c r="AG57" s="128">
        <f>SUBTOTAL(109,表3_391410[AL])</f>
        <v>973</v>
      </c>
      <c r="AH57" s="128">
        <f>SUBTOTAL(109,表3_391410[ZN])</f>
        <v>195</v>
      </c>
      <c r="AI57" s="130">
        <f>SUBTOTAL(109,表3_391410[产品成本])</f>
        <v>5982.6110000000008</v>
      </c>
      <c r="AJ57" s="130">
        <f>SUBTOTAL(109,表3_391410[头程])</f>
        <v>382.43338028169023</v>
      </c>
      <c r="AK57" s="130">
        <f>SUBTOTAL(109,表3_391410[入仓费])</f>
        <v>397.11999999999995</v>
      </c>
      <c r="AL57" s="130">
        <f>SUBTOTAL(109,表3_391410[FBA物流])</f>
        <v>4555.2000000000007</v>
      </c>
      <c r="AM57" s="130">
        <f>SUBTOTAL(109,表3_391410[佣金])</f>
        <v>3942.2240999999995</v>
      </c>
      <c r="AN57" s="130">
        <f>SUBTOTAL(109,表3_391410[成本小结])</f>
        <v>15259.588480281696</v>
      </c>
      <c r="AO57" s="135">
        <f>SUBTOTAL(109,表3_391410[退款AL])</f>
        <v>146</v>
      </c>
      <c r="AP57" s="135">
        <f>SUBTOTAL(109,表3_391410[退款ZN])</f>
        <v>22</v>
      </c>
      <c r="AQ57" s="130">
        <f>SUBTOTAL(109,表3_391410[退款
销售金额])</f>
        <v>878.91160000000002</v>
      </c>
      <c r="AR57" s="130">
        <f>SUBTOTAL(109,表3_391410[退款
产品成本])</f>
        <v>54.738535211267603</v>
      </c>
      <c r="AS57" s="130">
        <f>SUBTOTAL(109,表3_391410[退款头程])</f>
        <v>57.120000000000019</v>
      </c>
      <c r="AT57" s="130">
        <f>SUBTOTAL(109,表3_391410[退款
入仓费])</f>
        <v>655.20000000000027</v>
      </c>
      <c r="AU57" s="130">
        <f>SUBTOTAL(109,表3_391410[退款
FBA物流])</f>
        <v>0</v>
      </c>
      <c r="AV57" s="130">
        <f>SUBTOTAL(109,表3_391410[退款佣金])</f>
        <v>131.83673999999996</v>
      </c>
      <c r="AW57" s="130">
        <f>SUBTOTAL(109,表3_391410[退款
管理费用
佣金的20%])</f>
        <v>-26.367348000000003</v>
      </c>
      <c r="AX57" s="130">
        <f>SUBTOTAL(109,表3_391410[退款
成本小结])</f>
        <v>872.52792721126752</v>
      </c>
      <c r="AY57" s="130">
        <f>SUBTOTAL(109,表3_391410[净成本])</f>
        <v>14387.060553070423</v>
      </c>
      <c r="AZ57" s="130">
        <f>SUBTOTAL(110,表3_391410[净销售额])</f>
        <v>51784.53166603476</v>
      </c>
      <c r="BA57" s="130">
        <f>SUBTOTAL(109,表3_391410[净销售额
(-退款金额)])</f>
        <v>25402.582400000007</v>
      </c>
      <c r="BB57" s="130">
        <f>SUBTOTAL(109,表3_391410[毛利])</f>
        <v>-1621.2181530704222</v>
      </c>
      <c r="BC57" s="129">
        <f>SUBTOTAL(101,表3_391410[毛利率])</f>
        <v>-8.3024778491336992E-2</v>
      </c>
    </row>
  </sheetData>
  <mergeCells count="14">
    <mergeCell ref="A1:B2"/>
    <mergeCell ref="AY1:BC2"/>
    <mergeCell ref="C1:V1"/>
    <mergeCell ref="W1:AF1"/>
    <mergeCell ref="AG1:AN1"/>
    <mergeCell ref="AO1:AX1"/>
    <mergeCell ref="C2:L2"/>
    <mergeCell ref="M2:V2"/>
    <mergeCell ref="W2:AB2"/>
    <mergeCell ref="AC2:AF2"/>
    <mergeCell ref="AG2:AH2"/>
    <mergeCell ref="AI2:AN2"/>
    <mergeCell ref="AO2:AP2"/>
    <mergeCell ref="AQ2:AX2"/>
  </mergeCells>
  <phoneticPr fontId="36" type="noConversion"/>
  <pageMargins left="0.75" right="0.75" top="1" bottom="1" header="0.5" footer="0.5"/>
  <ignoredErrors>
    <ignoredError sqref="BB16:BC20 BB4:BC14 AX4:AY7 AX8:AX20 T4:T12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39991454817346722"/>
  </sheetPr>
  <dimension ref="A1:BG44"/>
  <sheetViews>
    <sheetView workbookViewId="0">
      <pane xSplit="12" ySplit="3" topLeftCell="BA28" activePane="bottomRight" state="frozen"/>
      <selection pane="topRight"/>
      <selection pane="bottomLeft"/>
      <selection pane="bottomRight" activeCell="A43" sqref="A43:XFD43"/>
    </sheetView>
  </sheetViews>
  <sheetFormatPr defaultColWidth="9" defaultRowHeight="13.5" customHeight="1" zeroHeight="1" x14ac:dyDescent="0.15"/>
  <cols>
    <col min="1" max="1" width="9.625" customWidth="1"/>
    <col min="2" max="2" width="8.375" customWidth="1"/>
    <col min="3" max="3" width="5.375" customWidth="1"/>
    <col min="4" max="4" width="7.375" customWidth="1"/>
    <col min="5" max="5" width="9.375" customWidth="1"/>
    <col min="6" max="6" width="6.5" customWidth="1"/>
    <col min="7" max="7" width="7.75" customWidth="1"/>
    <col min="8" max="8" width="8.375" customWidth="1"/>
    <col min="9" max="9" width="9.5" customWidth="1"/>
    <col min="10" max="11" width="7.375" customWidth="1"/>
    <col min="12" max="12" width="9.375" style="82" customWidth="1"/>
    <col min="13" max="14" width="9.375" customWidth="1"/>
    <col min="15" max="15" width="11.5" customWidth="1"/>
    <col min="16" max="16" width="7" customWidth="1"/>
    <col min="17" max="19" width="8.125" customWidth="1"/>
    <col min="20" max="20" width="5.875" customWidth="1"/>
    <col min="21" max="21" width="9.375" customWidth="1"/>
    <col min="22" max="22" width="9.5" customWidth="1"/>
    <col min="23" max="23" width="9.25" customWidth="1"/>
    <col min="24" max="24" width="7.375" customWidth="1"/>
    <col min="25" max="25" width="9.375" customWidth="1"/>
    <col min="26" max="26" width="13.125" customWidth="1"/>
    <col min="27" max="27" width="15.25" customWidth="1"/>
    <col min="28" max="28" width="8.125" customWidth="1"/>
    <col min="29" max="29" width="9.25" customWidth="1"/>
    <col min="30" max="32" width="8.125" customWidth="1"/>
    <col min="33" max="33" width="4.625" customWidth="1"/>
    <col min="34" max="35" width="5.375" customWidth="1"/>
    <col min="36" max="36" width="9.375" customWidth="1"/>
    <col min="37" max="37" width="9.25" customWidth="1"/>
    <col min="38" max="38" width="8.375" customWidth="1"/>
    <col min="39" max="40" width="9.375" customWidth="1"/>
    <col min="41" max="41" width="11.5" customWidth="1"/>
    <col min="42" max="42" width="6.75" style="1" customWidth="1"/>
    <col min="43" max="44" width="6.375" style="1" customWidth="1"/>
    <col min="45" max="45" width="10.375" customWidth="1"/>
    <col min="46" max="46" width="9.25" customWidth="1"/>
    <col min="47" max="47" width="8.625" customWidth="1"/>
    <col min="48" max="48" width="8.125" customWidth="1"/>
    <col min="49" max="52" width="9.375" customWidth="1"/>
    <col min="53" max="53" width="10.375" customWidth="1"/>
    <col min="54" max="54" width="12.875" customWidth="1"/>
    <col min="55" max="55" width="12" customWidth="1"/>
    <col min="56" max="56" width="10.375" customWidth="1"/>
    <col min="57" max="57" width="9.25" customWidth="1"/>
    <col min="58" max="58" width="33.875" customWidth="1"/>
  </cols>
  <sheetData>
    <row r="1" spans="1:59" ht="29.1" customHeight="1" x14ac:dyDescent="0.15">
      <c r="A1" s="265" t="s">
        <v>0</v>
      </c>
      <c r="B1" s="266"/>
      <c r="C1" s="271" t="s">
        <v>1</v>
      </c>
      <c r="D1" s="272"/>
      <c r="E1" s="272"/>
      <c r="F1" s="272"/>
      <c r="G1" s="272"/>
      <c r="H1" s="272"/>
      <c r="I1" s="272"/>
      <c r="J1" s="272"/>
      <c r="K1" s="272"/>
      <c r="L1" s="273"/>
      <c r="M1" s="272"/>
      <c r="N1" s="272"/>
      <c r="O1" s="272"/>
      <c r="P1" s="272"/>
      <c r="Q1" s="272"/>
      <c r="R1" s="272"/>
      <c r="S1" s="272"/>
      <c r="T1" s="272"/>
      <c r="U1" s="272"/>
      <c r="V1" s="274"/>
      <c r="W1" s="275" t="s">
        <v>2</v>
      </c>
      <c r="X1" s="276"/>
      <c r="Y1" s="276"/>
      <c r="Z1" s="276"/>
      <c r="AA1" s="276"/>
      <c r="AB1" s="276"/>
      <c r="AC1" s="277"/>
      <c r="AD1" s="277"/>
      <c r="AE1" s="277"/>
      <c r="AF1" s="277"/>
      <c r="AG1" s="278" t="s">
        <v>3</v>
      </c>
      <c r="AH1" s="279"/>
      <c r="AI1" s="279"/>
      <c r="AJ1" s="279"/>
      <c r="AK1" s="279"/>
      <c r="AL1" s="279"/>
      <c r="AM1" s="279"/>
      <c r="AN1" s="279"/>
      <c r="AO1" s="280"/>
      <c r="AP1" s="281" t="s">
        <v>4</v>
      </c>
      <c r="AQ1" s="299"/>
      <c r="AR1" s="282"/>
      <c r="AS1" s="282"/>
      <c r="AT1" s="282"/>
      <c r="AU1" s="282"/>
      <c r="AV1" s="282"/>
      <c r="AW1" s="282"/>
      <c r="AX1" s="282"/>
      <c r="AY1" s="282"/>
      <c r="AZ1" s="282"/>
      <c r="BA1" s="269" t="s">
        <v>5</v>
      </c>
      <c r="BB1" s="270"/>
      <c r="BC1" s="270"/>
      <c r="BD1" s="270"/>
      <c r="BE1" s="270"/>
    </row>
    <row r="2" spans="1:59" ht="12.95" customHeight="1" x14ac:dyDescent="0.15">
      <c r="A2" s="267"/>
      <c r="B2" s="268"/>
      <c r="C2" s="283" t="s">
        <v>6</v>
      </c>
      <c r="D2" s="284"/>
      <c r="E2" s="284"/>
      <c r="F2" s="284"/>
      <c r="G2" s="284"/>
      <c r="H2" s="284"/>
      <c r="I2" s="284"/>
      <c r="J2" s="284"/>
      <c r="K2" s="284"/>
      <c r="L2" s="285"/>
      <c r="M2" s="286" t="s">
        <v>7</v>
      </c>
      <c r="N2" s="287"/>
      <c r="O2" s="287"/>
      <c r="P2" s="287"/>
      <c r="Q2" s="287"/>
      <c r="R2" s="287"/>
      <c r="S2" s="287"/>
      <c r="T2" s="287"/>
      <c r="U2" s="287"/>
      <c r="V2" s="288"/>
      <c r="W2" s="289" t="s">
        <v>6</v>
      </c>
      <c r="X2" s="290"/>
      <c r="Y2" s="290"/>
      <c r="Z2" s="290"/>
      <c r="AA2" s="290"/>
      <c r="AB2" s="291"/>
      <c r="AC2" s="292" t="s">
        <v>7</v>
      </c>
      <c r="AD2" s="292"/>
      <c r="AE2" s="292"/>
      <c r="AF2" s="292"/>
      <c r="AG2" s="293" t="s">
        <v>6</v>
      </c>
      <c r="AH2" s="294"/>
      <c r="AI2" s="304"/>
      <c r="AJ2" s="295" t="s">
        <v>7</v>
      </c>
      <c r="AK2" s="295"/>
      <c r="AL2" s="295"/>
      <c r="AM2" s="295"/>
      <c r="AN2" s="295"/>
      <c r="AO2" s="295"/>
      <c r="AP2" s="296" t="s">
        <v>6</v>
      </c>
      <c r="AQ2" s="297"/>
      <c r="AR2" s="305"/>
      <c r="AS2" s="298" t="s">
        <v>7</v>
      </c>
      <c r="AT2" s="298"/>
      <c r="AU2" s="298"/>
      <c r="AV2" s="298"/>
      <c r="AW2" s="298"/>
      <c r="AX2" s="298"/>
      <c r="AY2" s="298"/>
      <c r="AZ2" s="298"/>
      <c r="BA2" s="269"/>
      <c r="BB2" s="270"/>
      <c r="BC2" s="270"/>
      <c r="BD2" s="270"/>
      <c r="BE2" s="270"/>
    </row>
    <row r="3" spans="1:59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83" t="s">
        <v>13</v>
      </c>
      <c r="G3" s="83" t="s">
        <v>14</v>
      </c>
      <c r="H3" s="83" t="s">
        <v>15</v>
      </c>
      <c r="I3" s="83" t="s">
        <v>16</v>
      </c>
      <c r="J3" s="27" t="s">
        <v>17</v>
      </c>
      <c r="K3" s="27" t="s">
        <v>18</v>
      </c>
      <c r="L3" s="84" t="s">
        <v>19</v>
      </c>
      <c r="M3" s="85" t="s">
        <v>20</v>
      </c>
      <c r="N3" s="27" t="s">
        <v>21</v>
      </c>
      <c r="O3" s="27" t="s">
        <v>22</v>
      </c>
      <c r="P3" s="86" t="s">
        <v>23</v>
      </c>
      <c r="Q3" s="83" t="s">
        <v>24</v>
      </c>
      <c r="R3" s="83" t="s">
        <v>25</v>
      </c>
      <c r="S3" s="83" t="s">
        <v>26</v>
      </c>
      <c r="T3" s="83" t="s">
        <v>27</v>
      </c>
      <c r="U3" s="87" t="s">
        <v>28</v>
      </c>
      <c r="V3" s="88" t="s">
        <v>29</v>
      </c>
      <c r="W3" s="34" t="s">
        <v>30</v>
      </c>
      <c r="X3" s="35" t="s">
        <v>31</v>
      </c>
      <c r="Y3" s="35" t="s">
        <v>32</v>
      </c>
      <c r="Z3" s="35" t="s">
        <v>33</v>
      </c>
      <c r="AA3" s="36" t="s">
        <v>34</v>
      </c>
      <c r="AB3" s="35" t="s">
        <v>35</v>
      </c>
      <c r="AC3" s="37" t="s">
        <v>36</v>
      </c>
      <c r="AD3" s="23" t="s">
        <v>37</v>
      </c>
      <c r="AE3" s="23" t="s">
        <v>38</v>
      </c>
      <c r="AF3" s="23" t="s">
        <v>39</v>
      </c>
      <c r="AG3" s="89" t="s">
        <v>387</v>
      </c>
      <c r="AH3" s="90" t="s">
        <v>388</v>
      </c>
      <c r="AI3" s="91" t="s">
        <v>389</v>
      </c>
      <c r="AJ3" s="92" t="s">
        <v>43</v>
      </c>
      <c r="AK3" s="92" t="s">
        <v>44</v>
      </c>
      <c r="AL3" s="92" t="s">
        <v>45</v>
      </c>
      <c r="AM3" s="92" t="s">
        <v>46</v>
      </c>
      <c r="AN3" s="92" t="s">
        <v>47</v>
      </c>
      <c r="AO3" s="93" t="s">
        <v>48</v>
      </c>
      <c r="AP3" s="94" t="s">
        <v>390</v>
      </c>
      <c r="AQ3" s="95" t="s">
        <v>391</v>
      </c>
      <c r="AR3" s="96" t="s">
        <v>392</v>
      </c>
      <c r="AS3" s="97" t="s">
        <v>52</v>
      </c>
      <c r="AT3" s="97" t="s">
        <v>53</v>
      </c>
      <c r="AU3" s="97" t="s">
        <v>54</v>
      </c>
      <c r="AV3" s="97" t="s">
        <v>55</v>
      </c>
      <c r="AW3" s="97" t="s">
        <v>56</v>
      </c>
      <c r="AX3" s="98" t="s">
        <v>57</v>
      </c>
      <c r="AY3" s="97" t="s">
        <v>58</v>
      </c>
      <c r="AZ3" s="97" t="s">
        <v>59</v>
      </c>
      <c r="BA3" s="99" t="s">
        <v>60</v>
      </c>
      <c r="BB3" s="99" t="s">
        <v>61</v>
      </c>
      <c r="BC3" s="99" t="s">
        <v>62</v>
      </c>
      <c r="BD3" s="100" t="s">
        <v>63</v>
      </c>
      <c r="BE3" s="100" t="s">
        <v>64</v>
      </c>
      <c r="BF3" s="1" t="s">
        <v>66</v>
      </c>
      <c r="BG3" t="s">
        <v>275</v>
      </c>
    </row>
    <row r="4" spans="1:59" ht="29.1" customHeight="1" x14ac:dyDescent="0.15">
      <c r="A4" s="38" t="s">
        <v>160</v>
      </c>
      <c r="B4" s="38" t="s">
        <v>161</v>
      </c>
      <c r="C4" s="67">
        <v>16</v>
      </c>
      <c r="D4" s="68">
        <v>16</v>
      </c>
      <c r="E4" s="41">
        <v>726.99</v>
      </c>
      <c r="F4" s="101">
        <v>16</v>
      </c>
      <c r="G4" s="101">
        <v>16</v>
      </c>
      <c r="H4" s="41">
        <v>726.99</v>
      </c>
      <c r="I4" s="41">
        <v>687.55</v>
      </c>
      <c r="J4" s="102">
        <v>0</v>
      </c>
      <c r="K4" s="103">
        <f>J4/C4</f>
        <v>0</v>
      </c>
      <c r="L4" s="104">
        <v>0</v>
      </c>
      <c r="M4" s="105" t="e">
        <f>(C4-#REF!)/#REF!</f>
        <v>#REF!</v>
      </c>
      <c r="N4" s="103" t="e">
        <f>(D4-#REF!)/#REF!</f>
        <v>#REF!</v>
      </c>
      <c r="O4" s="103" t="e">
        <f>(E4-#REF!)/#REF!</f>
        <v>#REF!</v>
      </c>
      <c r="P4" s="106">
        <f>C4/D4</f>
        <v>1</v>
      </c>
      <c r="Q4" s="107">
        <f>E4/D4</f>
        <v>45.436875000000001</v>
      </c>
      <c r="R4" s="108">
        <f>E4/C4</f>
        <v>45.436875000000001</v>
      </c>
      <c r="S4" s="108">
        <f>C4/7</f>
        <v>2.2857142857142856</v>
      </c>
      <c r="T4" s="109">
        <f>D4-Y4</f>
        <v>14</v>
      </c>
      <c r="U4" s="110">
        <f>T4/D4</f>
        <v>0.875</v>
      </c>
      <c r="V4" s="72">
        <f>Z4/(E4-I4)</f>
        <v>4.727434077079101</v>
      </c>
      <c r="W4" s="68">
        <v>32589</v>
      </c>
      <c r="X4" s="68">
        <v>131</v>
      </c>
      <c r="Y4" s="68">
        <v>2</v>
      </c>
      <c r="Z4" s="41">
        <v>186.45</v>
      </c>
      <c r="AA4" s="111">
        <v>46.4</v>
      </c>
      <c r="AB4" s="68">
        <v>1.42</v>
      </c>
      <c r="AC4" s="48">
        <f>Z4/AA4</f>
        <v>4.0183189655172411</v>
      </c>
      <c r="AD4" s="49">
        <f t="shared" ref="AD4:AD40" si="0">X4/W4</f>
        <v>4.0197612691398937E-3</v>
      </c>
      <c r="AE4" s="112">
        <f t="shared" ref="AE4:AE40" si="1">Y4/X4</f>
        <v>1.5267175572519083E-2</v>
      </c>
      <c r="AF4" s="107">
        <f t="shared" ref="AF4:AF40" si="2">Z4/Y4</f>
        <v>93.224999999999994</v>
      </c>
      <c r="AG4" s="113">
        <v>3</v>
      </c>
      <c r="AH4" s="114">
        <v>1</v>
      </c>
      <c r="AI4" s="115">
        <v>12</v>
      </c>
      <c r="AJ4" s="116">
        <f>AG4*产品成本!$D$19+AH4*产品成本!$D$20+AI4*产品成本!$D$21</f>
        <v>144.36619718309808</v>
      </c>
      <c r="AK4" s="116">
        <f>AG4*产品成本!$E$19+AH4*产品成本!$E$20+AI4*产品成本!$E$21</f>
        <v>40.374028169014061</v>
      </c>
      <c r="AL4" s="116">
        <f>AG4*产品成本!$F$19+AH4*产品成本!$F$20+AI4*产品成本!$F$21</f>
        <v>10.120000000000001</v>
      </c>
      <c r="AM4" s="116">
        <f>AG4*产品成本!$G$19+AH4*产品成本!$G$20+AI4*产品成本!$G$21</f>
        <v>109.64999999999999</v>
      </c>
      <c r="AN4" s="116">
        <f t="shared" ref="AN4:AN40" si="3">(E4-I4)*0.15</f>
        <v>5.9160000000000084</v>
      </c>
      <c r="AO4" s="117">
        <f t="shared" ref="AO4:AO40" si="4">SUM(AJ4:AN4)</f>
        <v>310.42622535211211</v>
      </c>
      <c r="AP4" s="118">
        <v>0</v>
      </c>
      <c r="AQ4" s="118">
        <v>0</v>
      </c>
      <c r="AR4" s="119">
        <v>0</v>
      </c>
      <c r="AS4" s="120">
        <f t="shared" ref="AS4:AS40" si="5">L4/(1-0.15-0.15*0.2)</f>
        <v>0</v>
      </c>
      <c r="AT4" s="116">
        <f>AP4*产品成本!$D$19+AQ4*产品成本!$D$20+AR4*产品成本!$D$21</f>
        <v>0</v>
      </c>
      <c r="AU4" s="116">
        <f>AP4*产品成本!$E$19+AQ4*产品成本!$E$20+AR4*产品成本!$E$21</f>
        <v>0</v>
      </c>
      <c r="AV4" s="116">
        <f>AP4*产品成本!$F$19+AQ4*产品成本!$F$20+AR4*产品成本!$F$21</f>
        <v>0</v>
      </c>
      <c r="AW4" s="116">
        <f>AP4*产品成本!$G$19+AQ4*产品成本!$G$20+AR4*产品成本!$G$21</f>
        <v>0</v>
      </c>
      <c r="AX4" s="116">
        <f>AS4*0.15</f>
        <v>0</v>
      </c>
      <c r="AY4" s="116">
        <f>-AX4*0.2</f>
        <v>0</v>
      </c>
      <c r="AZ4" s="117">
        <f>SUM(AT4:AY4)</f>
        <v>0</v>
      </c>
      <c r="BA4" s="121">
        <f>AO4-AZ4</f>
        <v>310.42622535211211</v>
      </c>
      <c r="BB4" s="122">
        <f>E4-I4</f>
        <v>39.440000000000055</v>
      </c>
      <c r="BC4" s="121">
        <f t="shared" ref="BC4:BC40" si="6">E4-AS4-I4</f>
        <v>39.440000000000055</v>
      </c>
      <c r="BD4" s="121">
        <f t="shared" ref="BD4:BD40" si="7">BC4-BA4-Z4</f>
        <v>-457.43622535211205</v>
      </c>
      <c r="BE4" s="123">
        <f>BD4/BC4</f>
        <v>-11.598281575864894</v>
      </c>
      <c r="BF4" s="124" t="s">
        <v>393</v>
      </c>
    </row>
    <row r="5" spans="1:59" ht="29.1" customHeight="1" x14ac:dyDescent="0.15">
      <c r="A5" s="38" t="s">
        <v>162</v>
      </c>
      <c r="B5" s="38" t="s">
        <v>163</v>
      </c>
      <c r="C5" s="67">
        <v>6</v>
      </c>
      <c r="D5" s="68">
        <v>6</v>
      </c>
      <c r="E5" s="41">
        <v>224.34</v>
      </c>
      <c r="F5" s="101">
        <v>2</v>
      </c>
      <c r="G5" s="101">
        <v>2</v>
      </c>
      <c r="H5" s="41">
        <v>94.78</v>
      </c>
      <c r="I5" s="41">
        <v>54.38</v>
      </c>
      <c r="J5" s="102">
        <v>0</v>
      </c>
      <c r="K5" s="103">
        <f>J5/C5</f>
        <v>0</v>
      </c>
      <c r="L5" s="104">
        <v>0</v>
      </c>
      <c r="M5" s="105">
        <f t="shared" ref="M5:O6" si="8">(C5-C4)/C4</f>
        <v>-0.625</v>
      </c>
      <c r="N5" s="103">
        <f t="shared" si="8"/>
        <v>-0.625</v>
      </c>
      <c r="O5" s="103">
        <f t="shared" si="8"/>
        <v>-0.69141253662361235</v>
      </c>
      <c r="P5" s="106">
        <f>C5/D5</f>
        <v>1</v>
      </c>
      <c r="Q5" s="107">
        <f>E5/D5</f>
        <v>37.39</v>
      </c>
      <c r="R5" s="108">
        <f>E5/C5</f>
        <v>37.39</v>
      </c>
      <c r="S5" s="108">
        <f>C5/7</f>
        <v>0.8571428571428571</v>
      </c>
      <c r="T5" s="109">
        <f>D5-Y5</f>
        <v>2</v>
      </c>
      <c r="U5" s="110">
        <f>T5/D5</f>
        <v>0.33333333333333331</v>
      </c>
      <c r="V5" s="72">
        <f>Z5/(E5-I5)</f>
        <v>2.4711696869851729</v>
      </c>
      <c r="W5" s="68">
        <v>77002</v>
      </c>
      <c r="X5" s="68">
        <v>356</v>
      </c>
      <c r="Y5" s="68">
        <v>4</v>
      </c>
      <c r="Z5" s="41">
        <v>420</v>
      </c>
      <c r="AA5" s="111">
        <v>129.56</v>
      </c>
      <c r="AB5" s="68">
        <v>1.18</v>
      </c>
      <c r="AC5" s="48">
        <f>Z5/AA5</f>
        <v>3.2417412781722752</v>
      </c>
      <c r="AD5" s="49">
        <f t="shared" si="0"/>
        <v>4.6232565387912001E-3</v>
      </c>
      <c r="AE5" s="112">
        <f t="shared" si="1"/>
        <v>1.1235955056179775E-2</v>
      </c>
      <c r="AF5" s="107">
        <f t="shared" si="2"/>
        <v>105</v>
      </c>
      <c r="AG5" s="113">
        <v>2</v>
      </c>
      <c r="AH5" s="114">
        <v>0</v>
      </c>
      <c r="AI5" s="115">
        <v>4</v>
      </c>
      <c r="AJ5" s="116">
        <f>AG5*产品成本!$D$19+AH5*产品成本!$D$20+AI5*产品成本!$D$21</f>
        <v>49.295774647887157</v>
      </c>
      <c r="AK5" s="116">
        <f>AG5*产品成本!$E$19+AH5*产品成本!$E$20+AI5*产品成本!$E$21</f>
        <v>13.786253521126753</v>
      </c>
      <c r="AL5" s="116">
        <f>AG5*产品成本!$F$19+AH5*产品成本!$F$20+AI5*产品成本!$F$21</f>
        <v>3.7</v>
      </c>
      <c r="AM5" s="116">
        <f>AG5*产品成本!$G$19+AH5*产品成本!$G$20+AI5*产品成本!$G$21</f>
        <v>40</v>
      </c>
      <c r="AN5" s="116">
        <f t="shared" si="3"/>
        <v>25.494</v>
      </c>
      <c r="AO5" s="117">
        <f t="shared" si="4"/>
        <v>132.2760281690139</v>
      </c>
      <c r="AP5" s="118">
        <v>0</v>
      </c>
      <c r="AQ5" s="118">
        <v>0</v>
      </c>
      <c r="AR5" s="119">
        <v>0</v>
      </c>
      <c r="AS5" s="120">
        <f t="shared" si="5"/>
        <v>0</v>
      </c>
      <c r="AT5" s="116">
        <f>AP5*产品成本!$D$19+AQ5*产品成本!$D$20+AR5*产品成本!$D$21</f>
        <v>0</v>
      </c>
      <c r="AU5" s="116">
        <f>AP5*产品成本!$E$19+AQ5*产品成本!$E$20+AR5*产品成本!$E$21</f>
        <v>0</v>
      </c>
      <c r="AV5" s="116">
        <f>AP5*产品成本!$F$19+AQ5*产品成本!$F$20+AR5*产品成本!$F$21</f>
        <v>0</v>
      </c>
      <c r="AW5" s="116">
        <f>AP5*产品成本!$G$19+AQ5*产品成本!$G$20+AR5*产品成本!$G$21</f>
        <v>0</v>
      </c>
      <c r="AX5" s="116">
        <f>AS5*0.15</f>
        <v>0</v>
      </c>
      <c r="AY5" s="116">
        <f>-AX5*0.2</f>
        <v>0</v>
      </c>
      <c r="AZ5" s="117">
        <f>SUM(AT5:AY5)</f>
        <v>0</v>
      </c>
      <c r="BA5" s="121">
        <f>AO5-AZ5</f>
        <v>132.2760281690139</v>
      </c>
      <c r="BB5" s="122">
        <f>E5-I5</f>
        <v>169.96</v>
      </c>
      <c r="BC5" s="121">
        <f t="shared" si="6"/>
        <v>169.96</v>
      </c>
      <c r="BD5" s="121">
        <f t="shared" si="7"/>
        <v>-382.31602816901386</v>
      </c>
      <c r="BE5" s="123">
        <f>BD5/BC5</f>
        <v>-2.2494470944281821</v>
      </c>
      <c r="BF5" s="124" t="s">
        <v>394</v>
      </c>
    </row>
    <row r="6" spans="1:59" ht="29.1" customHeight="1" x14ac:dyDescent="0.15">
      <c r="A6" s="38" t="s">
        <v>167</v>
      </c>
      <c r="B6" s="38" t="s">
        <v>168</v>
      </c>
      <c r="C6" s="67">
        <v>25</v>
      </c>
      <c r="D6" s="68">
        <v>25</v>
      </c>
      <c r="E6" s="41">
        <v>957.23</v>
      </c>
      <c r="F6" s="101">
        <v>15</v>
      </c>
      <c r="G6" s="101">
        <v>15</v>
      </c>
      <c r="H6" s="41">
        <v>697.26</v>
      </c>
      <c r="I6" s="41">
        <v>687.26</v>
      </c>
      <c r="J6" s="102">
        <v>0</v>
      </c>
      <c r="K6" s="103">
        <f>J6/C6</f>
        <v>0</v>
      </c>
      <c r="L6" s="104">
        <v>0</v>
      </c>
      <c r="M6" s="105">
        <f t="shared" si="8"/>
        <v>3.1666666666666665</v>
      </c>
      <c r="N6" s="103">
        <f t="shared" si="8"/>
        <v>3.1666666666666665</v>
      </c>
      <c r="O6" s="103">
        <f t="shared" si="8"/>
        <v>3.2668717125791207</v>
      </c>
      <c r="P6" s="106">
        <f t="shared" ref="P6:P16" si="9">C6/D6</f>
        <v>1</v>
      </c>
      <c r="Q6" s="107">
        <f t="shared" ref="Q6:Q16" si="10">E6/D6</f>
        <v>38.289200000000001</v>
      </c>
      <c r="R6" s="108">
        <f t="shared" ref="R6:R16" si="11">E6/C6</f>
        <v>38.289200000000001</v>
      </c>
      <c r="S6" s="108">
        <f t="shared" ref="S6:S16" si="12">C6/7</f>
        <v>3.5714285714285716</v>
      </c>
      <c r="T6" s="109">
        <f t="shared" ref="T6:T16" si="13">D6-Y6</f>
        <v>15</v>
      </c>
      <c r="U6" s="110">
        <f t="shared" ref="U6:U16" si="14">T6/D6</f>
        <v>0.6</v>
      </c>
      <c r="V6" s="72">
        <f t="shared" ref="V6:V16" si="15">Z6/(E6-I6)</f>
        <v>1.2389524762010593</v>
      </c>
      <c r="W6" s="68">
        <v>49932</v>
      </c>
      <c r="X6" s="68">
        <v>257</v>
      </c>
      <c r="Y6" s="68">
        <v>10</v>
      </c>
      <c r="Z6" s="41">
        <v>334.48</v>
      </c>
      <c r="AA6" s="111">
        <v>259.97000000000003</v>
      </c>
      <c r="AB6" s="68">
        <v>1.3</v>
      </c>
      <c r="AC6" s="48">
        <f>Z6/AA6</f>
        <v>1.286609993460784</v>
      </c>
      <c r="AD6" s="49">
        <f t="shared" si="0"/>
        <v>5.1469999198910515E-3</v>
      </c>
      <c r="AE6" s="112">
        <f t="shared" si="1"/>
        <v>3.8910505836575876E-2</v>
      </c>
      <c r="AF6" s="107">
        <f t="shared" si="2"/>
        <v>33.448</v>
      </c>
      <c r="AG6" s="113">
        <v>9</v>
      </c>
      <c r="AH6" s="114">
        <v>7</v>
      </c>
      <c r="AI6" s="115">
        <v>9</v>
      </c>
      <c r="AJ6" s="116">
        <f>AG6*产品成本!$D$19+AH6*产品成本!$D$20+AI6*产品成本!$D$21</f>
        <v>176.05633802816862</v>
      </c>
      <c r="AK6" s="116">
        <f>AG6*产品成本!$E$19+AH6*产品成本!$E$20+AI6*产品成本!$E$21</f>
        <v>49.236619718309811</v>
      </c>
      <c r="AL6" s="116">
        <f>AG6*产品成本!$F$19+AH6*产品成本!$F$20+AI6*产品成本!$F$21</f>
        <v>13.96</v>
      </c>
      <c r="AM6" s="116">
        <f>AG6*产品成本!$G$19+AH6*产品成本!$G$20+AI6*产品成本!$G$21</f>
        <v>158.31</v>
      </c>
      <c r="AN6" s="116">
        <f t="shared" si="3"/>
        <v>40.4955</v>
      </c>
      <c r="AO6" s="117">
        <f t="shared" si="4"/>
        <v>438.05845774647844</v>
      </c>
      <c r="AP6" s="118">
        <v>0</v>
      </c>
      <c r="AQ6" s="118">
        <v>0</v>
      </c>
      <c r="AR6" s="119">
        <v>0</v>
      </c>
      <c r="AS6" s="120">
        <f t="shared" si="5"/>
        <v>0</v>
      </c>
      <c r="AT6" s="116">
        <f>AP6*产品成本!$D$19+AQ6*产品成本!$D$20+AR6*产品成本!$D$21</f>
        <v>0</v>
      </c>
      <c r="AU6" s="116">
        <f>AP6*产品成本!$E$19+AQ6*产品成本!$E$20+AR6*产品成本!$E$21</f>
        <v>0</v>
      </c>
      <c r="AV6" s="116">
        <f>AP6*产品成本!$F$19+AQ6*产品成本!$F$20+AR6*产品成本!$F$21</f>
        <v>0</v>
      </c>
      <c r="AW6" s="116">
        <f>AP6*产品成本!$G$19+AQ6*产品成本!$G$20+AR6*产品成本!$G$21</f>
        <v>0</v>
      </c>
      <c r="AX6" s="116">
        <f>AS6*0.15</f>
        <v>0</v>
      </c>
      <c r="AY6" s="116">
        <f>-AX6*0.2</f>
        <v>0</v>
      </c>
      <c r="AZ6" s="117">
        <f>SUM(AT6:AY6)</f>
        <v>0</v>
      </c>
      <c r="BA6" s="121">
        <f>AO6-AZ6</f>
        <v>438.05845774647844</v>
      </c>
      <c r="BB6" s="122">
        <f>E6-I6</f>
        <v>269.97000000000003</v>
      </c>
      <c r="BC6" s="121">
        <f t="shared" si="6"/>
        <v>269.97000000000003</v>
      </c>
      <c r="BD6" s="121">
        <f t="shared" si="7"/>
        <v>-502.56845774647843</v>
      </c>
      <c r="BE6" s="123">
        <f>BD6/BC6</f>
        <v>-1.8615714995980235</v>
      </c>
      <c r="BF6" s="124" t="s">
        <v>395</v>
      </c>
    </row>
    <row r="7" spans="1:59" ht="29.1" customHeight="1" x14ac:dyDescent="0.15">
      <c r="A7" s="38" t="s">
        <v>169</v>
      </c>
      <c r="B7" s="38" t="s">
        <v>170</v>
      </c>
      <c r="C7" s="67">
        <v>9</v>
      </c>
      <c r="D7" s="68">
        <v>9</v>
      </c>
      <c r="E7" s="41">
        <v>307.01</v>
      </c>
      <c r="F7" s="101">
        <v>0</v>
      </c>
      <c r="G7" s="101">
        <v>0</v>
      </c>
      <c r="H7" s="41">
        <v>0</v>
      </c>
      <c r="I7" s="41">
        <v>0</v>
      </c>
      <c r="J7" s="102">
        <v>0</v>
      </c>
      <c r="K7" s="103">
        <f t="shared" ref="K7:K16" si="16">J7/C7</f>
        <v>0</v>
      </c>
      <c r="L7" s="104">
        <v>0</v>
      </c>
      <c r="M7" s="105">
        <f t="shared" ref="M7:M16" si="17">(C7-C6)/C6</f>
        <v>-0.64</v>
      </c>
      <c r="N7" s="103">
        <f t="shared" ref="N7:N16" si="18">(D7-D6)/D6</f>
        <v>-0.64</v>
      </c>
      <c r="O7" s="103">
        <f t="shared" ref="O7:O16" si="19">(E7-E6)/E6</f>
        <v>-0.67927248414696573</v>
      </c>
      <c r="P7" s="106">
        <f t="shared" si="9"/>
        <v>1</v>
      </c>
      <c r="Q7" s="107">
        <f t="shared" si="10"/>
        <v>34.112222222222222</v>
      </c>
      <c r="R7" s="108">
        <f t="shared" si="11"/>
        <v>34.112222222222222</v>
      </c>
      <c r="S7" s="108">
        <f t="shared" si="12"/>
        <v>1.2857142857142858</v>
      </c>
      <c r="T7" s="109">
        <f t="shared" si="13"/>
        <v>0</v>
      </c>
      <c r="U7" s="110">
        <f t="shared" si="14"/>
        <v>0</v>
      </c>
      <c r="V7" s="72">
        <f t="shared" si="15"/>
        <v>1.1189212077782482</v>
      </c>
      <c r="W7" s="68">
        <v>57977</v>
      </c>
      <c r="X7" s="68">
        <v>246</v>
      </c>
      <c r="Y7" s="68">
        <v>9</v>
      </c>
      <c r="Z7" s="41">
        <v>343.52</v>
      </c>
      <c r="AA7" s="111">
        <v>307.01</v>
      </c>
      <c r="AB7" s="68">
        <v>1.4</v>
      </c>
      <c r="AC7" s="48">
        <f t="shared" ref="AC7:AC16" si="20">Z7/AA7</f>
        <v>1.1189212077782482</v>
      </c>
      <c r="AD7" s="49">
        <f t="shared" si="0"/>
        <v>4.2430619038584267E-3</v>
      </c>
      <c r="AE7" s="112">
        <f t="shared" si="1"/>
        <v>3.6585365853658534E-2</v>
      </c>
      <c r="AF7" s="107">
        <f t="shared" si="2"/>
        <v>38.168888888888887</v>
      </c>
      <c r="AG7" s="113">
        <v>5</v>
      </c>
      <c r="AH7" s="114">
        <v>4</v>
      </c>
      <c r="AI7" s="115">
        <v>0</v>
      </c>
      <c r="AJ7" s="116">
        <f>AG7*产品成本!$D$19+AH7*产品成本!$D$20+AI7*产品成本!$D$21</f>
        <v>45.774647887323937</v>
      </c>
      <c r="AK7" s="116">
        <f>AG7*产品成本!$E$19+AH7*产品成本!$E$20+AI7*产品成本!$E$21</f>
        <v>12.801521126760544</v>
      </c>
      <c r="AL7" s="116">
        <f>AG7*产品成本!$F$19+AH7*产品成本!$F$20+AI7*产品成本!$F$21</f>
        <v>4.41</v>
      </c>
      <c r="AM7" s="116">
        <f>AG7*产品成本!$G$19+AH7*产品成本!$G$20+AI7*产品成本!$G$21</f>
        <v>52.44</v>
      </c>
      <c r="AN7" s="116">
        <f t="shared" si="3"/>
        <v>46.051499999999997</v>
      </c>
      <c r="AO7" s="117">
        <f t="shared" si="4"/>
        <v>161.47766901408448</v>
      </c>
      <c r="AP7" s="118">
        <v>0</v>
      </c>
      <c r="AQ7" s="118">
        <v>0</v>
      </c>
      <c r="AR7" s="119">
        <v>0</v>
      </c>
      <c r="AS7" s="120">
        <f t="shared" si="5"/>
        <v>0</v>
      </c>
      <c r="AT7" s="116">
        <f>AP7*产品成本!$D$19+AQ7*产品成本!$D$20+AR7*产品成本!$D$21</f>
        <v>0</v>
      </c>
      <c r="AU7" s="116">
        <f>AP7*产品成本!$E$19+AQ7*产品成本!$E$20+AR7*产品成本!$E$21</f>
        <v>0</v>
      </c>
      <c r="AV7" s="116">
        <f>AP7*产品成本!$F$19+AQ7*产品成本!$F$20+AR7*产品成本!$F$21</f>
        <v>0</v>
      </c>
      <c r="AW7" s="116">
        <f>AP7*产品成本!$G$19+AQ7*产品成本!$G$20+AR7*产品成本!$G$21</f>
        <v>0</v>
      </c>
      <c r="AX7" s="116">
        <f t="shared" ref="AX7:AX16" si="21">AS7*0.15</f>
        <v>0</v>
      </c>
      <c r="AY7" s="116">
        <f t="shared" ref="AY7:AY16" si="22">-AX7*0.2</f>
        <v>0</v>
      </c>
      <c r="AZ7" s="117">
        <f t="shared" ref="AZ7:AZ16" si="23">SUM(AT7:AY7)</f>
        <v>0</v>
      </c>
      <c r="BA7" s="121">
        <f t="shared" ref="BA7:BA16" si="24">AO7-AZ7</f>
        <v>161.47766901408448</v>
      </c>
      <c r="BB7" s="122">
        <f t="shared" ref="BB7:BB16" si="25">E7-I7</f>
        <v>307.01</v>
      </c>
      <c r="BC7" s="121">
        <f t="shared" si="6"/>
        <v>307.01</v>
      </c>
      <c r="BD7" s="121">
        <f t="shared" si="7"/>
        <v>-197.98766901408447</v>
      </c>
      <c r="BE7" s="123">
        <f t="shared" ref="BE7:BE16" si="26">BD7/BC7</f>
        <v>-0.64488996779936969</v>
      </c>
      <c r="BF7" s="124"/>
    </row>
    <row r="8" spans="1:59" ht="29.1" customHeight="1" x14ac:dyDescent="0.15">
      <c r="A8" s="38" t="s">
        <v>172</v>
      </c>
      <c r="B8" s="38" t="s">
        <v>173</v>
      </c>
      <c r="C8" s="67">
        <v>8</v>
      </c>
      <c r="D8" s="68">
        <v>8</v>
      </c>
      <c r="E8" s="41">
        <v>213.32</v>
      </c>
      <c r="F8" s="101">
        <v>1</v>
      </c>
      <c r="G8" s="101">
        <v>1</v>
      </c>
      <c r="H8" s="41">
        <v>40.39</v>
      </c>
      <c r="I8" s="41">
        <v>4.04</v>
      </c>
      <c r="J8" s="102">
        <v>2</v>
      </c>
      <c r="K8" s="103">
        <f t="shared" si="16"/>
        <v>0.25</v>
      </c>
      <c r="L8" s="104">
        <v>26.66</v>
      </c>
      <c r="M8" s="105">
        <f t="shared" si="17"/>
        <v>-0.1111111111111111</v>
      </c>
      <c r="N8" s="103">
        <f t="shared" si="18"/>
        <v>-0.1111111111111111</v>
      </c>
      <c r="O8" s="103">
        <f t="shared" si="19"/>
        <v>-0.30516921272922704</v>
      </c>
      <c r="P8" s="106">
        <f t="shared" si="9"/>
        <v>1</v>
      </c>
      <c r="Q8" s="107">
        <f t="shared" si="10"/>
        <v>26.664999999999999</v>
      </c>
      <c r="R8" s="108">
        <f t="shared" si="11"/>
        <v>26.664999999999999</v>
      </c>
      <c r="S8" s="108">
        <f t="shared" si="12"/>
        <v>1.1428571428571428</v>
      </c>
      <c r="T8" s="109">
        <f t="shared" si="13"/>
        <v>-1</v>
      </c>
      <c r="U8" s="110">
        <f t="shared" si="14"/>
        <v>-0.125</v>
      </c>
      <c r="V8" s="72">
        <f t="shared" si="15"/>
        <v>1.9372610856269112</v>
      </c>
      <c r="W8" s="68">
        <v>72272</v>
      </c>
      <c r="X8" s="68">
        <v>280</v>
      </c>
      <c r="Y8" s="68">
        <v>9</v>
      </c>
      <c r="Z8" s="41">
        <v>405.43</v>
      </c>
      <c r="AA8" s="111">
        <v>213.33</v>
      </c>
      <c r="AB8" s="68">
        <v>1.45</v>
      </c>
      <c r="AC8" s="48">
        <f t="shared" si="20"/>
        <v>1.9004828200440631</v>
      </c>
      <c r="AD8" s="49">
        <f t="shared" si="0"/>
        <v>3.8742528226699139E-3</v>
      </c>
      <c r="AE8" s="112">
        <f t="shared" si="1"/>
        <v>3.214285714285714E-2</v>
      </c>
      <c r="AF8" s="107">
        <f t="shared" si="2"/>
        <v>45.047777777777782</v>
      </c>
      <c r="AG8" s="113">
        <v>6</v>
      </c>
      <c r="AH8" s="114">
        <v>2</v>
      </c>
      <c r="AI8" s="115">
        <v>0</v>
      </c>
      <c r="AJ8" s="116">
        <f>AG8*产品成本!$D$19+AH8*产品成本!$D$20+AI8*产品成本!$D$21</f>
        <v>35.2112676056338</v>
      </c>
      <c r="AK8" s="116">
        <f>AG8*产品成本!$E$19+AH8*产品成本!$E$20+AI8*产品成本!$E$21</f>
        <v>9.8473239436619622</v>
      </c>
      <c r="AL8" s="116">
        <f>AG8*产品成本!$F$19+AH8*产品成本!$F$20+AI8*产品成本!$F$21</f>
        <v>3.92</v>
      </c>
      <c r="AM8" s="116">
        <f>AG8*产品成本!$G$19+AH8*产品成本!$G$20+AI8*产品成本!$G$21</f>
        <v>45.54</v>
      </c>
      <c r="AN8" s="116">
        <f t="shared" si="3"/>
        <v>31.391999999999999</v>
      </c>
      <c r="AO8" s="117">
        <f t="shared" si="4"/>
        <v>125.91059154929576</v>
      </c>
      <c r="AP8" s="118">
        <v>2</v>
      </c>
      <c r="AQ8" s="118">
        <v>0</v>
      </c>
      <c r="AR8" s="119">
        <v>0</v>
      </c>
      <c r="AS8" s="120">
        <f t="shared" si="5"/>
        <v>32.512195121951223</v>
      </c>
      <c r="AT8" s="116">
        <f>AP8*产品成本!$D$19+AQ8*产品成本!$D$20+AR8*产品成本!$D$21</f>
        <v>7.0422535211267601</v>
      </c>
      <c r="AU8" s="116">
        <f>AP8*产品成本!$E$19+AQ8*产品成本!$E$20+AR8*产品成本!$E$21</f>
        <v>1.9694647887323939</v>
      </c>
      <c r="AV8" s="116">
        <f>AP8*产品成本!$F$19+AQ8*产品成本!$F$20+AR8*产品成本!$F$21</f>
        <v>0.98</v>
      </c>
      <c r="AW8" s="116">
        <f>AP8*产品成本!$G$19+AQ8*产品成本!$G$20+AR8*产品成本!$G$21</f>
        <v>11.04</v>
      </c>
      <c r="AX8" s="116">
        <f t="shared" si="21"/>
        <v>4.876829268292683</v>
      </c>
      <c r="AY8" s="116">
        <f t="shared" si="22"/>
        <v>-0.97536585365853667</v>
      </c>
      <c r="AZ8" s="117">
        <f t="shared" si="23"/>
        <v>24.933181724493295</v>
      </c>
      <c r="BA8" s="121">
        <f t="shared" si="24"/>
        <v>100.97740982480246</v>
      </c>
      <c r="BB8" s="122">
        <f t="shared" si="25"/>
        <v>209.28</v>
      </c>
      <c r="BC8" s="121">
        <f t="shared" si="6"/>
        <v>176.76780487804879</v>
      </c>
      <c r="BD8" s="121">
        <f t="shared" si="7"/>
        <v>-329.63960494675371</v>
      </c>
      <c r="BE8" s="123">
        <f t="shared" si="26"/>
        <v>-1.8648169850509282</v>
      </c>
      <c r="BF8" s="124"/>
    </row>
    <row r="9" spans="1:59" ht="29.1" customHeight="1" x14ac:dyDescent="0.15">
      <c r="A9" s="38" t="s">
        <v>175</v>
      </c>
      <c r="B9" s="38" t="s">
        <v>176</v>
      </c>
      <c r="C9" s="67">
        <v>16</v>
      </c>
      <c r="D9" s="68">
        <v>14</v>
      </c>
      <c r="E9" s="41">
        <v>578.34</v>
      </c>
      <c r="F9" s="101">
        <v>0</v>
      </c>
      <c r="G9" s="101">
        <v>0</v>
      </c>
      <c r="H9" s="41">
        <v>0</v>
      </c>
      <c r="I9" s="41">
        <v>0</v>
      </c>
      <c r="J9" s="102">
        <v>2</v>
      </c>
      <c r="K9" s="103">
        <f t="shared" si="16"/>
        <v>0.125</v>
      </c>
      <c r="L9" s="104">
        <v>37.049999999999997</v>
      </c>
      <c r="M9" s="105">
        <f t="shared" si="17"/>
        <v>1</v>
      </c>
      <c r="N9" s="103">
        <f t="shared" si="18"/>
        <v>0.75</v>
      </c>
      <c r="O9" s="103">
        <f t="shared" si="19"/>
        <v>1.7111381961372587</v>
      </c>
      <c r="P9" s="106">
        <f t="shared" si="9"/>
        <v>1.1428571428571428</v>
      </c>
      <c r="Q9" s="107">
        <f t="shared" si="10"/>
        <v>41.31</v>
      </c>
      <c r="R9" s="108">
        <f t="shared" si="11"/>
        <v>36.146250000000002</v>
      </c>
      <c r="S9" s="108">
        <f t="shared" si="12"/>
        <v>2.2857142857142856</v>
      </c>
      <c r="T9" s="109">
        <f t="shared" si="13"/>
        <v>3</v>
      </c>
      <c r="U9" s="110">
        <f t="shared" si="14"/>
        <v>0.21428571428571427</v>
      </c>
      <c r="V9" s="72">
        <f t="shared" si="15"/>
        <v>0.62511671335200736</v>
      </c>
      <c r="W9" s="68">
        <v>47691</v>
      </c>
      <c r="X9" s="68">
        <v>283</v>
      </c>
      <c r="Y9" s="68">
        <v>11</v>
      </c>
      <c r="Z9" s="41">
        <v>361.53</v>
      </c>
      <c r="AA9" s="111">
        <v>385.04</v>
      </c>
      <c r="AB9" s="68">
        <v>1.28</v>
      </c>
      <c r="AC9" s="48">
        <f t="shared" si="20"/>
        <v>0.9389414086848118</v>
      </c>
      <c r="AD9" s="49">
        <f t="shared" si="0"/>
        <v>5.9340336751168982E-3</v>
      </c>
      <c r="AE9" s="112">
        <f t="shared" si="1"/>
        <v>3.8869257950530034E-2</v>
      </c>
      <c r="AF9" s="107">
        <f t="shared" si="2"/>
        <v>32.866363636363637</v>
      </c>
      <c r="AG9" s="113">
        <v>8</v>
      </c>
      <c r="AH9" s="114">
        <v>2</v>
      </c>
      <c r="AI9" s="115">
        <v>6</v>
      </c>
      <c r="AJ9" s="116">
        <f>AG9*产品成本!$D$19+AH9*产品成本!$D$20+AI9*产品成本!$D$21</f>
        <v>105.63380281690115</v>
      </c>
      <c r="AK9" s="116">
        <f>AG9*产品成本!$E$19+AH9*产品成本!$E$20+AI9*产品成本!$E$21</f>
        <v>29.541971830985894</v>
      </c>
      <c r="AL9" s="116">
        <f>AG9*产品成本!$F$19+AH9*产品成本!$F$20+AI9*产品成本!$F$21</f>
        <v>8.98</v>
      </c>
      <c r="AM9" s="116">
        <f>AG9*产品成本!$G$19+AH9*产品成本!$G$20+AI9*产品成本!$G$21</f>
        <v>100.02</v>
      </c>
      <c r="AN9" s="116">
        <f t="shared" si="3"/>
        <v>86.751000000000005</v>
      </c>
      <c r="AO9" s="117">
        <f t="shared" si="4"/>
        <v>330.92677464788699</v>
      </c>
      <c r="AP9" s="118">
        <v>2</v>
      </c>
      <c r="AQ9" s="118">
        <v>0</v>
      </c>
      <c r="AR9" s="119">
        <v>0</v>
      </c>
      <c r="AS9" s="120">
        <f t="shared" si="5"/>
        <v>45.18292682926829</v>
      </c>
      <c r="AT9" s="116">
        <f>AP9*产品成本!$D$19+AQ9*产品成本!$D$20+AR9*产品成本!$D$21</f>
        <v>7.0422535211267601</v>
      </c>
      <c r="AU9" s="116">
        <f>AP9*产品成本!$E$19+AQ9*产品成本!$E$20+AR9*产品成本!$E$21</f>
        <v>1.9694647887323939</v>
      </c>
      <c r="AV9" s="116">
        <f>AP9*产品成本!$F$19+AQ9*产品成本!$F$20+AR9*产品成本!$F$21</f>
        <v>0.98</v>
      </c>
      <c r="AW9" s="116">
        <f>AP9*产品成本!$G$19+AQ9*产品成本!$G$20+AR9*产品成本!$G$21</f>
        <v>11.04</v>
      </c>
      <c r="AX9" s="116">
        <f t="shared" si="21"/>
        <v>6.7774390243902429</v>
      </c>
      <c r="AY9" s="116">
        <f t="shared" si="22"/>
        <v>-1.3554878048780488</v>
      </c>
      <c r="AZ9" s="117">
        <f t="shared" si="23"/>
        <v>26.453669529371346</v>
      </c>
      <c r="BA9" s="121">
        <f t="shared" si="24"/>
        <v>304.47310511851566</v>
      </c>
      <c r="BB9" s="122">
        <f t="shared" si="25"/>
        <v>578.34</v>
      </c>
      <c r="BC9" s="121">
        <f t="shared" si="6"/>
        <v>533.15707317073179</v>
      </c>
      <c r="BD9" s="121">
        <f t="shared" si="7"/>
        <v>-132.84603194778384</v>
      </c>
      <c r="BE9" s="123">
        <f t="shared" si="26"/>
        <v>-0.24916865710462557</v>
      </c>
      <c r="BF9" s="124"/>
    </row>
    <row r="10" spans="1:59" ht="29.1" customHeight="1" x14ac:dyDescent="0.15">
      <c r="A10" s="38" t="s">
        <v>177</v>
      </c>
      <c r="B10" s="38" t="s">
        <v>178</v>
      </c>
      <c r="C10" s="67">
        <v>38</v>
      </c>
      <c r="D10" s="68">
        <v>36</v>
      </c>
      <c r="E10" s="41">
        <v>923.5</v>
      </c>
      <c r="F10" s="101">
        <v>0</v>
      </c>
      <c r="G10" s="101">
        <v>0</v>
      </c>
      <c r="H10" s="41">
        <v>0</v>
      </c>
      <c r="I10" s="41">
        <v>0</v>
      </c>
      <c r="J10" s="102">
        <v>1</v>
      </c>
      <c r="K10" s="103">
        <f t="shared" si="16"/>
        <v>2.6315789473684209E-2</v>
      </c>
      <c r="L10" s="104">
        <v>17.510000000000002</v>
      </c>
      <c r="M10" s="105">
        <f t="shared" si="17"/>
        <v>1.375</v>
      </c>
      <c r="N10" s="103">
        <f t="shared" si="18"/>
        <v>1.5714285714285714</v>
      </c>
      <c r="O10" s="103">
        <f t="shared" si="19"/>
        <v>0.59681156413182546</v>
      </c>
      <c r="P10" s="106">
        <f t="shared" si="9"/>
        <v>1.0555555555555556</v>
      </c>
      <c r="Q10" s="107">
        <f t="shared" si="10"/>
        <v>25.652777777777779</v>
      </c>
      <c r="R10" s="108">
        <f t="shared" si="11"/>
        <v>24.30263157894737</v>
      </c>
      <c r="S10" s="108">
        <f t="shared" si="12"/>
        <v>5.4285714285714288</v>
      </c>
      <c r="T10" s="109">
        <f t="shared" si="13"/>
        <v>2</v>
      </c>
      <c r="U10" s="110">
        <f t="shared" si="14"/>
        <v>5.5555555555555552E-2</v>
      </c>
      <c r="V10" s="72">
        <f t="shared" si="15"/>
        <v>0.65285327558202488</v>
      </c>
      <c r="W10" s="68">
        <v>65793</v>
      </c>
      <c r="X10" s="68">
        <v>479</v>
      </c>
      <c r="Y10" s="68">
        <v>34</v>
      </c>
      <c r="Z10" s="41">
        <v>602.91</v>
      </c>
      <c r="AA10" s="111">
        <v>866.68</v>
      </c>
      <c r="AB10" s="68">
        <v>1.26</v>
      </c>
      <c r="AC10" s="48">
        <f t="shared" si="20"/>
        <v>0.69565468223565796</v>
      </c>
      <c r="AD10" s="49">
        <f t="shared" si="0"/>
        <v>7.2804097700363262E-3</v>
      </c>
      <c r="AE10" s="112">
        <f t="shared" si="1"/>
        <v>7.0981210855949897E-2</v>
      </c>
      <c r="AF10" s="107">
        <f t="shared" si="2"/>
        <v>17.732647058823527</v>
      </c>
      <c r="AG10" s="113">
        <v>29</v>
      </c>
      <c r="AH10" s="114">
        <v>6</v>
      </c>
      <c r="AI10" s="115">
        <v>3</v>
      </c>
      <c r="AJ10" s="116">
        <f>AG10*产品成本!$D$19+AH10*产品成本!$D$20+AI10*产品成本!$D$21</f>
        <v>176.05633802816885</v>
      </c>
      <c r="AK10" s="116">
        <f>AG10*产品成本!$E$19+AH10*产品成本!$E$20+AI10*产品成本!$E$21</f>
        <v>49.236619718309825</v>
      </c>
      <c r="AL10" s="116">
        <f>AG10*产品成本!$F$19+AH10*产品成本!$F$20+AI10*产品成本!$F$21</f>
        <v>19.189999999999998</v>
      </c>
      <c r="AM10" s="116">
        <f>AG10*产品成本!$G$19+AH10*产品成本!$G$20+AI10*产品成本!$G$21</f>
        <v>219.05999999999997</v>
      </c>
      <c r="AN10" s="116">
        <f t="shared" si="3"/>
        <v>138.52500000000001</v>
      </c>
      <c r="AO10" s="117">
        <f t="shared" si="4"/>
        <v>602.06795774647867</v>
      </c>
      <c r="AP10" s="118">
        <v>1</v>
      </c>
      <c r="AQ10" s="118">
        <v>0</v>
      </c>
      <c r="AR10" s="119">
        <v>0</v>
      </c>
      <c r="AS10" s="120">
        <f t="shared" si="5"/>
        <v>21.353658536585368</v>
      </c>
      <c r="AT10" s="116">
        <f>AP10*产品成本!$D$19+AQ10*产品成本!$D$20+AR10*产品成本!$D$21</f>
        <v>3.52112676056338</v>
      </c>
      <c r="AU10" s="116">
        <f>AP10*产品成本!$E$19+AQ10*产品成本!$E$20+AR10*产品成本!$E$21</f>
        <v>0.98473239436619697</v>
      </c>
      <c r="AV10" s="116">
        <f>AP10*产品成本!$F$19+AQ10*产品成本!$F$20+AR10*产品成本!$F$21</f>
        <v>0.49</v>
      </c>
      <c r="AW10" s="116">
        <f>AP10*产品成本!$G$19+AQ10*产品成本!$G$20+AR10*产品成本!$G$21</f>
        <v>5.52</v>
      </c>
      <c r="AX10" s="116">
        <f t="shared" si="21"/>
        <v>3.2030487804878049</v>
      </c>
      <c r="AY10" s="116">
        <f t="shared" si="22"/>
        <v>-0.64060975609756099</v>
      </c>
      <c r="AZ10" s="117">
        <f t="shared" si="23"/>
        <v>13.07829817931982</v>
      </c>
      <c r="BA10" s="121">
        <f t="shared" si="24"/>
        <v>588.98965956715881</v>
      </c>
      <c r="BB10" s="122">
        <f t="shared" si="25"/>
        <v>923.5</v>
      </c>
      <c r="BC10" s="121">
        <f t="shared" si="6"/>
        <v>902.14634146341461</v>
      </c>
      <c r="BD10" s="121">
        <f t="shared" si="7"/>
        <v>-289.75331810374416</v>
      </c>
      <c r="BE10" s="123">
        <f t="shared" si="26"/>
        <v>-0.32118216833171598</v>
      </c>
      <c r="BF10" s="124"/>
    </row>
    <row r="11" spans="1:59" ht="29.1" customHeight="1" x14ac:dyDescent="0.15">
      <c r="A11" s="51" t="s">
        <v>179</v>
      </c>
      <c r="B11" s="51" t="s">
        <v>180</v>
      </c>
      <c r="C11" s="67">
        <v>33</v>
      </c>
      <c r="D11" s="68">
        <v>33</v>
      </c>
      <c r="E11" s="41">
        <v>766.41</v>
      </c>
      <c r="F11" s="101">
        <v>0</v>
      </c>
      <c r="G11" s="101">
        <v>0</v>
      </c>
      <c r="H11" s="41">
        <v>0</v>
      </c>
      <c r="I11" s="41">
        <v>0</v>
      </c>
      <c r="J11" s="102">
        <v>1</v>
      </c>
      <c r="K11" s="103">
        <f t="shared" si="16"/>
        <v>3.0303030303030304E-2</v>
      </c>
      <c r="L11" s="104">
        <v>17.940000000000001</v>
      </c>
      <c r="M11" s="105">
        <f t="shared" si="17"/>
        <v>-0.13157894736842105</v>
      </c>
      <c r="N11" s="103">
        <f t="shared" si="18"/>
        <v>-8.3333333333333329E-2</v>
      </c>
      <c r="O11" s="103">
        <f t="shared" si="19"/>
        <v>-0.17010286951813755</v>
      </c>
      <c r="P11" s="106">
        <f t="shared" si="9"/>
        <v>1</v>
      </c>
      <c r="Q11" s="107">
        <f t="shared" si="10"/>
        <v>23.224545454545453</v>
      </c>
      <c r="R11" s="108">
        <f t="shared" si="11"/>
        <v>23.224545454545453</v>
      </c>
      <c r="S11" s="108">
        <f t="shared" si="12"/>
        <v>4.7142857142857144</v>
      </c>
      <c r="T11" s="109">
        <f t="shared" si="13"/>
        <v>4</v>
      </c>
      <c r="U11" s="110">
        <f t="shared" si="14"/>
        <v>0.12121212121212122</v>
      </c>
      <c r="V11" s="72">
        <f t="shared" si="15"/>
        <v>0.93542620790438535</v>
      </c>
      <c r="W11" s="68">
        <v>107156</v>
      </c>
      <c r="X11" s="68">
        <v>591</v>
      </c>
      <c r="Y11" s="68">
        <v>29</v>
      </c>
      <c r="Z11" s="41">
        <v>716.92</v>
      </c>
      <c r="AA11" s="111">
        <v>669.91</v>
      </c>
      <c r="AB11" s="68">
        <v>1.22</v>
      </c>
      <c r="AC11" s="48">
        <f t="shared" si="20"/>
        <v>1.070173605409682</v>
      </c>
      <c r="AD11" s="49">
        <f t="shared" si="0"/>
        <v>5.5153234536563511E-3</v>
      </c>
      <c r="AE11" s="112">
        <f t="shared" si="1"/>
        <v>4.9069373942470386E-2</v>
      </c>
      <c r="AF11" s="107">
        <f t="shared" si="2"/>
        <v>24.721379310344826</v>
      </c>
      <c r="AG11" s="113">
        <v>14</v>
      </c>
      <c r="AH11" s="114">
        <v>1</v>
      </c>
      <c r="AI11" s="115">
        <v>4</v>
      </c>
      <c r="AJ11" s="116">
        <f>AG11*产品成本!$D$19+AH11*产品成本!$D$20+AI11*产品成本!$D$21</f>
        <v>98.591549295774485</v>
      </c>
      <c r="AK11" s="116">
        <f>AG11*产品成本!$E$19+AH11*产品成本!$E$20+AI11*产品成本!$E$21</f>
        <v>27.572507042253505</v>
      </c>
      <c r="AL11" s="116">
        <f>AG11*产品成本!$F$19+AH11*产品成本!$F$20+AI11*产品成本!$F$21</f>
        <v>10.07</v>
      </c>
      <c r="AM11" s="116">
        <f>AG11*产品成本!$G$19+AH11*产品成本!$G$20+AI11*产品成本!$G$21</f>
        <v>112.44999999999999</v>
      </c>
      <c r="AN11" s="116">
        <f t="shared" si="3"/>
        <v>114.96149999999999</v>
      </c>
      <c r="AO11" s="117">
        <f t="shared" si="4"/>
        <v>363.64555633802797</v>
      </c>
      <c r="AP11" s="118">
        <v>1</v>
      </c>
      <c r="AQ11" s="118">
        <v>0</v>
      </c>
      <c r="AR11" s="119">
        <v>0</v>
      </c>
      <c r="AS11" s="120">
        <f t="shared" si="5"/>
        <v>21.878048780487809</v>
      </c>
      <c r="AT11" s="116">
        <f>AP11*产品成本!$D$19+AQ11*产品成本!$D$20+AR11*产品成本!$D$21</f>
        <v>3.52112676056338</v>
      </c>
      <c r="AU11" s="116">
        <f>AP11*产品成本!$E$19+AQ11*产品成本!$E$20+AR11*产品成本!$E$21</f>
        <v>0.98473239436619697</v>
      </c>
      <c r="AV11" s="116">
        <f>AP11*产品成本!$F$19+AQ11*产品成本!$F$20+AR11*产品成本!$F$21</f>
        <v>0.49</v>
      </c>
      <c r="AW11" s="116">
        <f>AP11*产品成本!$G$19+AQ11*产品成本!$G$20+AR11*产品成本!$G$21</f>
        <v>5.52</v>
      </c>
      <c r="AX11" s="116">
        <f t="shared" si="21"/>
        <v>3.2817073170731712</v>
      </c>
      <c r="AY11" s="116">
        <f t="shared" si="22"/>
        <v>-0.65634146341463429</v>
      </c>
      <c r="AZ11" s="117">
        <f t="shared" si="23"/>
        <v>13.141225008588112</v>
      </c>
      <c r="BA11" s="121">
        <f t="shared" si="24"/>
        <v>350.50433132943988</v>
      </c>
      <c r="BB11" s="122">
        <f t="shared" si="25"/>
        <v>766.41</v>
      </c>
      <c r="BC11" s="121">
        <f t="shared" si="6"/>
        <v>744.53195121951217</v>
      </c>
      <c r="BD11" s="121">
        <f t="shared" si="7"/>
        <v>-322.89238010992767</v>
      </c>
      <c r="BE11" s="123">
        <f t="shared" si="26"/>
        <v>-0.43368505486036357</v>
      </c>
      <c r="BF11" s="124" t="s">
        <v>396</v>
      </c>
    </row>
    <row r="12" spans="1:59" ht="29.1" customHeight="1" x14ac:dyDescent="0.15">
      <c r="A12" s="52" t="s">
        <v>181</v>
      </c>
      <c r="B12" s="53" t="s">
        <v>182</v>
      </c>
      <c r="C12" s="67">
        <v>11</v>
      </c>
      <c r="D12" s="68">
        <v>11</v>
      </c>
      <c r="E12" s="41">
        <v>283.01</v>
      </c>
      <c r="F12" s="101">
        <v>0</v>
      </c>
      <c r="G12" s="101">
        <v>0</v>
      </c>
      <c r="H12" s="41">
        <v>0</v>
      </c>
      <c r="I12" s="41">
        <v>0</v>
      </c>
      <c r="J12" s="102">
        <v>0</v>
      </c>
      <c r="K12" s="103">
        <f t="shared" si="16"/>
        <v>0</v>
      </c>
      <c r="L12" s="104">
        <v>0</v>
      </c>
      <c r="M12" s="105">
        <f t="shared" si="17"/>
        <v>-0.66666666666666663</v>
      </c>
      <c r="N12" s="103">
        <f t="shared" si="18"/>
        <v>-0.66666666666666663</v>
      </c>
      <c r="O12" s="103">
        <f t="shared" si="19"/>
        <v>-0.63073289753526185</v>
      </c>
      <c r="P12" s="106">
        <f t="shared" si="9"/>
        <v>1</v>
      </c>
      <c r="Q12" s="107">
        <f t="shared" si="10"/>
        <v>25.728181818181817</v>
      </c>
      <c r="R12" s="108">
        <f t="shared" si="11"/>
        <v>25.728181818181817</v>
      </c>
      <c r="S12" s="108">
        <f t="shared" si="12"/>
        <v>1.5714285714285714</v>
      </c>
      <c r="T12" s="109">
        <f t="shared" si="13"/>
        <v>2</v>
      </c>
      <c r="U12" s="110">
        <f t="shared" si="14"/>
        <v>0.18181818181818182</v>
      </c>
      <c r="V12" s="72">
        <f t="shared" si="15"/>
        <v>0.85512879403554642</v>
      </c>
      <c r="W12" s="68">
        <v>36941</v>
      </c>
      <c r="X12" s="68">
        <v>193</v>
      </c>
      <c r="Y12" s="68">
        <v>9</v>
      </c>
      <c r="Z12" s="41">
        <v>242.01</v>
      </c>
      <c r="AA12" s="111">
        <v>188</v>
      </c>
      <c r="AB12" s="68">
        <v>1.17</v>
      </c>
      <c r="AC12" s="48">
        <f t="shared" si="20"/>
        <v>1.2872872340425532</v>
      </c>
      <c r="AD12" s="49">
        <f t="shared" si="0"/>
        <v>5.2245472510218998E-3</v>
      </c>
      <c r="AE12" s="112">
        <f t="shared" si="1"/>
        <v>4.6632124352331605E-2</v>
      </c>
      <c r="AF12" s="107">
        <f t="shared" si="2"/>
        <v>26.89</v>
      </c>
      <c r="AG12" s="113">
        <v>6</v>
      </c>
      <c r="AH12" s="114">
        <v>2</v>
      </c>
      <c r="AI12" s="115">
        <v>3</v>
      </c>
      <c r="AJ12" s="116">
        <f>AG12*产品成本!$D$19+AH12*产品成本!$D$20+AI12*产品成本!$D$21</f>
        <v>66.901408450704096</v>
      </c>
      <c r="AK12" s="116">
        <f>AG12*产品成本!$E$19+AH12*产品成本!$E$20+AI12*产品成本!$E$21</f>
        <v>18.709915492957734</v>
      </c>
      <c r="AL12" s="116">
        <f>AG12*产品成本!$F$19+AH12*产品成本!$F$20+AI12*产品成本!$F$21</f>
        <v>5.96</v>
      </c>
      <c r="AM12" s="116">
        <f>AG12*产品成本!$G$19+AH12*产品成本!$G$20+AI12*产品成本!$G$21</f>
        <v>67.259999999999991</v>
      </c>
      <c r="AN12" s="116">
        <f t="shared" si="3"/>
        <v>42.451499999999996</v>
      </c>
      <c r="AO12" s="117">
        <f t="shared" si="4"/>
        <v>201.28282394366181</v>
      </c>
      <c r="AP12" s="118">
        <v>0</v>
      </c>
      <c r="AQ12" s="118">
        <v>0</v>
      </c>
      <c r="AR12" s="119">
        <v>0</v>
      </c>
      <c r="AS12" s="120">
        <f t="shared" si="5"/>
        <v>0</v>
      </c>
      <c r="AT12" s="116">
        <f>AP12*产品成本!$D$19+AQ12*产品成本!$D$20+AR12*产品成本!$D$21</f>
        <v>0</v>
      </c>
      <c r="AU12" s="116">
        <f>AP12*产品成本!$E$19+AQ12*产品成本!$E$20+AR12*产品成本!$E$21</f>
        <v>0</v>
      </c>
      <c r="AV12" s="116">
        <f>AP12*产品成本!$F$19+AQ12*产品成本!$F$20+AR12*产品成本!$F$21</f>
        <v>0</v>
      </c>
      <c r="AW12" s="116">
        <f>AP12*产品成本!$G$19+AQ12*产品成本!$G$20+AR12*产品成本!$G$21</f>
        <v>0</v>
      </c>
      <c r="AX12" s="116">
        <f t="shared" si="21"/>
        <v>0</v>
      </c>
      <c r="AY12" s="116">
        <f t="shared" si="22"/>
        <v>0</v>
      </c>
      <c r="AZ12" s="117">
        <f t="shared" si="23"/>
        <v>0</v>
      </c>
      <c r="BA12" s="121">
        <f t="shared" si="24"/>
        <v>201.28282394366181</v>
      </c>
      <c r="BB12" s="122">
        <f t="shared" si="25"/>
        <v>283.01</v>
      </c>
      <c r="BC12" s="121">
        <f t="shared" si="6"/>
        <v>283.01</v>
      </c>
      <c r="BD12" s="121">
        <f t="shared" si="7"/>
        <v>-160.28282394366181</v>
      </c>
      <c r="BE12" s="123">
        <f t="shared" si="26"/>
        <v>-0.56635039024649947</v>
      </c>
      <c r="BF12" s="124" t="s">
        <v>397</v>
      </c>
    </row>
    <row r="13" spans="1:59" ht="29.1" customHeight="1" x14ac:dyDescent="0.15">
      <c r="A13" s="52" t="s">
        <v>183</v>
      </c>
      <c r="B13" s="53" t="s">
        <v>184</v>
      </c>
      <c r="C13" s="67">
        <v>66</v>
      </c>
      <c r="D13" s="68">
        <v>63</v>
      </c>
      <c r="E13" s="41">
        <v>1645.68</v>
      </c>
      <c r="F13" s="101">
        <v>0</v>
      </c>
      <c r="G13" s="101">
        <v>0</v>
      </c>
      <c r="H13" s="41">
        <v>0</v>
      </c>
      <c r="I13" s="41">
        <v>0</v>
      </c>
      <c r="J13" s="102">
        <v>0</v>
      </c>
      <c r="K13" s="103">
        <f t="shared" si="16"/>
        <v>0</v>
      </c>
      <c r="L13" s="104">
        <v>0</v>
      </c>
      <c r="M13" s="105">
        <f t="shared" si="17"/>
        <v>5</v>
      </c>
      <c r="N13" s="103">
        <f t="shared" si="18"/>
        <v>4.7272727272727275</v>
      </c>
      <c r="O13" s="103">
        <f t="shared" si="19"/>
        <v>4.8149182007702915</v>
      </c>
      <c r="P13" s="106">
        <f t="shared" si="9"/>
        <v>1.0476190476190477</v>
      </c>
      <c r="Q13" s="107">
        <f t="shared" si="10"/>
        <v>26.121904761904762</v>
      </c>
      <c r="R13" s="108">
        <f t="shared" si="11"/>
        <v>24.934545454545457</v>
      </c>
      <c r="S13" s="108">
        <f t="shared" si="12"/>
        <v>9.4285714285714288</v>
      </c>
      <c r="T13" s="109">
        <f t="shared" si="13"/>
        <v>27</v>
      </c>
      <c r="U13" s="110">
        <f t="shared" si="14"/>
        <v>0.42857142857142855</v>
      </c>
      <c r="V13" s="72">
        <f t="shared" si="15"/>
        <v>0.44012809294638078</v>
      </c>
      <c r="W13" s="68">
        <v>75565</v>
      </c>
      <c r="X13" s="68">
        <v>516</v>
      </c>
      <c r="Y13" s="68">
        <v>36</v>
      </c>
      <c r="Z13" s="41">
        <v>724.31</v>
      </c>
      <c r="AA13" s="111">
        <v>1067.8900000000001</v>
      </c>
      <c r="AB13" s="68">
        <v>1.55</v>
      </c>
      <c r="AC13" s="48">
        <f t="shared" si="20"/>
        <v>0.67826274241729001</v>
      </c>
      <c r="AD13" s="49">
        <f t="shared" si="0"/>
        <v>6.8285581949315156E-3</v>
      </c>
      <c r="AE13" s="112">
        <f t="shared" si="1"/>
        <v>6.9767441860465115E-2</v>
      </c>
      <c r="AF13" s="107">
        <f t="shared" si="2"/>
        <v>20.119722222222222</v>
      </c>
      <c r="AG13" s="113">
        <v>44</v>
      </c>
      <c r="AH13" s="114">
        <v>12</v>
      </c>
      <c r="AI13" s="115">
        <v>10</v>
      </c>
      <c r="AJ13" s="116">
        <f>AG13*产品成本!$D$19+AH13*产品成本!$D$20+AI13*产品成本!$D$21</f>
        <v>345.07042253521087</v>
      </c>
      <c r="AK13" s="116">
        <f>AG13*产品成本!$E$19+AH13*产品成本!$E$20+AI13*产品成本!$E$21</f>
        <v>96.503774647887255</v>
      </c>
      <c r="AL13" s="116">
        <f>AG13*产品成本!$F$19+AH13*产品成本!$F$20+AI13*产品成本!$F$21</f>
        <v>34.239999999999995</v>
      </c>
      <c r="AM13" s="116">
        <f>AG13*产品成本!$G$19+AH13*产品成本!$G$20+AI13*产品成本!$G$21</f>
        <v>389.79999999999995</v>
      </c>
      <c r="AN13" s="116">
        <f t="shared" si="3"/>
        <v>246.852</v>
      </c>
      <c r="AO13" s="117">
        <f t="shared" si="4"/>
        <v>1112.4661971830981</v>
      </c>
      <c r="AP13" s="118">
        <v>0</v>
      </c>
      <c r="AQ13" s="118">
        <v>0</v>
      </c>
      <c r="AR13" s="119">
        <v>0</v>
      </c>
      <c r="AS13" s="120">
        <f t="shared" si="5"/>
        <v>0</v>
      </c>
      <c r="AT13" s="116">
        <f>AP13*产品成本!$D$19+AQ13*产品成本!$D$20+AR13*产品成本!$D$21</f>
        <v>0</v>
      </c>
      <c r="AU13" s="116">
        <f>AP13*产品成本!$E$19+AQ13*产品成本!$E$20+AR13*产品成本!$E$21</f>
        <v>0</v>
      </c>
      <c r="AV13" s="116">
        <f>AP13*产品成本!$F$19+AQ13*产品成本!$F$20+AR13*产品成本!$F$21</f>
        <v>0</v>
      </c>
      <c r="AW13" s="116">
        <f>AP13*产品成本!$G$19+AQ13*产品成本!$G$20+AR13*产品成本!$G$21</f>
        <v>0</v>
      </c>
      <c r="AX13" s="116">
        <f t="shared" si="21"/>
        <v>0</v>
      </c>
      <c r="AY13" s="116">
        <f t="shared" si="22"/>
        <v>0</v>
      </c>
      <c r="AZ13" s="117">
        <f t="shared" si="23"/>
        <v>0</v>
      </c>
      <c r="BA13" s="121">
        <f t="shared" si="24"/>
        <v>1112.4661971830981</v>
      </c>
      <c r="BB13" s="122">
        <f t="shared" si="25"/>
        <v>1645.68</v>
      </c>
      <c r="BC13" s="121">
        <f t="shared" si="6"/>
        <v>1645.68</v>
      </c>
      <c r="BD13" s="121">
        <f t="shared" si="7"/>
        <v>-191.09619718309796</v>
      </c>
      <c r="BE13" s="123">
        <f t="shared" si="26"/>
        <v>-0.1161199000918149</v>
      </c>
      <c r="BF13" s="124" t="s">
        <v>398</v>
      </c>
    </row>
    <row r="14" spans="1:59" ht="29.1" customHeight="1" x14ac:dyDescent="0.15">
      <c r="A14" s="54" t="s">
        <v>185</v>
      </c>
      <c r="B14" s="55" t="s">
        <v>186</v>
      </c>
      <c r="C14" s="67">
        <v>28</v>
      </c>
      <c r="D14" s="68">
        <v>26</v>
      </c>
      <c r="E14" s="41">
        <v>721.13</v>
      </c>
      <c r="F14" s="101">
        <v>2</v>
      </c>
      <c r="G14" s="101">
        <v>2</v>
      </c>
      <c r="H14" s="41">
        <v>69.88</v>
      </c>
      <c r="I14" s="41">
        <v>6.99</v>
      </c>
      <c r="J14" s="102">
        <v>1</v>
      </c>
      <c r="K14" s="103">
        <f t="shared" si="16"/>
        <v>3.5714285714285712E-2</v>
      </c>
      <c r="L14" s="104">
        <v>15.75</v>
      </c>
      <c r="M14" s="105">
        <f t="shared" si="17"/>
        <v>-0.5757575757575758</v>
      </c>
      <c r="N14" s="103">
        <f t="shared" si="18"/>
        <v>-0.58730158730158732</v>
      </c>
      <c r="O14" s="103">
        <f t="shared" si="19"/>
        <v>-0.56180423897720089</v>
      </c>
      <c r="P14" s="106">
        <f t="shared" si="9"/>
        <v>1.0769230769230769</v>
      </c>
      <c r="Q14" s="107">
        <f t="shared" si="10"/>
        <v>27.735769230769229</v>
      </c>
      <c r="R14" s="108">
        <f t="shared" si="11"/>
        <v>25.754642857142859</v>
      </c>
      <c r="S14" s="108">
        <f t="shared" si="12"/>
        <v>4</v>
      </c>
      <c r="T14" s="109">
        <f t="shared" si="13"/>
        <v>6</v>
      </c>
      <c r="U14" s="110">
        <f t="shared" si="14"/>
        <v>0.23076923076923078</v>
      </c>
      <c r="V14" s="72">
        <f t="shared" si="15"/>
        <v>0.66318929061528553</v>
      </c>
      <c r="W14" s="68">
        <v>39471</v>
      </c>
      <c r="X14" s="68">
        <v>341</v>
      </c>
      <c r="Y14" s="68">
        <v>20</v>
      </c>
      <c r="Z14" s="41">
        <v>473.61</v>
      </c>
      <c r="AA14" s="111">
        <v>571.55999999999995</v>
      </c>
      <c r="AB14" s="68">
        <v>1.39</v>
      </c>
      <c r="AC14" s="48">
        <f t="shared" si="20"/>
        <v>0.82862691580936398</v>
      </c>
      <c r="AD14" s="49">
        <f t="shared" si="0"/>
        <v>8.6392541359479116E-3</v>
      </c>
      <c r="AE14" s="112">
        <f t="shared" si="1"/>
        <v>5.865102639296188E-2</v>
      </c>
      <c r="AF14" s="107">
        <f t="shared" si="2"/>
        <v>23.680500000000002</v>
      </c>
      <c r="AG14" s="113">
        <v>20</v>
      </c>
      <c r="AH14" s="114">
        <v>2</v>
      </c>
      <c r="AI14" s="115">
        <v>6</v>
      </c>
      <c r="AJ14" s="116">
        <f>AG14*产品成本!$D$19+AH14*产品成本!$D$20+AI14*产品成本!$D$21</f>
        <v>147.88732394366173</v>
      </c>
      <c r="AK14" s="116">
        <f>AG14*产品成本!$E$19+AH14*产品成本!$E$20+AI14*产品成本!$E$21</f>
        <v>41.358760563380258</v>
      </c>
      <c r="AL14" s="116">
        <f>AG14*产品成本!$F$19+AH14*产品成本!$F$20+AI14*产品成本!$F$21</f>
        <v>14.860000000000001</v>
      </c>
      <c r="AM14" s="116">
        <f>AG14*产品成本!$G$19+AH14*产品成本!$G$20+AI14*产品成本!$G$21</f>
        <v>166.26</v>
      </c>
      <c r="AN14" s="116">
        <f t="shared" si="3"/>
        <v>107.121</v>
      </c>
      <c r="AO14" s="117">
        <f t="shared" si="4"/>
        <v>477.48708450704197</v>
      </c>
      <c r="AP14" s="118">
        <v>1</v>
      </c>
      <c r="AQ14" s="118">
        <v>0</v>
      </c>
      <c r="AR14" s="119">
        <v>0</v>
      </c>
      <c r="AS14" s="120">
        <f t="shared" si="5"/>
        <v>19.207317073170731</v>
      </c>
      <c r="AT14" s="116">
        <f>AP14*产品成本!$D$19+AQ14*产品成本!$D$20+AR14*产品成本!$D$21</f>
        <v>3.52112676056338</v>
      </c>
      <c r="AU14" s="116">
        <f>AP14*产品成本!$E$19+AQ14*产品成本!$E$20+AR14*产品成本!$E$21</f>
        <v>0.98473239436619697</v>
      </c>
      <c r="AV14" s="116">
        <f>AP14*产品成本!$F$19+AQ14*产品成本!$F$20+AR14*产品成本!$F$21</f>
        <v>0.49</v>
      </c>
      <c r="AW14" s="116">
        <f>AP14*产品成本!$G$19+AQ14*产品成本!$G$20+AR14*产品成本!$G$21</f>
        <v>5.52</v>
      </c>
      <c r="AX14" s="116">
        <f t="shared" si="21"/>
        <v>2.8810975609756095</v>
      </c>
      <c r="AY14" s="116">
        <f t="shared" si="22"/>
        <v>-0.57621951219512191</v>
      </c>
      <c r="AZ14" s="117">
        <f t="shared" si="23"/>
        <v>12.820737203710063</v>
      </c>
      <c r="BA14" s="121">
        <f t="shared" si="24"/>
        <v>464.66634730333192</v>
      </c>
      <c r="BB14" s="122">
        <f t="shared" si="25"/>
        <v>714.14</v>
      </c>
      <c r="BC14" s="121">
        <f t="shared" si="6"/>
        <v>694.93268292682922</v>
      </c>
      <c r="BD14" s="121">
        <f t="shared" si="7"/>
        <v>-243.34366437650272</v>
      </c>
      <c r="BE14" s="123">
        <f t="shared" si="26"/>
        <v>-0.35016868591014999</v>
      </c>
      <c r="BF14" s="124" t="s">
        <v>399</v>
      </c>
    </row>
    <row r="15" spans="1:59" ht="29.1" customHeight="1" x14ac:dyDescent="0.15">
      <c r="A15" s="54" t="s">
        <v>187</v>
      </c>
      <c r="B15" s="55" t="s">
        <v>188</v>
      </c>
      <c r="C15" s="67">
        <v>20</v>
      </c>
      <c r="D15" s="68">
        <v>20</v>
      </c>
      <c r="E15" s="41">
        <v>461.5</v>
      </c>
      <c r="F15" s="101">
        <v>1</v>
      </c>
      <c r="G15" s="101">
        <v>1</v>
      </c>
      <c r="H15" s="41">
        <v>49.99</v>
      </c>
      <c r="I15" s="41">
        <v>5</v>
      </c>
      <c r="J15" s="102">
        <v>1</v>
      </c>
      <c r="K15" s="103">
        <f t="shared" si="16"/>
        <v>0.05</v>
      </c>
      <c r="L15" s="104">
        <v>17.510000000000002</v>
      </c>
      <c r="M15" s="105">
        <f t="shared" si="17"/>
        <v>-0.2857142857142857</v>
      </c>
      <c r="N15" s="103">
        <f t="shared" si="18"/>
        <v>-0.23076923076923078</v>
      </c>
      <c r="O15" s="103">
        <f t="shared" si="19"/>
        <v>-0.36003217173047852</v>
      </c>
      <c r="P15" s="106">
        <f t="shared" si="9"/>
        <v>1</v>
      </c>
      <c r="Q15" s="107">
        <f t="shared" si="10"/>
        <v>23.074999999999999</v>
      </c>
      <c r="R15" s="108">
        <f t="shared" si="11"/>
        <v>23.074999999999999</v>
      </c>
      <c r="S15" s="108">
        <f t="shared" si="12"/>
        <v>2.8571428571428572</v>
      </c>
      <c r="T15" s="109">
        <f t="shared" si="13"/>
        <v>8</v>
      </c>
      <c r="U15" s="110">
        <f t="shared" si="14"/>
        <v>0.4</v>
      </c>
      <c r="V15" s="72">
        <f t="shared" si="15"/>
        <v>0.55474260679079956</v>
      </c>
      <c r="W15" s="68">
        <v>19193</v>
      </c>
      <c r="X15" s="68">
        <v>205</v>
      </c>
      <c r="Y15" s="68">
        <v>12</v>
      </c>
      <c r="Z15" s="41">
        <v>253.24</v>
      </c>
      <c r="AA15" s="111">
        <v>255.48</v>
      </c>
      <c r="AB15" s="68">
        <v>1.24</v>
      </c>
      <c r="AC15" s="48">
        <f t="shared" si="20"/>
        <v>0.99123219038672306</v>
      </c>
      <c r="AD15" s="49">
        <f t="shared" si="0"/>
        <v>1.0680977439691553E-2</v>
      </c>
      <c r="AE15" s="112">
        <f t="shared" si="1"/>
        <v>5.8536585365853662E-2</v>
      </c>
      <c r="AF15" s="107">
        <f t="shared" si="2"/>
        <v>21.103333333333335</v>
      </c>
      <c r="AG15" s="113">
        <v>17</v>
      </c>
      <c r="AH15" s="114">
        <v>2</v>
      </c>
      <c r="AI15" s="115">
        <v>1</v>
      </c>
      <c r="AJ15" s="116">
        <f>AG15*产品成本!$D$19+AH15*产品成本!$D$20+AI15*产品成本!$D$21</f>
        <v>84.507042253521078</v>
      </c>
      <c r="AK15" s="116">
        <f>AG15*产品成本!$E$19+AH15*产品成本!$E$20+AI15*产品成本!$E$21</f>
        <v>23.633577464788718</v>
      </c>
      <c r="AL15" s="116">
        <f>AG15*产品成本!$F$19+AH15*产品成本!$F$20+AI15*产品成本!$F$21</f>
        <v>9.99</v>
      </c>
      <c r="AM15" s="116">
        <f>AG15*产品成本!$G$19+AH15*产品成本!$G$20+AI15*产品成本!$G$21</f>
        <v>113.49999999999999</v>
      </c>
      <c r="AN15" s="116">
        <f t="shared" si="3"/>
        <v>68.474999999999994</v>
      </c>
      <c r="AO15" s="117">
        <f t="shared" si="4"/>
        <v>300.10561971830975</v>
      </c>
      <c r="AP15" s="118">
        <v>0</v>
      </c>
      <c r="AQ15" s="118">
        <v>1</v>
      </c>
      <c r="AR15" s="119">
        <v>0</v>
      </c>
      <c r="AS15" s="120">
        <f t="shared" si="5"/>
        <v>21.353658536585368</v>
      </c>
      <c r="AT15" s="116">
        <f>AP15*产品成本!$D$19+AQ15*产品成本!$D$20+AR15*产品成本!$D$21</f>
        <v>7.0422535211267601</v>
      </c>
      <c r="AU15" s="116">
        <f>AP15*产品成本!$E$19+AQ15*产品成本!$E$20+AR15*产品成本!$E$21</f>
        <v>1.9694647887323899</v>
      </c>
      <c r="AV15" s="116">
        <f>AP15*产品成本!$F$19+AQ15*产品成本!$F$20+AR15*产品成本!$F$21</f>
        <v>0.49</v>
      </c>
      <c r="AW15" s="116">
        <f>AP15*产品成本!$G$19+AQ15*产品成本!$G$20+AR15*产品成本!$G$21</f>
        <v>6.21</v>
      </c>
      <c r="AX15" s="116">
        <f t="shared" si="21"/>
        <v>3.2030487804878049</v>
      </c>
      <c r="AY15" s="116">
        <f t="shared" si="22"/>
        <v>-0.64060975609756099</v>
      </c>
      <c r="AZ15" s="117">
        <f t="shared" si="23"/>
        <v>18.274157334249395</v>
      </c>
      <c r="BA15" s="121">
        <f t="shared" si="24"/>
        <v>281.83146238406039</v>
      </c>
      <c r="BB15" s="122">
        <f t="shared" si="25"/>
        <v>456.5</v>
      </c>
      <c r="BC15" s="121">
        <f t="shared" si="6"/>
        <v>435.14634146341461</v>
      </c>
      <c r="BD15" s="121">
        <f t="shared" si="7"/>
        <v>-99.925120920645782</v>
      </c>
      <c r="BE15" s="123">
        <f t="shared" si="26"/>
        <v>-0.22963566827792598</v>
      </c>
    </row>
    <row r="16" spans="1:59" ht="29.1" customHeight="1" x14ac:dyDescent="0.15">
      <c r="A16" s="52" t="s">
        <v>189</v>
      </c>
      <c r="B16" s="53" t="s">
        <v>190</v>
      </c>
      <c r="C16" s="67">
        <v>1</v>
      </c>
      <c r="D16" s="68">
        <v>1</v>
      </c>
      <c r="E16" s="41">
        <v>36.69</v>
      </c>
      <c r="F16" s="101">
        <v>0</v>
      </c>
      <c r="G16" s="101">
        <v>0</v>
      </c>
      <c r="H16" s="41">
        <v>0</v>
      </c>
      <c r="I16" s="41">
        <v>0</v>
      </c>
      <c r="J16" s="102">
        <v>3</v>
      </c>
      <c r="K16" s="103">
        <f t="shared" si="16"/>
        <v>3</v>
      </c>
      <c r="L16" s="104">
        <v>78.569999999999993</v>
      </c>
      <c r="M16" s="105">
        <f t="shared" si="17"/>
        <v>-0.95</v>
      </c>
      <c r="N16" s="103">
        <f t="shared" si="18"/>
        <v>-0.95</v>
      </c>
      <c r="O16" s="103">
        <f t="shared" si="19"/>
        <v>-0.92049837486457209</v>
      </c>
      <c r="P16" s="106">
        <f t="shared" si="9"/>
        <v>1</v>
      </c>
      <c r="Q16" s="107">
        <f t="shared" si="10"/>
        <v>36.69</v>
      </c>
      <c r="R16" s="108">
        <f t="shared" si="11"/>
        <v>36.69</v>
      </c>
      <c r="S16" s="108">
        <f t="shared" si="12"/>
        <v>0.14285714285714285</v>
      </c>
      <c r="T16" s="109">
        <f t="shared" si="13"/>
        <v>-22</v>
      </c>
      <c r="U16" s="110">
        <f t="shared" si="14"/>
        <v>-22</v>
      </c>
      <c r="V16" s="72">
        <f t="shared" si="15"/>
        <v>10.431452711910604</v>
      </c>
      <c r="W16" s="68">
        <v>26307</v>
      </c>
      <c r="X16" s="68">
        <v>250</v>
      </c>
      <c r="Y16" s="68">
        <v>23</v>
      </c>
      <c r="Z16" s="41">
        <v>382.73</v>
      </c>
      <c r="AA16" s="111">
        <v>556.34</v>
      </c>
      <c r="AB16" s="68">
        <v>1.53</v>
      </c>
      <c r="AC16" s="48">
        <f t="shared" si="20"/>
        <v>0.68794262501348091</v>
      </c>
      <c r="AD16" s="49">
        <f t="shared" si="0"/>
        <v>9.503174060136085E-3</v>
      </c>
      <c r="AE16" s="112">
        <f t="shared" si="1"/>
        <v>9.1999999999999998E-2</v>
      </c>
      <c r="AF16" s="107">
        <f t="shared" si="2"/>
        <v>16.640434782608697</v>
      </c>
      <c r="AG16" s="113">
        <v>0</v>
      </c>
      <c r="AH16" s="114">
        <v>1</v>
      </c>
      <c r="AI16" s="115">
        <v>0</v>
      </c>
      <c r="AJ16" s="116">
        <f>AG16*产品成本!$D$19+AH16*产品成本!$D$20+AI16*产品成本!$D$21</f>
        <v>7.0422535211267601</v>
      </c>
      <c r="AK16" s="116">
        <f>AG16*产品成本!$E$19+AH16*产品成本!$E$20+AI16*产品成本!$E$21</f>
        <v>1.9694647887323899</v>
      </c>
      <c r="AL16" s="116">
        <f>AG16*产品成本!$F$19+AH16*产品成本!$F$20+AI16*产品成本!$F$21</f>
        <v>0.49</v>
      </c>
      <c r="AM16" s="116">
        <f>AG16*产品成本!$G$19+AH16*产品成本!$G$20+AI16*产品成本!$G$21</f>
        <v>6.21</v>
      </c>
      <c r="AN16" s="116">
        <f t="shared" si="3"/>
        <v>5.5034999999999998</v>
      </c>
      <c r="AO16" s="117">
        <f t="shared" si="4"/>
        <v>21.21521830985915</v>
      </c>
      <c r="AP16" s="118">
        <v>1</v>
      </c>
      <c r="AQ16" s="118">
        <v>2</v>
      </c>
      <c r="AR16" s="119">
        <v>0</v>
      </c>
      <c r="AS16" s="120">
        <f t="shared" si="5"/>
        <v>95.817073170731703</v>
      </c>
      <c r="AT16" s="116">
        <f>AP16*产品成本!$D$19+AQ16*产品成本!$D$20+AR16*产品成本!$D$21</f>
        <v>17.6056338028169</v>
      </c>
      <c r="AU16" s="116">
        <f>AP16*产品成本!$E$19+AQ16*产品成本!$E$20+AR16*产品成本!$E$21</f>
        <v>4.9236619718309766</v>
      </c>
      <c r="AV16" s="116">
        <f>AP16*产品成本!$F$19+AQ16*产品成本!$F$20+AR16*产品成本!$F$21</f>
        <v>1.47</v>
      </c>
      <c r="AW16" s="116">
        <f>AP16*产品成本!$G$19+AQ16*产品成本!$G$20+AR16*产品成本!$G$21</f>
        <v>17.939999999999998</v>
      </c>
      <c r="AX16" s="116">
        <f t="shared" si="21"/>
        <v>14.372560975609755</v>
      </c>
      <c r="AY16" s="116">
        <f t="shared" si="22"/>
        <v>-2.8745121951219512</v>
      </c>
      <c r="AZ16" s="117">
        <f t="shared" si="23"/>
        <v>53.437344555135681</v>
      </c>
      <c r="BA16" s="121">
        <f t="shared" si="24"/>
        <v>-32.222126245276527</v>
      </c>
      <c r="BB16" s="122">
        <f t="shared" si="25"/>
        <v>36.69</v>
      </c>
      <c r="BC16" s="121">
        <f t="shared" si="6"/>
        <v>-59.127073170731705</v>
      </c>
      <c r="BD16" s="121">
        <f t="shared" si="7"/>
        <v>-409.63494692545521</v>
      </c>
      <c r="BE16" s="123">
        <f t="shared" si="26"/>
        <v>6.9280437024612818</v>
      </c>
      <c r="BF16" t="s">
        <v>400</v>
      </c>
    </row>
    <row r="17" spans="1:58" ht="29.1" customHeight="1" x14ac:dyDescent="0.15">
      <c r="A17" s="52" t="s">
        <v>191</v>
      </c>
      <c r="B17" s="53" t="s">
        <v>192</v>
      </c>
      <c r="C17" s="67">
        <v>0</v>
      </c>
      <c r="D17" s="68">
        <v>0</v>
      </c>
      <c r="E17" s="41">
        <v>0</v>
      </c>
      <c r="F17" s="101">
        <v>0</v>
      </c>
      <c r="G17" s="101">
        <v>0</v>
      </c>
      <c r="H17" s="41">
        <v>0</v>
      </c>
      <c r="I17" s="41">
        <v>0</v>
      </c>
      <c r="J17" s="102">
        <v>2</v>
      </c>
      <c r="K17" s="103" t="e">
        <f t="shared" ref="K17:K44" si="27">J17/C17</f>
        <v>#DIV/0!</v>
      </c>
      <c r="L17" s="104">
        <v>35.020000000000003</v>
      </c>
      <c r="M17" s="105">
        <f t="shared" ref="M17:M40" si="28">(C17-C16)/C16</f>
        <v>-1</v>
      </c>
      <c r="N17" s="103">
        <f t="shared" ref="N17:N40" si="29">(D17-D16)/D16</f>
        <v>-1</v>
      </c>
      <c r="O17" s="103">
        <f t="shared" ref="O17:O40" si="30">(E17-E16)/E16</f>
        <v>-1</v>
      </c>
      <c r="P17" s="106" t="e">
        <f t="shared" ref="P17:P40" si="31">C17/D17</f>
        <v>#DIV/0!</v>
      </c>
      <c r="Q17" s="107" t="e">
        <f t="shared" ref="Q17:Q40" si="32">E17/D17</f>
        <v>#DIV/0!</v>
      </c>
      <c r="R17" s="108" t="e">
        <f t="shared" ref="R17:R40" si="33">E17/C17</f>
        <v>#DIV/0!</v>
      </c>
      <c r="S17" s="108">
        <f t="shared" ref="S17:S40" si="34">C17/7</f>
        <v>0</v>
      </c>
      <c r="T17" s="109">
        <f t="shared" ref="T17:T40" si="35">D17-Y17</f>
        <v>-19</v>
      </c>
      <c r="U17" s="110" t="e">
        <f t="shared" ref="U17:U44" si="36">T17/D17</f>
        <v>#DIV/0!</v>
      </c>
      <c r="V17" s="72" t="e">
        <f t="shared" ref="V17:V40" si="37">Z17/(E17-I17)</f>
        <v>#DIV/0!</v>
      </c>
      <c r="W17" s="68">
        <v>20619</v>
      </c>
      <c r="X17" s="68">
        <v>227</v>
      </c>
      <c r="Y17" s="68">
        <v>19</v>
      </c>
      <c r="Z17" s="41">
        <v>351.93</v>
      </c>
      <c r="AA17" s="111">
        <v>405.22</v>
      </c>
      <c r="AB17" s="68">
        <v>1.55</v>
      </c>
      <c r="AC17" s="48">
        <f t="shared" ref="AC17:AC44" si="38">Z17/AA17</f>
        <v>0.86849118997087993</v>
      </c>
      <c r="AD17" s="49">
        <f t="shared" si="0"/>
        <v>1.1009263300839033E-2</v>
      </c>
      <c r="AE17" s="112">
        <f t="shared" si="1"/>
        <v>8.3700440528634359E-2</v>
      </c>
      <c r="AF17" s="107">
        <f t="shared" si="2"/>
        <v>18.522631578947369</v>
      </c>
      <c r="AG17" s="113">
        <v>0</v>
      </c>
      <c r="AH17" s="114">
        <v>0</v>
      </c>
      <c r="AI17" s="115">
        <v>0</v>
      </c>
      <c r="AJ17" s="116">
        <f>AG17*产品成本!$D$19+AH17*产品成本!$D$20+AI17*产品成本!$D$21</f>
        <v>0</v>
      </c>
      <c r="AK17" s="116">
        <f>AG17*产品成本!$E$19+AH17*产品成本!$E$20+AI17*产品成本!$E$21</f>
        <v>0</v>
      </c>
      <c r="AL17" s="116">
        <f>AG17*产品成本!$F$19+AH17*产品成本!$F$20+AI17*产品成本!$F$21</f>
        <v>0</v>
      </c>
      <c r="AM17" s="116">
        <f>AG17*产品成本!$G$19+AH17*产品成本!$G$20+AI17*产品成本!$G$21</f>
        <v>0</v>
      </c>
      <c r="AN17" s="116">
        <f t="shared" si="3"/>
        <v>0</v>
      </c>
      <c r="AO17" s="117">
        <f t="shared" si="4"/>
        <v>0</v>
      </c>
      <c r="AP17" s="118">
        <v>2</v>
      </c>
      <c r="AQ17" s="118">
        <v>0</v>
      </c>
      <c r="AR17" s="119">
        <v>0</v>
      </c>
      <c r="AS17" s="120">
        <f t="shared" si="5"/>
        <v>42.707317073170735</v>
      </c>
      <c r="AT17" s="116">
        <f>AP17*产品成本!$D$19+AQ17*产品成本!$D$20+AR17*产品成本!$D$21</f>
        <v>7.0422535211267601</v>
      </c>
      <c r="AU17" s="116">
        <f>AP17*产品成本!$E$19+AQ17*产品成本!$E$20+AR17*产品成本!$E$21</f>
        <v>1.9694647887323939</v>
      </c>
      <c r="AV17" s="116">
        <f>AP17*产品成本!$F$19+AQ17*产品成本!$F$20+AR17*产品成本!$F$21</f>
        <v>0.98</v>
      </c>
      <c r="AW17" s="116">
        <f>AP17*产品成本!$G$19+AQ17*产品成本!$G$20+AR17*产品成本!$G$21</f>
        <v>11.04</v>
      </c>
      <c r="AX17" s="116">
        <f t="shared" ref="AX17:AX40" si="39">AS17*0.15</f>
        <v>6.4060975609756099</v>
      </c>
      <c r="AY17" s="116">
        <f t="shared" ref="AY17:AY40" si="40">-AX17*0.2</f>
        <v>-1.281219512195122</v>
      </c>
      <c r="AZ17" s="117">
        <f t="shared" ref="AZ17:AZ40" si="41">SUM(AT17:AY17)</f>
        <v>26.156596358639639</v>
      </c>
      <c r="BA17" s="121">
        <f t="shared" ref="BA17:BA40" si="42">AO17-AZ17</f>
        <v>-26.156596358639639</v>
      </c>
      <c r="BB17" s="122">
        <f t="shared" ref="BB17:BB40" si="43">E17-I17</f>
        <v>0</v>
      </c>
      <c r="BC17" s="121">
        <f t="shared" si="6"/>
        <v>-42.707317073170735</v>
      </c>
      <c r="BD17" s="121">
        <f t="shared" si="7"/>
        <v>-368.48072071453112</v>
      </c>
      <c r="BE17" s="123">
        <f t="shared" ref="BE17:BE40" si="44">BD17/BC17</f>
        <v>8.6280465729844522</v>
      </c>
      <c r="BF17" t="s">
        <v>400</v>
      </c>
    </row>
    <row r="18" spans="1:58" ht="29.1" customHeight="1" x14ac:dyDescent="0.15">
      <c r="A18" s="54" t="s">
        <v>193</v>
      </c>
      <c r="B18" s="55" t="s">
        <v>194</v>
      </c>
      <c r="C18" s="67">
        <v>10</v>
      </c>
      <c r="D18" s="68">
        <v>10</v>
      </c>
      <c r="E18" s="41">
        <v>347.93</v>
      </c>
      <c r="F18" s="101">
        <v>2</v>
      </c>
      <c r="G18" s="101">
        <v>2</v>
      </c>
      <c r="H18" s="41">
        <v>64.709999999999994</v>
      </c>
      <c r="I18" s="41">
        <v>6.47</v>
      </c>
      <c r="J18" s="102">
        <v>0</v>
      </c>
      <c r="K18" s="103">
        <f t="shared" si="27"/>
        <v>0</v>
      </c>
      <c r="L18" s="104">
        <v>0</v>
      </c>
      <c r="M18" s="105" t="e">
        <f t="shared" si="28"/>
        <v>#DIV/0!</v>
      </c>
      <c r="N18" s="103" t="e">
        <f t="shared" si="29"/>
        <v>#DIV/0!</v>
      </c>
      <c r="O18" s="103" t="e">
        <f t="shared" si="30"/>
        <v>#DIV/0!</v>
      </c>
      <c r="P18" s="106">
        <f t="shared" si="31"/>
        <v>1</v>
      </c>
      <c r="Q18" s="107">
        <f t="shared" si="32"/>
        <v>34.792999999999999</v>
      </c>
      <c r="R18" s="108">
        <f t="shared" si="33"/>
        <v>34.792999999999999</v>
      </c>
      <c r="S18" s="108">
        <f t="shared" si="34"/>
        <v>1.4285714285714286</v>
      </c>
      <c r="T18" s="109">
        <f t="shared" si="35"/>
        <v>1</v>
      </c>
      <c r="U18" s="110">
        <f t="shared" si="36"/>
        <v>0.1</v>
      </c>
      <c r="V18" s="72">
        <f t="shared" si="37"/>
        <v>0.75399753997539976</v>
      </c>
      <c r="W18" s="68">
        <v>26629</v>
      </c>
      <c r="X18" s="68">
        <v>186</v>
      </c>
      <c r="Y18" s="68">
        <v>9</v>
      </c>
      <c r="Z18" s="41">
        <v>257.45999999999998</v>
      </c>
      <c r="AA18" s="111">
        <v>264.43</v>
      </c>
      <c r="AB18" s="68">
        <v>1.38</v>
      </c>
      <c r="AC18" s="48">
        <f t="shared" si="38"/>
        <v>0.97364141738834464</v>
      </c>
      <c r="AD18" s="49">
        <f t="shared" si="0"/>
        <v>6.9848661233993014E-3</v>
      </c>
      <c r="AE18" s="112">
        <f t="shared" si="1"/>
        <v>4.8387096774193547E-2</v>
      </c>
      <c r="AF18" s="107">
        <f t="shared" si="2"/>
        <v>28.606666666666666</v>
      </c>
      <c r="AG18" s="113">
        <v>6</v>
      </c>
      <c r="AH18" s="114">
        <v>1</v>
      </c>
      <c r="AI18" s="115">
        <v>3</v>
      </c>
      <c r="AJ18" s="116">
        <f>AG18*产品成本!$D$19+AH18*产品成本!$D$20+AI18*产品成本!$D$21</f>
        <v>59.859154929577336</v>
      </c>
      <c r="AK18" s="116">
        <f>AG18*产品成本!$E$19+AH18*产品成本!$E$20+AI18*产品成本!$E$21</f>
        <v>16.740450704225342</v>
      </c>
      <c r="AL18" s="116">
        <f>AG18*产品成本!$F$19+AH18*产品成本!$F$20+AI18*产品成本!$F$21</f>
        <v>5.47</v>
      </c>
      <c r="AM18" s="116">
        <f>AG18*产品成本!$G$19+AH18*产品成本!$G$20+AI18*产品成本!$G$21</f>
        <v>61.05</v>
      </c>
      <c r="AN18" s="116">
        <f t="shared" si="3"/>
        <v>51.218999999999994</v>
      </c>
      <c r="AO18" s="117">
        <f t="shared" si="4"/>
        <v>194.33860563380267</v>
      </c>
      <c r="AP18" s="118">
        <v>0</v>
      </c>
      <c r="AQ18" s="118">
        <v>0</v>
      </c>
      <c r="AR18" s="119">
        <v>0</v>
      </c>
      <c r="AS18" s="120">
        <f t="shared" si="5"/>
        <v>0</v>
      </c>
      <c r="AT18" s="116">
        <f>AP18*产品成本!$D$19+AQ18*产品成本!$D$20+AR18*产品成本!$D$21</f>
        <v>0</v>
      </c>
      <c r="AU18" s="116">
        <f>AP18*产品成本!$E$19+AQ18*产品成本!$E$20+AR18*产品成本!$E$21</f>
        <v>0</v>
      </c>
      <c r="AV18" s="116">
        <f>AP18*产品成本!$F$19+AQ18*产品成本!$F$20+AR18*产品成本!$F$21</f>
        <v>0</v>
      </c>
      <c r="AW18" s="116">
        <f>AP18*产品成本!$G$19+AQ18*产品成本!$G$20+AR18*产品成本!$G$21</f>
        <v>0</v>
      </c>
      <c r="AX18" s="116">
        <f t="shared" si="39"/>
        <v>0</v>
      </c>
      <c r="AY18" s="116">
        <f t="shared" si="40"/>
        <v>0</v>
      </c>
      <c r="AZ18" s="117">
        <f t="shared" si="41"/>
        <v>0</v>
      </c>
      <c r="BA18" s="121">
        <f t="shared" si="42"/>
        <v>194.33860563380267</v>
      </c>
      <c r="BB18" s="122">
        <f t="shared" si="43"/>
        <v>341.46</v>
      </c>
      <c r="BC18" s="121">
        <f t="shared" si="6"/>
        <v>341.46</v>
      </c>
      <c r="BD18" s="121">
        <f t="shared" si="7"/>
        <v>-110.33860563380267</v>
      </c>
      <c r="BE18" s="123">
        <f t="shared" si="44"/>
        <v>-0.32313771930475804</v>
      </c>
    </row>
    <row r="19" spans="1:58" ht="29.1" customHeight="1" x14ac:dyDescent="0.15">
      <c r="A19" s="38" t="s">
        <v>195</v>
      </c>
      <c r="B19" s="38" t="s">
        <v>196</v>
      </c>
      <c r="C19" s="67">
        <v>17</v>
      </c>
      <c r="D19" s="68">
        <v>16</v>
      </c>
      <c r="E19" s="41">
        <v>470.26</v>
      </c>
      <c r="F19" s="101">
        <v>0</v>
      </c>
      <c r="G19" s="101">
        <v>0</v>
      </c>
      <c r="H19" s="41">
        <v>0</v>
      </c>
      <c r="I19" s="41">
        <v>0</v>
      </c>
      <c r="J19" s="102">
        <v>1</v>
      </c>
      <c r="K19" s="103">
        <f t="shared" si="27"/>
        <v>5.8823529411764705E-2</v>
      </c>
      <c r="L19" s="104">
        <v>57.99</v>
      </c>
      <c r="M19" s="105">
        <f t="shared" si="28"/>
        <v>0.7</v>
      </c>
      <c r="N19" s="103">
        <f t="shared" si="29"/>
        <v>0.6</v>
      </c>
      <c r="O19" s="103">
        <f t="shared" si="30"/>
        <v>0.35159371137872553</v>
      </c>
      <c r="P19" s="106">
        <f t="shared" si="31"/>
        <v>1.0625</v>
      </c>
      <c r="Q19" s="107">
        <f t="shared" si="32"/>
        <v>29.391249999999999</v>
      </c>
      <c r="R19" s="108">
        <f t="shared" si="33"/>
        <v>27.662352941176469</v>
      </c>
      <c r="S19" s="108">
        <f t="shared" si="34"/>
        <v>2.4285714285714284</v>
      </c>
      <c r="T19" s="109">
        <f t="shared" si="35"/>
        <v>1</v>
      </c>
      <c r="U19" s="110">
        <f t="shared" si="36"/>
        <v>6.25E-2</v>
      </c>
      <c r="V19" s="72">
        <f t="shared" si="37"/>
        <v>0.96040488240547783</v>
      </c>
      <c r="W19" s="68">
        <v>43105</v>
      </c>
      <c r="X19" s="68">
        <v>323</v>
      </c>
      <c r="Y19" s="68">
        <v>15</v>
      </c>
      <c r="Z19" s="41">
        <v>451.64</v>
      </c>
      <c r="AA19" s="111">
        <v>425.96</v>
      </c>
      <c r="AB19" s="68">
        <v>1.4</v>
      </c>
      <c r="AC19" s="48">
        <f t="shared" si="38"/>
        <v>1.0602873509249695</v>
      </c>
      <c r="AD19" s="49">
        <f t="shared" si="0"/>
        <v>7.4933302401113556E-3</v>
      </c>
      <c r="AE19" s="112">
        <f t="shared" si="1"/>
        <v>4.6439628482972138E-2</v>
      </c>
      <c r="AF19" s="107">
        <f t="shared" si="2"/>
        <v>30.109333333333332</v>
      </c>
      <c r="AG19" s="113">
        <v>12</v>
      </c>
      <c r="AH19" s="114">
        <v>0</v>
      </c>
      <c r="AI19" s="115">
        <v>5</v>
      </c>
      <c r="AJ19" s="116">
        <f>AG19*产品成本!$D$19+AH19*产品成本!$D$20+AI19*产品成本!$D$21</f>
        <v>95.070422535211065</v>
      </c>
      <c r="AK19" s="116">
        <f>AG19*产品成本!$E$19+AH19*产品成本!$E$20+AI19*产品成本!$E$21</f>
        <v>26.587774647887315</v>
      </c>
      <c r="AL19" s="116">
        <f>AG19*产品成本!$F$19+AH19*产品成本!$F$20+AI19*产品成本!$F$21</f>
        <v>9.2800000000000011</v>
      </c>
      <c r="AM19" s="116">
        <f>AG19*产品成本!$G$19+AH19*产品成本!$G$20+AI19*产品成本!$G$21</f>
        <v>102.44</v>
      </c>
      <c r="AN19" s="116">
        <f t="shared" si="3"/>
        <v>70.539000000000001</v>
      </c>
      <c r="AO19" s="117">
        <f t="shared" si="4"/>
        <v>303.91719718309838</v>
      </c>
      <c r="AP19" s="118">
        <v>0</v>
      </c>
      <c r="AQ19" s="118">
        <v>0</v>
      </c>
      <c r="AR19" s="119">
        <v>1</v>
      </c>
      <c r="AS19" s="120">
        <f t="shared" si="5"/>
        <v>70.719512195121965</v>
      </c>
      <c r="AT19" s="116">
        <f>AP19*产品成本!$D$19+AQ19*产品成本!$D$20+AR19*产品成本!$D$21</f>
        <v>10.563380281690099</v>
      </c>
      <c r="AU19" s="116">
        <f>AP19*产品成本!$E$19+AQ19*产品成本!$E$20+AR19*产品成本!$E$21</f>
        <v>2.9541971830985898</v>
      </c>
      <c r="AV19" s="116">
        <f>AP19*产品成本!$F$19+AQ19*产品成本!$F$20+AR19*产品成本!$F$21</f>
        <v>0.68</v>
      </c>
      <c r="AW19" s="116">
        <f>AP19*产品成本!$G$19+AQ19*产品成本!$G$20+AR19*产品成本!$G$21</f>
        <v>7.24</v>
      </c>
      <c r="AX19" s="116">
        <f t="shared" si="39"/>
        <v>10.607926829268294</v>
      </c>
      <c r="AY19" s="116">
        <f t="shared" si="40"/>
        <v>-2.121585365853659</v>
      </c>
      <c r="AZ19" s="117">
        <f t="shared" si="41"/>
        <v>29.923918928203324</v>
      </c>
      <c r="BA19" s="121">
        <f t="shared" si="42"/>
        <v>273.99327825489507</v>
      </c>
      <c r="BB19" s="122">
        <f t="shared" si="43"/>
        <v>470.26</v>
      </c>
      <c r="BC19" s="121">
        <f t="shared" si="6"/>
        <v>399.54048780487801</v>
      </c>
      <c r="BD19" s="121">
        <f t="shared" si="7"/>
        <v>-326.09279045001705</v>
      </c>
      <c r="BE19" s="123">
        <f t="shared" si="44"/>
        <v>-0.81616957580847149</v>
      </c>
      <c r="BF19" t="s">
        <v>197</v>
      </c>
    </row>
    <row r="20" spans="1:58" ht="29.1" customHeight="1" x14ac:dyDescent="0.15">
      <c r="A20" s="38" t="s">
        <v>198</v>
      </c>
      <c r="B20" s="38" t="s">
        <v>199</v>
      </c>
      <c r="C20" s="67">
        <v>10</v>
      </c>
      <c r="D20" s="68">
        <v>10</v>
      </c>
      <c r="E20" s="41">
        <v>280.39999999999998</v>
      </c>
      <c r="F20" s="101">
        <v>0</v>
      </c>
      <c r="G20" s="101">
        <v>0</v>
      </c>
      <c r="H20" s="41">
        <v>0</v>
      </c>
      <c r="I20" s="41">
        <v>0</v>
      </c>
      <c r="J20" s="102">
        <v>0</v>
      </c>
      <c r="K20" s="103">
        <f t="shared" si="27"/>
        <v>0</v>
      </c>
      <c r="L20" s="104">
        <v>0</v>
      </c>
      <c r="M20" s="105">
        <f t="shared" si="28"/>
        <v>-0.41176470588235292</v>
      </c>
      <c r="N20" s="103">
        <f t="shared" si="29"/>
        <v>-0.375</v>
      </c>
      <c r="O20" s="103">
        <f t="shared" si="30"/>
        <v>-0.40373410453791525</v>
      </c>
      <c r="P20" s="106">
        <f t="shared" si="31"/>
        <v>1</v>
      </c>
      <c r="Q20" s="107">
        <f t="shared" si="32"/>
        <v>28.04</v>
      </c>
      <c r="R20" s="108">
        <f t="shared" si="33"/>
        <v>28.04</v>
      </c>
      <c r="S20" s="108">
        <f t="shared" si="34"/>
        <v>1.4285714285714286</v>
      </c>
      <c r="T20" s="109">
        <f t="shared" si="35"/>
        <v>1</v>
      </c>
      <c r="U20" s="110">
        <f t="shared" si="36"/>
        <v>0.1</v>
      </c>
      <c r="V20" s="72">
        <f t="shared" si="37"/>
        <v>0.47952924393723262</v>
      </c>
      <c r="W20" s="68">
        <v>14215</v>
      </c>
      <c r="X20" s="68">
        <v>111</v>
      </c>
      <c r="Y20" s="68">
        <v>9</v>
      </c>
      <c r="Z20" s="41">
        <v>134.46</v>
      </c>
      <c r="AA20" s="111">
        <v>260.51</v>
      </c>
      <c r="AB20" s="68">
        <v>1.21</v>
      </c>
      <c r="AC20" s="48">
        <f t="shared" si="38"/>
        <v>0.5161414149168938</v>
      </c>
      <c r="AD20" s="49">
        <f t="shared" si="0"/>
        <v>7.8086528315160046E-3</v>
      </c>
      <c r="AE20" s="112">
        <f t="shared" si="1"/>
        <v>8.1081081081081086E-2</v>
      </c>
      <c r="AF20" s="107">
        <f t="shared" si="2"/>
        <v>14.940000000000001</v>
      </c>
      <c r="AG20" s="113">
        <v>6</v>
      </c>
      <c r="AH20" s="114">
        <v>2</v>
      </c>
      <c r="AI20" s="115">
        <v>2</v>
      </c>
      <c r="AJ20" s="116">
        <f>AG20*产品成本!$D$19+AH20*产品成本!$D$20+AI20*产品成本!$D$21</f>
        <v>56.338028169013995</v>
      </c>
      <c r="AK20" s="116">
        <f>AG20*产品成本!$E$19+AH20*产品成本!$E$20+AI20*产品成本!$E$21</f>
        <v>15.755718309859141</v>
      </c>
      <c r="AL20" s="116">
        <f>AG20*产品成本!$F$19+AH20*产品成本!$F$20+AI20*产品成本!$F$21</f>
        <v>5.28</v>
      </c>
      <c r="AM20" s="116">
        <f>AG20*产品成本!$G$19+AH20*产品成本!$G$20+AI20*产品成本!$G$21</f>
        <v>60.019999999999996</v>
      </c>
      <c r="AN20" s="116">
        <f t="shared" si="3"/>
        <v>42.059999999999995</v>
      </c>
      <c r="AO20" s="117">
        <f t="shared" si="4"/>
        <v>179.45374647887314</v>
      </c>
      <c r="AP20" s="118">
        <v>0</v>
      </c>
      <c r="AQ20" s="118">
        <v>0</v>
      </c>
      <c r="AR20" s="119">
        <v>0</v>
      </c>
      <c r="AS20" s="120">
        <f t="shared" si="5"/>
        <v>0</v>
      </c>
      <c r="AT20" s="116">
        <f>AP20*产品成本!$D$19+AQ20*产品成本!$D$20+AR20*产品成本!$D$21</f>
        <v>0</v>
      </c>
      <c r="AU20" s="116">
        <f>AP20*产品成本!$E$19+AQ20*产品成本!$E$20+AR20*产品成本!$E$21</f>
        <v>0</v>
      </c>
      <c r="AV20" s="116">
        <f>AP20*产品成本!$F$19+AQ20*产品成本!$F$20+AR20*产品成本!$F$21</f>
        <v>0</v>
      </c>
      <c r="AW20" s="116">
        <f>AP20*产品成本!$G$19+AQ20*产品成本!$G$20+AR20*产品成本!$G$21</f>
        <v>0</v>
      </c>
      <c r="AX20" s="116">
        <f t="shared" si="39"/>
        <v>0</v>
      </c>
      <c r="AY20" s="116">
        <f t="shared" si="40"/>
        <v>0</v>
      </c>
      <c r="AZ20" s="117">
        <f t="shared" si="41"/>
        <v>0</v>
      </c>
      <c r="BA20" s="121">
        <f t="shared" si="42"/>
        <v>179.45374647887314</v>
      </c>
      <c r="BB20" s="122">
        <f t="shared" si="43"/>
        <v>280.39999999999998</v>
      </c>
      <c r="BC20" s="121">
        <f t="shared" si="6"/>
        <v>280.39999999999998</v>
      </c>
      <c r="BD20" s="121">
        <f t="shared" si="7"/>
        <v>-33.513746478873173</v>
      </c>
      <c r="BE20" s="123">
        <f t="shared" si="44"/>
        <v>-0.11952120712864898</v>
      </c>
      <c r="BF20" t="s">
        <v>401</v>
      </c>
    </row>
    <row r="21" spans="1:58" ht="29.1" customHeight="1" x14ac:dyDescent="0.15">
      <c r="A21" s="38" t="s">
        <v>200</v>
      </c>
      <c r="B21" s="38" t="s">
        <v>201</v>
      </c>
      <c r="C21" s="67">
        <v>8</v>
      </c>
      <c r="D21" s="68">
        <v>8</v>
      </c>
      <c r="E21" s="41">
        <v>179.98</v>
      </c>
      <c r="F21" s="101">
        <v>0</v>
      </c>
      <c r="G21" s="101">
        <v>0</v>
      </c>
      <c r="H21" s="41">
        <v>0</v>
      </c>
      <c r="I21" s="41">
        <v>0</v>
      </c>
      <c r="J21" s="102">
        <v>0</v>
      </c>
      <c r="K21" s="103">
        <f t="shared" si="27"/>
        <v>0</v>
      </c>
      <c r="L21" s="104">
        <v>0</v>
      </c>
      <c r="M21" s="105">
        <f t="shared" si="28"/>
        <v>-0.2</v>
      </c>
      <c r="N21" s="103">
        <f t="shared" si="29"/>
        <v>-0.2</v>
      </c>
      <c r="O21" s="103">
        <f t="shared" si="30"/>
        <v>-0.35813124108416544</v>
      </c>
      <c r="P21" s="106">
        <f t="shared" si="31"/>
        <v>1</v>
      </c>
      <c r="Q21" s="107">
        <f t="shared" si="32"/>
        <v>22.497499999999999</v>
      </c>
      <c r="R21" s="108">
        <f t="shared" si="33"/>
        <v>22.497499999999999</v>
      </c>
      <c r="S21" s="108">
        <f t="shared" si="34"/>
        <v>1.1428571428571428</v>
      </c>
      <c r="T21" s="109">
        <f t="shared" si="35"/>
        <v>2</v>
      </c>
      <c r="U21" s="110">
        <f t="shared" si="36"/>
        <v>0.25</v>
      </c>
      <c r="V21" s="72">
        <f t="shared" si="37"/>
        <v>0.73030336704078236</v>
      </c>
      <c r="W21" s="68">
        <v>15171</v>
      </c>
      <c r="X21" s="68">
        <v>100</v>
      </c>
      <c r="Y21" s="68">
        <v>6</v>
      </c>
      <c r="Z21" s="41">
        <v>131.44</v>
      </c>
      <c r="AA21" s="111">
        <v>135.63</v>
      </c>
      <c r="AB21" s="68">
        <v>1.29</v>
      </c>
      <c r="AC21" s="48">
        <f t="shared" si="38"/>
        <v>0.96910712969107127</v>
      </c>
      <c r="AD21" s="49">
        <f t="shared" si="0"/>
        <v>6.5915233010348691E-3</v>
      </c>
      <c r="AE21" s="112">
        <f t="shared" si="1"/>
        <v>0.06</v>
      </c>
      <c r="AF21" s="107">
        <f t="shared" si="2"/>
        <v>21.906666666666666</v>
      </c>
      <c r="AG21" s="113">
        <v>5</v>
      </c>
      <c r="AH21" s="114">
        <v>1</v>
      </c>
      <c r="AI21" s="115">
        <v>2</v>
      </c>
      <c r="AJ21" s="116">
        <f>AG21*产品成本!$D$19+AH21*产品成本!$D$20+AI21*产品成本!$D$21</f>
        <v>45.774647887323859</v>
      </c>
      <c r="AK21" s="116">
        <f>AG21*产品成本!$E$19+AH21*产品成本!$E$20+AI21*产品成本!$E$21</f>
        <v>12.801521126760555</v>
      </c>
      <c r="AL21" s="116">
        <f>AG21*产品成本!$F$19+AH21*产品成本!$F$20+AI21*产品成本!$F$21</f>
        <v>4.3000000000000007</v>
      </c>
      <c r="AM21" s="116">
        <f>AG21*产品成本!$G$19+AH21*产品成本!$G$20+AI21*产品成本!$G$21</f>
        <v>48.289999999999992</v>
      </c>
      <c r="AN21" s="116">
        <f t="shared" si="3"/>
        <v>26.996999999999996</v>
      </c>
      <c r="AO21" s="117">
        <f t="shared" si="4"/>
        <v>138.16316901408439</v>
      </c>
      <c r="AP21" s="118">
        <v>0</v>
      </c>
      <c r="AQ21" s="118">
        <v>0</v>
      </c>
      <c r="AR21" s="119">
        <v>0</v>
      </c>
      <c r="AS21" s="120">
        <f t="shared" si="5"/>
        <v>0</v>
      </c>
      <c r="AT21" s="116">
        <f>AP21*产品成本!$D$19+AQ21*产品成本!$D$20+AR21*产品成本!$D$21</f>
        <v>0</v>
      </c>
      <c r="AU21" s="116">
        <f>AP21*产品成本!$E$19+AQ21*产品成本!$E$20+AR21*产品成本!$E$21</f>
        <v>0</v>
      </c>
      <c r="AV21" s="116">
        <f>AP21*产品成本!$F$19+AQ21*产品成本!$F$20+AR21*产品成本!$F$21</f>
        <v>0</v>
      </c>
      <c r="AW21" s="116">
        <f>AP21*产品成本!$G$19+AQ21*产品成本!$G$20+AR21*产品成本!$G$21</f>
        <v>0</v>
      </c>
      <c r="AX21" s="116">
        <f t="shared" si="39"/>
        <v>0</v>
      </c>
      <c r="AY21" s="116">
        <f t="shared" si="40"/>
        <v>0</v>
      </c>
      <c r="AZ21" s="117">
        <f t="shared" si="41"/>
        <v>0</v>
      </c>
      <c r="BA21" s="121">
        <f t="shared" si="42"/>
        <v>138.16316901408439</v>
      </c>
      <c r="BB21" s="122">
        <f t="shared" si="43"/>
        <v>179.98</v>
      </c>
      <c r="BC21" s="121">
        <f t="shared" si="6"/>
        <v>179.98</v>
      </c>
      <c r="BD21" s="121">
        <f t="shared" si="7"/>
        <v>-89.623169014084397</v>
      </c>
      <c r="BE21" s="123">
        <f t="shared" si="44"/>
        <v>-0.49796182361420382</v>
      </c>
    </row>
    <row r="22" spans="1:58" ht="29.1" customHeight="1" x14ac:dyDescent="0.15">
      <c r="A22" s="38" t="s">
        <v>202</v>
      </c>
      <c r="B22" s="38" t="s">
        <v>203</v>
      </c>
      <c r="C22" s="67">
        <v>6</v>
      </c>
      <c r="D22" s="68">
        <v>6</v>
      </c>
      <c r="E22" s="41">
        <v>137.33000000000001</v>
      </c>
      <c r="F22" s="101">
        <v>0</v>
      </c>
      <c r="G22" s="101">
        <v>0</v>
      </c>
      <c r="H22" s="41">
        <v>0</v>
      </c>
      <c r="I22" s="41">
        <v>0</v>
      </c>
      <c r="J22" s="102">
        <v>3</v>
      </c>
      <c r="K22" s="103">
        <f t="shared" si="27"/>
        <v>0.5</v>
      </c>
      <c r="L22" s="104">
        <v>51.58</v>
      </c>
      <c r="M22" s="105">
        <f t="shared" si="28"/>
        <v>-0.25</v>
      </c>
      <c r="N22" s="103">
        <f t="shared" si="29"/>
        <v>-0.25</v>
      </c>
      <c r="O22" s="103">
        <f t="shared" si="30"/>
        <v>-0.23697077453050328</v>
      </c>
      <c r="P22" s="106">
        <f t="shared" si="31"/>
        <v>1</v>
      </c>
      <c r="Q22" s="107">
        <f t="shared" si="32"/>
        <v>22.888333333333335</v>
      </c>
      <c r="R22" s="108">
        <f t="shared" si="33"/>
        <v>22.888333333333335</v>
      </c>
      <c r="S22" s="108">
        <f t="shared" si="34"/>
        <v>0.8571428571428571</v>
      </c>
      <c r="T22" s="109">
        <f t="shared" si="35"/>
        <v>0</v>
      </c>
      <c r="U22" s="110">
        <f t="shared" si="36"/>
        <v>0</v>
      </c>
      <c r="V22" s="72">
        <f t="shared" si="37"/>
        <v>0.92041068957984418</v>
      </c>
      <c r="W22" s="68">
        <v>19126</v>
      </c>
      <c r="X22" s="68">
        <v>103</v>
      </c>
      <c r="Y22" s="68">
        <v>6</v>
      </c>
      <c r="Z22" s="41">
        <v>126.4</v>
      </c>
      <c r="AA22" s="111">
        <v>100.38</v>
      </c>
      <c r="AB22" s="68">
        <v>1.22</v>
      </c>
      <c r="AC22" s="48">
        <f t="shared" si="38"/>
        <v>1.2592149830643555</v>
      </c>
      <c r="AD22" s="49">
        <f t="shared" si="0"/>
        <v>5.3853393286625532E-3</v>
      </c>
      <c r="AE22" s="112">
        <f t="shared" si="1"/>
        <v>5.8252427184466021E-2</v>
      </c>
      <c r="AF22" s="107">
        <f t="shared" si="2"/>
        <v>21.066666666666666</v>
      </c>
      <c r="AG22" s="113">
        <v>5</v>
      </c>
      <c r="AH22" s="114">
        <v>0</v>
      </c>
      <c r="AI22" s="115">
        <v>1</v>
      </c>
      <c r="AJ22" s="116">
        <f>AG22*产品成本!$D$19+AH22*产品成本!$D$20+AI22*产品成本!$D$21</f>
        <v>28.169014084506998</v>
      </c>
      <c r="AK22" s="116">
        <f>AG22*产品成本!$E$19+AH22*产品成本!$E$20+AI22*产品成本!$E$21</f>
        <v>7.877859154929574</v>
      </c>
      <c r="AL22" s="116">
        <f>AG22*产品成本!$F$19+AH22*产品成本!$F$20+AI22*产品成本!$F$21</f>
        <v>3.1300000000000003</v>
      </c>
      <c r="AM22" s="116">
        <f>AG22*产品成本!$G$19+AH22*产品成本!$G$20+AI22*产品成本!$G$21</f>
        <v>34.839999999999996</v>
      </c>
      <c r="AN22" s="116">
        <f t="shared" si="3"/>
        <v>20.599500000000003</v>
      </c>
      <c r="AO22" s="117">
        <f t="shared" si="4"/>
        <v>94.61637323943657</v>
      </c>
      <c r="AP22" s="118">
        <v>3</v>
      </c>
      <c r="AQ22" s="118">
        <v>0</v>
      </c>
      <c r="AR22" s="119">
        <v>0</v>
      </c>
      <c r="AS22" s="120">
        <f t="shared" si="5"/>
        <v>62.902439024390247</v>
      </c>
      <c r="AT22" s="116">
        <f>AP22*产品成本!$D$19+AQ22*产品成本!$D$20+AR22*产品成本!$D$21</f>
        <v>10.56338028169014</v>
      </c>
      <c r="AU22" s="116">
        <f>AP22*产品成本!$E$19+AQ22*产品成本!$E$20+AR22*产品成本!$E$21</f>
        <v>2.9541971830985911</v>
      </c>
      <c r="AV22" s="116">
        <f>AP22*产品成本!$F$19+AQ22*产品成本!$F$20+AR22*产品成本!$F$21</f>
        <v>1.47</v>
      </c>
      <c r="AW22" s="116">
        <f>AP22*产品成本!$G$19+AQ22*产品成本!$G$20+AR22*产品成本!$G$21</f>
        <v>16.559999999999999</v>
      </c>
      <c r="AX22" s="116">
        <f t="shared" si="39"/>
        <v>9.4353658536585368</v>
      </c>
      <c r="AY22" s="116">
        <f t="shared" si="40"/>
        <v>-1.8870731707317074</v>
      </c>
      <c r="AZ22" s="117">
        <f t="shared" si="41"/>
        <v>39.095870147715559</v>
      </c>
      <c r="BA22" s="121">
        <f t="shared" si="42"/>
        <v>55.520503091721011</v>
      </c>
      <c r="BB22" s="122">
        <f t="shared" si="43"/>
        <v>137.33000000000001</v>
      </c>
      <c r="BC22" s="121">
        <f t="shared" si="6"/>
        <v>74.427560975609765</v>
      </c>
      <c r="BD22" s="121">
        <f t="shared" si="7"/>
        <v>-107.49294211611125</v>
      </c>
      <c r="BE22" s="123">
        <f t="shared" si="44"/>
        <v>-1.4442625918016736</v>
      </c>
    </row>
    <row r="23" spans="1:58" ht="29.1" customHeight="1" x14ac:dyDescent="0.15">
      <c r="A23" s="38" t="s">
        <v>205</v>
      </c>
      <c r="B23" s="38" t="s">
        <v>206</v>
      </c>
      <c r="C23" s="67">
        <v>1</v>
      </c>
      <c r="D23" s="68">
        <v>1</v>
      </c>
      <c r="E23" s="41">
        <v>26.89</v>
      </c>
      <c r="F23" s="101">
        <v>0</v>
      </c>
      <c r="G23" s="101">
        <v>0</v>
      </c>
      <c r="H23" s="41">
        <v>0</v>
      </c>
      <c r="I23" s="41">
        <v>0</v>
      </c>
      <c r="J23" s="102">
        <v>0</v>
      </c>
      <c r="K23" s="103">
        <f t="shared" si="27"/>
        <v>0</v>
      </c>
      <c r="L23" s="104">
        <v>0</v>
      </c>
      <c r="M23" s="105">
        <f t="shared" si="28"/>
        <v>-0.83333333333333337</v>
      </c>
      <c r="N23" s="103">
        <f t="shared" si="29"/>
        <v>-0.83333333333333337</v>
      </c>
      <c r="O23" s="103">
        <f t="shared" si="30"/>
        <v>-0.80419427656011067</v>
      </c>
      <c r="P23" s="106">
        <f t="shared" si="31"/>
        <v>1</v>
      </c>
      <c r="Q23" s="107">
        <f t="shared" si="32"/>
        <v>26.89</v>
      </c>
      <c r="R23" s="108">
        <f t="shared" si="33"/>
        <v>26.89</v>
      </c>
      <c r="S23" s="108">
        <f t="shared" si="34"/>
        <v>0.14285714285714285</v>
      </c>
      <c r="T23" s="109">
        <f t="shared" si="35"/>
        <v>0</v>
      </c>
      <c r="U23" s="110">
        <f t="shared" si="36"/>
        <v>0</v>
      </c>
      <c r="V23" s="72">
        <f t="shared" si="37"/>
        <v>1.8917813313499441</v>
      </c>
      <c r="W23" s="68">
        <v>9502</v>
      </c>
      <c r="X23" s="68">
        <v>51</v>
      </c>
      <c r="Y23" s="68">
        <v>1</v>
      </c>
      <c r="Z23" s="41">
        <v>50.87</v>
      </c>
      <c r="AA23" s="111">
        <v>26.89</v>
      </c>
      <c r="AB23" s="40">
        <v>1</v>
      </c>
      <c r="AC23" s="48">
        <f t="shared" si="38"/>
        <v>1.8917813313499441</v>
      </c>
      <c r="AD23" s="49">
        <f t="shared" si="0"/>
        <v>5.3672910966112396E-3</v>
      </c>
      <c r="AE23" s="112">
        <f t="shared" si="1"/>
        <v>1.9607843137254902E-2</v>
      </c>
      <c r="AF23" s="107">
        <f t="shared" si="2"/>
        <v>50.87</v>
      </c>
      <c r="AG23" s="113">
        <v>1</v>
      </c>
      <c r="AH23" s="114">
        <v>0</v>
      </c>
      <c r="AI23" s="115">
        <v>0</v>
      </c>
      <c r="AJ23" s="116">
        <f>AG23*产品成本!$D$19+AH23*产品成本!$D$20+AI23*产品成本!$D$21</f>
        <v>3.52112676056338</v>
      </c>
      <c r="AK23" s="116">
        <f>AG23*产品成本!$E$19+AH23*产品成本!$E$20+AI23*产品成本!$E$21</f>
        <v>0.98473239436619697</v>
      </c>
      <c r="AL23" s="116">
        <f>AG23*产品成本!$F$19+AH23*产品成本!$F$20+AI23*产品成本!$F$21</f>
        <v>0.49</v>
      </c>
      <c r="AM23" s="116">
        <f>AG23*产品成本!$G$19+AH23*产品成本!$G$20+AI23*产品成本!$G$21</f>
        <v>5.52</v>
      </c>
      <c r="AN23" s="116">
        <f t="shared" si="3"/>
        <v>4.0335000000000001</v>
      </c>
      <c r="AO23" s="117">
        <f t="shared" si="4"/>
        <v>14.549359154929576</v>
      </c>
      <c r="AP23" s="118">
        <v>0</v>
      </c>
      <c r="AQ23" s="118">
        <v>0</v>
      </c>
      <c r="AR23" s="119">
        <v>0</v>
      </c>
      <c r="AS23" s="120">
        <f t="shared" si="5"/>
        <v>0</v>
      </c>
      <c r="AT23" s="116">
        <f>AP23*产品成本!$D$19+AQ23*产品成本!$D$20+AR23*产品成本!$D$21</f>
        <v>0</v>
      </c>
      <c r="AU23" s="116">
        <f>AP23*产品成本!$E$19+AQ23*产品成本!$E$20+AR23*产品成本!$E$21</f>
        <v>0</v>
      </c>
      <c r="AV23" s="116">
        <f>AP23*产品成本!$F$19+AQ23*产品成本!$F$20+AR23*产品成本!$F$21</f>
        <v>0</v>
      </c>
      <c r="AW23" s="116">
        <f>AP23*产品成本!$G$19+AQ23*产品成本!$G$20+AR23*产品成本!$G$21</f>
        <v>0</v>
      </c>
      <c r="AX23" s="116">
        <f t="shared" si="39"/>
        <v>0</v>
      </c>
      <c r="AY23" s="116">
        <f t="shared" si="40"/>
        <v>0</v>
      </c>
      <c r="AZ23" s="117">
        <f t="shared" si="41"/>
        <v>0</v>
      </c>
      <c r="BA23" s="121">
        <f t="shared" si="42"/>
        <v>14.549359154929576</v>
      </c>
      <c r="BB23" s="122">
        <f t="shared" si="43"/>
        <v>26.89</v>
      </c>
      <c r="BC23" s="121">
        <f t="shared" si="6"/>
        <v>26.89</v>
      </c>
      <c r="BD23" s="121">
        <f t="shared" si="7"/>
        <v>-38.529359154929573</v>
      </c>
      <c r="BE23" s="123">
        <f t="shared" si="44"/>
        <v>-1.4328508425038888</v>
      </c>
    </row>
    <row r="24" spans="1:58" ht="29.1" customHeight="1" x14ac:dyDescent="0.15">
      <c r="A24" s="38" t="s">
        <v>208</v>
      </c>
      <c r="B24" s="38" t="s">
        <v>209</v>
      </c>
      <c r="C24" s="67">
        <v>4</v>
      </c>
      <c r="D24" s="68">
        <v>4</v>
      </c>
      <c r="E24" s="41">
        <v>158.25</v>
      </c>
      <c r="F24" s="101">
        <v>1</v>
      </c>
      <c r="G24" s="101">
        <v>1</v>
      </c>
      <c r="H24" s="41">
        <v>46.12</v>
      </c>
      <c r="I24" s="41">
        <v>6.92</v>
      </c>
      <c r="J24" s="102">
        <v>0</v>
      </c>
      <c r="K24" s="103">
        <f t="shared" si="27"/>
        <v>0</v>
      </c>
      <c r="L24" s="104">
        <v>0</v>
      </c>
      <c r="M24" s="105">
        <f t="shared" si="28"/>
        <v>3</v>
      </c>
      <c r="N24" s="103">
        <f t="shared" si="29"/>
        <v>3</v>
      </c>
      <c r="O24" s="103">
        <f t="shared" si="30"/>
        <v>4.8850873930829311</v>
      </c>
      <c r="P24" s="106">
        <f t="shared" si="31"/>
        <v>1</v>
      </c>
      <c r="Q24" s="107">
        <f t="shared" si="32"/>
        <v>39.5625</v>
      </c>
      <c r="R24" s="108">
        <f t="shared" si="33"/>
        <v>39.5625</v>
      </c>
      <c r="S24" s="108">
        <f t="shared" si="34"/>
        <v>0.5714285714285714</v>
      </c>
      <c r="T24" s="109">
        <f t="shared" si="35"/>
        <v>1</v>
      </c>
      <c r="U24" s="110">
        <f t="shared" si="36"/>
        <v>0.25</v>
      </c>
      <c r="V24" s="72">
        <f t="shared" si="37"/>
        <v>0.23359545364435338</v>
      </c>
      <c r="W24" s="68">
        <v>5013</v>
      </c>
      <c r="X24" s="68">
        <v>34</v>
      </c>
      <c r="Y24" s="68">
        <v>3</v>
      </c>
      <c r="Z24" s="41">
        <v>35.35</v>
      </c>
      <c r="AA24" s="111">
        <v>112.13</v>
      </c>
      <c r="AB24" s="68">
        <v>1.04</v>
      </c>
      <c r="AC24" s="48">
        <f t="shared" si="38"/>
        <v>0.31525907428877198</v>
      </c>
      <c r="AD24" s="49">
        <f t="shared" si="0"/>
        <v>6.7823658487931376E-3</v>
      </c>
      <c r="AE24" s="112">
        <f t="shared" si="1"/>
        <v>8.8235294117647065E-2</v>
      </c>
      <c r="AF24" s="107">
        <f t="shared" si="2"/>
        <v>11.783333333333333</v>
      </c>
      <c r="AG24" s="113">
        <v>1</v>
      </c>
      <c r="AH24" s="114">
        <v>0</v>
      </c>
      <c r="AI24" s="115">
        <v>3</v>
      </c>
      <c r="AJ24" s="116">
        <f>AG24*产品成本!$D$19+AH24*产品成本!$D$20+AI24*产品成本!$D$21</f>
        <v>35.21126760563368</v>
      </c>
      <c r="AK24" s="116">
        <f>AG24*产品成本!$E$19+AH24*产品成本!$E$20+AI24*产品成本!$E$21</f>
        <v>9.8473239436619675</v>
      </c>
      <c r="AL24" s="116">
        <f>AG24*产品成本!$F$19+AH24*产品成本!$F$20+AI24*产品成本!$F$21</f>
        <v>2.5300000000000002</v>
      </c>
      <c r="AM24" s="116">
        <f>AG24*产品成本!$G$19+AH24*产品成本!$G$20+AI24*产品成本!$G$21</f>
        <v>27.24</v>
      </c>
      <c r="AN24" s="116">
        <f t="shared" si="3"/>
        <v>22.6995</v>
      </c>
      <c r="AO24" s="117">
        <f t="shared" si="4"/>
        <v>97.528091549295652</v>
      </c>
      <c r="AP24" s="118">
        <v>0</v>
      </c>
      <c r="AQ24" s="118">
        <v>0</v>
      </c>
      <c r="AR24" s="119">
        <v>0</v>
      </c>
      <c r="AS24" s="120">
        <f t="shared" si="5"/>
        <v>0</v>
      </c>
      <c r="AT24" s="116">
        <f>AP24*产品成本!$D$19+AQ24*产品成本!$D$20+AR24*产品成本!$D$21</f>
        <v>0</v>
      </c>
      <c r="AU24" s="116">
        <f>AP24*产品成本!$E$19+AQ24*产品成本!$E$20+AR24*产品成本!$E$21</f>
        <v>0</v>
      </c>
      <c r="AV24" s="116">
        <f>AP24*产品成本!$F$19+AQ24*产品成本!$F$20+AR24*产品成本!$F$21</f>
        <v>0</v>
      </c>
      <c r="AW24" s="116">
        <f>AP24*产品成本!$G$19+AQ24*产品成本!$G$20+AR24*产品成本!$G$21</f>
        <v>0</v>
      </c>
      <c r="AX24" s="116">
        <f t="shared" si="39"/>
        <v>0</v>
      </c>
      <c r="AY24" s="116">
        <f t="shared" si="40"/>
        <v>0</v>
      </c>
      <c r="AZ24" s="117">
        <f t="shared" si="41"/>
        <v>0</v>
      </c>
      <c r="BA24" s="121">
        <f t="shared" si="42"/>
        <v>97.528091549295652</v>
      </c>
      <c r="BB24" s="122">
        <f t="shared" si="43"/>
        <v>151.33000000000001</v>
      </c>
      <c r="BC24" s="121">
        <f t="shared" si="6"/>
        <v>151.33000000000001</v>
      </c>
      <c r="BD24" s="121">
        <f t="shared" si="7"/>
        <v>18.451908450704359</v>
      </c>
      <c r="BE24" s="123">
        <f t="shared" si="44"/>
        <v>0.12193159618518705</v>
      </c>
      <c r="BF24" t="s">
        <v>402</v>
      </c>
    </row>
    <row r="25" spans="1:58" ht="29.1" customHeight="1" x14ac:dyDescent="0.15">
      <c r="A25" s="38" t="s">
        <v>210</v>
      </c>
      <c r="B25" s="38" t="s">
        <v>211</v>
      </c>
      <c r="C25" s="67">
        <v>2</v>
      </c>
      <c r="D25" s="68">
        <v>2</v>
      </c>
      <c r="E25" s="41">
        <v>52.8</v>
      </c>
      <c r="F25" s="101">
        <v>1</v>
      </c>
      <c r="G25" s="101">
        <v>1</v>
      </c>
      <c r="H25" s="41">
        <v>36.89</v>
      </c>
      <c r="I25" s="41">
        <v>4.0599999999999996</v>
      </c>
      <c r="J25" s="102">
        <v>0</v>
      </c>
      <c r="K25" s="103">
        <f t="shared" si="27"/>
        <v>0</v>
      </c>
      <c r="L25" s="104">
        <v>0</v>
      </c>
      <c r="M25" s="105">
        <f t="shared" si="28"/>
        <v>-0.5</v>
      </c>
      <c r="N25" s="103">
        <f t="shared" si="29"/>
        <v>-0.5</v>
      </c>
      <c r="O25" s="103">
        <f t="shared" si="30"/>
        <v>-0.66635071090047393</v>
      </c>
      <c r="P25" s="106">
        <f t="shared" si="31"/>
        <v>1</v>
      </c>
      <c r="Q25" s="107">
        <f t="shared" si="32"/>
        <v>26.4</v>
      </c>
      <c r="R25" s="108">
        <f t="shared" si="33"/>
        <v>26.4</v>
      </c>
      <c r="S25" s="108">
        <f t="shared" si="34"/>
        <v>0.2857142857142857</v>
      </c>
      <c r="T25" s="109">
        <f t="shared" si="35"/>
        <v>1</v>
      </c>
      <c r="U25" s="110">
        <f t="shared" si="36"/>
        <v>0.5</v>
      </c>
      <c r="V25" s="72">
        <f t="shared" si="37"/>
        <v>1.0886335658596638</v>
      </c>
      <c r="W25" s="68">
        <v>7166</v>
      </c>
      <c r="X25" s="68">
        <v>50</v>
      </c>
      <c r="Y25" s="68">
        <v>1</v>
      </c>
      <c r="Z25" s="41">
        <v>53.06</v>
      </c>
      <c r="AA25" s="111">
        <v>15.91</v>
      </c>
      <c r="AB25" s="68">
        <v>1.06</v>
      </c>
      <c r="AC25" s="48">
        <f t="shared" si="38"/>
        <v>3.3350094280326839</v>
      </c>
      <c r="AD25" s="49">
        <f t="shared" si="0"/>
        <v>6.9773932458833381E-3</v>
      </c>
      <c r="AE25" s="112">
        <f t="shared" si="1"/>
        <v>0.02</v>
      </c>
      <c r="AF25" s="107">
        <f t="shared" si="2"/>
        <v>53.06</v>
      </c>
      <c r="AG25" s="113">
        <v>1</v>
      </c>
      <c r="AH25" s="114">
        <v>0</v>
      </c>
      <c r="AI25" s="115">
        <v>1</v>
      </c>
      <c r="AJ25" s="116">
        <f>AG25*产品成本!$D$19+AH25*产品成本!$D$20+AI25*产品成本!$D$21</f>
        <v>14.084507042253479</v>
      </c>
      <c r="AK25" s="116">
        <f>AG25*产品成本!$E$19+AH25*产品成本!$E$20+AI25*产品成本!$E$21</f>
        <v>3.938929577464787</v>
      </c>
      <c r="AL25" s="116">
        <f>AG25*产品成本!$F$19+AH25*产品成本!$F$20+AI25*产品成本!$F$21</f>
        <v>1.17</v>
      </c>
      <c r="AM25" s="116">
        <f>AG25*产品成本!$G$19+AH25*产品成本!$G$20+AI25*产品成本!$G$21</f>
        <v>12.76</v>
      </c>
      <c r="AN25" s="116">
        <f t="shared" si="3"/>
        <v>7.3109999999999991</v>
      </c>
      <c r="AO25" s="117">
        <f t="shared" si="4"/>
        <v>39.264436619718268</v>
      </c>
      <c r="AP25" s="118">
        <v>0</v>
      </c>
      <c r="AQ25" s="118">
        <v>0</v>
      </c>
      <c r="AR25" s="119">
        <v>0</v>
      </c>
      <c r="AS25" s="120">
        <f t="shared" si="5"/>
        <v>0</v>
      </c>
      <c r="AT25" s="116">
        <f>AP25*产品成本!$D$19+AQ25*产品成本!$D$20+AR25*产品成本!$D$21</f>
        <v>0</v>
      </c>
      <c r="AU25" s="116">
        <f>AP25*产品成本!$E$19+AQ25*产品成本!$E$20+AR25*产品成本!$E$21</f>
        <v>0</v>
      </c>
      <c r="AV25" s="116">
        <f>AP25*产品成本!$F$19+AQ25*产品成本!$F$20+AR25*产品成本!$F$21</f>
        <v>0</v>
      </c>
      <c r="AW25" s="116">
        <f>AP25*产品成本!$G$19+AQ25*产品成本!$G$20+AR25*产品成本!$G$21</f>
        <v>0</v>
      </c>
      <c r="AX25" s="116">
        <f t="shared" si="39"/>
        <v>0</v>
      </c>
      <c r="AY25" s="116">
        <f t="shared" si="40"/>
        <v>0</v>
      </c>
      <c r="AZ25" s="117">
        <f t="shared" si="41"/>
        <v>0</v>
      </c>
      <c r="BA25" s="121">
        <f t="shared" si="42"/>
        <v>39.264436619718268</v>
      </c>
      <c r="BB25" s="122">
        <f t="shared" si="43"/>
        <v>48.739999999999995</v>
      </c>
      <c r="BC25" s="121">
        <f t="shared" si="6"/>
        <v>48.739999999999995</v>
      </c>
      <c r="BD25" s="121">
        <f t="shared" si="7"/>
        <v>-43.584436619718275</v>
      </c>
      <c r="BE25" s="123">
        <f t="shared" si="44"/>
        <v>-0.89422315592364132</v>
      </c>
      <c r="BF25" t="s">
        <v>287</v>
      </c>
    </row>
    <row r="26" spans="1:58" ht="29.1" customHeight="1" x14ac:dyDescent="0.15">
      <c r="A26" s="38" t="s">
        <v>213</v>
      </c>
      <c r="B26" s="38" t="s">
        <v>214</v>
      </c>
      <c r="C26" s="67">
        <v>11</v>
      </c>
      <c r="D26" s="68">
        <v>11</v>
      </c>
      <c r="E26" s="41">
        <v>268.35000000000002</v>
      </c>
      <c r="F26" s="101">
        <v>1</v>
      </c>
      <c r="G26" s="101">
        <v>1</v>
      </c>
      <c r="H26" s="41">
        <v>36.89</v>
      </c>
      <c r="I26" s="41">
        <v>5.53</v>
      </c>
      <c r="J26" s="102">
        <v>0</v>
      </c>
      <c r="K26" s="103">
        <f t="shared" si="27"/>
        <v>0</v>
      </c>
      <c r="L26" s="104">
        <v>0</v>
      </c>
      <c r="M26" s="105">
        <f t="shared" si="28"/>
        <v>4.5</v>
      </c>
      <c r="N26" s="103">
        <f t="shared" si="29"/>
        <v>4.5</v>
      </c>
      <c r="O26" s="103">
        <f t="shared" si="30"/>
        <v>4.0823863636363642</v>
      </c>
      <c r="P26" s="106">
        <f t="shared" si="31"/>
        <v>1</v>
      </c>
      <c r="Q26" s="107">
        <f t="shared" si="32"/>
        <v>24.395454545454548</v>
      </c>
      <c r="R26" s="108">
        <f t="shared" si="33"/>
        <v>24.395454545454548</v>
      </c>
      <c r="S26" s="108">
        <f t="shared" si="34"/>
        <v>1.5714285714285714</v>
      </c>
      <c r="T26" s="109">
        <f t="shared" si="35"/>
        <v>4</v>
      </c>
      <c r="U26" s="110">
        <f t="shared" si="36"/>
        <v>0.36363636363636365</v>
      </c>
      <c r="V26" s="72">
        <f t="shared" si="37"/>
        <v>0.25587854805570348</v>
      </c>
      <c r="W26" s="68">
        <v>9723</v>
      </c>
      <c r="X26" s="68">
        <v>67</v>
      </c>
      <c r="Y26" s="68">
        <v>7</v>
      </c>
      <c r="Z26" s="41">
        <v>67.25</v>
      </c>
      <c r="AA26" s="111">
        <v>129.1</v>
      </c>
      <c r="AB26" s="68">
        <v>1</v>
      </c>
      <c r="AC26" s="48">
        <f t="shared" si="38"/>
        <v>0.52091402013942678</v>
      </c>
      <c r="AD26" s="49">
        <f t="shared" si="0"/>
        <v>6.8908773012444722E-3</v>
      </c>
      <c r="AE26" s="112">
        <f t="shared" si="1"/>
        <v>0.1044776119402985</v>
      </c>
      <c r="AF26" s="107">
        <f t="shared" si="2"/>
        <v>9.6071428571428577</v>
      </c>
      <c r="AG26" s="113">
        <v>6</v>
      </c>
      <c r="AH26" s="114">
        <v>1</v>
      </c>
      <c r="AI26" s="115">
        <v>4</v>
      </c>
      <c r="AJ26" s="116">
        <f>AG26*产品成本!$D$19+AH26*产品成本!$D$20+AI26*产品成本!$D$21</f>
        <v>70.422535211267444</v>
      </c>
      <c r="AK26" s="116">
        <f>AG26*产品成本!$E$19+AH26*产品成本!$E$20+AI26*产品成本!$E$21</f>
        <v>19.694647887323931</v>
      </c>
      <c r="AL26" s="116">
        <f>AG26*产品成本!$F$19+AH26*产品成本!$F$20+AI26*产品成本!$F$21</f>
        <v>6.15</v>
      </c>
      <c r="AM26" s="116">
        <f>AG26*产品成本!$G$19+AH26*产品成本!$G$20+AI26*产品成本!$G$21</f>
        <v>68.289999999999992</v>
      </c>
      <c r="AN26" s="116">
        <f t="shared" si="3"/>
        <v>39.423000000000009</v>
      </c>
      <c r="AO26" s="117">
        <f t="shared" si="4"/>
        <v>203.98018309859137</v>
      </c>
      <c r="AP26" s="118">
        <v>0</v>
      </c>
      <c r="AQ26" s="118">
        <v>0</v>
      </c>
      <c r="AR26" s="119">
        <v>0</v>
      </c>
      <c r="AS26" s="120">
        <f t="shared" si="5"/>
        <v>0</v>
      </c>
      <c r="AT26" s="116">
        <f>AP26*产品成本!$D$19+AQ26*产品成本!$D$20+AR26*产品成本!$D$21</f>
        <v>0</v>
      </c>
      <c r="AU26" s="116">
        <f>AP26*产品成本!$E$19+AQ26*产品成本!$E$20+AR26*产品成本!$E$21</f>
        <v>0</v>
      </c>
      <c r="AV26" s="116">
        <f>AP26*产品成本!$F$19+AQ26*产品成本!$F$20+AR26*产品成本!$F$21</f>
        <v>0</v>
      </c>
      <c r="AW26" s="116">
        <f>AP26*产品成本!$G$19+AQ26*产品成本!$G$20+AR26*产品成本!$G$21</f>
        <v>0</v>
      </c>
      <c r="AX26" s="116">
        <f t="shared" si="39"/>
        <v>0</v>
      </c>
      <c r="AY26" s="116">
        <f t="shared" si="40"/>
        <v>0</v>
      </c>
      <c r="AZ26" s="117">
        <f t="shared" si="41"/>
        <v>0</v>
      </c>
      <c r="BA26" s="121">
        <f t="shared" si="42"/>
        <v>203.98018309859137</v>
      </c>
      <c r="BB26" s="122">
        <f t="shared" si="43"/>
        <v>262.82000000000005</v>
      </c>
      <c r="BC26" s="121">
        <f t="shared" si="6"/>
        <v>262.82000000000005</v>
      </c>
      <c r="BD26" s="121">
        <f t="shared" si="7"/>
        <v>-8.4101830985913182</v>
      </c>
      <c r="BE26" s="123">
        <f t="shared" si="44"/>
        <v>-3.1999783496656713E-2</v>
      </c>
      <c r="BF26" t="s">
        <v>215</v>
      </c>
    </row>
    <row r="27" spans="1:58" ht="29.1" customHeight="1" x14ac:dyDescent="0.15">
      <c r="A27" s="38" t="s">
        <v>216</v>
      </c>
      <c r="B27" s="38" t="s">
        <v>217</v>
      </c>
      <c r="C27" s="67">
        <v>5</v>
      </c>
      <c r="D27" s="68">
        <v>5</v>
      </c>
      <c r="E27" s="41">
        <v>101.51</v>
      </c>
      <c r="F27" s="101">
        <v>1</v>
      </c>
      <c r="G27" s="101">
        <v>1</v>
      </c>
      <c r="H27" s="41">
        <v>15.91</v>
      </c>
      <c r="I27" s="41">
        <v>2.39</v>
      </c>
      <c r="J27" s="102">
        <v>0</v>
      </c>
      <c r="K27" s="103">
        <f t="shared" si="27"/>
        <v>0</v>
      </c>
      <c r="L27" s="104">
        <v>0</v>
      </c>
      <c r="M27" s="105">
        <f t="shared" si="28"/>
        <v>-0.54545454545454541</v>
      </c>
      <c r="N27" s="103">
        <f t="shared" si="29"/>
        <v>-0.54545454545454541</v>
      </c>
      <c r="O27" s="103">
        <f t="shared" si="30"/>
        <v>-0.62172535867337442</v>
      </c>
      <c r="P27" s="106">
        <f t="shared" si="31"/>
        <v>1</v>
      </c>
      <c r="Q27" s="107">
        <f t="shared" si="32"/>
        <v>20.302</v>
      </c>
      <c r="R27" s="108">
        <f t="shared" si="33"/>
        <v>20.302</v>
      </c>
      <c r="S27" s="108">
        <f t="shared" si="34"/>
        <v>0.7142857142857143</v>
      </c>
      <c r="T27" s="109">
        <f t="shared" si="35"/>
        <v>4</v>
      </c>
      <c r="U27" s="110">
        <f t="shared" si="36"/>
        <v>0.8</v>
      </c>
      <c r="V27" s="72">
        <f t="shared" si="37"/>
        <v>0.48698547215496368</v>
      </c>
      <c r="W27" s="68">
        <v>9525</v>
      </c>
      <c r="X27" s="68">
        <v>46</v>
      </c>
      <c r="Y27" s="68">
        <v>1</v>
      </c>
      <c r="Z27" s="41">
        <v>48.27</v>
      </c>
      <c r="AA27" s="111">
        <v>15.91</v>
      </c>
      <c r="AB27" s="68">
        <v>1.05</v>
      </c>
      <c r="AC27" s="48">
        <f t="shared" si="38"/>
        <v>3.0339409176618481</v>
      </c>
      <c r="AD27" s="49">
        <f t="shared" si="0"/>
        <v>4.8293963254593172E-3</v>
      </c>
      <c r="AE27" s="112">
        <f t="shared" si="1"/>
        <v>2.1739130434782608E-2</v>
      </c>
      <c r="AF27" s="107">
        <f t="shared" si="2"/>
        <v>48.27</v>
      </c>
      <c r="AG27" s="113">
        <v>5</v>
      </c>
      <c r="AH27" s="114">
        <v>0</v>
      </c>
      <c r="AI27" s="115">
        <v>0</v>
      </c>
      <c r="AJ27" s="116">
        <f>AG27*产品成本!$D$19+AH27*产品成本!$D$20+AI27*产品成本!$D$21</f>
        <v>17.6056338028169</v>
      </c>
      <c r="AK27" s="116">
        <f>AG27*产品成本!$E$19+AH27*产品成本!$E$20+AI27*产品成本!$E$21</f>
        <v>4.9236619718309846</v>
      </c>
      <c r="AL27" s="116">
        <f>AG27*产品成本!$F$19+AH27*产品成本!$F$20+AI27*产品成本!$F$21</f>
        <v>2.4500000000000002</v>
      </c>
      <c r="AM27" s="116">
        <f>AG27*产品成本!$G$19+AH27*产品成本!$G$20+AI27*产品成本!$G$21</f>
        <v>27.599999999999998</v>
      </c>
      <c r="AN27" s="116">
        <f t="shared" si="3"/>
        <v>14.868</v>
      </c>
      <c r="AO27" s="117">
        <f t="shared" si="4"/>
        <v>67.447295774647884</v>
      </c>
      <c r="AP27" s="118">
        <v>0</v>
      </c>
      <c r="AQ27" s="118">
        <v>0</v>
      </c>
      <c r="AR27" s="119">
        <v>0</v>
      </c>
      <c r="AS27" s="120">
        <f t="shared" si="5"/>
        <v>0</v>
      </c>
      <c r="AT27" s="116">
        <f>AP27*产品成本!$D$19+AQ27*产品成本!$D$20+AR27*产品成本!$D$21</f>
        <v>0</v>
      </c>
      <c r="AU27" s="116">
        <f>AP27*产品成本!$E$19+AQ27*产品成本!$E$20+AR27*产品成本!$E$21</f>
        <v>0</v>
      </c>
      <c r="AV27" s="116">
        <f>AP27*产品成本!$F$19+AQ27*产品成本!$F$20+AR27*产品成本!$F$21</f>
        <v>0</v>
      </c>
      <c r="AW27" s="116">
        <f>AP27*产品成本!$G$19+AQ27*产品成本!$G$20+AR27*产品成本!$G$21</f>
        <v>0</v>
      </c>
      <c r="AX27" s="116">
        <f t="shared" si="39"/>
        <v>0</v>
      </c>
      <c r="AY27" s="116">
        <f t="shared" si="40"/>
        <v>0</v>
      </c>
      <c r="AZ27" s="117">
        <f t="shared" si="41"/>
        <v>0</v>
      </c>
      <c r="BA27" s="121">
        <f t="shared" si="42"/>
        <v>67.447295774647884</v>
      </c>
      <c r="BB27" s="122">
        <f t="shared" si="43"/>
        <v>99.12</v>
      </c>
      <c r="BC27" s="121">
        <f t="shared" si="6"/>
        <v>99.12</v>
      </c>
      <c r="BD27" s="121">
        <f t="shared" si="7"/>
        <v>-16.597295774647883</v>
      </c>
      <c r="BE27" s="123">
        <f t="shared" si="44"/>
        <v>-0.16744648683058799</v>
      </c>
      <c r="BF27" t="s">
        <v>288</v>
      </c>
    </row>
    <row r="28" spans="1:58" ht="29.1" customHeight="1" x14ac:dyDescent="0.15">
      <c r="A28" s="38" t="s">
        <v>219</v>
      </c>
      <c r="B28" s="38" t="s">
        <v>220</v>
      </c>
      <c r="C28" s="67">
        <v>2</v>
      </c>
      <c r="D28" s="68">
        <v>2</v>
      </c>
      <c r="E28" s="41">
        <v>53.78</v>
      </c>
      <c r="F28" s="101">
        <v>0</v>
      </c>
      <c r="G28" s="101">
        <v>0</v>
      </c>
      <c r="H28" s="41">
        <v>0</v>
      </c>
      <c r="I28" s="41">
        <v>0</v>
      </c>
      <c r="J28" s="102">
        <v>0</v>
      </c>
      <c r="K28" s="103">
        <f t="shared" si="27"/>
        <v>0</v>
      </c>
      <c r="L28" s="104">
        <v>0</v>
      </c>
      <c r="M28" s="105">
        <f t="shared" si="28"/>
        <v>-0.6</v>
      </c>
      <c r="N28" s="103">
        <f t="shared" si="29"/>
        <v>-0.6</v>
      </c>
      <c r="O28" s="103">
        <f t="shared" si="30"/>
        <v>-0.47019998029750765</v>
      </c>
      <c r="P28" s="106">
        <f t="shared" si="31"/>
        <v>1</v>
      </c>
      <c r="Q28" s="107">
        <f t="shared" si="32"/>
        <v>26.89</v>
      </c>
      <c r="R28" s="108">
        <f t="shared" si="33"/>
        <v>26.89</v>
      </c>
      <c r="S28" s="108">
        <f t="shared" si="34"/>
        <v>0.2857142857142857</v>
      </c>
      <c r="T28" s="109">
        <f t="shared" si="35"/>
        <v>0</v>
      </c>
      <c r="U28" s="110">
        <f t="shared" si="36"/>
        <v>0</v>
      </c>
      <c r="V28" s="72">
        <f t="shared" si="37"/>
        <v>0.79062848642618078</v>
      </c>
      <c r="W28" s="68">
        <v>6293</v>
      </c>
      <c r="X28" s="68">
        <v>44</v>
      </c>
      <c r="Y28" s="68">
        <v>2</v>
      </c>
      <c r="Z28" s="41">
        <v>42.52</v>
      </c>
      <c r="AA28" s="111">
        <v>40.340000000000003</v>
      </c>
      <c r="AB28" s="68">
        <v>0.97</v>
      </c>
      <c r="AC28" s="48">
        <f t="shared" si="38"/>
        <v>1.0540406544372831</v>
      </c>
      <c r="AD28" s="49">
        <f t="shared" si="0"/>
        <v>6.9918957571905287E-3</v>
      </c>
      <c r="AE28" s="112">
        <f t="shared" si="1"/>
        <v>4.5454545454545456E-2</v>
      </c>
      <c r="AF28" s="107">
        <f t="shared" si="2"/>
        <v>21.26</v>
      </c>
      <c r="AG28" s="113">
        <v>2</v>
      </c>
      <c r="AH28" s="114">
        <v>0</v>
      </c>
      <c r="AI28" s="115">
        <v>0</v>
      </c>
      <c r="AJ28" s="116">
        <f>AG28*产品成本!$D$19+AH28*产品成本!$D$20+AI28*产品成本!$D$21</f>
        <v>7.0422535211267601</v>
      </c>
      <c r="AK28" s="116">
        <f>AG28*产品成本!$E$19+AH28*产品成本!$E$20+AI28*产品成本!$E$21</f>
        <v>1.9694647887323939</v>
      </c>
      <c r="AL28" s="116">
        <f>AG28*产品成本!$F$19+AH28*产品成本!$F$20+AI28*产品成本!$F$21</f>
        <v>0.98</v>
      </c>
      <c r="AM28" s="116">
        <f>AG28*产品成本!$G$19+AH28*产品成本!$G$20+AI28*产品成本!$G$21</f>
        <v>11.04</v>
      </c>
      <c r="AN28" s="116">
        <f t="shared" si="3"/>
        <v>8.0670000000000002</v>
      </c>
      <c r="AO28" s="117">
        <f t="shared" si="4"/>
        <v>29.098718309859152</v>
      </c>
      <c r="AP28" s="118">
        <v>0</v>
      </c>
      <c r="AQ28" s="118">
        <v>0</v>
      </c>
      <c r="AR28" s="119">
        <v>0</v>
      </c>
      <c r="AS28" s="120">
        <f t="shared" si="5"/>
        <v>0</v>
      </c>
      <c r="AT28" s="116">
        <f>AP28*产品成本!$D$19+AQ28*产品成本!$D$20+AR28*产品成本!$D$21</f>
        <v>0</v>
      </c>
      <c r="AU28" s="116">
        <f>AP28*产品成本!$E$19+AQ28*产品成本!$E$20+AR28*产品成本!$E$21</f>
        <v>0</v>
      </c>
      <c r="AV28" s="116">
        <f>AP28*产品成本!$F$19+AQ28*产品成本!$F$20+AR28*产品成本!$F$21</f>
        <v>0</v>
      </c>
      <c r="AW28" s="116">
        <f>AP28*产品成本!$G$19+AQ28*产品成本!$G$20+AR28*产品成本!$G$21</f>
        <v>0</v>
      </c>
      <c r="AX28" s="116">
        <f t="shared" si="39"/>
        <v>0</v>
      </c>
      <c r="AY28" s="116">
        <f t="shared" si="40"/>
        <v>0</v>
      </c>
      <c r="AZ28" s="117">
        <f t="shared" si="41"/>
        <v>0</v>
      </c>
      <c r="BA28" s="121">
        <f t="shared" si="42"/>
        <v>29.098718309859152</v>
      </c>
      <c r="BB28" s="122">
        <f t="shared" si="43"/>
        <v>53.78</v>
      </c>
      <c r="BC28" s="121">
        <f t="shared" si="6"/>
        <v>53.78</v>
      </c>
      <c r="BD28" s="121">
        <f t="shared" si="7"/>
        <v>-17.838718309859154</v>
      </c>
      <c r="BE28" s="123">
        <f t="shared" si="44"/>
        <v>-0.33169799758012558</v>
      </c>
    </row>
    <row r="29" spans="1:58" ht="29.1" customHeight="1" x14ac:dyDescent="0.15">
      <c r="A29" s="38" t="s">
        <v>221</v>
      </c>
      <c r="B29" s="38" t="s">
        <v>222</v>
      </c>
      <c r="C29" s="67">
        <v>1</v>
      </c>
      <c r="D29" s="68">
        <v>1</v>
      </c>
      <c r="E29" s="41">
        <v>26.89</v>
      </c>
      <c r="F29" s="101">
        <v>0</v>
      </c>
      <c r="G29" s="101">
        <v>0</v>
      </c>
      <c r="H29" s="41">
        <v>0</v>
      </c>
      <c r="I29" s="41">
        <v>0</v>
      </c>
      <c r="J29" s="102">
        <v>0</v>
      </c>
      <c r="K29" s="103">
        <f t="shared" si="27"/>
        <v>0</v>
      </c>
      <c r="L29" s="104">
        <v>0</v>
      </c>
      <c r="M29" s="105">
        <f t="shared" si="28"/>
        <v>-0.5</v>
      </c>
      <c r="N29" s="103">
        <f t="shared" si="29"/>
        <v>-0.5</v>
      </c>
      <c r="O29" s="103">
        <f t="shared" si="30"/>
        <v>-0.5</v>
      </c>
      <c r="P29" s="106">
        <f t="shared" si="31"/>
        <v>1</v>
      </c>
      <c r="Q29" s="107">
        <f t="shared" si="32"/>
        <v>26.89</v>
      </c>
      <c r="R29" s="108">
        <f t="shared" si="33"/>
        <v>26.89</v>
      </c>
      <c r="S29" s="108">
        <f t="shared" si="34"/>
        <v>0.14285714285714285</v>
      </c>
      <c r="T29" s="109">
        <f t="shared" si="35"/>
        <v>0</v>
      </c>
      <c r="U29" s="110">
        <f t="shared" si="36"/>
        <v>0</v>
      </c>
      <c r="V29" s="72">
        <f t="shared" si="37"/>
        <v>1.5771662328002973</v>
      </c>
      <c r="W29" s="68">
        <v>7565</v>
      </c>
      <c r="X29" s="68">
        <v>45</v>
      </c>
      <c r="Y29" s="68">
        <v>1</v>
      </c>
      <c r="Z29" s="41">
        <v>42.41</v>
      </c>
      <c r="AA29" s="111">
        <v>26.9</v>
      </c>
      <c r="AB29" s="68">
        <v>0.94</v>
      </c>
      <c r="AC29" s="48">
        <f t="shared" si="38"/>
        <v>1.5765799256505575</v>
      </c>
      <c r="AD29" s="49">
        <f t="shared" si="0"/>
        <v>5.9484467944481163E-3</v>
      </c>
      <c r="AE29" s="112">
        <f t="shared" si="1"/>
        <v>2.2222222222222223E-2</v>
      </c>
      <c r="AF29" s="107">
        <f t="shared" si="2"/>
        <v>42.41</v>
      </c>
      <c r="AG29" s="113">
        <v>1</v>
      </c>
      <c r="AH29" s="114">
        <v>0</v>
      </c>
      <c r="AI29" s="115">
        <v>0</v>
      </c>
      <c r="AJ29" s="116">
        <f>AG29*产品成本!$D$19+AH29*产品成本!$D$20+AI29*产品成本!$D$21</f>
        <v>3.52112676056338</v>
      </c>
      <c r="AK29" s="116">
        <f>AG29*产品成本!$E$19+AH29*产品成本!$E$20+AI29*产品成本!$E$21</f>
        <v>0.98473239436619697</v>
      </c>
      <c r="AL29" s="116">
        <f>AG29*产品成本!$F$19+AH29*产品成本!$F$20+AI29*产品成本!$F$21</f>
        <v>0.49</v>
      </c>
      <c r="AM29" s="116">
        <f>AG29*产品成本!$G$19+AH29*产品成本!$G$20+AI29*产品成本!$G$21</f>
        <v>5.52</v>
      </c>
      <c r="AN29" s="116">
        <f t="shared" si="3"/>
        <v>4.0335000000000001</v>
      </c>
      <c r="AO29" s="117">
        <f t="shared" si="4"/>
        <v>14.549359154929576</v>
      </c>
      <c r="AP29" s="118">
        <v>0</v>
      </c>
      <c r="AQ29" s="118">
        <v>0</v>
      </c>
      <c r="AR29" s="119">
        <v>0</v>
      </c>
      <c r="AS29" s="120">
        <f t="shared" si="5"/>
        <v>0</v>
      </c>
      <c r="AT29" s="116">
        <f>AP29*产品成本!$D$19+AQ29*产品成本!$D$20+AR29*产品成本!$D$21</f>
        <v>0</v>
      </c>
      <c r="AU29" s="116">
        <f>AP29*产品成本!$E$19+AQ29*产品成本!$E$20+AR29*产品成本!$E$21</f>
        <v>0</v>
      </c>
      <c r="AV29" s="116">
        <f>AP29*产品成本!$F$19+AQ29*产品成本!$F$20+AR29*产品成本!$F$21</f>
        <v>0</v>
      </c>
      <c r="AW29" s="116">
        <f>AP29*产品成本!$G$19+AQ29*产品成本!$G$20+AR29*产品成本!$G$21</f>
        <v>0</v>
      </c>
      <c r="AX29" s="116">
        <f t="shared" si="39"/>
        <v>0</v>
      </c>
      <c r="AY29" s="116">
        <f t="shared" si="40"/>
        <v>0</v>
      </c>
      <c r="AZ29" s="117">
        <f t="shared" si="41"/>
        <v>0</v>
      </c>
      <c r="BA29" s="121">
        <f t="shared" si="42"/>
        <v>14.549359154929576</v>
      </c>
      <c r="BB29" s="122">
        <f t="shared" si="43"/>
        <v>26.89</v>
      </c>
      <c r="BC29" s="121">
        <f t="shared" si="6"/>
        <v>26.89</v>
      </c>
      <c r="BD29" s="121">
        <f t="shared" si="7"/>
        <v>-30.069359154929572</v>
      </c>
      <c r="BE29" s="123">
        <f t="shared" si="44"/>
        <v>-1.1182357439542421</v>
      </c>
    </row>
    <row r="30" spans="1:58" ht="29.1" customHeight="1" x14ac:dyDescent="0.15">
      <c r="A30" s="38" t="s">
        <v>223</v>
      </c>
      <c r="B30" s="38" t="s">
        <v>224</v>
      </c>
      <c r="C30" s="67">
        <v>4</v>
      </c>
      <c r="D30" s="68">
        <v>4</v>
      </c>
      <c r="E30" s="41">
        <v>121.31</v>
      </c>
      <c r="F30" s="101">
        <v>0</v>
      </c>
      <c r="G30" s="101">
        <v>0</v>
      </c>
      <c r="H30" s="41">
        <v>0</v>
      </c>
      <c r="I30" s="41">
        <v>0</v>
      </c>
      <c r="J30" s="102">
        <v>0</v>
      </c>
      <c r="K30" s="103">
        <f t="shared" si="27"/>
        <v>0</v>
      </c>
      <c r="L30" s="104">
        <v>0</v>
      </c>
      <c r="M30" s="105">
        <f t="shared" si="28"/>
        <v>3</v>
      </c>
      <c r="N30" s="103">
        <f t="shared" si="29"/>
        <v>3</v>
      </c>
      <c r="O30" s="103">
        <f t="shared" si="30"/>
        <v>3.5113425065079955</v>
      </c>
      <c r="P30" s="106">
        <f t="shared" si="31"/>
        <v>1</v>
      </c>
      <c r="Q30" s="107">
        <f t="shared" si="32"/>
        <v>30.327500000000001</v>
      </c>
      <c r="R30" s="108">
        <f t="shared" si="33"/>
        <v>30.327500000000001</v>
      </c>
      <c r="S30" s="108">
        <f t="shared" si="34"/>
        <v>0.5714285714285714</v>
      </c>
      <c r="T30" s="109">
        <f t="shared" si="35"/>
        <v>0</v>
      </c>
      <c r="U30" s="110">
        <f t="shared" si="36"/>
        <v>0</v>
      </c>
      <c r="V30" s="72">
        <f t="shared" si="37"/>
        <v>0.30162393866952436</v>
      </c>
      <c r="W30" s="68">
        <v>5577</v>
      </c>
      <c r="X30" s="68">
        <v>46</v>
      </c>
      <c r="Y30" s="68">
        <v>4</v>
      </c>
      <c r="Z30" s="41">
        <v>36.590000000000003</v>
      </c>
      <c r="AA30" s="111">
        <v>121.31</v>
      </c>
      <c r="AB30" s="68">
        <v>0.8</v>
      </c>
      <c r="AC30" s="48">
        <f t="shared" si="38"/>
        <v>0.30162393866952436</v>
      </c>
      <c r="AD30" s="49">
        <f t="shared" si="0"/>
        <v>8.2481620943159403E-3</v>
      </c>
      <c r="AE30" s="112">
        <f t="shared" si="1"/>
        <v>8.6956521739130432E-2</v>
      </c>
      <c r="AF30" s="107">
        <f t="shared" si="2"/>
        <v>9.1475000000000009</v>
      </c>
      <c r="AG30" s="113">
        <v>1</v>
      </c>
      <c r="AH30" s="114">
        <v>2</v>
      </c>
      <c r="AI30" s="115">
        <v>1</v>
      </c>
      <c r="AJ30" s="116">
        <f>AG30*产品成本!$D$19+AH30*产品成本!$D$20+AI30*产品成本!$D$21</f>
        <v>28.169014084506998</v>
      </c>
      <c r="AK30" s="116">
        <f>AG30*产品成本!$E$19+AH30*产品成本!$E$20+AI30*产品成本!$E$21</f>
        <v>7.8778591549295669</v>
      </c>
      <c r="AL30" s="116">
        <f>AG30*产品成本!$F$19+AH30*产品成本!$F$20+AI30*产品成本!$F$21</f>
        <v>2.15</v>
      </c>
      <c r="AM30" s="116">
        <f>AG30*产品成本!$G$19+AH30*产品成本!$G$20+AI30*产品成本!$G$21</f>
        <v>25.18</v>
      </c>
      <c r="AN30" s="116">
        <f t="shared" si="3"/>
        <v>18.1965</v>
      </c>
      <c r="AO30" s="117">
        <f t="shared" si="4"/>
        <v>81.573373239436563</v>
      </c>
      <c r="AP30" s="118">
        <v>0</v>
      </c>
      <c r="AQ30" s="118">
        <v>0</v>
      </c>
      <c r="AR30" s="119">
        <v>0</v>
      </c>
      <c r="AS30" s="120">
        <f t="shared" si="5"/>
        <v>0</v>
      </c>
      <c r="AT30" s="116">
        <f>AP30*产品成本!$D$19+AQ30*产品成本!$D$20+AR30*产品成本!$D$21</f>
        <v>0</v>
      </c>
      <c r="AU30" s="116">
        <f>AP30*产品成本!$E$19+AQ30*产品成本!$E$20+AR30*产品成本!$E$21</f>
        <v>0</v>
      </c>
      <c r="AV30" s="116">
        <f>AP30*产品成本!$F$19+AQ30*产品成本!$F$20+AR30*产品成本!$F$21</f>
        <v>0</v>
      </c>
      <c r="AW30" s="116">
        <f>AP30*产品成本!$G$19+AQ30*产品成本!$G$20+AR30*产品成本!$G$21</f>
        <v>0</v>
      </c>
      <c r="AX30" s="116">
        <f t="shared" si="39"/>
        <v>0</v>
      </c>
      <c r="AY30" s="116">
        <f t="shared" si="40"/>
        <v>0</v>
      </c>
      <c r="AZ30" s="117">
        <f t="shared" si="41"/>
        <v>0</v>
      </c>
      <c r="BA30" s="121">
        <f t="shared" si="42"/>
        <v>81.573373239436563</v>
      </c>
      <c r="BB30" s="122">
        <f t="shared" si="43"/>
        <v>121.31</v>
      </c>
      <c r="BC30" s="121">
        <f t="shared" si="6"/>
        <v>121.31</v>
      </c>
      <c r="BD30" s="121">
        <f t="shared" si="7"/>
        <v>3.1466267605634357</v>
      </c>
      <c r="BE30" s="123">
        <f t="shared" si="44"/>
        <v>2.5938725254005736E-2</v>
      </c>
      <c r="BF30" t="s">
        <v>225</v>
      </c>
    </row>
    <row r="31" spans="1:58" ht="29.1" customHeight="1" x14ac:dyDescent="0.15">
      <c r="A31" s="56" t="s">
        <v>226</v>
      </c>
      <c r="B31" s="57" t="s">
        <v>227</v>
      </c>
      <c r="C31" s="67">
        <v>2</v>
      </c>
      <c r="D31" s="68">
        <v>2</v>
      </c>
      <c r="E31" s="41">
        <v>48.65</v>
      </c>
      <c r="F31" s="101">
        <v>0</v>
      </c>
      <c r="G31" s="101">
        <v>0</v>
      </c>
      <c r="H31" s="41">
        <v>0</v>
      </c>
      <c r="I31" s="41">
        <v>0</v>
      </c>
      <c r="J31" s="102">
        <v>1</v>
      </c>
      <c r="K31" s="103">
        <f t="shared" si="27"/>
        <v>0.5</v>
      </c>
      <c r="L31" s="104">
        <v>11.9</v>
      </c>
      <c r="M31" s="105">
        <f t="shared" si="28"/>
        <v>-0.5</v>
      </c>
      <c r="N31" s="103">
        <f t="shared" si="29"/>
        <v>-0.5</v>
      </c>
      <c r="O31" s="103">
        <f t="shared" si="30"/>
        <v>-0.59896133871898438</v>
      </c>
      <c r="P31" s="106">
        <f t="shared" si="31"/>
        <v>1</v>
      </c>
      <c r="Q31" s="107">
        <f t="shared" si="32"/>
        <v>24.324999999999999</v>
      </c>
      <c r="R31" s="108">
        <f t="shared" si="33"/>
        <v>24.324999999999999</v>
      </c>
      <c r="S31" s="108">
        <f t="shared" si="34"/>
        <v>0.2857142857142857</v>
      </c>
      <c r="T31" s="109">
        <f t="shared" si="35"/>
        <v>1</v>
      </c>
      <c r="U31" s="110">
        <f t="shared" si="36"/>
        <v>0.5</v>
      </c>
      <c r="V31" s="72">
        <f t="shared" si="37"/>
        <v>1.2807810894141831</v>
      </c>
      <c r="W31" s="68">
        <v>7479</v>
      </c>
      <c r="X31" s="68">
        <v>67</v>
      </c>
      <c r="Y31" s="68">
        <v>1</v>
      </c>
      <c r="Z31" s="41">
        <v>62.31</v>
      </c>
      <c r="AA31" s="111">
        <v>29.83</v>
      </c>
      <c r="AB31" s="68">
        <v>0.93</v>
      </c>
      <c r="AC31" s="48">
        <f t="shared" si="38"/>
        <v>2.0888367415353675</v>
      </c>
      <c r="AD31" s="49">
        <f t="shared" si="0"/>
        <v>8.9584169006551671E-3</v>
      </c>
      <c r="AE31" s="112">
        <f t="shared" si="1"/>
        <v>1.4925373134328358E-2</v>
      </c>
      <c r="AF31" s="107">
        <f t="shared" si="2"/>
        <v>62.31</v>
      </c>
      <c r="AG31" s="113">
        <v>1</v>
      </c>
      <c r="AH31" s="114">
        <v>1</v>
      </c>
      <c r="AI31" s="115">
        <v>0</v>
      </c>
      <c r="AJ31" s="116">
        <f>AG31*产品成本!$D$19+AH31*产品成本!$D$20+AI31*产品成本!$D$21</f>
        <v>10.56338028169014</v>
      </c>
      <c r="AK31" s="116">
        <f>AG31*产品成本!$E$19+AH31*产品成本!$E$20+AI31*产品成本!$E$21</f>
        <v>2.9541971830985867</v>
      </c>
      <c r="AL31" s="116">
        <f>AG31*产品成本!$F$19+AH31*产品成本!$F$20+AI31*产品成本!$F$21</f>
        <v>0.98</v>
      </c>
      <c r="AM31" s="116">
        <f>AG31*产品成本!$G$19+AH31*产品成本!$G$20+AI31*产品成本!$G$21</f>
        <v>11.73</v>
      </c>
      <c r="AN31" s="116">
        <f t="shared" si="3"/>
        <v>7.2974999999999994</v>
      </c>
      <c r="AO31" s="117">
        <f t="shared" si="4"/>
        <v>33.525077464788723</v>
      </c>
      <c r="AP31" s="118">
        <v>1</v>
      </c>
      <c r="AQ31" s="118">
        <v>0</v>
      </c>
      <c r="AR31" s="119">
        <v>0</v>
      </c>
      <c r="AS31" s="120">
        <f t="shared" si="5"/>
        <v>14.512195121951221</v>
      </c>
      <c r="AT31" s="116">
        <f>AP31*产品成本!$D$19+AQ31*产品成本!$D$20+AR31*产品成本!$D$21</f>
        <v>3.52112676056338</v>
      </c>
      <c r="AU31" s="116">
        <f>AP31*产品成本!$E$19+AQ31*产品成本!$E$20+AR31*产品成本!$E$21</f>
        <v>0.98473239436619697</v>
      </c>
      <c r="AV31" s="116">
        <f>AP31*产品成本!$F$19+AQ31*产品成本!$F$20+AR31*产品成本!$F$21</f>
        <v>0.49</v>
      </c>
      <c r="AW31" s="116">
        <f>AP31*产品成本!$G$19+AQ31*产品成本!$G$20+AR31*产品成本!$G$21</f>
        <v>5.52</v>
      </c>
      <c r="AX31" s="116">
        <f t="shared" si="39"/>
        <v>2.1768292682926829</v>
      </c>
      <c r="AY31" s="116">
        <f t="shared" si="40"/>
        <v>-0.43536585365853658</v>
      </c>
      <c r="AZ31" s="117">
        <f t="shared" si="41"/>
        <v>12.257322569563721</v>
      </c>
      <c r="BA31" s="121">
        <f t="shared" si="42"/>
        <v>21.267754895225004</v>
      </c>
      <c r="BB31" s="122">
        <f t="shared" si="43"/>
        <v>48.65</v>
      </c>
      <c r="BC31" s="121">
        <f t="shared" si="6"/>
        <v>34.137804878048776</v>
      </c>
      <c r="BD31" s="121">
        <f t="shared" si="7"/>
        <v>-49.43995001717623</v>
      </c>
      <c r="BE31" s="123">
        <f t="shared" si="44"/>
        <v>-1.4482463120810387</v>
      </c>
      <c r="BF31" s="125" t="s">
        <v>403</v>
      </c>
    </row>
    <row r="32" spans="1:58" ht="29.1" customHeight="1" x14ac:dyDescent="0.15">
      <c r="A32" s="38" t="s">
        <v>228</v>
      </c>
      <c r="B32" s="58" t="s">
        <v>229</v>
      </c>
      <c r="C32" s="67">
        <v>15</v>
      </c>
      <c r="D32" s="68">
        <v>14</v>
      </c>
      <c r="E32" s="41">
        <v>239.55</v>
      </c>
      <c r="F32" s="101">
        <v>0</v>
      </c>
      <c r="G32" s="101">
        <v>0</v>
      </c>
      <c r="H32" s="41">
        <v>0</v>
      </c>
      <c r="I32" s="41">
        <v>0</v>
      </c>
      <c r="J32" s="102">
        <v>1</v>
      </c>
      <c r="K32" s="103">
        <f t="shared" si="27"/>
        <v>6.6666666666666666E-2</v>
      </c>
      <c r="L32" s="104">
        <v>40.58</v>
      </c>
      <c r="M32" s="105">
        <f t="shared" si="28"/>
        <v>6.5</v>
      </c>
      <c r="N32" s="103">
        <f t="shared" si="29"/>
        <v>6</v>
      </c>
      <c r="O32" s="103">
        <f t="shared" si="30"/>
        <v>3.9239465570400824</v>
      </c>
      <c r="P32" s="106">
        <f t="shared" si="31"/>
        <v>1.0714285714285714</v>
      </c>
      <c r="Q32" s="107">
        <f t="shared" si="32"/>
        <v>17.110714285714288</v>
      </c>
      <c r="R32" s="108">
        <f t="shared" si="33"/>
        <v>15.97</v>
      </c>
      <c r="S32" s="108">
        <f t="shared" si="34"/>
        <v>2.1428571428571428</v>
      </c>
      <c r="T32" s="109">
        <f t="shared" si="35"/>
        <v>5</v>
      </c>
      <c r="U32" s="110">
        <f t="shared" si="36"/>
        <v>0.35714285714285715</v>
      </c>
      <c r="V32" s="72">
        <f t="shared" si="37"/>
        <v>0.4593613024420789</v>
      </c>
      <c r="W32" s="68">
        <v>13319</v>
      </c>
      <c r="X32" s="68">
        <v>115</v>
      </c>
      <c r="Y32" s="68">
        <v>9</v>
      </c>
      <c r="Z32" s="41">
        <v>110.04</v>
      </c>
      <c r="AA32" s="111">
        <v>161.97999999999999</v>
      </c>
      <c r="AB32" s="68">
        <v>0.96</v>
      </c>
      <c r="AC32" s="48">
        <f t="shared" si="38"/>
        <v>0.67934312878133107</v>
      </c>
      <c r="AD32" s="49">
        <f t="shared" si="0"/>
        <v>8.6342818529919658E-3</v>
      </c>
      <c r="AE32" s="112">
        <f t="shared" si="1"/>
        <v>7.8260869565217397E-2</v>
      </c>
      <c r="AF32" s="107">
        <f t="shared" si="2"/>
        <v>12.226666666666667</v>
      </c>
      <c r="AG32" s="113">
        <v>12</v>
      </c>
      <c r="AH32" s="114">
        <v>1</v>
      </c>
      <c r="AI32" s="115">
        <v>2</v>
      </c>
      <c r="AJ32" s="116">
        <f>AG32*产品成本!$D$19+AH32*产品成本!$D$20+AI32*产品成本!$D$21</f>
        <v>70.422535211267515</v>
      </c>
      <c r="AK32" s="116">
        <f>AG32*产品成本!$E$19+AH32*产品成本!$E$20+AI32*产品成本!$E$21</f>
        <v>19.694647887323935</v>
      </c>
      <c r="AL32" s="116">
        <f>AG32*产品成本!$F$19+AH32*产品成本!$F$20+AI32*产品成本!$F$21</f>
        <v>7.73</v>
      </c>
      <c r="AM32" s="116">
        <f>AG32*产品成本!$G$19+AH32*产品成本!$G$20+AI32*产品成本!$G$21</f>
        <v>86.929999999999993</v>
      </c>
      <c r="AN32" s="116">
        <f t="shared" si="3"/>
        <v>35.932499999999997</v>
      </c>
      <c r="AO32" s="117">
        <f t="shared" si="4"/>
        <v>220.70968309859146</v>
      </c>
      <c r="AP32" s="118">
        <v>0</v>
      </c>
      <c r="AQ32" s="118">
        <v>0</v>
      </c>
      <c r="AR32" s="119">
        <v>1</v>
      </c>
      <c r="AS32" s="120">
        <f t="shared" si="5"/>
        <v>49.487804878048784</v>
      </c>
      <c r="AT32" s="116">
        <f>AP32*产品成本!$D$19+AQ32*产品成本!$D$20+AR32*产品成本!$D$21</f>
        <v>10.563380281690099</v>
      </c>
      <c r="AU32" s="116">
        <f>AP32*产品成本!$E$19+AQ32*产品成本!$E$20+AR32*产品成本!$E$21</f>
        <v>2.9541971830985898</v>
      </c>
      <c r="AV32" s="116">
        <f>AP32*产品成本!$F$19+AQ32*产品成本!$F$20+AR32*产品成本!$F$21</f>
        <v>0.68</v>
      </c>
      <c r="AW32" s="116">
        <f>AP32*产品成本!$G$19+AQ32*产品成本!$G$20+AR32*产品成本!$G$21</f>
        <v>7.24</v>
      </c>
      <c r="AX32" s="116">
        <f t="shared" si="39"/>
        <v>7.4231707317073177</v>
      </c>
      <c r="AY32" s="116">
        <f t="shared" si="40"/>
        <v>-1.4846341463414636</v>
      </c>
      <c r="AZ32" s="117">
        <f t="shared" si="41"/>
        <v>27.376114050154541</v>
      </c>
      <c r="BA32" s="121">
        <f t="shared" si="42"/>
        <v>193.33356904843691</v>
      </c>
      <c r="BB32" s="122">
        <f t="shared" si="43"/>
        <v>239.55</v>
      </c>
      <c r="BC32" s="121">
        <f t="shared" si="6"/>
        <v>190.06219512195122</v>
      </c>
      <c r="BD32" s="121">
        <f t="shared" si="7"/>
        <v>-113.3113739264857</v>
      </c>
      <c r="BE32" s="123">
        <f t="shared" si="44"/>
        <v>-0.59618049688303743</v>
      </c>
      <c r="BF32" s="125" t="s">
        <v>404</v>
      </c>
    </row>
    <row r="33" spans="1:59" ht="29.1" customHeight="1" x14ac:dyDescent="0.15">
      <c r="A33" s="38" t="s">
        <v>230</v>
      </c>
      <c r="B33" s="58" t="s">
        <v>231</v>
      </c>
      <c r="C33" s="67">
        <v>8</v>
      </c>
      <c r="D33" s="68">
        <v>8</v>
      </c>
      <c r="E33" s="41">
        <v>184.1</v>
      </c>
      <c r="F33" s="101">
        <v>0</v>
      </c>
      <c r="G33" s="101">
        <v>0</v>
      </c>
      <c r="H33" s="41">
        <v>0</v>
      </c>
      <c r="I33" s="41">
        <v>0</v>
      </c>
      <c r="J33" s="102">
        <v>0</v>
      </c>
      <c r="K33" s="103">
        <f t="shared" si="27"/>
        <v>0</v>
      </c>
      <c r="L33" s="104">
        <v>0</v>
      </c>
      <c r="M33" s="105">
        <f t="shared" si="28"/>
        <v>-0.46666666666666667</v>
      </c>
      <c r="N33" s="103">
        <f t="shared" si="29"/>
        <v>-0.42857142857142855</v>
      </c>
      <c r="O33" s="103">
        <f t="shared" si="30"/>
        <v>-0.23147568357336679</v>
      </c>
      <c r="P33" s="106">
        <f t="shared" si="31"/>
        <v>1</v>
      </c>
      <c r="Q33" s="107">
        <f t="shared" si="32"/>
        <v>23.012499999999999</v>
      </c>
      <c r="R33" s="108">
        <f t="shared" si="33"/>
        <v>23.012499999999999</v>
      </c>
      <c r="S33" s="108">
        <f t="shared" si="34"/>
        <v>1.1428571428571428</v>
      </c>
      <c r="T33" s="109">
        <f t="shared" si="35"/>
        <v>3</v>
      </c>
      <c r="U33" s="110">
        <f t="shared" si="36"/>
        <v>0.375</v>
      </c>
      <c r="V33" s="72">
        <f t="shared" si="37"/>
        <v>0.57338403041825103</v>
      </c>
      <c r="W33" s="68">
        <v>14747</v>
      </c>
      <c r="X33" s="68">
        <v>118</v>
      </c>
      <c r="Y33" s="68">
        <v>5</v>
      </c>
      <c r="Z33" s="41">
        <v>105.56</v>
      </c>
      <c r="AA33" s="111">
        <v>122.73</v>
      </c>
      <c r="AB33" s="68">
        <v>0.89</v>
      </c>
      <c r="AC33" s="48">
        <f t="shared" si="38"/>
        <v>0.860099405198403</v>
      </c>
      <c r="AD33" s="49">
        <f t="shared" si="0"/>
        <v>8.0016274496507757E-3</v>
      </c>
      <c r="AE33" s="112">
        <f t="shared" si="1"/>
        <v>4.2372881355932202E-2</v>
      </c>
      <c r="AF33" s="107">
        <f t="shared" si="2"/>
        <v>21.112000000000002</v>
      </c>
      <c r="AG33" s="113">
        <v>3</v>
      </c>
      <c r="AH33" s="114">
        <v>0</v>
      </c>
      <c r="AI33" s="115">
        <v>5</v>
      </c>
      <c r="AJ33" s="116">
        <f>AG33*产品成本!$D$19+AH33*产品成本!$D$20+AI33*产品成本!$D$21</f>
        <v>63.380281690140635</v>
      </c>
      <c r="AK33" s="116">
        <f>AG33*产品成本!$E$19+AH33*产品成本!$E$20+AI33*产品成本!$E$21</f>
        <v>17.72518309859154</v>
      </c>
      <c r="AL33" s="116">
        <f>AG33*产品成本!$F$19+AH33*产品成本!$F$20+AI33*产品成本!$F$21</f>
        <v>4.87</v>
      </c>
      <c r="AM33" s="116">
        <f>AG33*产品成本!$G$19+AH33*产品成本!$G$20+AI33*产品成本!$G$21</f>
        <v>52.760000000000005</v>
      </c>
      <c r="AN33" s="116">
        <f t="shared" si="3"/>
        <v>27.614999999999998</v>
      </c>
      <c r="AO33" s="117">
        <f t="shared" si="4"/>
        <v>166.35046478873221</v>
      </c>
      <c r="AP33" s="118">
        <v>0</v>
      </c>
      <c r="AQ33" s="118">
        <v>0</v>
      </c>
      <c r="AR33" s="119">
        <v>0</v>
      </c>
      <c r="AS33" s="120">
        <f t="shared" si="5"/>
        <v>0</v>
      </c>
      <c r="AT33" s="116">
        <f>AP33*产品成本!$D$19+AQ33*产品成本!$D$20+AR33*产品成本!$D$21</f>
        <v>0</v>
      </c>
      <c r="AU33" s="116">
        <f>AP33*产品成本!$E$19+AQ33*产品成本!$E$20+AR33*产品成本!$E$21</f>
        <v>0</v>
      </c>
      <c r="AV33" s="116">
        <f>AP33*产品成本!$F$19+AQ33*产品成本!$F$20+AR33*产品成本!$F$21</f>
        <v>0</v>
      </c>
      <c r="AW33" s="116">
        <f>AP33*产品成本!$G$19+AQ33*产品成本!$G$20+AR33*产品成本!$G$21</f>
        <v>0</v>
      </c>
      <c r="AX33" s="116">
        <f t="shared" si="39"/>
        <v>0</v>
      </c>
      <c r="AY33" s="116">
        <f t="shared" si="40"/>
        <v>0</v>
      </c>
      <c r="AZ33" s="117">
        <f t="shared" si="41"/>
        <v>0</v>
      </c>
      <c r="BA33" s="121">
        <f t="shared" si="42"/>
        <v>166.35046478873221</v>
      </c>
      <c r="BB33" s="122">
        <f t="shared" si="43"/>
        <v>184.1</v>
      </c>
      <c r="BC33" s="121">
        <f t="shared" si="6"/>
        <v>184.1</v>
      </c>
      <c r="BD33" s="121">
        <f t="shared" si="7"/>
        <v>-87.810464788732219</v>
      </c>
      <c r="BE33" s="123">
        <f t="shared" si="44"/>
        <v>-0.47697156321962098</v>
      </c>
      <c r="BF33" s="125" t="s">
        <v>405</v>
      </c>
    </row>
    <row r="34" spans="1:59" ht="29.1" customHeight="1" x14ac:dyDescent="0.15">
      <c r="A34" s="38" t="s">
        <v>232</v>
      </c>
      <c r="B34" s="58" t="s">
        <v>233</v>
      </c>
      <c r="C34" s="67">
        <v>10</v>
      </c>
      <c r="D34" s="68">
        <v>10</v>
      </c>
      <c r="E34" s="41">
        <v>157</v>
      </c>
      <c r="F34" s="101">
        <v>1</v>
      </c>
      <c r="G34" s="101">
        <v>1</v>
      </c>
      <c r="H34" s="41">
        <v>28.75</v>
      </c>
      <c r="I34" s="41">
        <v>4.3099999999999996</v>
      </c>
      <c r="J34" s="102">
        <v>1</v>
      </c>
      <c r="K34" s="103">
        <f t="shared" si="27"/>
        <v>0.1</v>
      </c>
      <c r="L34" s="104">
        <v>11.83</v>
      </c>
      <c r="M34" s="105">
        <f t="shared" si="28"/>
        <v>0.25</v>
      </c>
      <c r="N34" s="103">
        <f t="shared" si="29"/>
        <v>0.25</v>
      </c>
      <c r="O34" s="103">
        <f t="shared" si="30"/>
        <v>-0.14720260727865289</v>
      </c>
      <c r="P34" s="106">
        <f t="shared" si="31"/>
        <v>1</v>
      </c>
      <c r="Q34" s="107">
        <f t="shared" si="32"/>
        <v>15.7</v>
      </c>
      <c r="R34" s="108">
        <f t="shared" si="33"/>
        <v>15.7</v>
      </c>
      <c r="S34" s="108">
        <f t="shared" si="34"/>
        <v>1.4285714285714286</v>
      </c>
      <c r="T34" s="109">
        <f t="shared" si="35"/>
        <v>1</v>
      </c>
      <c r="U34" s="110">
        <f t="shared" si="36"/>
        <v>0.1</v>
      </c>
      <c r="V34" s="72">
        <f t="shared" si="37"/>
        <v>0.95860894623092541</v>
      </c>
      <c r="W34" s="68">
        <v>19044</v>
      </c>
      <c r="X34" s="68">
        <v>164</v>
      </c>
      <c r="Y34" s="68">
        <v>9</v>
      </c>
      <c r="Z34" s="41">
        <v>146.37</v>
      </c>
      <c r="AA34" s="111">
        <v>143.55000000000001</v>
      </c>
      <c r="AB34" s="68">
        <v>0.89</v>
      </c>
      <c r="AC34" s="48">
        <f t="shared" si="38"/>
        <v>1.0196447230929988</v>
      </c>
      <c r="AD34" s="49">
        <f t="shared" si="0"/>
        <v>8.6116362108800675E-3</v>
      </c>
      <c r="AE34" s="112">
        <f t="shared" si="1"/>
        <v>5.4878048780487805E-2</v>
      </c>
      <c r="AF34" s="107">
        <f t="shared" si="2"/>
        <v>16.263333333333335</v>
      </c>
      <c r="AG34" s="113">
        <v>8</v>
      </c>
      <c r="AH34" s="114">
        <v>1</v>
      </c>
      <c r="AI34" s="115">
        <v>1</v>
      </c>
      <c r="AJ34" s="116">
        <f>AG34*产品成本!$D$19+AH34*产品成本!$D$20+AI34*产品成本!$D$21</f>
        <v>45.774647887323901</v>
      </c>
      <c r="AK34" s="116">
        <f>AG34*产品成本!$E$19+AH34*产品成本!$E$20+AI34*产品成本!$E$21</f>
        <v>12.801521126760555</v>
      </c>
      <c r="AL34" s="116">
        <f>AG34*产品成本!$F$19+AH34*产品成本!$F$20+AI34*产品成本!$F$21</f>
        <v>5.09</v>
      </c>
      <c r="AM34" s="116">
        <f>AG34*产品成本!$G$19+AH34*产品成本!$G$20+AI34*产品成本!$G$21</f>
        <v>57.61</v>
      </c>
      <c r="AN34" s="116">
        <f t="shared" si="3"/>
        <v>22.903499999999998</v>
      </c>
      <c r="AO34" s="117">
        <f t="shared" si="4"/>
        <v>144.17966901408445</v>
      </c>
      <c r="AP34" s="118">
        <v>1</v>
      </c>
      <c r="AQ34" s="118">
        <v>0</v>
      </c>
      <c r="AR34" s="119">
        <v>0</v>
      </c>
      <c r="AS34" s="120">
        <f t="shared" si="5"/>
        <v>14.426829268292684</v>
      </c>
      <c r="AT34" s="116">
        <f>AP34*产品成本!$D$19+AQ34*产品成本!$D$20+AR34*产品成本!$D$21</f>
        <v>3.52112676056338</v>
      </c>
      <c r="AU34" s="116">
        <f>AP34*产品成本!$E$19+AQ34*产品成本!$E$20+AR34*产品成本!$E$21</f>
        <v>0.98473239436619697</v>
      </c>
      <c r="AV34" s="116">
        <f>AP34*产品成本!$F$19+AQ34*产品成本!$F$20+AR34*产品成本!$F$21</f>
        <v>0.49</v>
      </c>
      <c r="AW34" s="116">
        <f>AP34*产品成本!$G$19+AQ34*产品成本!$G$20+AR34*产品成本!$G$21</f>
        <v>5.52</v>
      </c>
      <c r="AX34" s="116">
        <f t="shared" si="39"/>
        <v>2.1640243902439025</v>
      </c>
      <c r="AY34" s="116">
        <f t="shared" si="40"/>
        <v>-0.43280487804878054</v>
      </c>
      <c r="AZ34" s="117">
        <f t="shared" si="41"/>
        <v>12.247078667124697</v>
      </c>
      <c r="BA34" s="121">
        <f t="shared" si="42"/>
        <v>131.93259034695976</v>
      </c>
      <c r="BB34" s="122">
        <f t="shared" si="43"/>
        <v>152.69</v>
      </c>
      <c r="BC34" s="121">
        <f t="shared" si="6"/>
        <v>138.26317073170731</v>
      </c>
      <c r="BD34" s="121">
        <f t="shared" si="7"/>
        <v>-140.03941961525246</v>
      </c>
      <c r="BE34" s="123">
        <f t="shared" si="44"/>
        <v>-1.0128468693010944</v>
      </c>
      <c r="BF34" s="125" t="s">
        <v>405</v>
      </c>
    </row>
    <row r="35" spans="1:59" ht="29.1" customHeight="1" x14ac:dyDescent="0.15">
      <c r="A35" s="38" t="s">
        <v>236</v>
      </c>
      <c r="B35" s="58" t="s">
        <v>237</v>
      </c>
      <c r="C35" s="67">
        <v>18</v>
      </c>
      <c r="D35" s="68">
        <v>17</v>
      </c>
      <c r="E35" s="41">
        <v>340.2</v>
      </c>
      <c r="F35" s="101">
        <v>0</v>
      </c>
      <c r="G35" s="101">
        <v>0</v>
      </c>
      <c r="H35" s="41">
        <v>0</v>
      </c>
      <c r="I35" s="41">
        <v>0</v>
      </c>
      <c r="J35" s="102">
        <v>0</v>
      </c>
      <c r="K35" s="103">
        <f t="shared" si="27"/>
        <v>0</v>
      </c>
      <c r="L35" s="104">
        <v>0</v>
      </c>
      <c r="M35" s="105">
        <f t="shared" si="28"/>
        <v>0.8</v>
      </c>
      <c r="N35" s="103">
        <f t="shared" si="29"/>
        <v>0.7</v>
      </c>
      <c r="O35" s="103">
        <f t="shared" si="30"/>
        <v>1.1668789808917197</v>
      </c>
      <c r="P35" s="106">
        <f t="shared" si="31"/>
        <v>1.0588235294117647</v>
      </c>
      <c r="Q35" s="107">
        <f t="shared" si="32"/>
        <v>20.011764705882353</v>
      </c>
      <c r="R35" s="108">
        <f t="shared" si="33"/>
        <v>18.899999999999999</v>
      </c>
      <c r="S35" s="108">
        <f t="shared" si="34"/>
        <v>2.5714285714285716</v>
      </c>
      <c r="T35" s="109">
        <f t="shared" si="35"/>
        <v>3</v>
      </c>
      <c r="U35" s="110">
        <f t="shared" si="36"/>
        <v>0.17647058823529413</v>
      </c>
      <c r="V35" s="72">
        <f t="shared" si="37"/>
        <v>0.45514403292181072</v>
      </c>
      <c r="W35" s="68">
        <v>23652</v>
      </c>
      <c r="X35" s="68">
        <v>169</v>
      </c>
      <c r="Y35" s="68">
        <v>14</v>
      </c>
      <c r="Z35" s="41">
        <v>154.84</v>
      </c>
      <c r="AA35" s="111">
        <v>278.83999999999997</v>
      </c>
      <c r="AB35" s="68">
        <v>0.92</v>
      </c>
      <c r="AC35" s="48">
        <f t="shared" si="38"/>
        <v>0.55530053077033426</v>
      </c>
      <c r="AD35" s="49">
        <f t="shared" si="0"/>
        <v>7.1452731270082864E-3</v>
      </c>
      <c r="AE35" s="112">
        <f t="shared" si="1"/>
        <v>8.2840236686390539E-2</v>
      </c>
      <c r="AF35" s="107">
        <f t="shared" si="2"/>
        <v>11.06</v>
      </c>
      <c r="AG35" s="113">
        <v>10</v>
      </c>
      <c r="AH35" s="114">
        <v>3</v>
      </c>
      <c r="AI35" s="115">
        <v>5</v>
      </c>
      <c r="AJ35" s="116">
        <f>AG35*产品成本!$D$19+AH35*产品成本!$D$20+AI35*产品成本!$D$21</f>
        <v>109.15492957746457</v>
      </c>
      <c r="AK35" s="116">
        <f>AG35*产品成本!$E$19+AH35*产品成本!$E$20+AI35*产品成本!$E$21</f>
        <v>30.526704225352088</v>
      </c>
      <c r="AL35" s="116">
        <f>AG35*产品成本!$F$19+AH35*产品成本!$F$20+AI35*产品成本!$F$21</f>
        <v>9.77</v>
      </c>
      <c r="AM35" s="116">
        <f>AG35*产品成本!$G$19+AH35*产品成本!$G$20+AI35*产品成本!$G$21</f>
        <v>110.03</v>
      </c>
      <c r="AN35" s="116">
        <f t="shared" si="3"/>
        <v>51.029999999999994</v>
      </c>
      <c r="AO35" s="117">
        <f t="shared" si="4"/>
        <v>310.51163380281662</v>
      </c>
      <c r="AP35" s="118">
        <v>0</v>
      </c>
      <c r="AQ35" s="118">
        <v>0</v>
      </c>
      <c r="AR35" s="119">
        <v>0</v>
      </c>
      <c r="AS35" s="120">
        <f t="shared" si="5"/>
        <v>0</v>
      </c>
      <c r="AT35" s="116">
        <f>AP35*产品成本!$D$19+AQ35*产品成本!$D$20+AR35*产品成本!$D$21</f>
        <v>0</v>
      </c>
      <c r="AU35" s="116">
        <f>AP35*产品成本!$E$19+AQ35*产品成本!$E$20+AR35*产品成本!$E$21</f>
        <v>0</v>
      </c>
      <c r="AV35" s="116">
        <f>AP35*产品成本!$F$19+AQ35*产品成本!$F$20+AR35*产品成本!$F$21</f>
        <v>0</v>
      </c>
      <c r="AW35" s="116">
        <f>AP35*产品成本!$G$19+AQ35*产品成本!$G$20+AR35*产品成本!$G$21</f>
        <v>0</v>
      </c>
      <c r="AX35" s="116">
        <f t="shared" si="39"/>
        <v>0</v>
      </c>
      <c r="AY35" s="116">
        <f t="shared" si="40"/>
        <v>0</v>
      </c>
      <c r="AZ35" s="117">
        <f t="shared" si="41"/>
        <v>0</v>
      </c>
      <c r="BA35" s="121">
        <f t="shared" si="42"/>
        <v>310.51163380281662</v>
      </c>
      <c r="BB35" s="122">
        <f t="shared" si="43"/>
        <v>340.2</v>
      </c>
      <c r="BC35" s="121">
        <f t="shared" si="6"/>
        <v>340.2</v>
      </c>
      <c r="BD35" s="121">
        <f t="shared" si="7"/>
        <v>-125.15163380281663</v>
      </c>
      <c r="BE35" s="123">
        <f t="shared" si="44"/>
        <v>-0.36787664257147745</v>
      </c>
      <c r="BF35" s="125" t="s">
        <v>405</v>
      </c>
    </row>
    <row r="36" spans="1:59" ht="29.1" customHeight="1" x14ac:dyDescent="0.15">
      <c r="A36" s="38" t="s">
        <v>240</v>
      </c>
      <c r="B36" s="58" t="s">
        <v>241</v>
      </c>
      <c r="C36" s="67">
        <v>17</v>
      </c>
      <c r="D36" s="68">
        <v>9</v>
      </c>
      <c r="E36" s="41">
        <v>235.85</v>
      </c>
      <c r="F36" s="101">
        <v>3</v>
      </c>
      <c r="G36" s="101">
        <v>3</v>
      </c>
      <c r="H36" s="41">
        <v>47.55</v>
      </c>
      <c r="I36" s="41">
        <v>4.7699999999999996</v>
      </c>
      <c r="J36" s="102">
        <v>2</v>
      </c>
      <c r="K36" s="103">
        <f t="shared" si="27"/>
        <v>0.11764705882352941</v>
      </c>
      <c r="L36" s="104">
        <v>30</v>
      </c>
      <c r="M36" s="105">
        <f t="shared" si="28"/>
        <v>-5.5555555555555552E-2</v>
      </c>
      <c r="N36" s="103">
        <f t="shared" si="29"/>
        <v>-0.47058823529411764</v>
      </c>
      <c r="O36" s="103">
        <f t="shared" si="30"/>
        <v>-0.30673133450911227</v>
      </c>
      <c r="P36" s="106">
        <f t="shared" si="31"/>
        <v>1.8888888888888888</v>
      </c>
      <c r="Q36" s="107">
        <f t="shared" si="32"/>
        <v>26.205555555555556</v>
      </c>
      <c r="R36" s="108">
        <f t="shared" si="33"/>
        <v>13.873529411764705</v>
      </c>
      <c r="S36" s="108">
        <f t="shared" si="34"/>
        <v>2.4285714285714284</v>
      </c>
      <c r="T36" s="109">
        <f t="shared" si="35"/>
        <v>2</v>
      </c>
      <c r="U36" s="110">
        <f t="shared" si="36"/>
        <v>0.22222222222222221</v>
      </c>
      <c r="V36" s="72">
        <f t="shared" si="37"/>
        <v>0.52618140903583177</v>
      </c>
      <c r="W36" s="68">
        <v>19003</v>
      </c>
      <c r="X36" s="68">
        <v>135</v>
      </c>
      <c r="Y36" s="68">
        <v>7</v>
      </c>
      <c r="Z36" s="41">
        <v>121.59</v>
      </c>
      <c r="AA36" s="111">
        <v>208.95</v>
      </c>
      <c r="AB36" s="126" t="s">
        <v>406</v>
      </c>
      <c r="AC36" s="48">
        <f t="shared" si="38"/>
        <v>0.58190954773869352</v>
      </c>
      <c r="AD36" s="49">
        <f t="shared" si="0"/>
        <v>7.104141451349787E-3</v>
      </c>
      <c r="AE36" s="112">
        <f t="shared" si="1"/>
        <v>5.185185185185185E-2</v>
      </c>
      <c r="AF36" s="107">
        <f t="shared" si="2"/>
        <v>17.37</v>
      </c>
      <c r="AG36" s="113">
        <v>16</v>
      </c>
      <c r="AH36" s="114">
        <v>1</v>
      </c>
      <c r="AI36" s="115">
        <v>0</v>
      </c>
      <c r="AJ36" s="116">
        <f>AG36*产品成本!$D$19+AH36*产品成本!$D$20+AI36*产品成本!$D$21</f>
        <v>63.380281690140841</v>
      </c>
      <c r="AK36" s="116">
        <f>AG36*产品成本!$E$19+AH36*产品成本!$E$20+AI36*产品成本!$E$21</f>
        <v>17.725183098591543</v>
      </c>
      <c r="AL36" s="116">
        <f>AG36*产品成本!$F$19+AH36*产品成本!$F$20+AI36*产品成本!$F$21</f>
        <v>8.33</v>
      </c>
      <c r="AM36" s="116">
        <f>AG36*产品成本!$G$19+AH36*产品成本!$G$20+AI36*产品成本!$G$21</f>
        <v>94.529999999999987</v>
      </c>
      <c r="AN36" s="116">
        <f t="shared" si="3"/>
        <v>34.661999999999999</v>
      </c>
      <c r="AO36" s="117">
        <f t="shared" si="4"/>
        <v>218.62746478873237</v>
      </c>
      <c r="AP36" s="118">
        <v>1</v>
      </c>
      <c r="AQ36" s="118">
        <v>1</v>
      </c>
      <c r="AR36" s="119">
        <v>0</v>
      </c>
      <c r="AS36" s="120">
        <f t="shared" si="5"/>
        <v>36.585365853658537</v>
      </c>
      <c r="AT36" s="116">
        <f>AP36*产品成本!$D$19+AQ36*产品成本!$D$20+AR36*产品成本!$D$21</f>
        <v>10.56338028169014</v>
      </c>
      <c r="AU36" s="116">
        <f>AP36*产品成本!$E$19+AQ36*产品成本!$E$20+AR36*产品成本!$E$21</f>
        <v>2.9541971830985867</v>
      </c>
      <c r="AV36" s="116">
        <f>AP36*产品成本!$F$19+AQ36*产品成本!$F$20+AR36*产品成本!$F$21</f>
        <v>0.98</v>
      </c>
      <c r="AW36" s="116">
        <f>AP36*产品成本!$G$19+AQ36*产品成本!$G$20+AR36*产品成本!$G$21</f>
        <v>11.73</v>
      </c>
      <c r="AX36" s="116">
        <f t="shared" si="39"/>
        <v>5.48780487804878</v>
      </c>
      <c r="AY36" s="116">
        <f t="shared" si="40"/>
        <v>-1.097560975609756</v>
      </c>
      <c r="AZ36" s="117">
        <f t="shared" si="41"/>
        <v>30.617821367227751</v>
      </c>
      <c r="BA36" s="121">
        <f t="shared" si="42"/>
        <v>188.00964342150462</v>
      </c>
      <c r="BB36" s="122">
        <f t="shared" si="43"/>
        <v>231.07999999999998</v>
      </c>
      <c r="BC36" s="121">
        <f t="shared" si="6"/>
        <v>194.49463414634144</v>
      </c>
      <c r="BD36" s="121">
        <f t="shared" si="7"/>
        <v>-115.10500927516318</v>
      </c>
      <c r="BE36" s="123">
        <f t="shared" si="44"/>
        <v>-0.59181586052680502</v>
      </c>
      <c r="BF36" s="125" t="s">
        <v>405</v>
      </c>
    </row>
    <row r="37" spans="1:59" ht="29.1" customHeight="1" x14ac:dyDescent="0.15">
      <c r="A37" s="38" t="s">
        <v>244</v>
      </c>
      <c r="B37" s="58" t="s">
        <v>245</v>
      </c>
      <c r="C37" s="67">
        <v>16</v>
      </c>
      <c r="D37" s="68">
        <v>15</v>
      </c>
      <c r="E37" s="41">
        <v>260.2</v>
      </c>
      <c r="F37" s="101">
        <v>12</v>
      </c>
      <c r="G37" s="101">
        <v>12</v>
      </c>
      <c r="H37" s="41">
        <v>199.2</v>
      </c>
      <c r="I37" s="41">
        <v>18.63</v>
      </c>
      <c r="J37" s="102">
        <v>0</v>
      </c>
      <c r="K37" s="103">
        <f t="shared" si="27"/>
        <v>0</v>
      </c>
      <c r="L37" s="104">
        <v>0</v>
      </c>
      <c r="M37" s="105">
        <f t="shared" si="28"/>
        <v>-5.8823529411764705E-2</v>
      </c>
      <c r="N37" s="103">
        <f t="shared" si="29"/>
        <v>0.66666666666666663</v>
      </c>
      <c r="O37" s="103">
        <f t="shared" si="30"/>
        <v>0.10324358702565188</v>
      </c>
      <c r="P37" s="106">
        <f t="shared" si="31"/>
        <v>1.0666666666666667</v>
      </c>
      <c r="Q37" s="107">
        <f t="shared" si="32"/>
        <v>17.346666666666668</v>
      </c>
      <c r="R37" s="108">
        <f t="shared" si="33"/>
        <v>16.262499999999999</v>
      </c>
      <c r="S37" s="108">
        <f t="shared" si="34"/>
        <v>2.2857142857142856</v>
      </c>
      <c r="T37" s="109">
        <f t="shared" si="35"/>
        <v>5</v>
      </c>
      <c r="U37" s="110">
        <f t="shared" si="36"/>
        <v>0.33333333333333331</v>
      </c>
      <c r="V37" s="72">
        <f t="shared" si="37"/>
        <v>0.47038125595065611</v>
      </c>
      <c r="W37" s="68">
        <v>16830</v>
      </c>
      <c r="X37" s="68">
        <v>123</v>
      </c>
      <c r="Y37" s="68">
        <v>10</v>
      </c>
      <c r="Z37" s="41">
        <v>113.63</v>
      </c>
      <c r="AA37" s="111">
        <v>165.21</v>
      </c>
      <c r="AB37" s="68">
        <v>0.92</v>
      </c>
      <c r="AC37" s="48">
        <f t="shared" si="38"/>
        <v>0.68779129592639665</v>
      </c>
      <c r="AD37" s="49">
        <f t="shared" si="0"/>
        <v>7.3083778966131904E-3</v>
      </c>
      <c r="AE37" s="112">
        <f t="shared" si="1"/>
        <v>8.1300813008130079E-2</v>
      </c>
      <c r="AF37" s="107">
        <f t="shared" si="2"/>
        <v>11.363</v>
      </c>
      <c r="AG37" s="113">
        <v>12</v>
      </c>
      <c r="AH37" s="114">
        <v>2</v>
      </c>
      <c r="AI37" s="115">
        <v>2</v>
      </c>
      <c r="AJ37" s="116">
        <f>AG37*产品成本!$D$19+AH37*产品成本!$D$20+AI37*产品成本!$D$21</f>
        <v>77.464788732394283</v>
      </c>
      <c r="AK37" s="116">
        <f>AG37*产品成本!$E$19+AH37*产品成本!$E$20+AI37*产品成本!$E$21</f>
        <v>21.664112676056323</v>
      </c>
      <c r="AL37" s="116">
        <f>AG37*产品成本!$F$19+AH37*产品成本!$F$20+AI37*产品成本!$F$21</f>
        <v>8.2199999999999989</v>
      </c>
      <c r="AM37" s="116">
        <f>AG37*产品成本!$G$19+AH37*产品成本!$G$20+AI37*产品成本!$G$21</f>
        <v>93.14</v>
      </c>
      <c r="AN37" s="116">
        <f t="shared" si="3"/>
        <v>36.235499999999995</v>
      </c>
      <c r="AO37" s="117">
        <f t="shared" si="4"/>
        <v>236.7244014084506</v>
      </c>
      <c r="AP37" s="118">
        <v>0</v>
      </c>
      <c r="AQ37" s="118">
        <v>0</v>
      </c>
      <c r="AR37" s="119">
        <v>0</v>
      </c>
      <c r="AS37" s="120">
        <f t="shared" si="5"/>
        <v>0</v>
      </c>
      <c r="AT37" s="116">
        <f>AP37*产品成本!$D$19+AQ37*产品成本!$D$20+AR37*产品成本!$D$21</f>
        <v>0</v>
      </c>
      <c r="AU37" s="116">
        <f>AP37*产品成本!$E$19+AQ37*产品成本!$E$20+AR37*产品成本!$E$21</f>
        <v>0</v>
      </c>
      <c r="AV37" s="116">
        <f>AP37*产品成本!$F$19+AQ37*产品成本!$F$20+AR37*产品成本!$F$21</f>
        <v>0</v>
      </c>
      <c r="AW37" s="116">
        <f>AP37*产品成本!$G$19+AQ37*产品成本!$G$20+AR37*产品成本!$G$21</f>
        <v>0</v>
      </c>
      <c r="AX37" s="116">
        <f t="shared" si="39"/>
        <v>0</v>
      </c>
      <c r="AY37" s="116">
        <f t="shared" si="40"/>
        <v>0</v>
      </c>
      <c r="AZ37" s="117">
        <f t="shared" si="41"/>
        <v>0</v>
      </c>
      <c r="BA37" s="121">
        <f t="shared" si="42"/>
        <v>236.7244014084506</v>
      </c>
      <c r="BB37" s="122">
        <f t="shared" si="43"/>
        <v>241.57</v>
      </c>
      <c r="BC37" s="121">
        <f t="shared" si="6"/>
        <v>241.57</v>
      </c>
      <c r="BD37" s="121">
        <f t="shared" si="7"/>
        <v>-108.78440140845061</v>
      </c>
      <c r="BE37" s="123">
        <f t="shared" si="44"/>
        <v>-0.4503224796475167</v>
      </c>
      <c r="BF37" s="125" t="s">
        <v>405</v>
      </c>
    </row>
    <row r="38" spans="1:59" ht="29.1" customHeight="1" x14ac:dyDescent="0.15">
      <c r="A38" s="38" t="s">
        <v>247</v>
      </c>
      <c r="B38" s="58" t="s">
        <v>248</v>
      </c>
      <c r="C38" s="67">
        <v>14</v>
      </c>
      <c r="D38" s="68">
        <v>13</v>
      </c>
      <c r="E38" s="41">
        <v>263.89999999999998</v>
      </c>
      <c r="F38" s="101">
        <v>9</v>
      </c>
      <c r="G38" s="101">
        <v>8</v>
      </c>
      <c r="H38" s="41">
        <v>196.65</v>
      </c>
      <c r="I38" s="41">
        <v>18.36</v>
      </c>
      <c r="J38" s="102">
        <v>1</v>
      </c>
      <c r="K38" s="103">
        <f t="shared" si="27"/>
        <v>7.1428571428571425E-2</v>
      </c>
      <c r="L38" s="104">
        <v>11.83</v>
      </c>
      <c r="M38" s="105">
        <f t="shared" si="28"/>
        <v>-0.125</v>
      </c>
      <c r="N38" s="103">
        <f t="shared" si="29"/>
        <v>-0.13333333333333333</v>
      </c>
      <c r="O38" s="103">
        <f t="shared" si="30"/>
        <v>1.4219830899308181E-2</v>
      </c>
      <c r="P38" s="106">
        <f t="shared" si="31"/>
        <v>1.0769230769230769</v>
      </c>
      <c r="Q38" s="107">
        <f t="shared" si="32"/>
        <v>20.299999999999997</v>
      </c>
      <c r="R38" s="108">
        <f t="shared" si="33"/>
        <v>18.849999999999998</v>
      </c>
      <c r="S38" s="108">
        <f t="shared" si="34"/>
        <v>2</v>
      </c>
      <c r="T38" s="109">
        <f t="shared" si="35"/>
        <v>3</v>
      </c>
      <c r="U38" s="110">
        <f t="shared" si="36"/>
        <v>0.23076923076923078</v>
      </c>
      <c r="V38" s="72">
        <f t="shared" si="37"/>
        <v>0.5116477966930032</v>
      </c>
      <c r="W38" s="68">
        <v>19550</v>
      </c>
      <c r="X38" s="68">
        <v>138</v>
      </c>
      <c r="Y38" s="68">
        <v>10</v>
      </c>
      <c r="Z38" s="41">
        <v>125.63</v>
      </c>
      <c r="AA38" s="111">
        <v>194.8</v>
      </c>
      <c r="AB38" s="68">
        <v>0.91</v>
      </c>
      <c r="AC38" s="48">
        <f t="shared" si="38"/>
        <v>0.64491786447638599</v>
      </c>
      <c r="AD38" s="49">
        <f t="shared" si="0"/>
        <v>7.058823529411765E-3</v>
      </c>
      <c r="AE38" s="112">
        <f t="shared" si="1"/>
        <v>7.2463768115942032E-2</v>
      </c>
      <c r="AF38" s="107">
        <f t="shared" si="2"/>
        <v>12.562999999999999</v>
      </c>
      <c r="AG38" s="113">
        <v>8</v>
      </c>
      <c r="AH38" s="114">
        <v>2</v>
      </c>
      <c r="AI38" s="115">
        <v>4</v>
      </c>
      <c r="AJ38" s="116">
        <f>AG38*产品成本!$D$19+AH38*产品成本!$D$20+AI38*产品成本!$D$21</f>
        <v>84.50704225352095</v>
      </c>
      <c r="AK38" s="116">
        <f>AG38*产品成本!$E$19+AH38*产品成本!$E$20+AI38*产品成本!$E$21</f>
        <v>23.633577464788715</v>
      </c>
      <c r="AL38" s="116">
        <f>AG38*产品成本!$F$19+AH38*产品成本!$F$20+AI38*产品成本!$F$21</f>
        <v>7.620000000000001</v>
      </c>
      <c r="AM38" s="116">
        <f>AG38*产品成本!$G$19+AH38*产品成本!$G$20+AI38*产品成本!$G$21</f>
        <v>85.539999999999992</v>
      </c>
      <c r="AN38" s="116">
        <f t="shared" si="3"/>
        <v>36.830999999999996</v>
      </c>
      <c r="AO38" s="117">
        <f t="shared" si="4"/>
        <v>238.13161971830965</v>
      </c>
      <c r="AP38" s="118">
        <v>1</v>
      </c>
      <c r="AQ38" s="118">
        <v>0</v>
      </c>
      <c r="AR38" s="119">
        <v>0</v>
      </c>
      <c r="AS38" s="120">
        <f t="shared" si="5"/>
        <v>14.426829268292684</v>
      </c>
      <c r="AT38" s="116">
        <f>AP38*产品成本!$D$19+AQ38*产品成本!$D$20+AR38*产品成本!$D$21</f>
        <v>3.52112676056338</v>
      </c>
      <c r="AU38" s="116">
        <f>AP38*产品成本!$E$19+AQ38*产品成本!$E$20+AR38*产品成本!$E$21</f>
        <v>0.98473239436619697</v>
      </c>
      <c r="AV38" s="116">
        <f>AP38*产品成本!$F$19+AQ38*产品成本!$F$20+AR38*产品成本!$F$21</f>
        <v>0.49</v>
      </c>
      <c r="AW38" s="116">
        <f>AP38*产品成本!$G$19+AQ38*产品成本!$G$20+AR38*产品成本!$G$21</f>
        <v>5.52</v>
      </c>
      <c r="AX38" s="116">
        <f t="shared" si="39"/>
        <v>2.1640243902439025</v>
      </c>
      <c r="AY38" s="116">
        <f t="shared" si="40"/>
        <v>-0.43280487804878054</v>
      </c>
      <c r="AZ38" s="117">
        <f t="shared" si="41"/>
        <v>12.247078667124697</v>
      </c>
      <c r="BA38" s="121">
        <f t="shared" si="42"/>
        <v>225.88454105118495</v>
      </c>
      <c r="BB38" s="122">
        <f t="shared" si="43"/>
        <v>245.53999999999996</v>
      </c>
      <c r="BC38" s="121">
        <f t="shared" si="6"/>
        <v>231.11317073170727</v>
      </c>
      <c r="BD38" s="121">
        <f t="shared" si="7"/>
        <v>-120.40137031947768</v>
      </c>
      <c r="BE38" s="123">
        <f t="shared" si="44"/>
        <v>-0.52096282500164481</v>
      </c>
      <c r="BF38" s="125" t="s">
        <v>405</v>
      </c>
    </row>
    <row r="39" spans="1:59" ht="29.1" customHeight="1" x14ac:dyDescent="0.15">
      <c r="A39" s="38" t="s">
        <v>250</v>
      </c>
      <c r="B39" s="58" t="s">
        <v>251</v>
      </c>
      <c r="C39" s="67">
        <v>8</v>
      </c>
      <c r="D39" s="68">
        <v>7</v>
      </c>
      <c r="E39" s="41">
        <v>167.9</v>
      </c>
      <c r="F39" s="101">
        <v>6</v>
      </c>
      <c r="G39" s="101">
        <v>5</v>
      </c>
      <c r="H39" s="41">
        <v>118.5</v>
      </c>
      <c r="I39" s="41">
        <v>9</v>
      </c>
      <c r="J39" s="102">
        <v>0</v>
      </c>
      <c r="K39" s="103">
        <f t="shared" si="27"/>
        <v>0</v>
      </c>
      <c r="L39" s="104">
        <v>0</v>
      </c>
      <c r="M39" s="105">
        <f t="shared" si="28"/>
        <v>-0.42857142857142855</v>
      </c>
      <c r="N39" s="103">
        <f t="shared" si="29"/>
        <v>-0.46153846153846156</v>
      </c>
      <c r="O39" s="103">
        <f t="shared" si="30"/>
        <v>-0.36377415687760506</v>
      </c>
      <c r="P39" s="106">
        <f t="shared" si="31"/>
        <v>1.1428571428571428</v>
      </c>
      <c r="Q39" s="107">
        <f t="shared" si="32"/>
        <v>23.985714285714288</v>
      </c>
      <c r="R39" s="108">
        <f t="shared" si="33"/>
        <v>20.987500000000001</v>
      </c>
      <c r="S39" s="108">
        <f t="shared" si="34"/>
        <v>1.1428571428571428</v>
      </c>
      <c r="T39" s="109">
        <f t="shared" si="35"/>
        <v>3</v>
      </c>
      <c r="U39" s="110">
        <f t="shared" si="36"/>
        <v>0.42857142857142855</v>
      </c>
      <c r="V39" s="72">
        <f t="shared" si="37"/>
        <v>0.53423536815607298</v>
      </c>
      <c r="W39" s="68">
        <v>14328</v>
      </c>
      <c r="X39" s="68">
        <v>91</v>
      </c>
      <c r="Y39" s="68">
        <v>4</v>
      </c>
      <c r="Z39" s="41">
        <v>84.89</v>
      </c>
      <c r="AA39" s="111">
        <v>105.05</v>
      </c>
      <c r="AB39" s="68">
        <v>0.93</v>
      </c>
      <c r="AC39" s="48">
        <f t="shared" si="38"/>
        <v>0.80809138505473588</v>
      </c>
      <c r="AD39" s="49">
        <f t="shared" si="0"/>
        <v>6.351200446677834E-3</v>
      </c>
      <c r="AE39" s="112">
        <f t="shared" si="1"/>
        <v>4.3956043956043959E-2</v>
      </c>
      <c r="AF39" s="107">
        <f t="shared" si="2"/>
        <v>21.2225</v>
      </c>
      <c r="AG39" s="113">
        <v>3</v>
      </c>
      <c r="AH39" s="114">
        <v>2</v>
      </c>
      <c r="AI39" s="115">
        <v>3</v>
      </c>
      <c r="AJ39" s="116">
        <f>AG39*产品成本!$D$19+AH39*产品成本!$D$20+AI39*产品成本!$D$21</f>
        <v>56.338028169013953</v>
      </c>
      <c r="AK39" s="116">
        <f>AG39*产品成本!$E$19+AH39*产品成本!$E$20+AI39*产品成本!$E$21</f>
        <v>15.755718309859141</v>
      </c>
      <c r="AL39" s="116">
        <f>AG39*产品成本!$F$19+AH39*产品成本!$F$20+AI39*产品成本!$F$21</f>
        <v>4.49</v>
      </c>
      <c r="AM39" s="116">
        <f>AG39*产品成本!$G$19+AH39*产品成本!$G$20+AI39*产品成本!$G$21</f>
        <v>50.699999999999996</v>
      </c>
      <c r="AN39" s="116">
        <f t="shared" si="3"/>
        <v>23.835000000000001</v>
      </c>
      <c r="AO39" s="117">
        <f t="shared" si="4"/>
        <v>151.11874647887311</v>
      </c>
      <c r="AP39" s="118">
        <v>0</v>
      </c>
      <c r="AQ39" s="118">
        <v>0</v>
      </c>
      <c r="AR39" s="119">
        <v>0</v>
      </c>
      <c r="AS39" s="120">
        <f t="shared" si="5"/>
        <v>0</v>
      </c>
      <c r="AT39" s="116">
        <f>AP39*产品成本!$D$19+AQ39*产品成本!$D$20+AR39*产品成本!$D$21</f>
        <v>0</v>
      </c>
      <c r="AU39" s="116">
        <f>AP39*产品成本!$E$19+AQ39*产品成本!$E$20+AR39*产品成本!$E$21</f>
        <v>0</v>
      </c>
      <c r="AV39" s="116">
        <f>AP39*产品成本!$F$19+AQ39*产品成本!$F$20+AR39*产品成本!$F$21</f>
        <v>0</v>
      </c>
      <c r="AW39" s="116">
        <f>AP39*产品成本!$G$19+AQ39*产品成本!$G$20+AR39*产品成本!$G$21</f>
        <v>0</v>
      </c>
      <c r="AX39" s="116">
        <f t="shared" si="39"/>
        <v>0</v>
      </c>
      <c r="AY39" s="116">
        <f t="shared" si="40"/>
        <v>0</v>
      </c>
      <c r="AZ39" s="117">
        <f t="shared" si="41"/>
        <v>0</v>
      </c>
      <c r="BA39" s="121">
        <f t="shared" si="42"/>
        <v>151.11874647887311</v>
      </c>
      <c r="BB39" s="122">
        <f t="shared" si="43"/>
        <v>158.9</v>
      </c>
      <c r="BC39" s="121">
        <f t="shared" si="6"/>
        <v>158.9</v>
      </c>
      <c r="BD39" s="121">
        <f t="shared" si="7"/>
        <v>-77.108746478873101</v>
      </c>
      <c r="BE39" s="123">
        <f t="shared" si="44"/>
        <v>-0.48526586833777907</v>
      </c>
    </row>
    <row r="40" spans="1:59" ht="29.1" customHeight="1" x14ac:dyDescent="0.15">
      <c r="A40" s="38" t="s">
        <v>254</v>
      </c>
      <c r="B40" s="58" t="s">
        <v>255</v>
      </c>
      <c r="C40" s="67">
        <v>3</v>
      </c>
      <c r="D40" s="68">
        <v>3</v>
      </c>
      <c r="E40" s="41">
        <v>82.53</v>
      </c>
      <c r="F40" s="101">
        <v>1</v>
      </c>
      <c r="G40" s="101">
        <v>1</v>
      </c>
      <c r="H40" s="41">
        <v>26.89</v>
      </c>
      <c r="I40" s="41">
        <v>2.69</v>
      </c>
      <c r="J40" s="102">
        <v>2</v>
      </c>
      <c r="K40" s="103">
        <f t="shared" si="27"/>
        <v>0.66666666666666663</v>
      </c>
      <c r="L40" s="104">
        <v>32.14</v>
      </c>
      <c r="M40" s="105">
        <f t="shared" si="28"/>
        <v>-0.625</v>
      </c>
      <c r="N40" s="103">
        <f t="shared" si="29"/>
        <v>-0.5714285714285714</v>
      </c>
      <c r="O40" s="103">
        <f t="shared" si="30"/>
        <v>-0.50845741512805243</v>
      </c>
      <c r="P40" s="106">
        <f t="shared" si="31"/>
        <v>1</v>
      </c>
      <c r="Q40" s="107">
        <f t="shared" si="32"/>
        <v>27.51</v>
      </c>
      <c r="R40" s="108">
        <f t="shared" si="33"/>
        <v>27.51</v>
      </c>
      <c r="S40" s="108">
        <f t="shared" si="34"/>
        <v>0.42857142857142855</v>
      </c>
      <c r="T40" s="109">
        <f t="shared" si="35"/>
        <v>3</v>
      </c>
      <c r="U40" s="110">
        <f t="shared" si="36"/>
        <v>1</v>
      </c>
      <c r="V40" s="72">
        <f t="shared" si="37"/>
        <v>0.35583667334669339</v>
      </c>
      <c r="W40" s="68">
        <v>9207</v>
      </c>
      <c r="X40" s="68">
        <v>28</v>
      </c>
      <c r="Y40" s="68">
        <v>0</v>
      </c>
      <c r="Z40" s="41">
        <v>28.41</v>
      </c>
      <c r="AA40" s="111">
        <v>0</v>
      </c>
      <c r="AB40" s="68">
        <v>1.01</v>
      </c>
      <c r="AC40" s="48" t="e">
        <f t="shared" si="38"/>
        <v>#DIV/0!</v>
      </c>
      <c r="AD40" s="49">
        <f t="shared" si="0"/>
        <v>3.041164331486912E-3</v>
      </c>
      <c r="AE40" s="112">
        <f t="shared" si="1"/>
        <v>0</v>
      </c>
      <c r="AF40" s="107" t="e">
        <f t="shared" si="2"/>
        <v>#DIV/0!</v>
      </c>
      <c r="AG40" s="113">
        <v>2</v>
      </c>
      <c r="AH40" s="114">
        <v>0</v>
      </c>
      <c r="AI40" s="115">
        <v>1</v>
      </c>
      <c r="AJ40" s="116">
        <f>AG40*产品成本!$D$19+AH40*产品成本!$D$20+AI40*产品成本!$D$21</f>
        <v>17.605633802816861</v>
      </c>
      <c r="AK40" s="116">
        <f>AG40*产品成本!$E$19+AH40*产品成本!$E$20+AI40*产品成本!$E$21</f>
        <v>4.9236619718309838</v>
      </c>
      <c r="AL40" s="116">
        <f>AG40*产品成本!$F$19+AH40*产品成本!$F$20+AI40*产品成本!$F$21</f>
        <v>1.6600000000000001</v>
      </c>
      <c r="AM40" s="116">
        <f>AG40*产品成本!$G$19+AH40*产品成本!$G$20+AI40*产品成本!$G$21</f>
        <v>18.28</v>
      </c>
      <c r="AN40" s="116">
        <f t="shared" si="3"/>
        <v>11.976000000000001</v>
      </c>
      <c r="AO40" s="117">
        <f t="shared" si="4"/>
        <v>54.445295774647846</v>
      </c>
      <c r="AP40" s="118">
        <v>1</v>
      </c>
      <c r="AQ40" s="118">
        <v>0</v>
      </c>
      <c r="AR40" s="119">
        <v>3</v>
      </c>
      <c r="AS40" s="120">
        <f t="shared" si="5"/>
        <v>39.195121951219512</v>
      </c>
      <c r="AT40" s="116">
        <f>AP40*产品成本!$D$19+AQ40*产品成本!$D$20+AR40*产品成本!$D$21</f>
        <v>35.21126760563368</v>
      </c>
      <c r="AU40" s="116">
        <f>AP40*产品成本!$E$19+AQ40*产品成本!$E$20+AR40*产品成本!$E$21</f>
        <v>9.8473239436619675</v>
      </c>
      <c r="AV40" s="116">
        <f>AP40*产品成本!$F$19+AQ40*产品成本!$F$20+AR40*产品成本!$F$21</f>
        <v>2.5300000000000002</v>
      </c>
      <c r="AW40" s="116">
        <f>AP40*产品成本!$G$19+AQ40*产品成本!$G$20+AR40*产品成本!$G$21</f>
        <v>27.24</v>
      </c>
      <c r="AX40" s="116">
        <f t="shared" si="39"/>
        <v>5.8792682926829265</v>
      </c>
      <c r="AY40" s="116">
        <f t="shared" si="40"/>
        <v>-1.1758536585365853</v>
      </c>
      <c r="AZ40" s="117">
        <f t="shared" si="41"/>
        <v>79.532006183441993</v>
      </c>
      <c r="BA40" s="121">
        <f t="shared" si="42"/>
        <v>-25.086710408794147</v>
      </c>
      <c r="BB40" s="122">
        <f t="shared" si="43"/>
        <v>79.84</v>
      </c>
      <c r="BC40" s="121">
        <f t="shared" si="6"/>
        <v>40.644878048780491</v>
      </c>
      <c r="BD40" s="121">
        <f t="shared" si="7"/>
        <v>37.321588457574649</v>
      </c>
      <c r="BE40" s="123">
        <f t="shared" si="44"/>
        <v>0.91823595614637221</v>
      </c>
      <c r="BF40" s="125" t="s">
        <v>407</v>
      </c>
    </row>
    <row r="41" spans="1:59" ht="29.1" customHeight="1" x14ac:dyDescent="0.15">
      <c r="A41" s="38" t="s">
        <v>258</v>
      </c>
      <c r="B41" s="58" t="s">
        <v>259</v>
      </c>
      <c r="C41" s="67">
        <v>0</v>
      </c>
      <c r="D41" s="68">
        <v>0</v>
      </c>
      <c r="E41" s="41">
        <v>0</v>
      </c>
      <c r="F41" s="101">
        <v>0</v>
      </c>
      <c r="G41" s="101">
        <v>0</v>
      </c>
      <c r="H41" s="41">
        <v>0</v>
      </c>
      <c r="I41" s="41">
        <v>0</v>
      </c>
      <c r="J41" s="102">
        <v>0</v>
      </c>
      <c r="K41" s="103" t="e">
        <f t="shared" ref="K41" si="45">J41/C41</f>
        <v>#DIV/0!</v>
      </c>
      <c r="L41" s="104">
        <v>0</v>
      </c>
      <c r="M41" s="105">
        <f t="shared" ref="M41" si="46">(C41-C40)/C40</f>
        <v>-1</v>
      </c>
      <c r="N41" s="103">
        <f t="shared" ref="N41" si="47">(D41-D40)/D40</f>
        <v>-1</v>
      </c>
      <c r="O41" s="103">
        <f t="shared" ref="O41" si="48">(E41-E40)/E40</f>
        <v>-1</v>
      </c>
      <c r="P41" s="106" t="e">
        <f t="shared" ref="P41" si="49">C41/D41</f>
        <v>#DIV/0!</v>
      </c>
      <c r="Q41" s="107" t="e">
        <f t="shared" ref="Q41" si="50">E41/D41</f>
        <v>#DIV/0!</v>
      </c>
      <c r="R41" s="108" t="e">
        <f t="shared" ref="R41" si="51">E41/C41</f>
        <v>#DIV/0!</v>
      </c>
      <c r="S41" s="108">
        <f t="shared" ref="S41" si="52">C41/7</f>
        <v>0</v>
      </c>
      <c r="T41" s="109">
        <f t="shared" ref="T41" si="53">D41-Y41</f>
        <v>0</v>
      </c>
      <c r="U41" s="110" t="e">
        <f t="shared" ref="U41" si="54">T41/D41</f>
        <v>#DIV/0!</v>
      </c>
      <c r="V41" s="72" t="e">
        <f t="shared" ref="V41" si="55">Z41/(E41-I41)</f>
        <v>#DIV/0!</v>
      </c>
      <c r="W41" s="68">
        <v>5202</v>
      </c>
      <c r="X41" s="68">
        <v>31</v>
      </c>
      <c r="Y41" s="68">
        <v>0</v>
      </c>
      <c r="Z41" s="41">
        <v>29.48</v>
      </c>
      <c r="AA41" s="111">
        <v>4.18</v>
      </c>
      <c r="AB41" s="68">
        <v>0.95</v>
      </c>
      <c r="AC41" s="48">
        <f t="shared" ref="AC41" si="56">Z41/AA41</f>
        <v>7.052631578947369</v>
      </c>
      <c r="AD41" s="49">
        <f t="shared" ref="AD41" si="57">X41/W41</f>
        <v>5.9592464436755092E-3</v>
      </c>
      <c r="AE41" s="112">
        <f t="shared" ref="AE41" si="58">Y41/X41</f>
        <v>0</v>
      </c>
      <c r="AF41" s="107" t="e">
        <f t="shared" ref="AF41" si="59">Z41/Y41</f>
        <v>#DIV/0!</v>
      </c>
      <c r="AG41" s="113">
        <v>0</v>
      </c>
      <c r="AH41" s="114">
        <v>0</v>
      </c>
      <c r="AI41" s="115">
        <v>0</v>
      </c>
      <c r="AJ41" s="116">
        <f>AG41*产品成本!$D$19+AH41*产品成本!$D$20+AI41*产品成本!$D$21</f>
        <v>0</v>
      </c>
      <c r="AK41" s="116">
        <f>AG41*产品成本!$E$19+AH41*产品成本!$E$20+AI41*产品成本!$E$21</f>
        <v>0</v>
      </c>
      <c r="AL41" s="116">
        <f>AG41*产品成本!$F$19+AH41*产品成本!$F$20+AI41*产品成本!$F$21</f>
        <v>0</v>
      </c>
      <c r="AM41" s="116">
        <f>AG41*产品成本!$G$19+AH41*产品成本!$G$20+AI41*产品成本!$G$21</f>
        <v>0</v>
      </c>
      <c r="AN41" s="116">
        <f t="shared" ref="AN41" si="60">(E41-I41)*0.15</f>
        <v>0</v>
      </c>
      <c r="AO41" s="117">
        <f t="shared" ref="AO41" si="61">SUM(AJ41:AN41)</f>
        <v>0</v>
      </c>
      <c r="AP41" s="118">
        <v>0</v>
      </c>
      <c r="AQ41" s="118">
        <v>0</v>
      </c>
      <c r="AR41" s="119">
        <v>0</v>
      </c>
      <c r="AS41" s="120">
        <f t="shared" ref="AS41" si="62">L41/(1-0.15-0.15*0.2)</f>
        <v>0</v>
      </c>
      <c r="AT41" s="116">
        <f>AP41*产品成本!$D$19+AQ41*产品成本!$D$20+AR41*产品成本!$D$21</f>
        <v>0</v>
      </c>
      <c r="AU41" s="116">
        <f>AP41*产品成本!$E$19+AQ41*产品成本!$E$20+AR41*产品成本!$E$21</f>
        <v>0</v>
      </c>
      <c r="AV41" s="116">
        <f>AP41*产品成本!$F$19+AQ41*产品成本!$F$20+AR41*产品成本!$F$21</f>
        <v>0</v>
      </c>
      <c r="AW41" s="116">
        <f>AP41*产品成本!$G$19+AQ41*产品成本!$G$20+AR41*产品成本!$G$21</f>
        <v>0</v>
      </c>
      <c r="AX41" s="116">
        <f t="shared" ref="AX41" si="63">AS41*0.15</f>
        <v>0</v>
      </c>
      <c r="AY41" s="116">
        <f t="shared" ref="AY41" si="64">-AX41*0.2</f>
        <v>0</v>
      </c>
      <c r="AZ41" s="117">
        <f t="shared" ref="AZ41" si="65">SUM(AT41:AY41)</f>
        <v>0</v>
      </c>
      <c r="BA41" s="121">
        <f t="shared" ref="BA41" si="66">AO41-AZ41</f>
        <v>0</v>
      </c>
      <c r="BB41" s="122">
        <f t="shared" ref="BB41" si="67">E41-I41</f>
        <v>0</v>
      </c>
      <c r="BC41" s="121">
        <f t="shared" ref="BC41" si="68">E41-AS41-I41</f>
        <v>0</v>
      </c>
      <c r="BD41" s="121">
        <f t="shared" ref="BD41" si="69">BC41-BA41-Z41</f>
        <v>-29.48</v>
      </c>
      <c r="BE41" s="123" t="e">
        <f t="shared" ref="BE41" si="70">BD41/BC41</f>
        <v>#DIV/0!</v>
      </c>
      <c r="BF41" s="125" t="s">
        <v>407</v>
      </c>
      <c r="BG41" t="s">
        <v>408</v>
      </c>
    </row>
    <row r="42" spans="1:59" ht="29.1" customHeight="1" x14ac:dyDescent="0.15">
      <c r="A42" s="38" t="s">
        <v>262</v>
      </c>
      <c r="B42" s="58" t="s">
        <v>263</v>
      </c>
      <c r="C42" s="67">
        <v>3</v>
      </c>
      <c r="D42" s="68">
        <v>3</v>
      </c>
      <c r="E42" s="41">
        <v>72.16</v>
      </c>
      <c r="F42" s="101">
        <v>3</v>
      </c>
      <c r="G42" s="101">
        <v>3</v>
      </c>
      <c r="H42" s="41">
        <v>72.16</v>
      </c>
      <c r="I42" s="41">
        <v>24.05</v>
      </c>
      <c r="J42" s="102">
        <v>0</v>
      </c>
      <c r="K42" s="103">
        <f t="shared" ref="K42" si="71">J42/C42</f>
        <v>0</v>
      </c>
      <c r="L42" s="104">
        <v>0</v>
      </c>
      <c r="M42" s="105" t="e">
        <f t="shared" ref="M42" si="72">(C42-C41)/C41</f>
        <v>#DIV/0!</v>
      </c>
      <c r="N42" s="103" t="e">
        <f t="shared" ref="N42" si="73">(D42-D41)/D41</f>
        <v>#DIV/0!</v>
      </c>
      <c r="O42" s="103" t="e">
        <f t="shared" ref="O42" si="74">(E42-E41)/E41</f>
        <v>#DIV/0!</v>
      </c>
      <c r="P42" s="106">
        <f t="shared" ref="P42" si="75">C42/D42</f>
        <v>1</v>
      </c>
      <c r="Q42" s="107">
        <f t="shared" ref="Q42" si="76">E42/D42</f>
        <v>24.053333333333331</v>
      </c>
      <c r="R42" s="108">
        <f t="shared" ref="R42" si="77">E42/C42</f>
        <v>24.053333333333331</v>
      </c>
      <c r="S42" s="108">
        <f t="shared" ref="S42" si="78">C42/7</f>
        <v>0.42857142857142855</v>
      </c>
      <c r="T42" s="109">
        <f t="shared" ref="T42" si="79">D42-Y42</f>
        <v>3</v>
      </c>
      <c r="U42" s="110">
        <f t="shared" ref="U42" si="80">T42/D42</f>
        <v>1</v>
      </c>
      <c r="V42" s="72">
        <f t="shared" ref="V42" si="81">Z42/(E42-I42)</f>
        <v>3.8453543961754315E-2</v>
      </c>
      <c r="W42" s="68">
        <v>77</v>
      </c>
      <c r="X42" s="68">
        <v>1</v>
      </c>
      <c r="Y42" s="68">
        <v>0</v>
      </c>
      <c r="Z42" s="41">
        <v>1.85</v>
      </c>
      <c r="AA42" s="111">
        <v>4.12</v>
      </c>
      <c r="AB42" s="68">
        <v>1.85</v>
      </c>
      <c r="AC42" s="48">
        <f t="shared" ref="AC42" si="82">Z42/AA42</f>
        <v>0.44902912621359226</v>
      </c>
      <c r="AD42" s="49">
        <f t="shared" ref="AD42" si="83">X42/W42</f>
        <v>1.2987012987012988E-2</v>
      </c>
      <c r="AE42" s="112">
        <f t="shared" ref="AE42" si="84">Y42/X42</f>
        <v>0</v>
      </c>
      <c r="AF42" s="107" t="e">
        <f t="shared" ref="AF42" si="85">Z42/Y42</f>
        <v>#DIV/0!</v>
      </c>
      <c r="AG42" s="113">
        <v>1</v>
      </c>
      <c r="AH42" s="114">
        <v>1</v>
      </c>
      <c r="AI42" s="115">
        <v>1</v>
      </c>
      <c r="AJ42" s="116">
        <f>AG42*产品成本!$D$19+AH42*产品成本!$D$20+AI42*产品成本!$D$21</f>
        <v>21.126760563380238</v>
      </c>
      <c r="AK42" s="116">
        <f>AG42*产品成本!$E$19+AH42*产品成本!$E$20+AI42*产品成本!$E$21</f>
        <v>5.908394366197177</v>
      </c>
      <c r="AL42" s="116">
        <f>AG42*产品成本!$F$19+AH42*产品成本!$F$20+AI42*产品成本!$F$21</f>
        <v>1.6600000000000001</v>
      </c>
      <c r="AM42" s="116">
        <f>AG42*产品成本!$G$19+AH42*产品成本!$G$20+AI42*产品成本!$G$21</f>
        <v>18.97</v>
      </c>
      <c r="AN42" s="116">
        <f t="shared" ref="AN42" si="86">(E42-I42)*0.15</f>
        <v>7.2164999999999999</v>
      </c>
      <c r="AO42" s="117">
        <f t="shared" ref="AO42" si="87">SUM(AJ42:AN42)</f>
        <v>54.881654929577408</v>
      </c>
      <c r="AP42" s="118">
        <v>0</v>
      </c>
      <c r="AQ42" s="118">
        <v>0</v>
      </c>
      <c r="AR42" s="119">
        <v>0</v>
      </c>
      <c r="AS42" s="120">
        <f t="shared" ref="AS42" si="88">L42/(1-0.15-0.15*0.2)</f>
        <v>0</v>
      </c>
      <c r="AT42" s="116">
        <f>AP42*产品成本!$D$19+AQ42*产品成本!$D$20+AR42*产品成本!$D$21</f>
        <v>0</v>
      </c>
      <c r="AU42" s="116">
        <f>AP42*产品成本!$E$19+AQ42*产品成本!$E$20+AR42*产品成本!$E$21</f>
        <v>0</v>
      </c>
      <c r="AV42" s="116">
        <f>AP42*产品成本!$F$19+AQ42*产品成本!$F$20+AR42*产品成本!$F$21</f>
        <v>0</v>
      </c>
      <c r="AW42" s="116">
        <f>AP42*产品成本!$G$19+AQ42*产品成本!$G$20+AR42*产品成本!$G$21</f>
        <v>0</v>
      </c>
      <c r="AX42" s="116">
        <f t="shared" ref="AX42" si="89">AS42*0.15</f>
        <v>0</v>
      </c>
      <c r="AY42" s="116">
        <f t="shared" ref="AY42" si="90">-AX42*0.2</f>
        <v>0</v>
      </c>
      <c r="AZ42" s="117">
        <f t="shared" ref="AZ42" si="91">SUM(AT42:AY42)</f>
        <v>0</v>
      </c>
      <c r="BA42" s="121">
        <f t="shared" ref="BA42" si="92">AO42-AZ42</f>
        <v>54.881654929577408</v>
      </c>
      <c r="BB42" s="122">
        <f t="shared" ref="BB42" si="93">E42-I42</f>
        <v>48.11</v>
      </c>
      <c r="BC42" s="121">
        <f t="shared" ref="BC42" si="94">E42-AS42-I42</f>
        <v>48.11</v>
      </c>
      <c r="BD42" s="121">
        <f t="shared" ref="BD42" si="95">BC42-BA42-Z42</f>
        <v>-8.6216549295774083</v>
      </c>
      <c r="BE42" s="123">
        <f t="shared" ref="BE42" si="96">BD42/BC42</f>
        <v>-0.17920712803112468</v>
      </c>
      <c r="BF42" s="125" t="s">
        <v>407</v>
      </c>
    </row>
    <row r="43" spans="1:59" ht="29.1" customHeight="1" x14ac:dyDescent="0.15">
      <c r="A43" s="38" t="s">
        <v>458</v>
      </c>
      <c r="B43" s="58" t="s">
        <v>459</v>
      </c>
      <c r="C43" s="67">
        <v>8</v>
      </c>
      <c r="D43" s="68">
        <v>7</v>
      </c>
      <c r="E43" s="41">
        <v>143.47999999999999</v>
      </c>
      <c r="F43" s="101">
        <v>0</v>
      </c>
      <c r="G43" s="101">
        <v>0</v>
      </c>
      <c r="H43" s="41">
        <v>0</v>
      </c>
      <c r="I43" s="41">
        <v>0</v>
      </c>
      <c r="J43" s="102">
        <v>0</v>
      </c>
      <c r="K43" s="103">
        <f t="shared" ref="K43" si="97">J43/C43</f>
        <v>0</v>
      </c>
      <c r="L43" s="104">
        <v>0</v>
      </c>
      <c r="M43" s="105">
        <f t="shared" ref="M43" si="98">(C43-C42)/C42</f>
        <v>1.6666666666666667</v>
      </c>
      <c r="N43" s="103">
        <f t="shared" ref="N43" si="99">(D43-D42)/D42</f>
        <v>1.3333333333333333</v>
      </c>
      <c r="O43" s="103">
        <f t="shared" ref="O43" si="100">(E43-E42)/E42</f>
        <v>0.98835920177383585</v>
      </c>
      <c r="P43" s="106">
        <f t="shared" ref="P43" si="101">C43/D43</f>
        <v>1.1428571428571428</v>
      </c>
      <c r="Q43" s="107">
        <f t="shared" ref="Q43" si="102">E43/D43</f>
        <v>20.497142857142855</v>
      </c>
      <c r="R43" s="108">
        <f t="shared" ref="R43" si="103">E43/C43</f>
        <v>17.934999999999999</v>
      </c>
      <c r="S43" s="108">
        <f t="shared" ref="S43" si="104">C43/7</f>
        <v>1.1428571428571428</v>
      </c>
      <c r="T43" s="109">
        <f t="shared" ref="T43" si="105">D43-Y43</f>
        <v>5</v>
      </c>
      <c r="U43" s="110">
        <f t="shared" ref="U43" si="106">T43/D43</f>
        <v>0.7142857142857143</v>
      </c>
      <c r="V43" s="72">
        <f t="shared" ref="V43" si="107">Z43/(E43-I43)</f>
        <v>0.35091998884862008</v>
      </c>
      <c r="W43" s="68">
        <v>7413</v>
      </c>
      <c r="X43" s="68">
        <v>44</v>
      </c>
      <c r="Y43" s="68">
        <v>2</v>
      </c>
      <c r="Z43" s="41">
        <v>50.35</v>
      </c>
      <c r="AA43" s="111">
        <v>44.15</v>
      </c>
      <c r="AB43" s="68">
        <v>1.1399999999999999</v>
      </c>
      <c r="AC43" s="48">
        <f t="shared" ref="AC43" si="108">Z43/AA43</f>
        <v>1.1404303510758778</v>
      </c>
      <c r="AD43" s="49">
        <f t="shared" ref="AD43" si="109">X43/W43</f>
        <v>5.9355186833940374E-3</v>
      </c>
      <c r="AE43" s="112">
        <f t="shared" ref="AE43" si="110">Y43/X43</f>
        <v>4.5454545454545456E-2</v>
      </c>
      <c r="AF43" s="107">
        <f t="shared" ref="AF43" si="111">Z43/Y43</f>
        <v>25.175000000000001</v>
      </c>
      <c r="AG43" s="113">
        <v>4</v>
      </c>
      <c r="AH43" s="114">
        <v>0</v>
      </c>
      <c r="AI43" s="115">
        <v>4</v>
      </c>
      <c r="AJ43" s="116">
        <f>AG43*产品成本!$D$19+AH43*产品成本!$D$20+AI43*产品成本!$D$21</f>
        <v>56.338028169013917</v>
      </c>
      <c r="AK43" s="116">
        <f>AG43*产品成本!$E$19+AH43*产品成本!$E$20+AI43*产品成本!$E$21</f>
        <v>15.755718309859148</v>
      </c>
      <c r="AL43" s="116">
        <f>AG43*产品成本!$F$19+AH43*产品成本!$F$20+AI43*产品成本!$F$21</f>
        <v>4.68</v>
      </c>
      <c r="AM43" s="116">
        <f>AG43*产品成本!$G$19+AH43*产品成本!$G$20+AI43*产品成本!$G$21</f>
        <v>51.04</v>
      </c>
      <c r="AN43" s="116">
        <f t="shared" ref="AN43" si="112">(E43-I43)*0.15</f>
        <v>21.521999999999998</v>
      </c>
      <c r="AO43" s="117">
        <f t="shared" ref="AO43" si="113">SUM(AJ43:AN43)</f>
        <v>149.33574647887306</v>
      </c>
      <c r="AP43" s="118">
        <v>0</v>
      </c>
      <c r="AQ43" s="118">
        <v>0</v>
      </c>
      <c r="AR43" s="119">
        <v>0</v>
      </c>
      <c r="AS43" s="120">
        <f t="shared" ref="AS43" si="114">L43/(1-0.15-0.15*0.2)</f>
        <v>0</v>
      </c>
      <c r="AT43" s="116">
        <f>AP43*产品成本!$D$19+AQ43*产品成本!$D$20+AR43*产品成本!$D$21</f>
        <v>0</v>
      </c>
      <c r="AU43" s="116">
        <f>AP43*产品成本!$E$19+AQ43*产品成本!$E$20+AR43*产品成本!$E$21</f>
        <v>0</v>
      </c>
      <c r="AV43" s="116">
        <f>AP43*产品成本!$F$19+AQ43*产品成本!$F$20+AR43*产品成本!$F$21</f>
        <v>0</v>
      </c>
      <c r="AW43" s="116">
        <f>AP43*产品成本!$G$19+AQ43*产品成本!$G$20+AR43*产品成本!$G$21</f>
        <v>0</v>
      </c>
      <c r="AX43" s="116">
        <f t="shared" ref="AX43" si="115">AS43*0.15</f>
        <v>0</v>
      </c>
      <c r="AY43" s="116">
        <f t="shared" ref="AY43" si="116">-AX43*0.2</f>
        <v>0</v>
      </c>
      <c r="AZ43" s="117">
        <f t="shared" ref="AZ43" si="117">SUM(AT43:AY43)</f>
        <v>0</v>
      </c>
      <c r="BA43" s="121">
        <f t="shared" ref="BA43" si="118">AO43-AZ43</f>
        <v>149.33574647887306</v>
      </c>
      <c r="BB43" s="122">
        <f t="shared" ref="BB43" si="119">E43-I43</f>
        <v>143.47999999999999</v>
      </c>
      <c r="BC43" s="121">
        <f t="shared" ref="BC43" si="120">E43-AS43-I43</f>
        <v>143.47999999999999</v>
      </c>
      <c r="BD43" s="121">
        <f t="shared" ref="BD43" si="121">BC43-BA43-Z43</f>
        <v>-56.205746478873074</v>
      </c>
      <c r="BE43" s="123">
        <f t="shared" ref="BE43" si="122">BD43/BC43</f>
        <v>-0.39173227264338639</v>
      </c>
      <c r="BF43" s="125" t="s">
        <v>407</v>
      </c>
    </row>
    <row r="44" spans="1:59" ht="29.1" customHeight="1" x14ac:dyDescent="0.15">
      <c r="A44" s="127" t="s">
        <v>266</v>
      </c>
      <c r="B44" s="128"/>
      <c r="C44" s="128">
        <f>SUBTOTAL(109,表3_39141016[销量])</f>
        <v>480</v>
      </c>
      <c r="D44" s="128">
        <f>SUBTOTAL(109,表3_39141016[订单量])</f>
        <v>456</v>
      </c>
      <c r="E44" s="128">
        <f>SUBTOTAL(109,表3_39141016[销售额])</f>
        <v>12266.349999999999</v>
      </c>
      <c r="F44" s="128">
        <f>SUBTOTAL(109,表3_39141016[促销销量])</f>
        <v>78</v>
      </c>
      <c r="G44" s="128">
        <f>SUBTOTAL(109,表3_39141016[促销订单量])</f>
        <v>76</v>
      </c>
      <c r="H44" s="128">
        <f>SUBTOTAL(109,表3_39141016[促销销售额])</f>
        <v>2569.5100000000002</v>
      </c>
      <c r="I44" s="128">
        <f>SUBTOTAL(109,表3_39141016[促销折扣])</f>
        <v>1552.4</v>
      </c>
      <c r="J44" s="128">
        <f>SUBTOTAL(109,表3_39141016[退款量])</f>
        <v>25</v>
      </c>
      <c r="K44" s="129">
        <f t="shared" si="27"/>
        <v>5.2083333333333336E-2</v>
      </c>
      <c r="L44" s="130">
        <f>SUBTOTAL(109,表3_39141016[退款金额])</f>
        <v>493.8599999999999</v>
      </c>
      <c r="M44" s="128"/>
      <c r="N44" s="128"/>
      <c r="O44" s="128"/>
      <c r="P44" s="131" t="e">
        <f>SUBTOTAL(101,表3_39141016[客单
销量])</f>
        <v>#DIV/0!</v>
      </c>
      <c r="Q44" s="131" t="e">
        <f>SUBTOTAL(101,表3_39141016[客单
价格($)])</f>
        <v>#DIV/0!</v>
      </c>
      <c r="R44" s="131" t="e">
        <f>SUBTOTAL(101,表3_39141016[销售
均价($)])</f>
        <v>#DIV/0!</v>
      </c>
      <c r="S44" s="131">
        <f>SUBTOTAL(101,表3_39141016[日均
销量])</f>
        <v>1.7142857142857146</v>
      </c>
      <c r="T44" s="132">
        <f>SUBTOTAL(109,表3_39141016[自然
订单])</f>
        <v>93</v>
      </c>
      <c r="U44" s="133">
        <f t="shared" si="36"/>
        <v>0.20394736842105263</v>
      </c>
      <c r="V44" s="134" t="e">
        <f>SUBTOTAL(101,表3_39141016[TAcos
(%)])</f>
        <v>#DIV/0!</v>
      </c>
      <c r="W44" s="128">
        <f>SUBTOTAL(109,表3_39141016[展示])</f>
        <v>1076969</v>
      </c>
      <c r="X44" s="128">
        <f>SUBTOTAL(109,表3_39141016[点击])</f>
        <v>6785</v>
      </c>
      <c r="Y44" s="128">
        <f>SUBTOTAL(109,表3_39141016[广告订单量])</f>
        <v>363</v>
      </c>
      <c r="Z44" s="128">
        <f>SUBTOTAL(109,表3_39141016[广告花费])</f>
        <v>8411.7400000000016</v>
      </c>
      <c r="AA44" s="128">
        <f>SUBTOTAL(109,表3_39141016[广告销售额])</f>
        <v>9061.18</v>
      </c>
      <c r="AB44" s="128">
        <f>SUBTOTAL(101,表3_39141016[CPC])</f>
        <v>1.1692307692307691</v>
      </c>
      <c r="AC44" s="129">
        <f t="shared" si="38"/>
        <v>0.92832721566065357</v>
      </c>
      <c r="AD44" s="129">
        <f t="shared" ref="AD44:AF44" si="123">X44/W44</f>
        <v>6.3000884890837159E-3</v>
      </c>
      <c r="AE44" s="129">
        <f t="shared" si="123"/>
        <v>5.3500368459837876E-2</v>
      </c>
      <c r="AF44" s="131">
        <f t="shared" si="123"/>
        <v>23.172837465564744</v>
      </c>
      <c r="AG44" s="128">
        <f>SUBTOTAL(109,表3_39141016[SFM 1])</f>
        <v>295</v>
      </c>
      <c r="AH44" s="128">
        <f>SUBTOTAL(109,表3_39141016[SFM 2])</f>
        <v>63</v>
      </c>
      <c r="AI44" s="128">
        <f>SUBTOTAL(109,表3_39141016[SFM 3])</f>
        <v>108</v>
      </c>
      <c r="AJ44" s="130">
        <f>SUBTOTAL(109,表3_39141016[产品成本])</f>
        <v>2623.2394366197132</v>
      </c>
      <c r="AK44" s="130">
        <f>SUBTOTAL(109,表3_39141016[头程])</f>
        <v>733.62563380281642</v>
      </c>
      <c r="AL44" s="130">
        <f>SUBTOTAL(109,表3_39141016[入仓费])</f>
        <v>248.86000000000004</v>
      </c>
      <c r="AM44" s="130">
        <f>SUBTOTAL(109,表3_39141016[FBA物流])</f>
        <v>2801.5499999999997</v>
      </c>
      <c r="AN44" s="130">
        <f>SUBTOTAL(109,表3_39141016[佣金])</f>
        <v>1607.0924999999995</v>
      </c>
      <c r="AO44" s="130">
        <f>SUBTOTAL(109,表3_39141016[成本小结])</f>
        <v>8014.367570422527</v>
      </c>
      <c r="AP44" s="135">
        <f>SUBTOTAL(109,表3_39141016[退款SFM 1])</f>
        <v>18</v>
      </c>
      <c r="AQ44" s="135">
        <f>SUBTOTAL(109,表3_39141016[退款SFM 2])</f>
        <v>4</v>
      </c>
      <c r="AR44" s="135">
        <f>SUBTOTAL(109,表3_39141016[退款SFM 3])</f>
        <v>5</v>
      </c>
      <c r="AS44" s="130">
        <f>SUBTOTAL(109,表3_39141016[退款
销售金额])</f>
        <v>602.26829268292681</v>
      </c>
      <c r="AT44" s="130">
        <f>SUBTOTAL(109,表3_39141016[退款
产品成本])</f>
        <v>144.36619718309839</v>
      </c>
      <c r="AU44" s="130">
        <f>SUBTOTAL(109,表3_39141016[退款头程])</f>
        <v>40.374028169014053</v>
      </c>
      <c r="AV44" s="130">
        <f>SUBTOTAL(109,表3_39141016[退款
入仓费])</f>
        <v>14.180000000000003</v>
      </c>
      <c r="AW44" s="130">
        <f>SUBTOTAL(109,表3_39141016[退款
FBA物流])</f>
        <v>160.4</v>
      </c>
      <c r="AX44" s="130">
        <f>SUBTOTAL(109,表3_39141016[退款佣金])</f>
        <v>90.340243902439028</v>
      </c>
      <c r="AY44" s="130">
        <f>SUBTOTAL(109,表3_39141016[退款
管理费用
佣金的20%])</f>
        <v>-18.068048780487803</v>
      </c>
      <c r="AZ44" s="130">
        <f>SUBTOTAL(109,表3_39141016[退款
成本小结])</f>
        <v>431.59242047406366</v>
      </c>
      <c r="BA44" s="130">
        <f>SUBTOTAL(109,表3_39141016[净成本])</f>
        <v>7582.7751499484675</v>
      </c>
      <c r="BB44" s="130">
        <f>SUBTOTAL(110,表3_39141016[净销售额])</f>
        <v>94989.09984711546</v>
      </c>
      <c r="BC44" s="130">
        <f>SUBTOTAL(109,表3_39141016[净销售额
(-退款金额)])</f>
        <v>10111.681707317073</v>
      </c>
      <c r="BD44" s="130">
        <f>SUBTOTAL(109,表3_39141016[毛利])</f>
        <v>-5882.8334426313922</v>
      </c>
      <c r="BE44" s="129" t="e">
        <f>SUBTOTAL(101,表3_39141016[毛利率])</f>
        <v>#DIV/0!</v>
      </c>
    </row>
  </sheetData>
  <mergeCells count="14">
    <mergeCell ref="A1:B2"/>
    <mergeCell ref="BA1:BE2"/>
    <mergeCell ref="C1:V1"/>
    <mergeCell ref="W1:AF1"/>
    <mergeCell ref="AG1:AO1"/>
    <mergeCell ref="AP1:AZ1"/>
    <mergeCell ref="C2:L2"/>
    <mergeCell ref="M2:V2"/>
    <mergeCell ref="W2:AB2"/>
    <mergeCell ref="AC2:AF2"/>
    <mergeCell ref="AG2:AI2"/>
    <mergeCell ref="AJ2:AO2"/>
    <mergeCell ref="AP2:AR2"/>
    <mergeCell ref="AS2:AZ2"/>
  </mergeCells>
  <phoneticPr fontId="36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X75"/>
  <sheetViews>
    <sheetView workbookViewId="0">
      <pane xSplit="2" ySplit="3" topLeftCell="C67" activePane="bottomRight" state="frozen"/>
      <selection pane="topRight"/>
      <selection pane="bottomLeft"/>
      <selection pane="bottomRight" activeCell="C75" sqref="C75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6.875" customWidth="1"/>
    <col min="4" max="4" width="7.375" customWidth="1"/>
    <col min="5" max="5" width="12.87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9" customWidth="1"/>
    <col min="11" max="11" width="8.5" customWidth="1"/>
    <col min="12" max="12" width="9" customWidth="1"/>
    <col min="13" max="13" width="8.125" customWidth="1"/>
    <col min="14" max="14" width="9.875" customWidth="1"/>
    <col min="15" max="15" width="7.375" customWidth="1"/>
    <col min="16" max="16" width="9.375" customWidth="1"/>
    <col min="17" max="17" width="10.375" customWidth="1"/>
    <col min="18" max="18" width="11.5" customWidth="1"/>
    <col min="19" max="19" width="8.125" customWidth="1"/>
    <col min="20" max="20" width="9.25" customWidth="1"/>
    <col min="21" max="23" width="8.125" customWidth="1"/>
    <col min="24" max="24" width="8.75" style="73" customWidth="1"/>
  </cols>
  <sheetData>
    <row r="1" spans="1:24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410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4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4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  <c r="X3" s="73" t="s">
        <v>419</v>
      </c>
    </row>
    <row r="4" spans="1:24" ht="29.1" customHeight="1" x14ac:dyDescent="0.15">
      <c r="A4" s="70" t="s">
        <v>69</v>
      </c>
      <c r="B4" s="67" t="s">
        <v>70</v>
      </c>
      <c r="C4" s="67">
        <f>SL!C4</f>
        <v>276</v>
      </c>
      <c r="D4" s="68">
        <f>SL!D4</f>
        <v>264</v>
      </c>
      <c r="E4" s="41">
        <f>SL!E4</f>
        <v>6073.25</v>
      </c>
      <c r="F4" s="42">
        <v>1029</v>
      </c>
      <c r="G4" s="43">
        <v>3191</v>
      </c>
      <c r="H4" s="44">
        <v>4220</v>
      </c>
      <c r="I4" s="43">
        <v>1317</v>
      </c>
      <c r="J4" s="43">
        <v>4224</v>
      </c>
      <c r="K4" s="45">
        <v>5541</v>
      </c>
      <c r="L4" s="46">
        <f t="shared" ref="L4:L19" si="0">D4/H4</f>
        <v>6.2559241706161131E-2</v>
      </c>
      <c r="M4" s="71">
        <f t="shared" ref="M4:M18" si="1">Q4/E4</f>
        <v>0.28145062363643847</v>
      </c>
      <c r="N4" s="68">
        <f>SL!W4</f>
        <v>136418</v>
      </c>
      <c r="O4" s="68">
        <f>SL!X4</f>
        <v>1723</v>
      </c>
      <c r="P4" s="68">
        <f>SL!Y4</f>
        <v>153</v>
      </c>
      <c r="Q4" s="68">
        <f>SL!Z4</f>
        <v>1709.32</v>
      </c>
      <c r="R4" s="69">
        <f>SL!AA4</f>
        <v>3516.2</v>
      </c>
      <c r="S4" s="68">
        <f>SL!AB4</f>
        <v>0.99</v>
      </c>
      <c r="T4" s="48">
        <f t="shared" ref="T4:T35" si="2">Q4/R4</f>
        <v>0.48612706899493774</v>
      </c>
      <c r="U4" s="49">
        <f t="shared" ref="U4:U35" si="3">O4/N4</f>
        <v>1.2630298054508935E-2</v>
      </c>
      <c r="V4" s="49">
        <f t="shared" ref="V4:V35" si="4">P4/O4</f>
        <v>8.8798607080673247E-2</v>
      </c>
      <c r="W4" s="50">
        <f t="shared" ref="W4:W35" si="5">Q4/P4</f>
        <v>11.17202614379085</v>
      </c>
      <c r="X4" s="73">
        <f>$L$75</f>
        <v>7.3389933044182634E-2</v>
      </c>
    </row>
    <row r="5" spans="1:24" ht="29.1" customHeight="1" x14ac:dyDescent="0.15">
      <c r="A5" s="70" t="s">
        <v>71</v>
      </c>
      <c r="B5" s="67" t="s">
        <v>72</v>
      </c>
      <c r="C5" s="67">
        <f>SL!C5</f>
        <v>296</v>
      </c>
      <c r="D5" s="68">
        <f>SL!D5</f>
        <v>285</v>
      </c>
      <c r="E5" s="41">
        <f>SL!E5</f>
        <v>6535.75</v>
      </c>
      <c r="F5" s="42">
        <v>1250</v>
      </c>
      <c r="G5" s="43">
        <v>3090</v>
      </c>
      <c r="H5" s="44">
        <v>4340</v>
      </c>
      <c r="I5" s="43">
        <v>1652</v>
      </c>
      <c r="J5" s="43">
        <v>4215</v>
      </c>
      <c r="K5" s="45">
        <v>5867</v>
      </c>
      <c r="L5" s="46">
        <f t="shared" si="0"/>
        <v>6.5668202764976952E-2</v>
      </c>
      <c r="M5" s="71">
        <f t="shared" si="1"/>
        <v>0.28953524844126532</v>
      </c>
      <c r="N5" s="68">
        <f>SL!W5</f>
        <v>184745</v>
      </c>
      <c r="O5" s="68">
        <f>SL!X5</f>
        <v>1929</v>
      </c>
      <c r="P5" s="68">
        <f>SL!Y5</f>
        <v>191</v>
      </c>
      <c r="Q5" s="68">
        <f>SL!Z5</f>
        <v>1892.33</v>
      </c>
      <c r="R5" s="69">
        <f>SL!AA5</f>
        <v>4333.92</v>
      </c>
      <c r="S5" s="68">
        <f>SL!AB5</f>
        <v>0.98</v>
      </c>
      <c r="T5" s="48">
        <f t="shared" si="2"/>
        <v>0.43663242514859524</v>
      </c>
      <c r="U5" s="49">
        <f t="shared" si="3"/>
        <v>1.0441419253565726E-2</v>
      </c>
      <c r="V5" s="49">
        <f t="shared" si="4"/>
        <v>9.9015033696215657E-2</v>
      </c>
      <c r="W5" s="50">
        <f t="shared" si="5"/>
        <v>9.9074869109947645</v>
      </c>
      <c r="X5" s="73">
        <f t="shared" ref="X5:X72" si="6">$L$75</f>
        <v>7.3389933044182634E-2</v>
      </c>
    </row>
    <row r="6" spans="1:24" ht="29.1" customHeight="1" x14ac:dyDescent="0.15">
      <c r="A6" s="70" t="s">
        <v>73</v>
      </c>
      <c r="B6" s="67" t="s">
        <v>74</v>
      </c>
      <c r="C6" s="67">
        <f>SL!C6</f>
        <v>401</v>
      </c>
      <c r="D6" s="68">
        <f>SL!D6</f>
        <v>366</v>
      </c>
      <c r="E6" s="41">
        <f>SL!E6</f>
        <v>7627.49</v>
      </c>
      <c r="F6" s="42">
        <v>1205</v>
      </c>
      <c r="G6" s="43">
        <v>3895</v>
      </c>
      <c r="H6" s="44">
        <v>5100</v>
      </c>
      <c r="I6" s="43">
        <v>1526</v>
      </c>
      <c r="J6" s="43">
        <v>5170</v>
      </c>
      <c r="K6" s="45">
        <v>6696</v>
      </c>
      <c r="L6" s="46">
        <f t="shared" si="0"/>
        <v>7.1764705882352939E-2</v>
      </c>
      <c r="M6" s="71">
        <f t="shared" si="1"/>
        <v>0.28473193671836999</v>
      </c>
      <c r="N6" s="68">
        <f>SL!W6</f>
        <v>195302</v>
      </c>
      <c r="O6" s="68">
        <f>SL!X6</f>
        <v>2172</v>
      </c>
      <c r="P6" s="68">
        <f>SL!Y6</f>
        <v>240</v>
      </c>
      <c r="Q6" s="68">
        <f>SL!Z6</f>
        <v>2171.79</v>
      </c>
      <c r="R6" s="69">
        <f>SL!AA6</f>
        <v>4918.97</v>
      </c>
      <c r="S6" s="68" t="str">
        <f>SL!AB6</f>
        <v>‎1.00</v>
      </c>
      <c r="T6" s="48">
        <f t="shared" si="2"/>
        <v>0.4415131623083694</v>
      </c>
      <c r="U6" s="49">
        <f t="shared" si="3"/>
        <v>1.1121237877748307E-2</v>
      </c>
      <c r="V6" s="49">
        <f t="shared" si="4"/>
        <v>0.11049723756906077</v>
      </c>
      <c r="W6" s="50">
        <f t="shared" si="5"/>
        <v>9.0491250000000001</v>
      </c>
      <c r="X6" s="73">
        <f t="shared" si="6"/>
        <v>7.3389933044182634E-2</v>
      </c>
    </row>
    <row r="7" spans="1:24" ht="29.1" customHeight="1" x14ac:dyDescent="0.15">
      <c r="A7" s="70" t="s">
        <v>76</v>
      </c>
      <c r="B7" s="67" t="s">
        <v>77</v>
      </c>
      <c r="C7" s="67">
        <f>SL!C7</f>
        <v>349</v>
      </c>
      <c r="D7" s="68">
        <f>SL!D7</f>
        <v>339</v>
      </c>
      <c r="E7" s="41">
        <f>SL!E7</f>
        <v>6352.41</v>
      </c>
      <c r="F7" s="42">
        <v>1242</v>
      </c>
      <c r="G7" s="43">
        <v>4237</v>
      </c>
      <c r="H7" s="44">
        <v>5479</v>
      </c>
      <c r="I7" s="43">
        <v>1532</v>
      </c>
      <c r="J7" s="43">
        <v>5724</v>
      </c>
      <c r="K7" s="45">
        <v>7256</v>
      </c>
      <c r="L7" s="46">
        <f t="shared" si="0"/>
        <v>6.1872604489870413E-2</v>
      </c>
      <c r="M7" s="71">
        <f t="shared" si="1"/>
        <v>0.35467798835402625</v>
      </c>
      <c r="N7" s="68">
        <f>SL!W7</f>
        <v>204302</v>
      </c>
      <c r="O7" s="68">
        <f>SL!X7</f>
        <v>2295</v>
      </c>
      <c r="P7" s="68">
        <f>SL!Y7</f>
        <v>221</v>
      </c>
      <c r="Q7" s="68">
        <f>SL!Z7</f>
        <v>2253.06</v>
      </c>
      <c r="R7" s="69">
        <f>SL!AA7</f>
        <v>4084.24</v>
      </c>
      <c r="S7" s="68" t="str">
        <f>SL!AB7</f>
        <v>‎0.98</v>
      </c>
      <c r="T7" s="48">
        <f t="shared" si="2"/>
        <v>0.55164730769984138</v>
      </c>
      <c r="U7" s="49">
        <f t="shared" si="3"/>
        <v>1.1233370206850642E-2</v>
      </c>
      <c r="V7" s="49">
        <f t="shared" si="4"/>
        <v>9.6296296296296297E-2</v>
      </c>
      <c r="W7" s="50">
        <f t="shared" si="5"/>
        <v>10.194841628959276</v>
      </c>
      <c r="X7" s="73">
        <f t="shared" si="6"/>
        <v>7.3389933044182634E-2</v>
      </c>
    </row>
    <row r="8" spans="1:24" ht="29.1" customHeight="1" x14ac:dyDescent="0.15">
      <c r="A8" s="70" t="s">
        <v>79</v>
      </c>
      <c r="B8" s="67" t="s">
        <v>80</v>
      </c>
      <c r="C8" s="67">
        <f>SL!C8</f>
        <v>319</v>
      </c>
      <c r="D8" s="68">
        <f>SL!D8</f>
        <v>300</v>
      </c>
      <c r="E8" s="41">
        <f>SL!E8</f>
        <v>6697.47</v>
      </c>
      <c r="F8" s="42">
        <v>1015</v>
      </c>
      <c r="G8" s="43">
        <v>3502</v>
      </c>
      <c r="H8" s="44">
        <v>4517</v>
      </c>
      <c r="I8" s="43">
        <v>1275</v>
      </c>
      <c r="J8" s="43">
        <v>4793</v>
      </c>
      <c r="K8" s="45">
        <v>6068</v>
      </c>
      <c r="L8" s="46">
        <f t="shared" si="0"/>
        <v>6.6415762674341378E-2</v>
      </c>
      <c r="M8" s="71">
        <f t="shared" si="1"/>
        <v>0.32161846189680582</v>
      </c>
      <c r="N8" s="68">
        <f>SL!W8</f>
        <v>215967</v>
      </c>
      <c r="O8" s="68">
        <f>SL!X8</f>
        <v>2203</v>
      </c>
      <c r="P8" s="68">
        <f>SL!Y8</f>
        <v>178</v>
      </c>
      <c r="Q8" s="68">
        <f>SL!Z8</f>
        <v>2154.0300000000002</v>
      </c>
      <c r="R8" s="69">
        <f>SL!AA8</f>
        <v>4084.54</v>
      </c>
      <c r="S8" s="68" t="str">
        <f>SL!AB8</f>
        <v>‎0.98</v>
      </c>
      <c r="T8" s="48">
        <f t="shared" si="2"/>
        <v>0.52736171025378631</v>
      </c>
      <c r="U8" s="49">
        <f t="shared" si="3"/>
        <v>1.0200632504039969E-2</v>
      </c>
      <c r="V8" s="49">
        <f t="shared" si="4"/>
        <v>8.079891057648661E-2</v>
      </c>
      <c r="W8" s="50">
        <f t="shared" si="5"/>
        <v>12.101292134831462</v>
      </c>
      <c r="X8" s="73">
        <f t="shared" si="6"/>
        <v>7.3389933044182634E-2</v>
      </c>
    </row>
    <row r="9" spans="1:24" ht="29.1" customHeight="1" x14ac:dyDescent="0.15">
      <c r="A9" s="70" t="s">
        <v>81</v>
      </c>
      <c r="B9" s="67" t="s">
        <v>82</v>
      </c>
      <c r="C9" s="67">
        <f>SL!C9</f>
        <v>299</v>
      </c>
      <c r="D9" s="68">
        <f>SL!D9</f>
        <v>285</v>
      </c>
      <c r="E9" s="41">
        <f>SL!E9</f>
        <v>7065.55</v>
      </c>
      <c r="F9" s="42">
        <v>1021</v>
      </c>
      <c r="G9" s="43">
        <v>2818</v>
      </c>
      <c r="H9" s="44">
        <v>3839</v>
      </c>
      <c r="I9" s="43">
        <v>1312</v>
      </c>
      <c r="J9" s="43">
        <v>3867</v>
      </c>
      <c r="K9" s="45">
        <v>5179</v>
      </c>
      <c r="L9" s="46">
        <f t="shared" si="0"/>
        <v>7.4238082834071378E-2</v>
      </c>
      <c r="M9" s="71">
        <f t="shared" si="1"/>
        <v>0.24653848603434977</v>
      </c>
      <c r="N9" s="68">
        <f>SL!W9</f>
        <v>158506</v>
      </c>
      <c r="O9" s="68">
        <f>SL!X9</f>
        <v>1791</v>
      </c>
      <c r="P9" s="68">
        <f>SL!Y9</f>
        <v>192</v>
      </c>
      <c r="Q9" s="68">
        <f>SL!Z9</f>
        <v>1741.93</v>
      </c>
      <c r="R9" s="69">
        <f>SL!AA9</f>
        <v>4780.29</v>
      </c>
      <c r="S9" s="68" t="str">
        <f>SL!AB9</f>
        <v>‎0.97</v>
      </c>
      <c r="T9" s="48">
        <f t="shared" si="2"/>
        <v>0.36439839423968001</v>
      </c>
      <c r="U9" s="49">
        <f t="shared" si="3"/>
        <v>1.1299256810467742E-2</v>
      </c>
      <c r="V9" s="49">
        <f t="shared" si="4"/>
        <v>0.10720268006700168</v>
      </c>
      <c r="W9" s="50">
        <f t="shared" si="5"/>
        <v>9.0725520833333331</v>
      </c>
      <c r="X9" s="73">
        <f t="shared" si="6"/>
        <v>7.3389933044182634E-2</v>
      </c>
    </row>
    <row r="10" spans="1:24" ht="29.1" customHeight="1" x14ac:dyDescent="0.15">
      <c r="A10" s="70" t="s">
        <v>84</v>
      </c>
      <c r="B10" s="67" t="s">
        <v>85</v>
      </c>
      <c r="C10" s="67">
        <f>SL!C10</f>
        <v>261</v>
      </c>
      <c r="D10" s="68">
        <f>SL!D10</f>
        <v>250</v>
      </c>
      <c r="E10" s="41">
        <f>SL!E10</f>
        <v>6230.89</v>
      </c>
      <c r="F10" s="42">
        <v>749</v>
      </c>
      <c r="G10" s="43">
        <v>2179</v>
      </c>
      <c r="H10" s="44">
        <v>2928</v>
      </c>
      <c r="I10" s="43">
        <v>931</v>
      </c>
      <c r="J10" s="43">
        <v>2885</v>
      </c>
      <c r="K10" s="45">
        <v>3816</v>
      </c>
      <c r="L10" s="46">
        <f t="shared" si="0"/>
        <v>8.5382513661202183E-2</v>
      </c>
      <c r="M10" s="71">
        <f t="shared" si="1"/>
        <v>0.27256940822258136</v>
      </c>
      <c r="N10" s="68">
        <f>SL!W10</f>
        <v>166059</v>
      </c>
      <c r="O10" s="68">
        <f>SL!X10</f>
        <v>1726</v>
      </c>
      <c r="P10" s="68">
        <f>SL!Y10</f>
        <v>140</v>
      </c>
      <c r="Q10" s="68">
        <f>SL!Z10</f>
        <v>1698.35</v>
      </c>
      <c r="R10" s="69">
        <f>SL!AA10</f>
        <v>3468.95</v>
      </c>
      <c r="S10" s="68" t="str">
        <f>SL!AB10</f>
        <v>‎0.98</v>
      </c>
      <c r="T10" s="48">
        <f t="shared" si="2"/>
        <v>0.48958618602170684</v>
      </c>
      <c r="U10" s="49">
        <f t="shared" si="3"/>
        <v>1.0393896145345931E-2</v>
      </c>
      <c r="V10" s="49">
        <f t="shared" si="4"/>
        <v>8.1112398609501743E-2</v>
      </c>
      <c r="W10" s="50">
        <f t="shared" si="5"/>
        <v>12.131071428571428</v>
      </c>
      <c r="X10" s="73">
        <f t="shared" si="6"/>
        <v>7.3389933044182634E-2</v>
      </c>
    </row>
    <row r="11" spans="1:24" ht="29.1" customHeight="1" x14ac:dyDescent="0.15">
      <c r="A11" s="70" t="s">
        <v>86</v>
      </c>
      <c r="B11" s="67" t="s">
        <v>87</v>
      </c>
      <c r="C11" s="67">
        <f>SL!C11</f>
        <v>305</v>
      </c>
      <c r="D11" s="68">
        <f>SL!D11</f>
        <v>290</v>
      </c>
      <c r="E11" s="41">
        <f>SL!E11</f>
        <v>6636.34</v>
      </c>
      <c r="F11" s="42">
        <v>668</v>
      </c>
      <c r="G11" s="43">
        <v>2488</v>
      </c>
      <c r="H11" s="44">
        <v>3156</v>
      </c>
      <c r="I11" s="43">
        <v>864</v>
      </c>
      <c r="J11" s="43">
        <v>3374</v>
      </c>
      <c r="K11" s="45">
        <v>4238</v>
      </c>
      <c r="L11" s="46">
        <f t="shared" si="0"/>
        <v>9.1888466413181241E-2</v>
      </c>
      <c r="M11" s="71">
        <f t="shared" si="1"/>
        <v>0.30611150121904546</v>
      </c>
      <c r="N11" s="68">
        <f>SL!W11</f>
        <v>175575</v>
      </c>
      <c r="O11" s="68">
        <f>SL!X11</f>
        <v>1917</v>
      </c>
      <c r="P11" s="68">
        <f>SL!Y11</f>
        <v>195</v>
      </c>
      <c r="Q11" s="68">
        <f>SL!Z11</f>
        <v>2031.46</v>
      </c>
      <c r="R11" s="69">
        <f>SL!AA11</f>
        <v>4467.78</v>
      </c>
      <c r="S11" s="68" t="str">
        <f>SL!AB11</f>
        <v>‎1.06</v>
      </c>
      <c r="T11" s="48">
        <f t="shared" si="2"/>
        <v>0.45469114414765277</v>
      </c>
      <c r="U11" s="49">
        <f t="shared" si="3"/>
        <v>1.091841093549765E-2</v>
      </c>
      <c r="V11" s="49">
        <f t="shared" si="4"/>
        <v>0.10172143974960876</v>
      </c>
      <c r="W11" s="50">
        <f t="shared" si="5"/>
        <v>10.417743589743591</v>
      </c>
      <c r="X11" s="73">
        <f t="shared" si="6"/>
        <v>7.3389933044182634E-2</v>
      </c>
    </row>
    <row r="12" spans="1:24" ht="29.1" customHeight="1" x14ac:dyDescent="0.15">
      <c r="A12" s="70" t="s">
        <v>89</v>
      </c>
      <c r="B12" s="67" t="s">
        <v>90</v>
      </c>
      <c r="C12" s="67">
        <f>SL!C12</f>
        <v>351</v>
      </c>
      <c r="D12" s="68">
        <f>SL!D12</f>
        <v>331</v>
      </c>
      <c r="E12" s="41">
        <f>SL!E12</f>
        <v>7526.09</v>
      </c>
      <c r="F12" s="42">
        <v>1276</v>
      </c>
      <c r="G12" s="43">
        <v>3940</v>
      </c>
      <c r="H12" s="44">
        <v>5216</v>
      </c>
      <c r="I12" s="43">
        <v>1775</v>
      </c>
      <c r="J12" s="43">
        <v>5367</v>
      </c>
      <c r="K12" s="45">
        <v>7142</v>
      </c>
      <c r="L12" s="46">
        <f t="shared" si="0"/>
        <v>6.3458588957055209E-2</v>
      </c>
      <c r="M12" s="71">
        <f t="shared" si="1"/>
        <v>0.26822692792671893</v>
      </c>
      <c r="N12" s="68">
        <f>SL!W12</f>
        <v>197397</v>
      </c>
      <c r="O12" s="68">
        <f>SL!X12</f>
        <v>2078</v>
      </c>
      <c r="P12" s="68">
        <f>SL!Y12</f>
        <v>192</v>
      </c>
      <c r="Q12" s="68">
        <f>SL!Z12</f>
        <v>2018.7</v>
      </c>
      <c r="R12" s="69">
        <f>SL!AA12</f>
        <v>4366.84</v>
      </c>
      <c r="S12" s="68" t="str">
        <f>SL!AB12</f>
        <v>‎0.97</v>
      </c>
      <c r="T12" s="48">
        <f t="shared" si="2"/>
        <v>0.46227935990327101</v>
      </c>
      <c r="U12" s="49">
        <f t="shared" si="3"/>
        <v>1.0527009022426885E-2</v>
      </c>
      <c r="V12" s="49">
        <f t="shared" si="4"/>
        <v>9.2396535129932622E-2</v>
      </c>
      <c r="W12" s="50">
        <f t="shared" si="5"/>
        <v>10.5140625</v>
      </c>
      <c r="X12" s="73">
        <f t="shared" si="6"/>
        <v>7.3389933044182634E-2</v>
      </c>
    </row>
    <row r="13" spans="1:24" ht="29.1" customHeight="1" x14ac:dyDescent="0.15">
      <c r="A13" s="70" t="s">
        <v>92</v>
      </c>
      <c r="B13" s="67" t="s">
        <v>93</v>
      </c>
      <c r="C13" s="67">
        <f>SL!C13</f>
        <v>290</v>
      </c>
      <c r="D13" s="68">
        <f>SL!D13</f>
        <v>271</v>
      </c>
      <c r="E13" s="41">
        <f>SL!E13</f>
        <v>6846.76</v>
      </c>
      <c r="F13" s="42">
        <v>1176</v>
      </c>
      <c r="G13" s="43">
        <v>3377</v>
      </c>
      <c r="H13" s="44">
        <v>4553</v>
      </c>
      <c r="I13" s="43">
        <v>1514</v>
      </c>
      <c r="J13" s="43">
        <v>4519</v>
      </c>
      <c r="K13" s="45">
        <v>6033</v>
      </c>
      <c r="L13" s="46">
        <f t="shared" si="0"/>
        <v>5.9521194816604436E-2</v>
      </c>
      <c r="M13" s="71">
        <f t="shared" si="1"/>
        <v>0.26372620042180533</v>
      </c>
      <c r="N13" s="68">
        <f>SL!W13</f>
        <v>175351</v>
      </c>
      <c r="O13" s="68">
        <f>SL!X13</f>
        <v>1841</v>
      </c>
      <c r="P13" s="68">
        <f>SL!Y13</f>
        <v>167</v>
      </c>
      <c r="Q13" s="68">
        <f>SL!Z13</f>
        <v>1805.67</v>
      </c>
      <c r="R13" s="69">
        <f>SL!AA13</f>
        <v>4166.7700000000004</v>
      </c>
      <c r="S13" s="68" t="str">
        <f>SL!AB13</f>
        <v>‎0.98</v>
      </c>
      <c r="T13" s="48">
        <f t="shared" si="2"/>
        <v>0.43335005291868761</v>
      </c>
      <c r="U13" s="49">
        <f t="shared" si="3"/>
        <v>1.0498942121801415E-2</v>
      </c>
      <c r="V13" s="49">
        <f t="shared" si="4"/>
        <v>9.0711569799022271E-2</v>
      </c>
      <c r="W13" s="50">
        <f t="shared" si="5"/>
        <v>10.812395209580838</v>
      </c>
      <c r="X13" s="73">
        <f t="shared" si="6"/>
        <v>7.3389933044182634E-2</v>
      </c>
    </row>
    <row r="14" spans="1:24" ht="29.1" customHeight="1" x14ac:dyDescent="0.15">
      <c r="A14" s="38" t="s">
        <v>95</v>
      </c>
      <c r="B14" s="66" t="s">
        <v>96</v>
      </c>
      <c r="C14" s="67">
        <f>SL!C14</f>
        <v>315</v>
      </c>
      <c r="D14" s="68">
        <f>SL!D14</f>
        <v>298</v>
      </c>
      <c r="E14" s="41">
        <f>SL!E14</f>
        <v>7220.89</v>
      </c>
      <c r="F14" s="42">
        <v>1059</v>
      </c>
      <c r="G14" s="43">
        <v>3615</v>
      </c>
      <c r="H14" s="44">
        <v>4674</v>
      </c>
      <c r="I14" s="43">
        <v>1351</v>
      </c>
      <c r="J14" s="43">
        <v>4903</v>
      </c>
      <c r="K14" s="45">
        <v>6254</v>
      </c>
      <c r="L14" s="46">
        <f t="shared" si="0"/>
        <v>6.3756953359007273E-2</v>
      </c>
      <c r="M14" s="71">
        <f t="shared" si="1"/>
        <v>0.28568362071711378</v>
      </c>
      <c r="N14" s="68">
        <f>SL!W14</f>
        <v>192908</v>
      </c>
      <c r="O14" s="68">
        <f>SL!X14</f>
        <v>2120</v>
      </c>
      <c r="P14" s="68">
        <f>SL!Y14</f>
        <v>193</v>
      </c>
      <c r="Q14" s="68">
        <f>SL!Z14</f>
        <v>2062.89</v>
      </c>
      <c r="R14" s="69">
        <f>SL!AA14</f>
        <v>4629.6099999999997</v>
      </c>
      <c r="S14" s="68" t="str">
        <f>SL!AB14</f>
        <v>‎0.97</v>
      </c>
      <c r="T14" s="48">
        <f t="shared" si="2"/>
        <v>0.44558612928518815</v>
      </c>
      <c r="U14" s="49">
        <f t="shared" si="3"/>
        <v>1.098969456943206E-2</v>
      </c>
      <c r="V14" s="49">
        <f t="shared" si="4"/>
        <v>9.1037735849056597E-2</v>
      </c>
      <c r="W14" s="50">
        <f t="shared" si="5"/>
        <v>10.688549222797926</v>
      </c>
      <c r="X14" s="73">
        <f t="shared" si="6"/>
        <v>7.3389933044182634E-2</v>
      </c>
    </row>
    <row r="15" spans="1:24" ht="29.1" customHeight="1" x14ac:dyDescent="0.15">
      <c r="A15" s="70" t="s">
        <v>98</v>
      </c>
      <c r="B15" s="67" t="s">
        <v>99</v>
      </c>
      <c r="C15" s="67">
        <f>SL!C15</f>
        <v>278</v>
      </c>
      <c r="D15" s="68">
        <f>SL!D15</f>
        <v>269</v>
      </c>
      <c r="E15" s="41">
        <f>SL!E15</f>
        <v>6436.56</v>
      </c>
      <c r="F15" s="42">
        <v>1006</v>
      </c>
      <c r="G15" s="43">
        <v>2896</v>
      </c>
      <c r="H15" s="44">
        <v>3902</v>
      </c>
      <c r="I15" s="43">
        <v>1269</v>
      </c>
      <c r="J15" s="43">
        <v>4000</v>
      </c>
      <c r="K15" s="45">
        <v>5269</v>
      </c>
      <c r="L15" s="46">
        <f t="shared" si="0"/>
        <v>6.8939005638134293E-2</v>
      </c>
      <c r="M15" s="71">
        <f t="shared" si="1"/>
        <v>0.27666486446176214</v>
      </c>
      <c r="N15" s="68">
        <f>SL!W15</f>
        <v>167353</v>
      </c>
      <c r="O15" s="68">
        <f>SL!X15</f>
        <v>1833</v>
      </c>
      <c r="P15" s="68">
        <f>SL!Y15</f>
        <v>169</v>
      </c>
      <c r="Q15" s="68">
        <f>SL!Z15</f>
        <v>1780.77</v>
      </c>
      <c r="R15" s="69">
        <f>SL!AA15</f>
        <v>4021.03</v>
      </c>
      <c r="S15" s="68" t="str">
        <f>SL!AB15</f>
        <v>‎0.97</v>
      </c>
      <c r="T15" s="48">
        <f t="shared" si="2"/>
        <v>0.44286414177461991</v>
      </c>
      <c r="U15" s="49">
        <f t="shared" si="3"/>
        <v>1.0952895974377513E-2</v>
      </c>
      <c r="V15" s="49">
        <f t="shared" si="4"/>
        <v>9.2198581560283682E-2</v>
      </c>
      <c r="W15" s="50">
        <f t="shared" si="5"/>
        <v>10.537100591715976</v>
      </c>
      <c r="X15" s="73">
        <f t="shared" si="6"/>
        <v>7.3389933044182634E-2</v>
      </c>
    </row>
    <row r="16" spans="1:24" ht="29.1" customHeight="1" x14ac:dyDescent="0.15">
      <c r="A16" s="38" t="s">
        <v>101</v>
      </c>
      <c r="B16" s="66" t="s">
        <v>102</v>
      </c>
      <c r="C16" s="67">
        <f>SL!C16</f>
        <v>344</v>
      </c>
      <c r="D16" s="68">
        <f>SL!D16</f>
        <v>324</v>
      </c>
      <c r="E16" s="41">
        <f>SL!E16</f>
        <v>7634.97</v>
      </c>
      <c r="F16" s="42">
        <v>1378</v>
      </c>
      <c r="G16" s="43">
        <v>4502</v>
      </c>
      <c r="H16" s="44">
        <v>5880</v>
      </c>
      <c r="I16" s="43">
        <v>1762</v>
      </c>
      <c r="J16" s="43">
        <v>6126</v>
      </c>
      <c r="K16" s="45">
        <v>7888</v>
      </c>
      <c r="L16" s="46">
        <f t="shared" si="0"/>
        <v>5.5102040816326532E-2</v>
      </c>
      <c r="M16" s="71">
        <f t="shared" si="1"/>
        <v>0.29573397144978958</v>
      </c>
      <c r="N16" s="68">
        <f>SL!W16</f>
        <v>201438</v>
      </c>
      <c r="O16" s="68">
        <f>SL!X16</f>
        <v>2316</v>
      </c>
      <c r="P16" s="68">
        <f>SL!Y16</f>
        <v>19</v>
      </c>
      <c r="Q16" s="68">
        <f>SL!Z16</f>
        <v>2257.92</v>
      </c>
      <c r="R16" s="69">
        <f>SL!AA16</f>
        <v>4659.38</v>
      </c>
      <c r="S16" s="68">
        <f>SL!AB16</f>
        <v>0.97</v>
      </c>
      <c r="T16" s="48">
        <f t="shared" si="2"/>
        <v>0.48459666307534477</v>
      </c>
      <c r="U16" s="49">
        <f t="shared" si="3"/>
        <v>1.1497334167336849E-2</v>
      </c>
      <c r="V16" s="49">
        <f t="shared" si="4"/>
        <v>8.2037996545768575E-3</v>
      </c>
      <c r="W16" s="50">
        <f t="shared" si="5"/>
        <v>118.8378947368421</v>
      </c>
      <c r="X16" s="73">
        <f t="shared" si="6"/>
        <v>7.3389933044182634E-2</v>
      </c>
    </row>
    <row r="17" spans="1:24" ht="29.1" customHeight="1" x14ac:dyDescent="0.15">
      <c r="A17" s="38" t="s">
        <v>104</v>
      </c>
      <c r="B17" s="66" t="s">
        <v>105</v>
      </c>
      <c r="C17" s="67">
        <f>SL!C17</f>
        <v>351</v>
      </c>
      <c r="D17" s="68">
        <f>SL!D17</f>
        <v>339</v>
      </c>
      <c r="E17" s="41">
        <f>SL!E17</f>
        <v>7769.22</v>
      </c>
      <c r="F17" s="42">
        <v>1462</v>
      </c>
      <c r="G17" s="43">
        <v>4293</v>
      </c>
      <c r="H17" s="44">
        <v>5755</v>
      </c>
      <c r="I17" s="43">
        <v>1940</v>
      </c>
      <c r="J17" s="43">
        <v>5873</v>
      </c>
      <c r="K17" s="45">
        <v>7813</v>
      </c>
      <c r="L17" s="46">
        <f t="shared" si="0"/>
        <v>5.8905299739357084E-2</v>
      </c>
      <c r="M17" s="71">
        <f t="shared" si="1"/>
        <v>0.29884853305737258</v>
      </c>
      <c r="N17" s="68">
        <f>SL!W17</f>
        <v>243295</v>
      </c>
      <c r="O17" s="68">
        <f>SL!X17</f>
        <v>2349</v>
      </c>
      <c r="P17" s="68">
        <f>SL!Y17</f>
        <v>221</v>
      </c>
      <c r="Q17" s="68">
        <f>SL!Z17</f>
        <v>2321.8200000000002</v>
      </c>
      <c r="R17" s="69">
        <f>SL!AA17</f>
        <v>5024.08</v>
      </c>
      <c r="S17" s="68">
        <f>SL!AB17</f>
        <v>0.99</v>
      </c>
      <c r="T17" s="48">
        <f t="shared" si="2"/>
        <v>0.46213834174615059</v>
      </c>
      <c r="U17" s="49">
        <f t="shared" si="3"/>
        <v>9.6549456421217046E-3</v>
      </c>
      <c r="V17" s="49">
        <f t="shared" si="4"/>
        <v>9.4082588335461903E-2</v>
      </c>
      <c r="W17" s="50">
        <f t="shared" si="5"/>
        <v>10.505972850678734</v>
      </c>
      <c r="X17" s="73">
        <f t="shared" si="6"/>
        <v>7.3389933044182634E-2</v>
      </c>
    </row>
    <row r="18" spans="1:24" ht="29.1" customHeight="1" x14ac:dyDescent="0.15">
      <c r="A18" s="38" t="s">
        <v>107</v>
      </c>
      <c r="B18" s="66" t="s">
        <v>108</v>
      </c>
      <c r="C18" s="67">
        <f>SL!C18</f>
        <v>399</v>
      </c>
      <c r="D18" s="68">
        <f>SL!D18</f>
        <v>357</v>
      </c>
      <c r="E18" s="41">
        <f>SL!E18</f>
        <v>9260.61</v>
      </c>
      <c r="F18" s="42">
        <v>1436</v>
      </c>
      <c r="G18" s="43">
        <v>4405</v>
      </c>
      <c r="H18" s="44">
        <v>5841</v>
      </c>
      <c r="I18" s="43">
        <v>1867</v>
      </c>
      <c r="J18" s="43">
        <v>5937</v>
      </c>
      <c r="K18" s="45">
        <v>7804</v>
      </c>
      <c r="L18" s="46">
        <f t="shared" si="0"/>
        <v>6.1119671289162812E-2</v>
      </c>
      <c r="M18" s="71">
        <f t="shared" si="1"/>
        <v>0.22524866072537336</v>
      </c>
      <c r="N18" s="68">
        <f>SL!W18</f>
        <v>205810</v>
      </c>
      <c r="O18" s="68">
        <f>SL!X18</f>
        <v>2124</v>
      </c>
      <c r="P18" s="68">
        <f>SL!Y18</f>
        <v>219</v>
      </c>
      <c r="Q18" s="68">
        <f>SL!Z18</f>
        <v>2085.94</v>
      </c>
      <c r="R18" s="69">
        <f>SL!AA18</f>
        <v>5804.27</v>
      </c>
      <c r="S18" s="68">
        <f>SL!AB18</f>
        <v>0.98</v>
      </c>
      <c r="T18" s="48">
        <f t="shared" si="2"/>
        <v>0.35938024936813756</v>
      </c>
      <c r="U18" s="49">
        <f t="shared" si="3"/>
        <v>1.0320198241096156E-2</v>
      </c>
      <c r="V18" s="49">
        <f t="shared" si="4"/>
        <v>0.10310734463276836</v>
      </c>
      <c r="W18" s="50">
        <f t="shared" si="5"/>
        <v>9.5248401826484024</v>
      </c>
      <c r="X18" s="73">
        <f t="shared" si="6"/>
        <v>7.3389933044182634E-2</v>
      </c>
    </row>
    <row r="19" spans="1:24" ht="29.1" customHeight="1" x14ac:dyDescent="0.15">
      <c r="A19" s="38" t="s">
        <v>110</v>
      </c>
      <c r="B19" s="66" t="s">
        <v>111</v>
      </c>
      <c r="C19" s="67">
        <f>SL!C19</f>
        <v>379</v>
      </c>
      <c r="D19" s="68">
        <f>SL!D19</f>
        <v>357</v>
      </c>
      <c r="E19" s="41">
        <f>SL!E19</f>
        <v>9167.51</v>
      </c>
      <c r="F19" s="42">
        <v>1464</v>
      </c>
      <c r="G19" s="43">
        <v>4853</v>
      </c>
      <c r="H19" s="44">
        <v>6317</v>
      </c>
      <c r="I19" s="43">
        <v>1890</v>
      </c>
      <c r="J19" s="43">
        <v>6588</v>
      </c>
      <c r="K19" s="45">
        <v>8478</v>
      </c>
      <c r="L19" s="46">
        <f t="shared" si="0"/>
        <v>5.6514168117777423E-2</v>
      </c>
      <c r="M19" s="71">
        <f t="shared" ref="M19:M50" si="7">Q19/E19</f>
        <v>0.26074255713928862</v>
      </c>
      <c r="N19" s="68">
        <f>SL!W19</f>
        <v>237785</v>
      </c>
      <c r="O19" s="68">
        <f>SL!X19</f>
        <v>2470</v>
      </c>
      <c r="P19" s="68">
        <f>SL!Y19</f>
        <v>238</v>
      </c>
      <c r="Q19" s="68">
        <f>SL!Z19</f>
        <v>2390.36</v>
      </c>
      <c r="R19" s="69">
        <f>SL!AA19</f>
        <v>6061.78</v>
      </c>
      <c r="S19" s="68">
        <f>SL!AB19</f>
        <v>0.97</v>
      </c>
      <c r="T19" s="48">
        <f t="shared" si="2"/>
        <v>0.3943330176944726</v>
      </c>
      <c r="U19" s="49">
        <f t="shared" si="3"/>
        <v>1.0387534958050339E-2</v>
      </c>
      <c r="V19" s="49">
        <f t="shared" si="4"/>
        <v>9.6356275303643726E-2</v>
      </c>
      <c r="W19" s="50">
        <f t="shared" si="5"/>
        <v>10.043529411764707</v>
      </c>
      <c r="X19" s="73">
        <f t="shared" si="6"/>
        <v>7.3389933044182634E-2</v>
      </c>
    </row>
    <row r="20" spans="1:24" ht="29.1" customHeight="1" x14ac:dyDescent="0.15">
      <c r="A20" s="38" t="s">
        <v>113</v>
      </c>
      <c r="B20" s="66" t="s">
        <v>114</v>
      </c>
      <c r="C20" s="67">
        <f>SL!C20</f>
        <v>477</v>
      </c>
      <c r="D20" s="68">
        <f>SL!D20</f>
        <v>448</v>
      </c>
      <c r="E20" s="41">
        <f>SL!E20</f>
        <v>11520.55</v>
      </c>
      <c r="F20" s="42">
        <v>1694</v>
      </c>
      <c r="G20" s="43">
        <v>5362</v>
      </c>
      <c r="H20" s="44">
        <v>7056</v>
      </c>
      <c r="I20" s="43">
        <v>2134</v>
      </c>
      <c r="J20" s="43">
        <v>6993</v>
      </c>
      <c r="K20" s="45">
        <v>9127</v>
      </c>
      <c r="L20" s="46">
        <f t="shared" ref="L20:L50" si="8">D20/H20</f>
        <v>6.3492063492063489E-2</v>
      </c>
      <c r="M20" s="71">
        <f t="shared" si="7"/>
        <v>0.21871091223943304</v>
      </c>
      <c r="N20" s="68">
        <f>SL!W20</f>
        <v>255819</v>
      </c>
      <c r="O20" s="68">
        <f>SL!X20</f>
        <v>2600</v>
      </c>
      <c r="P20" s="68">
        <f>SL!Y20</f>
        <v>245</v>
      </c>
      <c r="Q20" s="68">
        <f>SL!Z20</f>
        <v>2519.67</v>
      </c>
      <c r="R20" s="69">
        <f>SL!AA20</f>
        <v>6351.18</v>
      </c>
      <c r="S20" s="68">
        <f>SL!AB20</f>
        <v>0.97</v>
      </c>
      <c r="T20" s="48">
        <f t="shared" si="2"/>
        <v>0.39672470312603325</v>
      </c>
      <c r="U20" s="49">
        <f t="shared" si="3"/>
        <v>1.0163435866765174E-2</v>
      </c>
      <c r="V20" s="49">
        <f t="shared" si="4"/>
        <v>9.4230769230769229E-2</v>
      </c>
      <c r="W20" s="50">
        <f t="shared" si="5"/>
        <v>10.284367346938776</v>
      </c>
      <c r="X20" s="73">
        <f t="shared" si="6"/>
        <v>7.3389933044182634E-2</v>
      </c>
    </row>
    <row r="21" spans="1:24" ht="29.1" customHeight="1" x14ac:dyDescent="0.15">
      <c r="A21" s="38" t="s">
        <v>115</v>
      </c>
      <c r="B21" s="66" t="s">
        <v>116</v>
      </c>
      <c r="C21" s="67">
        <f>SL!C21</f>
        <v>350</v>
      </c>
      <c r="D21" s="68">
        <f>SL!D21</f>
        <v>338</v>
      </c>
      <c r="E21" s="41">
        <f>SL!E21</f>
        <v>8390.83</v>
      </c>
      <c r="F21" s="42">
        <v>1415</v>
      </c>
      <c r="G21" s="43">
        <v>4589</v>
      </c>
      <c r="H21" s="44">
        <v>6004</v>
      </c>
      <c r="I21" s="43">
        <v>1839</v>
      </c>
      <c r="J21" s="43">
        <v>6173</v>
      </c>
      <c r="K21" s="45">
        <v>8012</v>
      </c>
      <c r="L21" s="46">
        <f t="shared" si="8"/>
        <v>5.6295802798134578E-2</v>
      </c>
      <c r="M21" s="71">
        <f t="shared" si="7"/>
        <v>0.30769661642531193</v>
      </c>
      <c r="N21" s="68">
        <f>SL!W21</f>
        <v>261831</v>
      </c>
      <c r="O21" s="68">
        <f>SL!X21</f>
        <v>2520</v>
      </c>
      <c r="P21" s="68">
        <f>SL!Y21</f>
        <v>215</v>
      </c>
      <c r="Q21" s="68">
        <f>SL!Z21</f>
        <v>2581.83</v>
      </c>
      <c r="R21" s="69">
        <f>SL!AA21</f>
        <v>5283.21</v>
      </c>
      <c r="S21" s="68">
        <f>SL!AB21</f>
        <v>1.02</v>
      </c>
      <c r="T21" s="48">
        <f t="shared" si="2"/>
        <v>0.48868585575814699</v>
      </c>
      <c r="U21" s="49">
        <f t="shared" si="3"/>
        <v>9.6245287991108767E-3</v>
      </c>
      <c r="V21" s="49">
        <f t="shared" si="4"/>
        <v>8.531746031746032E-2</v>
      </c>
      <c r="W21" s="50">
        <f t="shared" si="5"/>
        <v>12.008511627906977</v>
      </c>
      <c r="X21" s="73">
        <f t="shared" si="6"/>
        <v>7.3389933044182634E-2</v>
      </c>
    </row>
    <row r="22" spans="1:24" ht="29.1" customHeight="1" x14ac:dyDescent="0.15">
      <c r="A22" s="38" t="s">
        <v>118</v>
      </c>
      <c r="B22" s="66" t="s">
        <v>119</v>
      </c>
      <c r="C22" s="67">
        <f>SL!C22</f>
        <v>390</v>
      </c>
      <c r="D22" s="68">
        <f>SL!D22</f>
        <v>376</v>
      </c>
      <c r="E22" s="41">
        <f>SL!E22</f>
        <v>9380.31</v>
      </c>
      <c r="F22" s="42">
        <v>1633</v>
      </c>
      <c r="G22" s="43">
        <v>4774</v>
      </c>
      <c r="H22" s="44">
        <v>6407</v>
      </c>
      <c r="I22" s="43">
        <v>2117</v>
      </c>
      <c r="J22" s="43">
        <v>6345</v>
      </c>
      <c r="K22" s="45">
        <v>8462</v>
      </c>
      <c r="L22" s="46">
        <f t="shared" si="8"/>
        <v>5.8685812392695491E-2</v>
      </c>
      <c r="M22" s="71">
        <f t="shared" si="7"/>
        <v>0.31517508483195122</v>
      </c>
      <c r="N22" s="68">
        <f>SL!W22</f>
        <v>263574</v>
      </c>
      <c r="O22" s="68">
        <f>SL!X22</f>
        <v>2836</v>
      </c>
      <c r="P22" s="68">
        <f>SL!Y22</f>
        <v>265</v>
      </c>
      <c r="Q22" s="68">
        <f>SL!Z22</f>
        <v>2956.44</v>
      </c>
      <c r="R22" s="69">
        <f>SL!AA22</f>
        <v>6504.79</v>
      </c>
      <c r="S22" s="68">
        <f>SL!AB22</f>
        <v>1.04</v>
      </c>
      <c r="T22" s="48">
        <f t="shared" si="2"/>
        <v>0.45450199007193159</v>
      </c>
      <c r="U22" s="49">
        <f t="shared" si="3"/>
        <v>1.0759786625387936E-2</v>
      </c>
      <c r="V22" s="49">
        <f t="shared" si="4"/>
        <v>9.3441466854724958E-2</v>
      </c>
      <c r="W22" s="50">
        <f t="shared" si="5"/>
        <v>11.156377358490566</v>
      </c>
      <c r="X22" s="73">
        <f t="shared" si="6"/>
        <v>7.3389933044182634E-2</v>
      </c>
    </row>
    <row r="23" spans="1:24" ht="29.1" customHeight="1" x14ac:dyDescent="0.15">
      <c r="A23" s="38" t="s">
        <v>121</v>
      </c>
      <c r="B23" s="66" t="s">
        <v>122</v>
      </c>
      <c r="C23" s="67">
        <f>SL!C23</f>
        <v>401</v>
      </c>
      <c r="D23" s="68">
        <f>SL!D23</f>
        <v>382</v>
      </c>
      <c r="E23" s="41">
        <f>SL!E23</f>
        <v>9704.49</v>
      </c>
      <c r="F23" s="42">
        <v>1087</v>
      </c>
      <c r="G23" s="43">
        <v>3226</v>
      </c>
      <c r="H23" s="44">
        <v>4313</v>
      </c>
      <c r="I23" s="43">
        <v>1353</v>
      </c>
      <c r="J23" s="43">
        <v>4435</v>
      </c>
      <c r="K23" s="45">
        <v>5788</v>
      </c>
      <c r="L23" s="46">
        <f t="shared" si="8"/>
        <v>8.8569441224205889E-2</v>
      </c>
      <c r="M23" s="71">
        <f t="shared" si="7"/>
        <v>0.28675901567212703</v>
      </c>
      <c r="N23" s="68">
        <f>SL!W23</f>
        <v>278481</v>
      </c>
      <c r="O23" s="68">
        <f>SL!X23</f>
        <v>2758</v>
      </c>
      <c r="P23" s="68">
        <f>SL!Y23</f>
        <v>254</v>
      </c>
      <c r="Q23" s="68">
        <f>SL!Z23</f>
        <v>2782.85</v>
      </c>
      <c r="R23" s="69">
        <f>SL!AA23</f>
        <v>6199.12</v>
      </c>
      <c r="S23" s="68">
        <f>SL!AB23</f>
        <v>1.01</v>
      </c>
      <c r="T23" s="48">
        <f t="shared" si="2"/>
        <v>0.44891049052123527</v>
      </c>
      <c r="U23" s="49">
        <f t="shared" si="3"/>
        <v>9.903727722896714E-3</v>
      </c>
      <c r="V23" s="49">
        <f t="shared" si="4"/>
        <v>9.2095721537345909E-2</v>
      </c>
      <c r="W23" s="50">
        <f t="shared" si="5"/>
        <v>10.956102362204724</v>
      </c>
      <c r="X23" s="73">
        <f t="shared" si="6"/>
        <v>7.3389933044182634E-2</v>
      </c>
    </row>
    <row r="24" spans="1:24" ht="29.1" customHeight="1" x14ac:dyDescent="0.15">
      <c r="A24" s="38" t="s">
        <v>124</v>
      </c>
      <c r="B24" s="66" t="s">
        <v>125</v>
      </c>
      <c r="C24" s="67">
        <f>SL!C24</f>
        <v>464</v>
      </c>
      <c r="D24" s="68">
        <f>SL!D24</f>
        <v>441</v>
      </c>
      <c r="E24" s="41">
        <f>SL!E24</f>
        <v>9746.86</v>
      </c>
      <c r="F24" s="42">
        <v>1350</v>
      </c>
      <c r="G24" s="43">
        <v>4147</v>
      </c>
      <c r="H24" s="44">
        <v>5497</v>
      </c>
      <c r="I24" s="43">
        <v>1726</v>
      </c>
      <c r="J24" s="43">
        <v>5652</v>
      </c>
      <c r="K24" s="45">
        <v>7378</v>
      </c>
      <c r="L24" s="46">
        <f t="shared" si="8"/>
        <v>8.0225577587775154E-2</v>
      </c>
      <c r="M24" s="71">
        <f t="shared" si="7"/>
        <v>0.30536808777390873</v>
      </c>
      <c r="N24" s="68">
        <f>SL!W24</f>
        <v>236690</v>
      </c>
      <c r="O24" s="68">
        <f>SL!X24</f>
        <v>2806</v>
      </c>
      <c r="P24" s="68">
        <f>SL!Y24</f>
        <v>277</v>
      </c>
      <c r="Q24" s="68">
        <f>SL!Z24</f>
        <v>2976.38</v>
      </c>
      <c r="R24" s="69">
        <f>SL!AA24</f>
        <v>6103.54</v>
      </c>
      <c r="S24" s="68">
        <f>SL!AB24</f>
        <v>1.06</v>
      </c>
      <c r="T24" s="48">
        <f t="shared" si="2"/>
        <v>0.48764815172834131</v>
      </c>
      <c r="U24" s="49">
        <f t="shared" si="3"/>
        <v>1.1855169208669568E-2</v>
      </c>
      <c r="V24" s="49">
        <f t="shared" si="4"/>
        <v>9.8717034925160374E-2</v>
      </c>
      <c r="W24" s="50">
        <f t="shared" si="5"/>
        <v>10.745054151624549</v>
      </c>
      <c r="X24" s="73">
        <f t="shared" si="6"/>
        <v>7.3389933044182634E-2</v>
      </c>
    </row>
    <row r="25" spans="1:24" ht="29.1" customHeight="1" x14ac:dyDescent="0.15">
      <c r="A25" s="38" t="s">
        <v>128</v>
      </c>
      <c r="B25" s="66" t="s">
        <v>129</v>
      </c>
      <c r="C25" s="67">
        <f>SL!C25</f>
        <v>486</v>
      </c>
      <c r="D25" s="68">
        <f>SL!D25</f>
        <v>465</v>
      </c>
      <c r="E25" s="41">
        <f>SL!E25</f>
        <v>11015.19</v>
      </c>
      <c r="F25" s="42">
        <v>1656</v>
      </c>
      <c r="G25" s="43">
        <v>5293</v>
      </c>
      <c r="H25" s="44">
        <v>6949</v>
      </c>
      <c r="I25" s="43">
        <v>2163</v>
      </c>
      <c r="J25" s="43">
        <v>7216</v>
      </c>
      <c r="K25" s="45">
        <v>9379</v>
      </c>
      <c r="L25" s="46">
        <f t="shared" si="8"/>
        <v>6.6916103036408117E-2</v>
      </c>
      <c r="M25" s="71">
        <f t="shared" si="7"/>
        <v>0.28374544606130264</v>
      </c>
      <c r="N25" s="68">
        <f>SL!W25</f>
        <v>303852</v>
      </c>
      <c r="O25" s="68">
        <f>SL!X25</f>
        <v>2994</v>
      </c>
      <c r="P25" s="68">
        <f>SL!Y25</f>
        <v>311</v>
      </c>
      <c r="Q25" s="68">
        <f>SL!Z25</f>
        <v>3125.51</v>
      </c>
      <c r="R25" s="69">
        <f>SL!AA25</f>
        <v>7326.12</v>
      </c>
      <c r="S25" s="68">
        <f>SL!AB25</f>
        <v>1.04</v>
      </c>
      <c r="T25" s="48">
        <f t="shared" si="2"/>
        <v>0.42662555349898723</v>
      </c>
      <c r="U25" s="49">
        <f t="shared" si="3"/>
        <v>9.8534813001066313E-3</v>
      </c>
      <c r="V25" s="49">
        <f t="shared" si="4"/>
        <v>0.10387441549766199</v>
      </c>
      <c r="W25" s="50">
        <f t="shared" si="5"/>
        <v>10.049871382636656</v>
      </c>
      <c r="X25" s="73">
        <f t="shared" si="6"/>
        <v>7.3389933044182634E-2</v>
      </c>
    </row>
    <row r="26" spans="1:24" ht="29.1" customHeight="1" x14ac:dyDescent="0.15">
      <c r="A26" s="38" t="s">
        <v>130</v>
      </c>
      <c r="B26" s="66" t="s">
        <v>131</v>
      </c>
      <c r="C26" s="67">
        <f>SL!C26</f>
        <v>416</v>
      </c>
      <c r="D26" s="68">
        <f>SL!D26</f>
        <v>391</v>
      </c>
      <c r="E26" s="41">
        <f>SL!E26</f>
        <v>10020.4</v>
      </c>
      <c r="F26" s="42">
        <v>1542</v>
      </c>
      <c r="G26" s="43">
        <v>4679</v>
      </c>
      <c r="H26" s="44">
        <v>6221</v>
      </c>
      <c r="I26" s="43">
        <v>2049</v>
      </c>
      <c r="J26" s="43">
        <v>6323</v>
      </c>
      <c r="K26" s="45">
        <v>8372</v>
      </c>
      <c r="L26" s="46">
        <f t="shared" si="8"/>
        <v>6.2851631570487065E-2</v>
      </c>
      <c r="M26" s="71">
        <f t="shared" si="7"/>
        <v>0.27636721088978483</v>
      </c>
      <c r="N26" s="68">
        <f>SL!W26</f>
        <v>258909</v>
      </c>
      <c r="O26" s="68">
        <f>SL!X26</f>
        <v>2637</v>
      </c>
      <c r="P26" s="68">
        <f>SL!Y26</f>
        <v>238</v>
      </c>
      <c r="Q26" s="68">
        <f>SL!Z26</f>
        <v>2769.31</v>
      </c>
      <c r="R26" s="69">
        <f>SL!AA26</f>
        <v>5998.55</v>
      </c>
      <c r="S26" s="68">
        <f>SL!AB26</f>
        <v>1.05</v>
      </c>
      <c r="T26" s="48">
        <f t="shared" si="2"/>
        <v>0.46166323528185976</v>
      </c>
      <c r="U26" s="49">
        <f t="shared" si="3"/>
        <v>1.0185045711041332E-2</v>
      </c>
      <c r="V26" s="49">
        <f t="shared" si="4"/>
        <v>9.0254076602199473E-2</v>
      </c>
      <c r="W26" s="50">
        <f t="shared" si="5"/>
        <v>11.635756302521008</v>
      </c>
      <c r="X26" s="73">
        <f t="shared" si="6"/>
        <v>7.3389933044182634E-2</v>
      </c>
    </row>
    <row r="27" spans="1:24" ht="29.1" customHeight="1" x14ac:dyDescent="0.15">
      <c r="A27" s="38" t="s">
        <v>133</v>
      </c>
      <c r="B27" s="66" t="s">
        <v>134</v>
      </c>
      <c r="C27" s="67">
        <f>SL!C27</f>
        <v>348</v>
      </c>
      <c r="D27" s="68">
        <f>SL!D27</f>
        <v>338</v>
      </c>
      <c r="E27" s="41">
        <f>SL!E27</f>
        <v>8556.44</v>
      </c>
      <c r="F27" s="42">
        <v>1099</v>
      </c>
      <c r="G27" s="43">
        <v>3480</v>
      </c>
      <c r="H27" s="44">
        <v>4579</v>
      </c>
      <c r="I27" s="43">
        <v>1443</v>
      </c>
      <c r="J27" s="43">
        <v>4697</v>
      </c>
      <c r="K27" s="45">
        <v>6140</v>
      </c>
      <c r="L27" s="46">
        <f t="shared" si="8"/>
        <v>7.3815243502948241E-2</v>
      </c>
      <c r="M27" s="71">
        <f t="shared" si="7"/>
        <v>0.2754159440140993</v>
      </c>
      <c r="N27" s="68">
        <f>SL!W27</f>
        <v>235160</v>
      </c>
      <c r="O27" s="68">
        <f>SL!X27</f>
        <v>2259</v>
      </c>
      <c r="P27" s="68">
        <f>SL!Y27</f>
        <v>186</v>
      </c>
      <c r="Q27" s="68">
        <f>SL!Z27</f>
        <v>2356.58</v>
      </c>
      <c r="R27" s="69">
        <f>SL!AA27</f>
        <v>4686.72</v>
      </c>
      <c r="S27" s="68">
        <f>SL!AB27</f>
        <v>1.04</v>
      </c>
      <c r="T27" s="48">
        <f t="shared" si="2"/>
        <v>0.50282073603714317</v>
      </c>
      <c r="U27" s="49">
        <f t="shared" si="3"/>
        <v>9.6062255485626809E-3</v>
      </c>
      <c r="V27" s="49">
        <f t="shared" si="4"/>
        <v>8.233731739707835E-2</v>
      </c>
      <c r="W27" s="50">
        <f t="shared" si="5"/>
        <v>12.669784946236559</v>
      </c>
      <c r="X27" s="73">
        <f t="shared" si="6"/>
        <v>7.3389933044182634E-2</v>
      </c>
    </row>
    <row r="28" spans="1:24" ht="29.1" customHeight="1" x14ac:dyDescent="0.15">
      <c r="A28" s="38" t="s">
        <v>136</v>
      </c>
      <c r="B28" s="66" t="s">
        <v>137</v>
      </c>
      <c r="C28" s="67">
        <f>SL!C28</f>
        <v>390</v>
      </c>
      <c r="D28" s="68">
        <f>SL!D28</f>
        <v>356</v>
      </c>
      <c r="E28" s="41">
        <f>SL!E28</f>
        <v>8924.4500000000007</v>
      </c>
      <c r="F28" s="42">
        <v>1446</v>
      </c>
      <c r="G28" s="43">
        <v>4445</v>
      </c>
      <c r="H28" s="44">
        <v>5891</v>
      </c>
      <c r="I28" s="43">
        <v>1852</v>
      </c>
      <c r="J28" s="43">
        <v>5705</v>
      </c>
      <c r="K28" s="45">
        <v>7557</v>
      </c>
      <c r="L28" s="46">
        <f t="shared" si="8"/>
        <v>6.0431166185707014E-2</v>
      </c>
      <c r="M28" s="71">
        <f t="shared" si="7"/>
        <v>0.28585290970311894</v>
      </c>
      <c r="N28" s="68">
        <f>SL!W28</f>
        <v>246122</v>
      </c>
      <c r="O28" s="68">
        <f>SL!X28</f>
        <v>2473</v>
      </c>
      <c r="P28" s="68">
        <f>SL!Y28</f>
        <v>200</v>
      </c>
      <c r="Q28" s="68">
        <f>SL!Z28</f>
        <v>2551.08</v>
      </c>
      <c r="R28" s="69">
        <f>SL!AA28</f>
        <v>4818.21</v>
      </c>
      <c r="S28" s="68">
        <f>SL!AB28</f>
        <v>1.03</v>
      </c>
      <c r="T28" s="48">
        <f t="shared" si="2"/>
        <v>0.52946633708368873</v>
      </c>
      <c r="U28" s="49">
        <f t="shared" si="3"/>
        <v>1.0047862442203461E-2</v>
      </c>
      <c r="V28" s="49">
        <f t="shared" si="4"/>
        <v>8.087343307723413E-2</v>
      </c>
      <c r="W28" s="50">
        <f t="shared" si="5"/>
        <v>12.7554</v>
      </c>
      <c r="X28" s="73">
        <f t="shared" si="6"/>
        <v>7.3389933044182634E-2</v>
      </c>
    </row>
    <row r="29" spans="1:24" ht="29.1" customHeight="1" x14ac:dyDescent="0.15">
      <c r="A29" s="38" t="s">
        <v>139</v>
      </c>
      <c r="B29" s="66" t="s">
        <v>140</v>
      </c>
      <c r="C29" s="67">
        <f>SL!C29</f>
        <v>414</v>
      </c>
      <c r="D29" s="68">
        <f>SL!D29</f>
        <v>390</v>
      </c>
      <c r="E29" s="41">
        <f>SL!E29</f>
        <v>9670.56</v>
      </c>
      <c r="F29" s="42">
        <v>1514</v>
      </c>
      <c r="G29" s="43">
        <v>4399</v>
      </c>
      <c r="H29" s="44">
        <v>5913</v>
      </c>
      <c r="I29" s="43">
        <v>1938</v>
      </c>
      <c r="J29" s="43">
        <v>5736</v>
      </c>
      <c r="K29" s="45">
        <v>7674</v>
      </c>
      <c r="L29" s="46">
        <f t="shared" si="8"/>
        <v>6.5956367326230336E-2</v>
      </c>
      <c r="M29" s="71">
        <f t="shared" si="7"/>
        <v>0.25833974454426634</v>
      </c>
      <c r="N29" s="68">
        <f>SL!W29</f>
        <v>224859</v>
      </c>
      <c r="O29" s="68">
        <f>SL!X29</f>
        <v>2444</v>
      </c>
      <c r="P29" s="68">
        <f>SL!Y29</f>
        <v>236</v>
      </c>
      <c r="Q29" s="68">
        <f>SL!Z29</f>
        <v>2498.29</v>
      </c>
      <c r="R29" s="69">
        <f>SL!AA29</f>
        <v>5740.71</v>
      </c>
      <c r="S29" s="68">
        <f>SL!AB29</f>
        <v>1.02</v>
      </c>
      <c r="T29" s="48">
        <f t="shared" si="2"/>
        <v>0.43518833036331744</v>
      </c>
      <c r="U29" s="49">
        <f t="shared" si="3"/>
        <v>1.086903348320503E-2</v>
      </c>
      <c r="V29" s="49">
        <f t="shared" si="4"/>
        <v>9.6563011456628475E-2</v>
      </c>
      <c r="W29" s="50">
        <f t="shared" si="5"/>
        <v>10.585974576271186</v>
      </c>
      <c r="X29" s="73">
        <f t="shared" si="6"/>
        <v>7.3389933044182634E-2</v>
      </c>
    </row>
    <row r="30" spans="1:24" ht="29.1" customHeight="1" x14ac:dyDescent="0.15">
      <c r="A30" s="38" t="s">
        <v>142</v>
      </c>
      <c r="B30" s="66" t="s">
        <v>143</v>
      </c>
      <c r="C30" s="67">
        <f>SL!C30</f>
        <v>463</v>
      </c>
      <c r="D30" s="68">
        <f>SL!D30</f>
        <v>435</v>
      </c>
      <c r="E30" s="41">
        <f>SL!E30</f>
        <v>11347.24</v>
      </c>
      <c r="F30" s="42">
        <v>1342</v>
      </c>
      <c r="G30" s="43">
        <v>4862</v>
      </c>
      <c r="H30" s="44">
        <v>6204</v>
      </c>
      <c r="I30" s="43">
        <v>1700</v>
      </c>
      <c r="J30" s="43">
        <v>6273</v>
      </c>
      <c r="K30" s="45">
        <v>7973</v>
      </c>
      <c r="L30" s="46">
        <f t="shared" si="8"/>
        <v>7.0116054158607347E-2</v>
      </c>
      <c r="M30" s="71">
        <f t="shared" si="7"/>
        <v>0.24144373433539784</v>
      </c>
      <c r="N30" s="68">
        <f>SL!W30</f>
        <v>250034</v>
      </c>
      <c r="O30" s="68">
        <f>SL!X30</f>
        <v>2650</v>
      </c>
      <c r="P30" s="68">
        <f>SL!Y30</f>
        <v>284</v>
      </c>
      <c r="Q30" s="68">
        <f>SL!Z30</f>
        <v>2739.72</v>
      </c>
      <c r="R30" s="69">
        <f>SL!AA30</f>
        <v>7513.18</v>
      </c>
      <c r="S30" s="68">
        <f>SL!AB30</f>
        <v>1.03</v>
      </c>
      <c r="T30" s="48">
        <f t="shared" si="2"/>
        <v>0.36465517929824653</v>
      </c>
      <c r="U30" s="49">
        <f t="shared" si="3"/>
        <v>1.0598558596030939E-2</v>
      </c>
      <c r="V30" s="49">
        <f t="shared" si="4"/>
        <v>0.10716981132075472</v>
      </c>
      <c r="W30" s="50">
        <f t="shared" si="5"/>
        <v>9.6469014084507041</v>
      </c>
      <c r="X30" s="73">
        <f t="shared" si="6"/>
        <v>7.3389933044182634E-2</v>
      </c>
    </row>
    <row r="31" spans="1:24" ht="29.1" customHeight="1" x14ac:dyDescent="0.15">
      <c r="A31" s="38" t="s">
        <v>144</v>
      </c>
      <c r="B31" s="66" t="s">
        <v>145</v>
      </c>
      <c r="C31" s="67">
        <f>SL!C31</f>
        <v>373</v>
      </c>
      <c r="D31" s="68">
        <f>SL!D31</f>
        <v>360</v>
      </c>
      <c r="E31" s="41">
        <f>SL!E31</f>
        <v>9134.48</v>
      </c>
      <c r="F31" s="42">
        <v>1166</v>
      </c>
      <c r="G31" s="43">
        <v>3741</v>
      </c>
      <c r="H31" s="44">
        <v>4907</v>
      </c>
      <c r="I31" s="43">
        <v>1481</v>
      </c>
      <c r="J31" s="43">
        <v>5044</v>
      </c>
      <c r="K31" s="45">
        <v>6525</v>
      </c>
      <c r="L31" s="46">
        <f t="shared" si="8"/>
        <v>7.3364581210515589E-2</v>
      </c>
      <c r="M31" s="71">
        <f t="shared" si="7"/>
        <v>0.27292193972727513</v>
      </c>
      <c r="N31" s="68">
        <f>SL!W31</f>
        <v>329751</v>
      </c>
      <c r="O31" s="68">
        <f>SL!X31</f>
        <v>2477</v>
      </c>
      <c r="P31" s="68">
        <f>SL!Y31</f>
        <v>213</v>
      </c>
      <c r="Q31" s="68">
        <f>SL!Z31</f>
        <v>2493</v>
      </c>
      <c r="R31" s="69">
        <f>SL!AA31</f>
        <v>5394.2</v>
      </c>
      <c r="S31" s="68">
        <f>SL!AB31</f>
        <v>1.01</v>
      </c>
      <c r="T31" s="48">
        <f t="shared" si="2"/>
        <v>0.46216306403173779</v>
      </c>
      <c r="U31" s="49">
        <f t="shared" si="3"/>
        <v>7.5117285466912917E-3</v>
      </c>
      <c r="V31" s="49">
        <f t="shared" si="4"/>
        <v>8.5991118288251914E-2</v>
      </c>
      <c r="W31" s="50">
        <f t="shared" si="5"/>
        <v>11.704225352112676</v>
      </c>
      <c r="X31" s="73">
        <f t="shared" si="6"/>
        <v>7.3389933044182634E-2</v>
      </c>
    </row>
    <row r="32" spans="1:24" ht="29.1" customHeight="1" x14ac:dyDescent="0.15">
      <c r="A32" s="38" t="s">
        <v>147</v>
      </c>
      <c r="B32" s="66" t="s">
        <v>148</v>
      </c>
      <c r="C32" s="67">
        <f>SL!C32</f>
        <v>415</v>
      </c>
      <c r="D32" s="68">
        <f>SL!D32</f>
        <v>392</v>
      </c>
      <c r="E32" s="41">
        <f>SL!E32</f>
        <v>10098.35</v>
      </c>
      <c r="F32" s="42">
        <v>1342</v>
      </c>
      <c r="G32" s="43">
        <v>4833</v>
      </c>
      <c r="H32" s="44">
        <v>6175</v>
      </c>
      <c r="I32" s="43">
        <v>1748</v>
      </c>
      <c r="J32" s="43">
        <v>6259</v>
      </c>
      <c r="K32" s="45">
        <v>8007</v>
      </c>
      <c r="L32" s="46">
        <f t="shared" si="8"/>
        <v>6.348178137651822E-2</v>
      </c>
      <c r="M32" s="71">
        <f t="shared" si="7"/>
        <v>0.27654913921581248</v>
      </c>
      <c r="N32" s="68">
        <f>SL!W32</f>
        <v>550872</v>
      </c>
      <c r="O32" s="68">
        <f>SL!X32</f>
        <v>2687</v>
      </c>
      <c r="P32" s="68">
        <f>SL!Y32</f>
        <v>242</v>
      </c>
      <c r="Q32" s="68">
        <f>SL!Z32</f>
        <v>2792.69</v>
      </c>
      <c r="R32" s="69">
        <f>SL!AA32</f>
        <v>6031.52</v>
      </c>
      <c r="S32" s="68">
        <f>SL!AB32</f>
        <v>1.04</v>
      </c>
      <c r="T32" s="48">
        <f t="shared" si="2"/>
        <v>0.46301595617688407</v>
      </c>
      <c r="U32" s="49">
        <f t="shared" si="3"/>
        <v>4.8777211403011949E-3</v>
      </c>
      <c r="V32" s="49">
        <f t="shared" si="4"/>
        <v>9.0063267584666915E-2</v>
      </c>
      <c r="W32" s="50">
        <f t="shared" si="5"/>
        <v>11.54004132231405</v>
      </c>
      <c r="X32" s="73">
        <f t="shared" si="6"/>
        <v>7.3389933044182634E-2</v>
      </c>
    </row>
    <row r="33" spans="1:24" ht="29.1" customHeight="1" x14ac:dyDescent="0.15">
      <c r="A33" s="38" t="s">
        <v>150</v>
      </c>
      <c r="B33" s="66" t="s">
        <v>151</v>
      </c>
      <c r="C33" s="67">
        <f>SL!C33</f>
        <v>400</v>
      </c>
      <c r="D33" s="68">
        <f>SL!D33</f>
        <v>382</v>
      </c>
      <c r="E33" s="41">
        <f>SL!E33</f>
        <v>9152.4699999999993</v>
      </c>
      <c r="F33" s="42">
        <v>1370</v>
      </c>
      <c r="G33" s="43">
        <v>4569</v>
      </c>
      <c r="H33" s="44">
        <v>5939</v>
      </c>
      <c r="I33" s="43">
        <v>1781</v>
      </c>
      <c r="J33" s="43">
        <v>5983</v>
      </c>
      <c r="K33" s="45">
        <v>7764</v>
      </c>
      <c r="L33" s="46">
        <f t="shared" si="8"/>
        <v>6.4320592692372447E-2</v>
      </c>
      <c r="M33" s="71">
        <f t="shared" si="7"/>
        <v>0.30854293977472746</v>
      </c>
      <c r="N33" s="68">
        <f>SL!W33</f>
        <v>261666</v>
      </c>
      <c r="O33" s="68">
        <f>SL!X33</f>
        <v>2721</v>
      </c>
      <c r="P33" s="68">
        <f>SL!Y33</f>
        <v>238</v>
      </c>
      <c r="Q33" s="68">
        <f>SL!Z33</f>
        <v>2823.93</v>
      </c>
      <c r="R33" s="69">
        <f>SL!AA33</f>
        <v>5786.5</v>
      </c>
      <c r="S33" s="68">
        <f>SL!AB33</f>
        <v>1.04</v>
      </c>
      <c r="T33" s="48">
        <f t="shared" si="2"/>
        <v>0.48802039229240468</v>
      </c>
      <c r="U33" s="49">
        <f t="shared" si="3"/>
        <v>1.0398752608286901E-2</v>
      </c>
      <c r="V33" s="49">
        <f t="shared" si="4"/>
        <v>8.7467842704887902E-2</v>
      </c>
      <c r="W33" s="50">
        <f t="shared" si="5"/>
        <v>11.865252100840335</v>
      </c>
      <c r="X33" s="73">
        <f t="shared" si="6"/>
        <v>7.3389933044182634E-2</v>
      </c>
    </row>
    <row r="34" spans="1:24" ht="29.1" customHeight="1" x14ac:dyDescent="0.15">
      <c r="A34" s="38" t="s">
        <v>154</v>
      </c>
      <c r="B34" s="66" t="s">
        <v>155</v>
      </c>
      <c r="C34" s="67">
        <f>SL!C34</f>
        <v>429</v>
      </c>
      <c r="D34" s="68">
        <f>SL!D34</f>
        <v>395</v>
      </c>
      <c r="E34" s="41">
        <f>SL!E34</f>
        <v>10442.620000000001</v>
      </c>
      <c r="F34" s="42">
        <v>1422</v>
      </c>
      <c r="G34" s="43">
        <v>4334</v>
      </c>
      <c r="H34" s="44">
        <v>5756</v>
      </c>
      <c r="I34" s="43">
        <v>1833</v>
      </c>
      <c r="J34" s="43">
        <v>5582</v>
      </c>
      <c r="K34" s="45">
        <v>7415</v>
      </c>
      <c r="L34" s="46">
        <f t="shared" si="8"/>
        <v>6.862404447533009E-2</v>
      </c>
      <c r="M34" s="71">
        <f t="shared" si="7"/>
        <v>0.25768245899975295</v>
      </c>
      <c r="N34" s="68">
        <f>SL!W34</f>
        <v>238222</v>
      </c>
      <c r="O34" s="68">
        <f>SL!X34</f>
        <v>2771</v>
      </c>
      <c r="P34" s="68">
        <f>SL!Y34</f>
        <v>254</v>
      </c>
      <c r="Q34" s="68">
        <f>SL!Z34</f>
        <v>2690.88</v>
      </c>
      <c r="R34" s="69">
        <f>SL!AA34</f>
        <v>6334.77</v>
      </c>
      <c r="S34" s="68">
        <f>SL!AB34</f>
        <v>0.97</v>
      </c>
      <c r="T34" s="48">
        <f t="shared" si="2"/>
        <v>0.42477943161314458</v>
      </c>
      <c r="U34" s="49">
        <f t="shared" si="3"/>
        <v>1.1632007119409626E-2</v>
      </c>
      <c r="V34" s="49">
        <f t="shared" si="4"/>
        <v>9.1663659328762179E-2</v>
      </c>
      <c r="W34" s="50">
        <f t="shared" si="5"/>
        <v>10.594015748031497</v>
      </c>
      <c r="X34" s="73">
        <f t="shared" si="6"/>
        <v>7.3389933044182634E-2</v>
      </c>
    </row>
    <row r="35" spans="1:24" ht="29.1" customHeight="1" x14ac:dyDescent="0.15">
      <c r="A35" s="38" t="s">
        <v>156</v>
      </c>
      <c r="B35" s="66" t="s">
        <v>157</v>
      </c>
      <c r="C35" s="67">
        <f>SL!C35</f>
        <v>411</v>
      </c>
      <c r="D35" s="68">
        <f>SL!D35</f>
        <v>383</v>
      </c>
      <c r="E35" s="41">
        <f>SL!E35</f>
        <v>10097.4</v>
      </c>
      <c r="F35" s="42">
        <v>1450</v>
      </c>
      <c r="G35" s="43">
        <v>4359</v>
      </c>
      <c r="H35" s="44">
        <v>5809</v>
      </c>
      <c r="I35" s="43">
        <v>1861</v>
      </c>
      <c r="J35" s="43">
        <v>5689</v>
      </c>
      <c r="K35" s="45">
        <v>7550</v>
      </c>
      <c r="L35" s="46">
        <f t="shared" si="8"/>
        <v>6.5932174212428987E-2</v>
      </c>
      <c r="M35" s="71">
        <f t="shared" si="7"/>
        <v>0.29133539326955454</v>
      </c>
      <c r="N35" s="68">
        <f>SL!W35</f>
        <v>309763</v>
      </c>
      <c r="O35" s="68">
        <f>SL!X35</f>
        <v>3025</v>
      </c>
      <c r="P35" s="68">
        <f>SL!Y35</f>
        <v>240</v>
      </c>
      <c r="Q35" s="68">
        <f>SL!Z35</f>
        <v>2941.73</v>
      </c>
      <c r="R35" s="69">
        <f>SL!AA35</f>
        <v>6135.47</v>
      </c>
      <c r="S35" s="68">
        <f>SL!AB35</f>
        <v>0.97</v>
      </c>
      <c r="T35" s="48">
        <f t="shared" si="2"/>
        <v>0.47946286103591085</v>
      </c>
      <c r="U35" s="49">
        <f t="shared" si="3"/>
        <v>9.7655304216449357E-3</v>
      </c>
      <c r="V35" s="49">
        <f t="shared" si="4"/>
        <v>7.9338842975206617E-2</v>
      </c>
      <c r="W35" s="50">
        <f t="shared" si="5"/>
        <v>12.257208333333333</v>
      </c>
      <c r="X35" s="73">
        <f t="shared" si="6"/>
        <v>7.3389933044182634E-2</v>
      </c>
    </row>
    <row r="36" spans="1:24" ht="29.1" customHeight="1" x14ac:dyDescent="0.15">
      <c r="A36" s="38" t="s">
        <v>158</v>
      </c>
      <c r="B36" s="66" t="s">
        <v>159</v>
      </c>
      <c r="C36" s="67">
        <f>SL!C36</f>
        <v>403</v>
      </c>
      <c r="D36" s="68">
        <f>SL!D36</f>
        <v>379</v>
      </c>
      <c r="E36" s="41">
        <f>SL!E36</f>
        <v>9785.09</v>
      </c>
      <c r="F36" s="42">
        <v>1373</v>
      </c>
      <c r="G36" s="43">
        <v>4466</v>
      </c>
      <c r="H36" s="44">
        <v>5839</v>
      </c>
      <c r="I36" s="43">
        <v>1713</v>
      </c>
      <c r="J36" s="43">
        <v>5717</v>
      </c>
      <c r="K36" s="45">
        <v>7430</v>
      </c>
      <c r="L36" s="46">
        <f t="shared" si="8"/>
        <v>6.4908374721698928E-2</v>
      </c>
      <c r="M36" s="71">
        <f t="shared" si="7"/>
        <v>0.29003105745578223</v>
      </c>
      <c r="N36" s="68">
        <f>SL!W36</f>
        <v>259867</v>
      </c>
      <c r="O36" s="68">
        <f>SL!X36</f>
        <v>2668</v>
      </c>
      <c r="P36" s="68">
        <f>SL!Y36</f>
        <v>250</v>
      </c>
      <c r="Q36" s="68">
        <f>SL!Z36</f>
        <v>2837.98</v>
      </c>
      <c r="R36" s="69">
        <f>SL!AA36</f>
        <v>6226.65</v>
      </c>
      <c r="S36" s="68">
        <f>SL!AB36</f>
        <v>1.06</v>
      </c>
      <c r="T36" s="48">
        <f t="shared" ref="T36:T67" si="9">Q36/R36</f>
        <v>0.45577959255779593</v>
      </c>
      <c r="U36" s="49">
        <f t="shared" ref="U36:U67" si="10">O36/N36</f>
        <v>1.0266790319663521E-2</v>
      </c>
      <c r="V36" s="49">
        <f t="shared" ref="V36:V67" si="11">P36/O36</f>
        <v>9.37031484257871E-2</v>
      </c>
      <c r="W36" s="50">
        <f t="shared" ref="W36:W67" si="12">Q36/P36</f>
        <v>11.35192</v>
      </c>
      <c r="X36" s="73">
        <f t="shared" si="6"/>
        <v>7.3389933044182634E-2</v>
      </c>
    </row>
    <row r="37" spans="1:24" ht="29.1" customHeight="1" x14ac:dyDescent="0.15">
      <c r="A37" s="38" t="s">
        <v>160</v>
      </c>
      <c r="B37" s="66" t="s">
        <v>161</v>
      </c>
      <c r="C37" s="67">
        <f>SL!C37</f>
        <v>419</v>
      </c>
      <c r="D37" s="68">
        <f>SL!D37</f>
        <v>402</v>
      </c>
      <c r="E37" s="41">
        <f>SL!E37</f>
        <v>9316.5300000000007</v>
      </c>
      <c r="F37" s="42">
        <v>1462</v>
      </c>
      <c r="G37" s="43">
        <v>4371</v>
      </c>
      <c r="H37" s="44">
        <v>5833</v>
      </c>
      <c r="I37" s="43">
        <v>1883</v>
      </c>
      <c r="J37" s="43">
        <v>5742</v>
      </c>
      <c r="K37" s="45">
        <v>7625</v>
      </c>
      <c r="L37" s="46">
        <f t="shared" si="8"/>
        <v>6.8918223898508491E-2</v>
      </c>
      <c r="M37" s="71">
        <f t="shared" si="7"/>
        <v>0.29661365336665041</v>
      </c>
      <c r="N37" s="68">
        <f>SL!W37</f>
        <v>254466</v>
      </c>
      <c r="O37" s="68">
        <f>SL!X37</f>
        <v>2593</v>
      </c>
      <c r="P37" s="68">
        <f>SL!Y37</f>
        <v>263</v>
      </c>
      <c r="Q37" s="68">
        <f>SL!Z37</f>
        <v>2763.41</v>
      </c>
      <c r="R37" s="69">
        <f>SL!AA37</f>
        <v>5980.15</v>
      </c>
      <c r="S37" s="68">
        <f>SL!AB37</f>
        <v>1.07</v>
      </c>
      <c r="T37" s="48">
        <f t="shared" si="9"/>
        <v>0.46209710458767755</v>
      </c>
      <c r="U37" s="49">
        <f t="shared" si="10"/>
        <v>1.0189966439524337E-2</v>
      </c>
      <c r="V37" s="49">
        <f t="shared" si="11"/>
        <v>0.10142691862707288</v>
      </c>
      <c r="W37" s="50">
        <f t="shared" si="12"/>
        <v>10.507262357414447</v>
      </c>
      <c r="X37" s="73">
        <f t="shared" si="6"/>
        <v>7.3389933044182634E-2</v>
      </c>
    </row>
    <row r="38" spans="1:24" ht="29.1" customHeight="1" x14ac:dyDescent="0.15">
      <c r="A38" s="38" t="s">
        <v>162</v>
      </c>
      <c r="B38" s="66" t="s">
        <v>163</v>
      </c>
      <c r="C38" s="67">
        <f>SL!C38</f>
        <v>392</v>
      </c>
      <c r="D38" s="68">
        <f>SL!D38</f>
        <v>375</v>
      </c>
      <c r="E38" s="41">
        <f>SL!E38</f>
        <v>8810.43</v>
      </c>
      <c r="F38" s="42">
        <v>1237</v>
      </c>
      <c r="G38" s="43">
        <v>4324</v>
      </c>
      <c r="H38" s="44">
        <v>5561</v>
      </c>
      <c r="I38" s="43">
        <v>1552</v>
      </c>
      <c r="J38" s="43">
        <v>5650</v>
      </c>
      <c r="K38" s="45">
        <v>7202</v>
      </c>
      <c r="L38" s="46">
        <f t="shared" si="8"/>
        <v>6.7433914763531735E-2</v>
      </c>
      <c r="M38" s="71">
        <f t="shared" si="7"/>
        <v>0.32813040907197488</v>
      </c>
      <c r="N38" s="68">
        <f>SL!W38</f>
        <v>231377</v>
      </c>
      <c r="O38" s="68">
        <f>SL!X38</f>
        <v>2629</v>
      </c>
      <c r="P38" s="68">
        <f>SL!Y38</f>
        <v>285</v>
      </c>
      <c r="Q38" s="68">
        <f>SL!Z38</f>
        <v>2890.97</v>
      </c>
      <c r="R38" s="69">
        <f>SL!AA38</f>
        <v>6529.11</v>
      </c>
      <c r="S38" s="68">
        <f>SL!AB38</f>
        <v>1.1000000000000001</v>
      </c>
      <c r="T38" s="48">
        <f t="shared" si="9"/>
        <v>0.44278163486294458</v>
      </c>
      <c r="U38" s="49">
        <f t="shared" si="10"/>
        <v>1.1362408536717133E-2</v>
      </c>
      <c r="V38" s="49">
        <f t="shared" si="11"/>
        <v>0.10840623811335108</v>
      </c>
      <c r="W38" s="50">
        <f t="shared" si="12"/>
        <v>10.143754385964911</v>
      </c>
      <c r="X38" s="73">
        <f t="shared" si="6"/>
        <v>7.3389933044182634E-2</v>
      </c>
    </row>
    <row r="39" spans="1:24" ht="29.1" customHeight="1" x14ac:dyDescent="0.15">
      <c r="A39" s="38" t="s">
        <v>165</v>
      </c>
      <c r="B39" s="38" t="s">
        <v>166</v>
      </c>
      <c r="C39" s="67">
        <f>SL!C39</f>
        <v>542</v>
      </c>
      <c r="D39" s="68">
        <f>SL!D39</f>
        <v>508</v>
      </c>
      <c r="E39" s="41">
        <f>SL!E39</f>
        <v>10601.36</v>
      </c>
      <c r="F39" s="42">
        <v>1294</v>
      </c>
      <c r="G39" s="43">
        <v>4591</v>
      </c>
      <c r="H39" s="44">
        <v>5885</v>
      </c>
      <c r="I39" s="43">
        <v>1724</v>
      </c>
      <c r="J39" s="43">
        <v>6141</v>
      </c>
      <c r="K39" s="45">
        <v>7865</v>
      </c>
      <c r="L39" s="46">
        <f t="shared" si="8"/>
        <v>8.6321155480033981E-2</v>
      </c>
      <c r="M39" s="71">
        <f t="shared" si="7"/>
        <v>0.25819517495868449</v>
      </c>
      <c r="N39" s="68">
        <f>SL!W39</f>
        <v>226717</v>
      </c>
      <c r="O39" s="68">
        <f>SL!X39</f>
        <v>2425</v>
      </c>
      <c r="P39" s="68">
        <f>SL!Y39</f>
        <v>297</v>
      </c>
      <c r="Q39" s="68">
        <f>SL!Z39</f>
        <v>2737.22</v>
      </c>
      <c r="R39" s="69">
        <f>SL!AA39</f>
        <v>6015.47</v>
      </c>
      <c r="S39" s="68">
        <f>SL!AB39</f>
        <v>1.1299999999999999</v>
      </c>
      <c r="T39" s="48">
        <f t="shared" si="9"/>
        <v>0.45503011402267812</v>
      </c>
      <c r="U39" s="49">
        <f t="shared" si="10"/>
        <v>1.0696154236338695E-2</v>
      </c>
      <c r="V39" s="49">
        <f t="shared" si="11"/>
        <v>0.12247422680412372</v>
      </c>
      <c r="W39" s="50">
        <f t="shared" si="12"/>
        <v>9.2162289562289548</v>
      </c>
      <c r="X39" s="73">
        <f t="shared" si="6"/>
        <v>7.3389933044182634E-2</v>
      </c>
    </row>
    <row r="40" spans="1:24" ht="29.1" customHeight="1" x14ac:dyDescent="0.15">
      <c r="A40" s="38" t="s">
        <v>167</v>
      </c>
      <c r="B40" s="38" t="s">
        <v>168</v>
      </c>
      <c r="C40" s="67">
        <f>SL!C40</f>
        <v>735</v>
      </c>
      <c r="D40" s="68">
        <f>SL!D40</f>
        <v>694</v>
      </c>
      <c r="E40" s="41">
        <f>SL!E40</f>
        <v>14720.75</v>
      </c>
      <c r="F40" s="42">
        <v>1980</v>
      </c>
      <c r="G40" s="43">
        <v>7095</v>
      </c>
      <c r="H40" s="44">
        <v>9075</v>
      </c>
      <c r="I40" s="43">
        <v>2615</v>
      </c>
      <c r="J40" s="43">
        <v>9426</v>
      </c>
      <c r="K40" s="45">
        <v>12041</v>
      </c>
      <c r="L40" s="46">
        <f t="shared" si="8"/>
        <v>7.6473829201101934E-2</v>
      </c>
      <c r="M40" s="71">
        <f t="shared" si="7"/>
        <v>0.27489360256780393</v>
      </c>
      <c r="N40" s="68">
        <f>SL!W40</f>
        <v>331218</v>
      </c>
      <c r="O40" s="68">
        <f>SL!X40</f>
        <v>3643</v>
      </c>
      <c r="P40" s="68">
        <f>SL!Y40</f>
        <v>465</v>
      </c>
      <c r="Q40" s="68">
        <f>SL!Z40</f>
        <v>4046.64</v>
      </c>
      <c r="R40" s="69">
        <f>SL!AA40</f>
        <v>9606.34</v>
      </c>
      <c r="S40" s="68">
        <f>SL!AB40</f>
        <v>1.1100000000000001</v>
      </c>
      <c r="T40" s="48">
        <f t="shared" si="9"/>
        <v>0.42124680159144895</v>
      </c>
      <c r="U40" s="49">
        <f t="shared" si="10"/>
        <v>1.0998798374484479E-2</v>
      </c>
      <c r="V40" s="49">
        <f t="shared" si="11"/>
        <v>0.12764205325281361</v>
      </c>
      <c r="W40" s="50">
        <f t="shared" si="12"/>
        <v>8.702451612903225</v>
      </c>
      <c r="X40" s="73">
        <f t="shared" si="6"/>
        <v>7.3389933044182634E-2</v>
      </c>
    </row>
    <row r="41" spans="1:24" ht="29.1" customHeight="1" x14ac:dyDescent="0.15">
      <c r="A41" s="38" t="s">
        <v>169</v>
      </c>
      <c r="B41" s="38" t="s">
        <v>170</v>
      </c>
      <c r="C41" s="67">
        <f>SL!C41</f>
        <v>425</v>
      </c>
      <c r="D41" s="68">
        <f>SL!D41</f>
        <v>403</v>
      </c>
      <c r="E41" s="41">
        <f>SL!E41</f>
        <v>10003.299999999999</v>
      </c>
      <c r="F41" s="42">
        <v>1490</v>
      </c>
      <c r="G41" s="43">
        <v>5048</v>
      </c>
      <c r="H41" s="44">
        <v>6538</v>
      </c>
      <c r="I41" s="43">
        <v>1902</v>
      </c>
      <c r="J41" s="43">
        <v>6463</v>
      </c>
      <c r="K41" s="45">
        <v>8365</v>
      </c>
      <c r="L41" s="46">
        <f t="shared" si="8"/>
        <v>6.1639645151422451E-2</v>
      </c>
      <c r="M41" s="71">
        <f t="shared" si="7"/>
        <v>0.24183219537552608</v>
      </c>
      <c r="N41" s="68">
        <f>SL!W41</f>
        <v>199964</v>
      </c>
      <c r="O41" s="68">
        <f>SL!X41</f>
        <v>2365</v>
      </c>
      <c r="P41" s="68">
        <f>SL!Y41</f>
        <v>251</v>
      </c>
      <c r="Q41" s="68">
        <f>SL!Z41</f>
        <v>2419.12</v>
      </c>
      <c r="R41" s="69">
        <f>SL!AA41</f>
        <v>6289.86</v>
      </c>
      <c r="S41" s="68" t="str">
        <f>SL!AB41</f>
        <v>‎1.02</v>
      </c>
      <c r="T41" s="48">
        <f t="shared" si="9"/>
        <v>0.38460633464019867</v>
      </c>
      <c r="U41" s="49">
        <f t="shared" si="10"/>
        <v>1.1827128883198975E-2</v>
      </c>
      <c r="V41" s="49">
        <f t="shared" si="11"/>
        <v>0.10613107822410148</v>
      </c>
      <c r="W41" s="50">
        <f t="shared" si="12"/>
        <v>9.6379282868525884</v>
      </c>
      <c r="X41" s="73">
        <f t="shared" si="6"/>
        <v>7.3389933044182634E-2</v>
      </c>
    </row>
    <row r="42" spans="1:24" ht="29.1" customHeight="1" x14ac:dyDescent="0.15">
      <c r="A42" s="38" t="s">
        <v>172</v>
      </c>
      <c r="B42" s="38" t="s">
        <v>173</v>
      </c>
      <c r="C42" s="67">
        <f>SL!C42</f>
        <v>383</v>
      </c>
      <c r="D42" s="68">
        <f>SL!D42</f>
        <v>366</v>
      </c>
      <c r="E42" s="41">
        <f>SL!E42</f>
        <v>9301.8700000000008</v>
      </c>
      <c r="F42" s="42">
        <v>1287</v>
      </c>
      <c r="G42" s="43">
        <v>4069</v>
      </c>
      <c r="H42" s="44">
        <v>5356</v>
      </c>
      <c r="I42" s="43">
        <v>1678</v>
      </c>
      <c r="J42" s="43">
        <v>5298</v>
      </c>
      <c r="K42" s="45">
        <v>6976</v>
      </c>
      <c r="L42" s="46">
        <f t="shared" si="8"/>
        <v>6.8334578043315913E-2</v>
      </c>
      <c r="M42" s="71">
        <f t="shared" si="7"/>
        <v>0.25047974224537645</v>
      </c>
      <c r="N42" s="68">
        <f>SL!W42</f>
        <v>200165</v>
      </c>
      <c r="O42" s="68">
        <f>SL!X42</f>
        <v>2315</v>
      </c>
      <c r="P42" s="68">
        <f>SL!Y42</f>
        <v>231</v>
      </c>
      <c r="Q42" s="68">
        <f>SL!Z42</f>
        <v>2329.9299999999998</v>
      </c>
      <c r="R42" s="69">
        <f>SL!AA42</f>
        <v>5705.61</v>
      </c>
      <c r="S42" s="68">
        <f>SL!AB42</f>
        <v>1.01</v>
      </c>
      <c r="T42" s="48">
        <f t="shared" si="9"/>
        <v>0.40835773913744544</v>
      </c>
      <c r="U42" s="49">
        <f t="shared" si="10"/>
        <v>1.156545849674019E-2</v>
      </c>
      <c r="V42" s="49">
        <f t="shared" si="11"/>
        <v>9.9784017278617715E-2</v>
      </c>
      <c r="W42" s="50">
        <f t="shared" si="12"/>
        <v>10.086277056277055</v>
      </c>
      <c r="X42" s="73">
        <f t="shared" si="6"/>
        <v>7.3389933044182634E-2</v>
      </c>
    </row>
    <row r="43" spans="1:24" ht="29.1" customHeight="1" x14ac:dyDescent="0.15">
      <c r="A43" s="38" t="s">
        <v>175</v>
      </c>
      <c r="B43" s="38" t="s">
        <v>176</v>
      </c>
      <c r="C43" s="67">
        <f>SL!C43</f>
        <v>434</v>
      </c>
      <c r="D43" s="68">
        <f>SL!D43</f>
        <v>403</v>
      </c>
      <c r="E43" s="41">
        <f>SL!E43</f>
        <v>10601.18</v>
      </c>
      <c r="F43" s="42">
        <v>1221</v>
      </c>
      <c r="G43" s="43">
        <v>3812</v>
      </c>
      <c r="H43" s="44">
        <v>5033</v>
      </c>
      <c r="I43" s="43">
        <v>1553</v>
      </c>
      <c r="J43" s="43">
        <v>5013</v>
      </c>
      <c r="K43" s="45">
        <v>6566</v>
      </c>
      <c r="L43" s="46">
        <f t="shared" si="8"/>
        <v>8.0071527915756016E-2</v>
      </c>
      <c r="M43" s="71">
        <f t="shared" si="7"/>
        <v>0.24126842483572583</v>
      </c>
      <c r="N43" s="68">
        <f>SL!W43</f>
        <v>212393</v>
      </c>
      <c r="O43" s="68">
        <f>SL!X43</f>
        <v>2508</v>
      </c>
      <c r="P43" s="68">
        <f>SL!Y43</f>
        <v>226</v>
      </c>
      <c r="Q43" s="68">
        <f>SL!Z43</f>
        <v>2557.73</v>
      </c>
      <c r="R43" s="69">
        <f>SL!AA43</f>
        <v>5663.04</v>
      </c>
      <c r="S43" s="68">
        <f>SL!AB43</f>
        <v>1.02</v>
      </c>
      <c r="T43" s="48">
        <f t="shared" si="9"/>
        <v>0.4516531756794937</v>
      </c>
      <c r="U43" s="49">
        <f t="shared" si="10"/>
        <v>1.1808298766908514E-2</v>
      </c>
      <c r="V43" s="49">
        <f t="shared" si="11"/>
        <v>9.0111642743221684E-2</v>
      </c>
      <c r="W43" s="50">
        <f t="shared" si="12"/>
        <v>11.317389380530974</v>
      </c>
      <c r="X43" s="73">
        <f t="shared" si="6"/>
        <v>7.3389933044182634E-2</v>
      </c>
    </row>
    <row r="44" spans="1:24" ht="29.1" customHeight="1" x14ac:dyDescent="0.15">
      <c r="A44" s="38" t="s">
        <v>177</v>
      </c>
      <c r="B44" s="38" t="s">
        <v>178</v>
      </c>
      <c r="C44" s="67">
        <f>SL!C44</f>
        <v>446</v>
      </c>
      <c r="D44" s="68">
        <f>SL!D44</f>
        <v>414</v>
      </c>
      <c r="E44" s="41">
        <f>SL!E44</f>
        <v>10895.07</v>
      </c>
      <c r="F44" s="42">
        <v>1178</v>
      </c>
      <c r="G44" s="43">
        <v>4037</v>
      </c>
      <c r="H44" s="44">
        <v>5215</v>
      </c>
      <c r="I44" s="43">
        <v>1535</v>
      </c>
      <c r="J44" s="43">
        <v>5413</v>
      </c>
      <c r="K44" s="45">
        <v>6948</v>
      </c>
      <c r="L44" s="46">
        <f t="shared" si="8"/>
        <v>7.9386385426653883E-2</v>
      </c>
      <c r="M44" s="71">
        <f t="shared" si="7"/>
        <v>0.24642521801144923</v>
      </c>
      <c r="N44" s="68">
        <f>SL!W44</f>
        <v>224947</v>
      </c>
      <c r="O44" s="68">
        <f>SL!X44</f>
        <v>2644</v>
      </c>
      <c r="P44" s="68">
        <f>SL!Y44</f>
        <v>272</v>
      </c>
      <c r="Q44" s="68">
        <f>SL!Z44</f>
        <v>2684.82</v>
      </c>
      <c r="R44" s="69">
        <f>SL!AA44</f>
        <v>7063.61</v>
      </c>
      <c r="S44" s="68">
        <f>SL!AB44</f>
        <v>1.02</v>
      </c>
      <c r="T44" s="48">
        <f t="shared" si="9"/>
        <v>0.38009176610826478</v>
      </c>
      <c r="U44" s="49">
        <f t="shared" si="10"/>
        <v>1.1753879802797993E-2</v>
      </c>
      <c r="V44" s="49">
        <f t="shared" si="11"/>
        <v>0.10287443267776097</v>
      </c>
      <c r="W44" s="50">
        <f t="shared" si="12"/>
        <v>9.8706617647058827</v>
      </c>
      <c r="X44" s="73">
        <f t="shared" si="6"/>
        <v>7.3389933044182634E-2</v>
      </c>
    </row>
    <row r="45" spans="1:24" ht="29.1" customHeight="1" x14ac:dyDescent="0.15">
      <c r="A45" s="38" t="s">
        <v>179</v>
      </c>
      <c r="B45" s="38" t="s">
        <v>180</v>
      </c>
      <c r="C45" s="67">
        <f>SL!C45</f>
        <v>495</v>
      </c>
      <c r="D45" s="68">
        <f>SL!D45</f>
        <v>453</v>
      </c>
      <c r="E45" s="41">
        <f>SL!E45</f>
        <v>12053.79</v>
      </c>
      <c r="F45" s="42">
        <v>1104</v>
      </c>
      <c r="G45" s="43">
        <v>4199</v>
      </c>
      <c r="H45" s="44">
        <v>5303</v>
      </c>
      <c r="I45" s="43">
        <v>1415</v>
      </c>
      <c r="J45" s="43">
        <v>5673</v>
      </c>
      <c r="K45" s="45">
        <v>7088</v>
      </c>
      <c r="L45" s="46">
        <f t="shared" si="8"/>
        <v>8.5423345276258722E-2</v>
      </c>
      <c r="M45" s="71">
        <f t="shared" si="7"/>
        <v>0.22418591994717013</v>
      </c>
      <c r="N45" s="68">
        <f>SL!W45</f>
        <v>237482</v>
      </c>
      <c r="O45" s="68">
        <f>SL!X45</f>
        <v>2677</v>
      </c>
      <c r="P45" s="68">
        <f>SL!Y45</f>
        <v>293</v>
      </c>
      <c r="Q45" s="68">
        <f>SL!Z45</f>
        <v>2702.29</v>
      </c>
      <c r="R45" s="69">
        <f>SL!AA45</f>
        <v>7963.35</v>
      </c>
      <c r="S45" s="68">
        <f>SL!AB45</f>
        <v>1.01</v>
      </c>
      <c r="T45" s="48">
        <f t="shared" si="9"/>
        <v>0.33934085529331248</v>
      </c>
      <c r="U45" s="49">
        <f t="shared" si="10"/>
        <v>1.1272433279153789E-2</v>
      </c>
      <c r="V45" s="49">
        <f t="shared" si="11"/>
        <v>0.10945087784833769</v>
      </c>
      <c r="W45" s="50">
        <f t="shared" si="12"/>
        <v>9.2228327645051191</v>
      </c>
      <c r="X45" s="73">
        <f t="shared" si="6"/>
        <v>7.3389933044182634E-2</v>
      </c>
    </row>
    <row r="46" spans="1:24" ht="29.1" customHeight="1" x14ac:dyDescent="0.15">
      <c r="A46" s="38" t="s">
        <v>181</v>
      </c>
      <c r="B46" s="38" t="s">
        <v>182</v>
      </c>
      <c r="C46" s="67">
        <f>SL!C46</f>
        <v>534</v>
      </c>
      <c r="D46" s="68">
        <f>SL!D46</f>
        <v>510</v>
      </c>
      <c r="E46" s="41">
        <f>SL!E46</f>
        <v>13028.96</v>
      </c>
      <c r="F46" s="42">
        <v>1307</v>
      </c>
      <c r="G46" s="43">
        <v>3932</v>
      </c>
      <c r="H46" s="44">
        <v>5239</v>
      </c>
      <c r="I46" s="43">
        <v>1718</v>
      </c>
      <c r="J46" s="43">
        <v>5246</v>
      </c>
      <c r="K46" s="45">
        <v>6964</v>
      </c>
      <c r="L46" s="46">
        <f t="shared" si="8"/>
        <v>9.7346821912578735E-2</v>
      </c>
      <c r="M46" s="71">
        <f t="shared" si="7"/>
        <v>0.22300782257371274</v>
      </c>
      <c r="N46" s="68">
        <f>SL!W46</f>
        <v>259814</v>
      </c>
      <c r="O46" s="68">
        <f>SL!X46</f>
        <v>3020</v>
      </c>
      <c r="P46" s="68">
        <f>SL!Y46</f>
        <v>304</v>
      </c>
      <c r="Q46" s="68">
        <f>SL!Z46</f>
        <v>2905.56</v>
      </c>
      <c r="R46" s="69">
        <f>SL!AA46</f>
        <v>7714.5</v>
      </c>
      <c r="S46" s="68">
        <f>SL!AB46</f>
        <v>0.96</v>
      </c>
      <c r="T46" s="48">
        <f t="shared" si="9"/>
        <v>0.37663620454987362</v>
      </c>
      <c r="U46" s="49">
        <f t="shared" si="10"/>
        <v>1.1623700031561039E-2</v>
      </c>
      <c r="V46" s="49">
        <f t="shared" si="11"/>
        <v>0.10066225165562914</v>
      </c>
      <c r="W46" s="50">
        <f t="shared" si="12"/>
        <v>9.5577631578947368</v>
      </c>
      <c r="X46" s="73">
        <f t="shared" si="6"/>
        <v>7.3389933044182634E-2</v>
      </c>
    </row>
    <row r="47" spans="1:24" ht="29.1" customHeight="1" x14ac:dyDescent="0.15">
      <c r="A47" s="38" t="s">
        <v>183</v>
      </c>
      <c r="B47" s="38" t="s">
        <v>184</v>
      </c>
      <c r="C47" s="67">
        <f>SL!C47</f>
        <v>450</v>
      </c>
      <c r="D47" s="68">
        <f>SL!D47</f>
        <v>433</v>
      </c>
      <c r="E47" s="41">
        <f>SL!E47</f>
        <v>10903.7</v>
      </c>
      <c r="F47" s="42">
        <v>1439</v>
      </c>
      <c r="G47" s="43">
        <v>4645</v>
      </c>
      <c r="H47" s="44">
        <v>6084</v>
      </c>
      <c r="I47" s="43">
        <v>1882</v>
      </c>
      <c r="J47" s="43">
        <v>6155</v>
      </c>
      <c r="K47" s="45">
        <v>8037</v>
      </c>
      <c r="L47" s="46">
        <f t="shared" si="8"/>
        <v>7.1170282708744245E-2</v>
      </c>
      <c r="M47" s="71">
        <f t="shared" si="7"/>
        <v>0.2493401322486862</v>
      </c>
      <c r="N47" s="68">
        <f>SL!W47</f>
        <v>229696</v>
      </c>
      <c r="O47" s="68">
        <f>SL!X47</f>
        <v>2721</v>
      </c>
      <c r="P47" s="68">
        <f>SL!Y47</f>
        <v>244</v>
      </c>
      <c r="Q47" s="68">
        <f>SL!Z47</f>
        <v>2718.73</v>
      </c>
      <c r="R47" s="69">
        <f>SL!AA47</f>
        <v>6153.29</v>
      </c>
      <c r="S47" s="68">
        <f>SL!AB47</f>
        <v>1</v>
      </c>
      <c r="T47" s="48">
        <f t="shared" si="9"/>
        <v>0.44183355570759708</v>
      </c>
      <c r="U47" s="49">
        <f t="shared" si="10"/>
        <v>1.1846092226246866E-2</v>
      </c>
      <c r="V47" s="49">
        <f t="shared" si="11"/>
        <v>8.9672914369717013E-2</v>
      </c>
      <c r="W47" s="50">
        <f t="shared" si="12"/>
        <v>11.142336065573771</v>
      </c>
      <c r="X47" s="73">
        <f t="shared" si="6"/>
        <v>7.3389933044182634E-2</v>
      </c>
    </row>
    <row r="48" spans="1:24" ht="29.1" customHeight="1" x14ac:dyDescent="0.15">
      <c r="A48" s="38" t="s">
        <v>185</v>
      </c>
      <c r="B48" s="38" t="s">
        <v>186</v>
      </c>
      <c r="C48" s="67">
        <f>SL!C48</f>
        <v>445</v>
      </c>
      <c r="D48" s="68">
        <f>SL!D48</f>
        <v>430</v>
      </c>
      <c r="E48" s="41">
        <f>SL!E48</f>
        <v>10693.07</v>
      </c>
      <c r="F48" s="42">
        <v>1104</v>
      </c>
      <c r="G48" s="43">
        <v>3940</v>
      </c>
      <c r="H48" s="44">
        <v>5044</v>
      </c>
      <c r="I48" s="43">
        <v>1497</v>
      </c>
      <c r="J48" s="43">
        <v>5069</v>
      </c>
      <c r="K48" s="45">
        <v>6566</v>
      </c>
      <c r="L48" s="46">
        <f t="shared" si="8"/>
        <v>8.5249801744647108E-2</v>
      </c>
      <c r="M48" s="71">
        <f t="shared" si="7"/>
        <v>0.25031445599813712</v>
      </c>
      <c r="N48" s="68">
        <f>SL!W48</f>
        <v>216007</v>
      </c>
      <c r="O48" s="68">
        <f>SL!X48</f>
        <v>2646</v>
      </c>
      <c r="P48" s="68">
        <f>SL!Y48</f>
        <v>254</v>
      </c>
      <c r="Q48" s="68">
        <f>SL!Z48</f>
        <v>2676.63</v>
      </c>
      <c r="R48" s="69">
        <f>SL!AA48</f>
        <v>6219.58</v>
      </c>
      <c r="S48" s="68">
        <f>SL!AB48</f>
        <v>1.01</v>
      </c>
      <c r="T48" s="48">
        <f t="shared" si="9"/>
        <v>0.43035542592908205</v>
      </c>
      <c r="U48" s="49">
        <f t="shared" si="10"/>
        <v>1.2249603022124283E-2</v>
      </c>
      <c r="V48" s="49">
        <f t="shared" si="11"/>
        <v>9.5993953136810278E-2</v>
      </c>
      <c r="W48" s="50">
        <f t="shared" si="12"/>
        <v>10.537913385826773</v>
      </c>
      <c r="X48" s="73">
        <f t="shared" si="6"/>
        <v>7.3389933044182634E-2</v>
      </c>
    </row>
    <row r="49" spans="1:24" ht="29.1" customHeight="1" x14ac:dyDescent="0.15">
      <c r="A49" s="38" t="s">
        <v>187</v>
      </c>
      <c r="B49" s="38" t="s">
        <v>188</v>
      </c>
      <c r="C49" s="67">
        <f>SL!C49</f>
        <v>483</v>
      </c>
      <c r="D49" s="68">
        <f>SL!D49</f>
        <v>451</v>
      </c>
      <c r="E49" s="41">
        <f>SL!E49</f>
        <v>11272.09</v>
      </c>
      <c r="F49" s="42">
        <v>1196</v>
      </c>
      <c r="G49" s="43">
        <v>3689</v>
      </c>
      <c r="H49" s="44">
        <v>4885</v>
      </c>
      <c r="I49" s="43">
        <v>1649</v>
      </c>
      <c r="J49" s="43">
        <v>4893</v>
      </c>
      <c r="K49" s="45">
        <v>6542</v>
      </c>
      <c r="L49" s="46">
        <f t="shared" si="8"/>
        <v>9.2323439099283519E-2</v>
      </c>
      <c r="M49" s="71">
        <f t="shared" si="7"/>
        <v>0.23684605073238416</v>
      </c>
      <c r="N49" s="68">
        <f>SL!W49</f>
        <v>219327</v>
      </c>
      <c r="O49" s="68">
        <f>SL!X49</f>
        <v>2570</v>
      </c>
      <c r="P49" s="68">
        <f>SL!Y49</f>
        <v>273</v>
      </c>
      <c r="Q49" s="68">
        <f>SL!Z49</f>
        <v>2669.75</v>
      </c>
      <c r="R49" s="69">
        <f>SL!AA49</f>
        <v>6719.65</v>
      </c>
      <c r="S49" s="68">
        <f>SL!AB49</f>
        <v>1.04</v>
      </c>
      <c r="T49" s="48">
        <f t="shared" si="9"/>
        <v>0.39730491915501553</v>
      </c>
      <c r="U49" s="49">
        <f t="shared" si="10"/>
        <v>1.1717663579951397E-2</v>
      </c>
      <c r="V49" s="49">
        <f t="shared" si="11"/>
        <v>0.10622568093385214</v>
      </c>
      <c r="W49" s="50">
        <f t="shared" si="12"/>
        <v>9.7793040293040292</v>
      </c>
      <c r="X49" s="73">
        <f t="shared" si="6"/>
        <v>7.3389933044182634E-2</v>
      </c>
    </row>
    <row r="50" spans="1:24" ht="29.1" customHeight="1" x14ac:dyDescent="0.15">
      <c r="A50" s="38" t="s">
        <v>189</v>
      </c>
      <c r="B50" s="38" t="s">
        <v>190</v>
      </c>
      <c r="C50" s="67">
        <f>SL!C50</f>
        <v>493</v>
      </c>
      <c r="D50" s="68">
        <f>SL!D50</f>
        <v>465</v>
      </c>
      <c r="E50" s="41">
        <f>SL!E50</f>
        <v>11222.27</v>
      </c>
      <c r="F50" s="42">
        <v>1451</v>
      </c>
      <c r="G50" s="43">
        <v>3935</v>
      </c>
      <c r="H50" s="44">
        <v>5386</v>
      </c>
      <c r="I50" s="43">
        <v>2088</v>
      </c>
      <c r="J50" s="43">
        <v>4933</v>
      </c>
      <c r="K50" s="45">
        <v>7021</v>
      </c>
      <c r="L50" s="46">
        <f t="shared" si="8"/>
        <v>8.6334942443371698E-2</v>
      </c>
      <c r="M50" s="71">
        <f t="shared" si="7"/>
        <v>0.25342555472288586</v>
      </c>
      <c r="N50" s="68">
        <f>SL!W50</f>
        <v>231757</v>
      </c>
      <c r="O50" s="68">
        <f>SL!X50</f>
        <v>2741</v>
      </c>
      <c r="P50" s="68">
        <f>SL!Y50</f>
        <v>278</v>
      </c>
      <c r="Q50" s="68">
        <f>SL!Z50</f>
        <v>2844.01</v>
      </c>
      <c r="R50" s="69">
        <f>SL!AA50</f>
        <v>6674.3</v>
      </c>
      <c r="S50" s="68">
        <f>SL!AB50</f>
        <v>1.04</v>
      </c>
      <c r="T50" s="48">
        <f t="shared" si="9"/>
        <v>0.42611359992808234</v>
      </c>
      <c r="U50" s="49">
        <f t="shared" si="10"/>
        <v>1.1827042980363052E-2</v>
      </c>
      <c r="V50" s="49">
        <f t="shared" si="11"/>
        <v>0.10142283838015323</v>
      </c>
      <c r="W50" s="50">
        <f t="shared" si="12"/>
        <v>10.230251798561152</v>
      </c>
      <c r="X50" s="73">
        <f t="shared" si="6"/>
        <v>7.3389933044182634E-2</v>
      </c>
    </row>
    <row r="51" spans="1:24" ht="29.1" customHeight="1" x14ac:dyDescent="0.15">
      <c r="A51" s="38" t="s">
        <v>191</v>
      </c>
      <c r="B51" s="38" t="s">
        <v>192</v>
      </c>
      <c r="C51" s="67">
        <f>SL!C51</f>
        <v>389</v>
      </c>
      <c r="D51" s="68">
        <f>SL!D51</f>
        <v>372</v>
      </c>
      <c r="E51" s="41">
        <f>SL!E51</f>
        <v>9211.49</v>
      </c>
      <c r="F51" s="42">
        <v>1382</v>
      </c>
      <c r="G51" s="43">
        <v>3594</v>
      </c>
      <c r="H51" s="44">
        <v>4976</v>
      </c>
      <c r="I51" s="43">
        <v>1945</v>
      </c>
      <c r="J51" s="43">
        <v>4637</v>
      </c>
      <c r="K51" s="45">
        <v>6582</v>
      </c>
      <c r="L51" s="46">
        <f t="shared" ref="L51:L75" si="13">D51/H51</f>
        <v>7.4758842443729906E-2</v>
      </c>
      <c r="M51" s="71">
        <f t="shared" ref="M51:M75" si="14">Q51/E51</f>
        <v>0.26401049124517312</v>
      </c>
      <c r="N51" s="68">
        <f>SL!W51</f>
        <v>205001</v>
      </c>
      <c r="O51" s="68">
        <f>SL!X51</f>
        <v>2296</v>
      </c>
      <c r="P51" s="68">
        <f>SL!Y51</f>
        <v>216</v>
      </c>
      <c r="Q51" s="68">
        <f>SL!Z51</f>
        <v>2431.9299999999998</v>
      </c>
      <c r="R51" s="69">
        <f>SL!AA51</f>
        <v>5333.28</v>
      </c>
      <c r="S51" s="68">
        <f>SL!AB51</f>
        <v>1.06</v>
      </c>
      <c r="T51" s="48">
        <f t="shared" si="9"/>
        <v>0.45599143491434913</v>
      </c>
      <c r="U51" s="49">
        <f t="shared" si="10"/>
        <v>1.1199945366120165E-2</v>
      </c>
      <c r="V51" s="49">
        <f t="shared" si="11"/>
        <v>9.4076655052264813E-2</v>
      </c>
      <c r="W51" s="50">
        <f t="shared" si="12"/>
        <v>11.258935185185184</v>
      </c>
      <c r="X51" s="73">
        <f t="shared" si="6"/>
        <v>7.3389933044182634E-2</v>
      </c>
    </row>
    <row r="52" spans="1:24" ht="29.1" customHeight="1" x14ac:dyDescent="0.15">
      <c r="A52" s="38" t="s">
        <v>193</v>
      </c>
      <c r="B52" s="38" t="s">
        <v>194</v>
      </c>
      <c r="C52" s="67">
        <f>SL!C52</f>
        <v>488</v>
      </c>
      <c r="D52" s="68">
        <f>SL!D52</f>
        <v>459</v>
      </c>
      <c r="E52" s="41">
        <f>SL!E52</f>
        <v>10739.43</v>
      </c>
      <c r="F52" s="42">
        <v>1832</v>
      </c>
      <c r="G52" s="43">
        <v>4530</v>
      </c>
      <c r="H52" s="44">
        <v>6362</v>
      </c>
      <c r="I52" s="43">
        <v>2408</v>
      </c>
      <c r="J52" s="43">
        <v>5792</v>
      </c>
      <c r="K52" s="45">
        <v>8200</v>
      </c>
      <c r="L52" s="46">
        <f t="shared" si="13"/>
        <v>7.2147123546054695E-2</v>
      </c>
      <c r="M52" s="71">
        <f t="shared" si="14"/>
        <v>0.27513657614975839</v>
      </c>
      <c r="N52" s="68">
        <f>SL!W52</f>
        <v>215670</v>
      </c>
      <c r="O52" s="68">
        <f>SL!X52</f>
        <v>2743</v>
      </c>
      <c r="P52" s="68">
        <f>SL!Y52</f>
        <v>300</v>
      </c>
      <c r="Q52" s="68">
        <f>SL!Z52</f>
        <v>2954.81</v>
      </c>
      <c r="R52" s="69">
        <f>SL!AA52</f>
        <v>6866.78</v>
      </c>
      <c r="S52" s="68">
        <f>SL!AB52</f>
        <v>1.08</v>
      </c>
      <c r="T52" s="48">
        <f t="shared" si="9"/>
        <v>0.43030503380041302</v>
      </c>
      <c r="U52" s="49">
        <f t="shared" si="10"/>
        <v>1.2718505123568414E-2</v>
      </c>
      <c r="V52" s="49">
        <f t="shared" si="11"/>
        <v>0.10936930368209989</v>
      </c>
      <c r="W52" s="50">
        <f t="shared" si="12"/>
        <v>9.8493666666666666</v>
      </c>
      <c r="X52" s="73">
        <f t="shared" si="6"/>
        <v>7.3389933044182634E-2</v>
      </c>
    </row>
    <row r="53" spans="1:24" ht="29.1" customHeight="1" x14ac:dyDescent="0.15">
      <c r="A53" s="38" t="s">
        <v>195</v>
      </c>
      <c r="B53" s="38" t="s">
        <v>196</v>
      </c>
      <c r="C53" s="67">
        <f>SL!C53</f>
        <v>620</v>
      </c>
      <c r="D53" s="68">
        <f>SL!D53</f>
        <v>584</v>
      </c>
      <c r="E53" s="41">
        <f>SL!E53</f>
        <v>12681.75</v>
      </c>
      <c r="F53" s="42">
        <v>1617</v>
      </c>
      <c r="G53" s="43">
        <v>4619</v>
      </c>
      <c r="H53" s="44">
        <v>6236</v>
      </c>
      <c r="I53" s="43">
        <v>2139</v>
      </c>
      <c r="J53" s="43">
        <v>6049</v>
      </c>
      <c r="K53" s="45">
        <v>8188</v>
      </c>
      <c r="L53" s="46">
        <f t="shared" si="13"/>
        <v>9.3649775497113535E-2</v>
      </c>
      <c r="M53" s="71">
        <f t="shared" si="14"/>
        <v>0.25437971888737754</v>
      </c>
      <c r="N53" s="68">
        <f>SL!W53</f>
        <v>245287</v>
      </c>
      <c r="O53" s="68">
        <f>SL!X53</f>
        <v>2996</v>
      </c>
      <c r="P53" s="68">
        <f>SL!Y53</f>
        <v>391</v>
      </c>
      <c r="Q53" s="68">
        <f>SL!Z53</f>
        <v>3225.98</v>
      </c>
      <c r="R53" s="69">
        <f>SL!AA53</f>
        <v>8335.08</v>
      </c>
      <c r="S53" s="68">
        <f>SL!AB53</f>
        <v>1.08</v>
      </c>
      <c r="T53" s="48">
        <f t="shared" si="9"/>
        <v>0.38703647715438844</v>
      </c>
      <c r="U53" s="49">
        <f t="shared" si="10"/>
        <v>1.2214263291572729E-2</v>
      </c>
      <c r="V53" s="49">
        <f t="shared" si="11"/>
        <v>0.13050734312416556</v>
      </c>
      <c r="W53" s="50">
        <f t="shared" si="12"/>
        <v>8.2505882352941171</v>
      </c>
      <c r="X53" s="73">
        <f t="shared" si="6"/>
        <v>7.3389933044182634E-2</v>
      </c>
    </row>
    <row r="54" spans="1:24" ht="29.1" customHeight="1" x14ac:dyDescent="0.15">
      <c r="A54" s="38" t="s">
        <v>198</v>
      </c>
      <c r="B54" s="38" t="s">
        <v>199</v>
      </c>
      <c r="C54" s="67">
        <f>SL!C54</f>
        <v>436</v>
      </c>
      <c r="D54" s="68">
        <f>SL!D54</f>
        <v>415</v>
      </c>
      <c r="E54" s="41">
        <f>SL!E54</f>
        <v>9798.42</v>
      </c>
      <c r="F54" s="42">
        <v>1310</v>
      </c>
      <c r="G54" s="43">
        <v>3620</v>
      </c>
      <c r="H54" s="44">
        <v>4930</v>
      </c>
      <c r="I54" s="43">
        <v>1713</v>
      </c>
      <c r="J54" s="43">
        <v>4572</v>
      </c>
      <c r="K54" s="45">
        <v>6285</v>
      </c>
      <c r="L54" s="46">
        <f t="shared" si="13"/>
        <v>8.4178498985801223E-2</v>
      </c>
      <c r="M54" s="71">
        <f t="shared" si="14"/>
        <v>0.24593352805860538</v>
      </c>
      <c r="N54" s="68">
        <f>SL!W54</f>
        <v>221059</v>
      </c>
      <c r="O54" s="68">
        <f>SL!X54</f>
        <v>2304</v>
      </c>
      <c r="P54" s="68">
        <f>SL!Y54</f>
        <v>269</v>
      </c>
      <c r="Q54" s="68">
        <f>SL!Z54</f>
        <v>2409.7600000000002</v>
      </c>
      <c r="R54" s="69">
        <f>SL!AA54</f>
        <v>6239.78</v>
      </c>
      <c r="S54" s="68">
        <f>SL!AB54</f>
        <v>1.05</v>
      </c>
      <c r="T54" s="48">
        <f t="shared" si="9"/>
        <v>0.38619310296196346</v>
      </c>
      <c r="U54" s="49">
        <f t="shared" si="10"/>
        <v>1.0422556873956726E-2</v>
      </c>
      <c r="V54" s="49">
        <f t="shared" si="11"/>
        <v>0.11675347222222222</v>
      </c>
      <c r="W54" s="50">
        <f t="shared" si="12"/>
        <v>8.958215613382901</v>
      </c>
      <c r="X54" s="73">
        <f t="shared" si="6"/>
        <v>7.3389933044182634E-2</v>
      </c>
    </row>
    <row r="55" spans="1:24" ht="29.1" customHeight="1" x14ac:dyDescent="0.15">
      <c r="A55" s="38" t="s">
        <v>200</v>
      </c>
      <c r="B55" s="38" t="s">
        <v>201</v>
      </c>
      <c r="C55" s="67">
        <f>SL!C55</f>
        <v>424</v>
      </c>
      <c r="D55" s="68">
        <f>SL!D55</f>
        <v>408</v>
      </c>
      <c r="E55" s="41">
        <f>SL!E55</f>
        <v>9547.58</v>
      </c>
      <c r="F55" s="42">
        <v>1367</v>
      </c>
      <c r="G55" s="43">
        <v>4020</v>
      </c>
      <c r="H55" s="44">
        <v>5387</v>
      </c>
      <c r="I55" s="43">
        <v>1752</v>
      </c>
      <c r="J55" s="43">
        <v>5033</v>
      </c>
      <c r="K55" s="45">
        <v>6785</v>
      </c>
      <c r="L55" s="46">
        <f t="shared" si="13"/>
        <v>7.5737887506961199E-2</v>
      </c>
      <c r="M55" s="71">
        <f t="shared" si="14"/>
        <v>0.25888235552883554</v>
      </c>
      <c r="N55" s="68">
        <f>SL!W55</f>
        <v>224559</v>
      </c>
      <c r="O55" s="68">
        <f>SL!X55</f>
        <v>2317</v>
      </c>
      <c r="P55" s="68">
        <f>SL!Y55</f>
        <v>249</v>
      </c>
      <c r="Q55" s="68">
        <f>SL!Z55</f>
        <v>2471.6999999999998</v>
      </c>
      <c r="R55" s="69">
        <f>SL!AA55</f>
        <v>5757.73</v>
      </c>
      <c r="S55" s="68">
        <f>SL!AB55</f>
        <v>1.07</v>
      </c>
      <c r="T55" s="48">
        <f t="shared" si="9"/>
        <v>0.42928376287182624</v>
      </c>
      <c r="U55" s="49">
        <f t="shared" si="10"/>
        <v>1.0318001059855093E-2</v>
      </c>
      <c r="V55" s="49">
        <f t="shared" si="11"/>
        <v>0.1074665515753129</v>
      </c>
      <c r="W55" s="50">
        <f t="shared" si="12"/>
        <v>9.9265060240963852</v>
      </c>
      <c r="X55" s="73">
        <f t="shared" si="6"/>
        <v>7.3389933044182634E-2</v>
      </c>
    </row>
    <row r="56" spans="1:24" ht="29.1" customHeight="1" x14ac:dyDescent="0.15">
      <c r="A56" s="38" t="s">
        <v>202</v>
      </c>
      <c r="B56" s="38" t="s">
        <v>203</v>
      </c>
      <c r="C56" s="67">
        <f>SL!C56</f>
        <v>469</v>
      </c>
      <c r="D56" s="68">
        <f>SL!D56</f>
        <v>450</v>
      </c>
      <c r="E56" s="41">
        <f>SL!E56</f>
        <v>10255.030000000001</v>
      </c>
      <c r="F56" s="42">
        <v>1258</v>
      </c>
      <c r="G56" s="43">
        <v>3365</v>
      </c>
      <c r="H56" s="44">
        <v>4623</v>
      </c>
      <c r="I56" s="43">
        <v>1678</v>
      </c>
      <c r="J56" s="43">
        <v>4317</v>
      </c>
      <c r="K56" s="45">
        <v>5995</v>
      </c>
      <c r="L56" s="46">
        <f t="shared" si="13"/>
        <v>9.7339390006489293E-2</v>
      </c>
      <c r="M56" s="71">
        <f t="shared" si="14"/>
        <v>0.2452377028638629</v>
      </c>
      <c r="N56" s="68">
        <f>SL!W56</f>
        <v>211588</v>
      </c>
      <c r="O56" s="68">
        <f>SL!X56</f>
        <v>2321</v>
      </c>
      <c r="P56" s="68">
        <f>SL!Y56</f>
        <v>265</v>
      </c>
      <c r="Q56" s="68">
        <f>SL!Z56</f>
        <v>2514.92</v>
      </c>
      <c r="R56" s="69">
        <f>SL!AA56</f>
        <v>5934.57</v>
      </c>
      <c r="S56" s="68">
        <f>SL!AB56</f>
        <v>1.08</v>
      </c>
      <c r="T56" s="48">
        <f t="shared" si="9"/>
        <v>0.42377459529502565</v>
      </c>
      <c r="U56" s="49">
        <f t="shared" si="10"/>
        <v>1.0969431158666844E-2</v>
      </c>
      <c r="V56" s="49">
        <f t="shared" si="11"/>
        <v>0.11417492460146489</v>
      </c>
      <c r="W56" s="50">
        <f t="shared" si="12"/>
        <v>9.4902641509433963</v>
      </c>
      <c r="X56" s="73">
        <f t="shared" si="6"/>
        <v>7.3389933044182634E-2</v>
      </c>
    </row>
    <row r="57" spans="1:24" ht="29.1" customHeight="1" x14ac:dyDescent="0.15">
      <c r="A57" s="38" t="s">
        <v>205</v>
      </c>
      <c r="B57" s="38" t="s">
        <v>206</v>
      </c>
      <c r="C57" s="67">
        <f>SL!C57</f>
        <v>427</v>
      </c>
      <c r="D57" s="68">
        <f>SL!D57</f>
        <v>397</v>
      </c>
      <c r="E57" s="41">
        <f>SL!E57</f>
        <v>9395.43</v>
      </c>
      <c r="F57" s="42">
        <v>1438</v>
      </c>
      <c r="G57" s="43">
        <v>4009</v>
      </c>
      <c r="H57" s="44">
        <v>5447</v>
      </c>
      <c r="I57" s="43">
        <v>1905</v>
      </c>
      <c r="J57" s="43">
        <v>5298</v>
      </c>
      <c r="K57" s="45">
        <v>7203</v>
      </c>
      <c r="L57" s="46">
        <f t="shared" si="13"/>
        <v>7.2884156416375981E-2</v>
      </c>
      <c r="M57" s="71">
        <f t="shared" si="14"/>
        <v>0.31623991664032408</v>
      </c>
      <c r="N57" s="68">
        <f>SL!W57</f>
        <v>247317</v>
      </c>
      <c r="O57" s="68">
        <f>SL!X57</f>
        <v>2759</v>
      </c>
      <c r="P57" s="68">
        <f>SL!Y57</f>
        <v>305</v>
      </c>
      <c r="Q57" s="68">
        <f>SL!Z57</f>
        <v>2971.21</v>
      </c>
      <c r="R57" s="69">
        <f>SL!AA57</f>
        <v>6972.09</v>
      </c>
      <c r="S57" s="68">
        <f>SL!AB57</f>
        <v>1.08</v>
      </c>
      <c r="T57" s="48">
        <f t="shared" si="9"/>
        <v>0.42615772315044698</v>
      </c>
      <c r="U57" s="49">
        <f t="shared" si="10"/>
        <v>1.1155723221614365E-2</v>
      </c>
      <c r="V57" s="49">
        <f t="shared" si="11"/>
        <v>0.11054729974628488</v>
      </c>
      <c r="W57" s="50">
        <f t="shared" si="12"/>
        <v>9.7416721311475403</v>
      </c>
      <c r="X57" s="73">
        <f t="shared" si="6"/>
        <v>7.3389933044182634E-2</v>
      </c>
    </row>
    <row r="58" spans="1:24" ht="29.1" customHeight="1" x14ac:dyDescent="0.15">
      <c r="A58" s="38" t="s">
        <v>208</v>
      </c>
      <c r="B58" s="38" t="s">
        <v>209</v>
      </c>
      <c r="C58" s="67">
        <f>SL!C58</f>
        <v>446</v>
      </c>
      <c r="D58" s="68">
        <f>SL!D58</f>
        <v>427</v>
      </c>
      <c r="E58" s="41">
        <f>SL!E58</f>
        <v>9900.9500000000007</v>
      </c>
      <c r="F58" s="42">
        <v>1156</v>
      </c>
      <c r="G58" s="43">
        <v>3062</v>
      </c>
      <c r="H58" s="44">
        <v>4218</v>
      </c>
      <c r="I58" s="43">
        <v>1640</v>
      </c>
      <c r="J58" s="43">
        <v>4073</v>
      </c>
      <c r="K58" s="45">
        <v>5713</v>
      </c>
      <c r="L58" s="46">
        <f t="shared" si="13"/>
        <v>0.10123281175912754</v>
      </c>
      <c r="M58" s="71">
        <f t="shared" si="14"/>
        <v>0.27650578984844887</v>
      </c>
      <c r="N58" s="68">
        <f>SL!W58</f>
        <v>199927</v>
      </c>
      <c r="O58" s="68">
        <f>SL!X58</f>
        <v>2528</v>
      </c>
      <c r="P58" s="68">
        <f>SL!Y58</f>
        <v>269</v>
      </c>
      <c r="Q58" s="68">
        <f>SL!Z58</f>
        <v>2737.67</v>
      </c>
      <c r="R58" s="69">
        <f>SL!AA58</f>
        <v>6107.72</v>
      </c>
      <c r="S58" s="68">
        <f>SL!AB58</f>
        <v>1.08</v>
      </c>
      <c r="T58" s="48">
        <f t="shared" si="9"/>
        <v>0.44823109114366733</v>
      </c>
      <c r="U58" s="49">
        <f t="shared" si="10"/>
        <v>1.2644615284578871E-2</v>
      </c>
      <c r="V58" s="49">
        <f t="shared" si="11"/>
        <v>0.10640822784810126</v>
      </c>
      <c r="W58" s="50">
        <f t="shared" si="12"/>
        <v>10.177211895910782</v>
      </c>
      <c r="X58" s="73">
        <f t="shared" si="6"/>
        <v>7.3389933044182634E-2</v>
      </c>
    </row>
    <row r="59" spans="1:24" ht="29.1" customHeight="1" x14ac:dyDescent="0.15">
      <c r="A59" s="38" t="s">
        <v>210</v>
      </c>
      <c r="B59" s="38" t="s">
        <v>211</v>
      </c>
      <c r="C59" s="67">
        <f>SL!C59</f>
        <v>513</v>
      </c>
      <c r="D59" s="68">
        <f>SL!D59</f>
        <v>470</v>
      </c>
      <c r="E59" s="41">
        <f>SL!E59</f>
        <v>9750.77</v>
      </c>
      <c r="F59" s="42">
        <v>1355</v>
      </c>
      <c r="G59" s="43">
        <v>3876</v>
      </c>
      <c r="H59" s="44">
        <v>5231</v>
      </c>
      <c r="I59" s="43">
        <v>1848</v>
      </c>
      <c r="J59" s="43">
        <v>5032</v>
      </c>
      <c r="K59" s="45">
        <v>6880</v>
      </c>
      <c r="L59" s="46">
        <f t="shared" si="13"/>
        <v>8.9848977251003631E-2</v>
      </c>
      <c r="M59" s="71">
        <f t="shared" si="14"/>
        <v>0.28013172293059929</v>
      </c>
      <c r="N59" s="68">
        <f>SL!W59</f>
        <v>204331</v>
      </c>
      <c r="O59" s="68">
        <f>SL!X59</f>
        <v>2582</v>
      </c>
      <c r="P59" s="68">
        <f>SL!Y59</f>
        <v>288</v>
      </c>
      <c r="Q59" s="68">
        <f>SL!Z59</f>
        <v>2731.5</v>
      </c>
      <c r="R59" s="69">
        <f>SL!AA59</f>
        <v>6068.95</v>
      </c>
      <c r="S59" s="68">
        <f>SL!AB59</f>
        <v>1.06</v>
      </c>
      <c r="T59" s="48">
        <f t="shared" si="9"/>
        <v>0.45007785531269828</v>
      </c>
      <c r="U59" s="49">
        <f t="shared" si="10"/>
        <v>1.2636359632165457E-2</v>
      </c>
      <c r="V59" s="49">
        <f t="shared" si="11"/>
        <v>0.11154144074360961</v>
      </c>
      <c r="W59" s="50">
        <f t="shared" si="12"/>
        <v>9.484375</v>
      </c>
      <c r="X59" s="73">
        <f t="shared" si="6"/>
        <v>7.3389933044182634E-2</v>
      </c>
    </row>
    <row r="60" spans="1:24" ht="29.1" customHeight="1" x14ac:dyDescent="0.15">
      <c r="A60" s="38" t="s">
        <v>213</v>
      </c>
      <c r="B60" s="38" t="s">
        <v>214</v>
      </c>
      <c r="C60" s="67">
        <f>SL!C60</f>
        <v>657</v>
      </c>
      <c r="D60" s="68">
        <f>SL!D60</f>
        <v>602</v>
      </c>
      <c r="E60" s="41">
        <f>SL!E60</f>
        <v>11504.01</v>
      </c>
      <c r="F60" s="42">
        <v>1590</v>
      </c>
      <c r="G60" s="43">
        <v>5036</v>
      </c>
      <c r="H60" s="44">
        <v>6626</v>
      </c>
      <c r="I60" s="43">
        <v>2032</v>
      </c>
      <c r="J60" s="43">
        <v>6566</v>
      </c>
      <c r="K60" s="45">
        <v>8598</v>
      </c>
      <c r="L60" s="46">
        <f t="shared" si="13"/>
        <v>9.0854210685179598E-2</v>
      </c>
      <c r="M60" s="71">
        <f t="shared" si="14"/>
        <v>0.24784488191508874</v>
      </c>
      <c r="N60" s="68">
        <f>SL!W60</f>
        <v>282183</v>
      </c>
      <c r="O60" s="68">
        <f>SL!X60</f>
        <v>2800</v>
      </c>
      <c r="P60" s="68">
        <f>SL!Y60</f>
        <v>350</v>
      </c>
      <c r="Q60" s="68">
        <f>SL!Z60</f>
        <v>2851.21</v>
      </c>
      <c r="R60" s="69">
        <f>SL!AA60</f>
        <v>6592.86</v>
      </c>
      <c r="S60" s="68">
        <f>SL!AB60</f>
        <v>1.02</v>
      </c>
      <c r="T60" s="48">
        <f t="shared" si="9"/>
        <v>0.43246936837730515</v>
      </c>
      <c r="U60" s="49">
        <f t="shared" si="10"/>
        <v>9.9226388549274753E-3</v>
      </c>
      <c r="V60" s="49">
        <f t="shared" si="11"/>
        <v>0.125</v>
      </c>
      <c r="W60" s="50">
        <f t="shared" si="12"/>
        <v>8.1463142857142863</v>
      </c>
      <c r="X60" s="73">
        <f t="shared" si="6"/>
        <v>7.3389933044182634E-2</v>
      </c>
    </row>
    <row r="61" spans="1:24" ht="29.1" customHeight="1" x14ac:dyDescent="0.15">
      <c r="A61" s="38" t="s">
        <v>216</v>
      </c>
      <c r="B61" s="38" t="s">
        <v>217</v>
      </c>
      <c r="C61" s="67">
        <f>SL!C61</f>
        <v>465</v>
      </c>
      <c r="D61" s="68">
        <f>SL!D61</f>
        <v>434</v>
      </c>
      <c r="E61" s="41">
        <f>SL!E61</f>
        <v>9735.19</v>
      </c>
      <c r="F61" s="42">
        <v>1394</v>
      </c>
      <c r="G61" s="43">
        <v>4012</v>
      </c>
      <c r="H61" s="44">
        <v>5406</v>
      </c>
      <c r="I61" s="43">
        <v>1813</v>
      </c>
      <c r="J61" s="43">
        <v>5244</v>
      </c>
      <c r="K61" s="45">
        <v>7057</v>
      </c>
      <c r="L61" s="46">
        <f t="shared" si="13"/>
        <v>8.0281169071402148E-2</v>
      </c>
      <c r="M61" s="71">
        <f t="shared" si="14"/>
        <v>0.23401494988798366</v>
      </c>
      <c r="N61" s="68">
        <f>SL!W61</f>
        <v>256847</v>
      </c>
      <c r="O61" s="68">
        <f>SL!X61</f>
        <v>2300</v>
      </c>
      <c r="P61" s="68">
        <f>SL!Y61</f>
        <v>258</v>
      </c>
      <c r="Q61" s="68">
        <f>SL!Z61</f>
        <v>2278.1799999999998</v>
      </c>
      <c r="R61" s="69">
        <f>SL!AA61</f>
        <v>5682.17</v>
      </c>
      <c r="S61" s="68">
        <f>SL!AB61</f>
        <v>0.99</v>
      </c>
      <c r="T61" s="48">
        <f t="shared" si="9"/>
        <v>0.40093485411383323</v>
      </c>
      <c r="U61" s="49">
        <f t="shared" si="10"/>
        <v>8.9547473787897069E-3</v>
      </c>
      <c r="V61" s="49">
        <f t="shared" si="11"/>
        <v>0.11217391304347826</v>
      </c>
      <c r="W61" s="50">
        <f t="shared" si="12"/>
        <v>8.8301550387596901</v>
      </c>
      <c r="X61" s="73">
        <f t="shared" si="6"/>
        <v>7.3389933044182634E-2</v>
      </c>
    </row>
    <row r="62" spans="1:24" ht="29.1" customHeight="1" x14ac:dyDescent="0.15">
      <c r="A62" s="38" t="s">
        <v>219</v>
      </c>
      <c r="B62" s="38" t="s">
        <v>220</v>
      </c>
      <c r="C62" s="67">
        <f>SL!C62</f>
        <v>424</v>
      </c>
      <c r="D62" s="68">
        <f>SL!D62</f>
        <v>407</v>
      </c>
      <c r="E62" s="41">
        <f>SL!E62</f>
        <v>9207.3700000000008</v>
      </c>
      <c r="F62" s="42">
        <v>1380</v>
      </c>
      <c r="G62" s="43">
        <v>3731</v>
      </c>
      <c r="H62" s="44">
        <v>5111</v>
      </c>
      <c r="I62" s="43">
        <v>1764</v>
      </c>
      <c r="J62" s="43">
        <v>4846</v>
      </c>
      <c r="K62" s="45">
        <v>6610</v>
      </c>
      <c r="L62" s="46">
        <f t="shared" si="13"/>
        <v>7.9632165916650358E-2</v>
      </c>
      <c r="M62" s="71">
        <f t="shared" si="14"/>
        <v>0.22833338944780102</v>
      </c>
      <c r="N62" s="68">
        <f>SL!W62</f>
        <v>220903</v>
      </c>
      <c r="O62" s="68">
        <f>SL!X62</f>
        <v>2078</v>
      </c>
      <c r="P62" s="68">
        <f>SL!Y62</f>
        <v>224</v>
      </c>
      <c r="Q62" s="68">
        <f>SL!Z62</f>
        <v>2102.35</v>
      </c>
      <c r="R62" s="69">
        <f>SL!AA62</f>
        <v>5024.18</v>
      </c>
      <c r="S62" s="68">
        <f>SL!AB62</f>
        <v>1.01</v>
      </c>
      <c r="T62" s="48">
        <f t="shared" si="9"/>
        <v>0.41844639324228028</v>
      </c>
      <c r="U62" s="49">
        <f t="shared" si="10"/>
        <v>9.406843727790026E-3</v>
      </c>
      <c r="V62" s="49">
        <f t="shared" si="11"/>
        <v>0.10779595765158806</v>
      </c>
      <c r="W62" s="50">
        <f t="shared" si="12"/>
        <v>9.3854910714285715</v>
      </c>
      <c r="X62" s="73">
        <f t="shared" si="6"/>
        <v>7.3389933044182634E-2</v>
      </c>
    </row>
    <row r="63" spans="1:24" ht="29.1" customHeight="1" x14ac:dyDescent="0.15">
      <c r="A63" s="38" t="s">
        <v>221</v>
      </c>
      <c r="B63" s="38" t="s">
        <v>222</v>
      </c>
      <c r="C63" s="67">
        <f>SL!C63</f>
        <v>436</v>
      </c>
      <c r="D63" s="68">
        <f>SL!D63</f>
        <v>423</v>
      </c>
      <c r="E63" s="41">
        <f>SL!E63</f>
        <v>9711.06</v>
      </c>
      <c r="F63" s="42">
        <v>994</v>
      </c>
      <c r="G63" s="43">
        <v>3138</v>
      </c>
      <c r="H63" s="44">
        <v>4132</v>
      </c>
      <c r="I63" s="43">
        <v>1246</v>
      </c>
      <c r="J63" s="43">
        <v>4110</v>
      </c>
      <c r="K63" s="45">
        <v>5356</v>
      </c>
      <c r="L63" s="46">
        <f t="shared" si="13"/>
        <v>0.10237173281703775</v>
      </c>
      <c r="M63" s="71">
        <f t="shared" si="14"/>
        <v>0.20300770461720968</v>
      </c>
      <c r="N63" s="68">
        <f>SL!W63</f>
        <v>216381</v>
      </c>
      <c r="O63" s="68">
        <f>SL!X63</f>
        <v>1885</v>
      </c>
      <c r="P63" s="68">
        <f>SL!Y63</f>
        <v>231</v>
      </c>
      <c r="Q63" s="68">
        <f>SL!Z63</f>
        <v>1971.42</v>
      </c>
      <c r="R63" s="69">
        <f>SL!AA63</f>
        <v>5377.07</v>
      </c>
      <c r="S63" s="68">
        <f>SL!AB63</f>
        <v>1.05</v>
      </c>
      <c r="T63" s="48">
        <f t="shared" si="9"/>
        <v>0.36663461699401351</v>
      </c>
      <c r="U63" s="49">
        <f t="shared" si="10"/>
        <v>8.7114857589159853E-3</v>
      </c>
      <c r="V63" s="49">
        <f t="shared" si="11"/>
        <v>0.12254641909814323</v>
      </c>
      <c r="W63" s="50">
        <f t="shared" si="12"/>
        <v>8.5342857142857138</v>
      </c>
      <c r="X63" s="73">
        <f t="shared" si="6"/>
        <v>7.3389933044182634E-2</v>
      </c>
    </row>
    <row r="64" spans="1:24" ht="29.1" customHeight="1" x14ac:dyDescent="0.15">
      <c r="A64" s="38" t="s">
        <v>223</v>
      </c>
      <c r="B64" s="38" t="s">
        <v>224</v>
      </c>
      <c r="C64" s="67">
        <f>SL!C64</f>
        <v>323</v>
      </c>
      <c r="D64" s="68">
        <f>SL!D64</f>
        <v>303</v>
      </c>
      <c r="E64" s="41">
        <f>SL!E64</f>
        <v>7223.97</v>
      </c>
      <c r="F64" s="42">
        <v>839</v>
      </c>
      <c r="G64" s="43">
        <v>2640</v>
      </c>
      <c r="H64" s="44">
        <v>3479</v>
      </c>
      <c r="I64" s="43">
        <v>1083</v>
      </c>
      <c r="J64" s="43">
        <v>3304</v>
      </c>
      <c r="K64" s="45">
        <v>4387</v>
      </c>
      <c r="L64" s="46">
        <f t="shared" si="13"/>
        <v>8.7093992526588102E-2</v>
      </c>
      <c r="M64" s="71">
        <f t="shared" si="14"/>
        <v>0.23114021791341879</v>
      </c>
      <c r="N64" s="68">
        <f>SL!W64</f>
        <v>180451</v>
      </c>
      <c r="O64" s="68">
        <f>SL!X64</f>
        <v>1670</v>
      </c>
      <c r="P64" s="68">
        <f>SL!Y64</f>
        <v>160</v>
      </c>
      <c r="Q64" s="68">
        <f>SL!Z64</f>
        <v>1669.75</v>
      </c>
      <c r="R64" s="69">
        <f>SL!AA64</f>
        <v>3746.85</v>
      </c>
      <c r="S64" s="68">
        <f>SL!AB64</f>
        <v>1</v>
      </c>
      <c r="T64" s="48">
        <f t="shared" si="9"/>
        <v>0.44564100511095989</v>
      </c>
      <c r="U64" s="49">
        <f t="shared" si="10"/>
        <v>9.2545898886678378E-3</v>
      </c>
      <c r="V64" s="49">
        <f t="shared" si="11"/>
        <v>9.580838323353294E-2</v>
      </c>
      <c r="W64" s="50">
        <f t="shared" si="12"/>
        <v>10.4359375</v>
      </c>
      <c r="X64" s="73">
        <f t="shared" si="6"/>
        <v>7.3389933044182634E-2</v>
      </c>
    </row>
    <row r="65" spans="1:24" ht="29.1" customHeight="1" x14ac:dyDescent="0.15">
      <c r="A65" s="56" t="s">
        <v>226</v>
      </c>
      <c r="B65" s="57" t="s">
        <v>227</v>
      </c>
      <c r="C65" s="67">
        <f>SL!C65</f>
        <v>434</v>
      </c>
      <c r="D65" s="68">
        <f>SL!D65</f>
        <v>393</v>
      </c>
      <c r="E65" s="41">
        <f>SL!E65</f>
        <v>10244.5</v>
      </c>
      <c r="F65" s="42">
        <v>1226</v>
      </c>
      <c r="G65" s="43">
        <v>4029</v>
      </c>
      <c r="H65" s="44">
        <v>5255</v>
      </c>
      <c r="I65" s="43">
        <v>1612</v>
      </c>
      <c r="J65" s="43">
        <v>5046</v>
      </c>
      <c r="K65" s="45">
        <v>6658</v>
      </c>
      <c r="L65" s="46">
        <f t="shared" si="13"/>
        <v>7.4785918173168417E-2</v>
      </c>
      <c r="M65" s="71">
        <f t="shared" si="14"/>
        <v>0.19902093806432719</v>
      </c>
      <c r="N65" s="68">
        <f>SL!W65</f>
        <v>229389</v>
      </c>
      <c r="O65" s="68">
        <f>SL!X65</f>
        <v>2108</v>
      </c>
      <c r="P65" s="68">
        <f>SL!Y65</f>
        <v>228</v>
      </c>
      <c r="Q65" s="68">
        <f>SL!Z65</f>
        <v>2038.87</v>
      </c>
      <c r="R65" s="69">
        <f>SL!AA65</f>
        <v>5774.96</v>
      </c>
      <c r="S65" s="68">
        <f>SL!AB65</f>
        <v>0.97</v>
      </c>
      <c r="T65" s="48">
        <f t="shared" si="9"/>
        <v>0.35305352764348147</v>
      </c>
      <c r="U65" s="49">
        <f t="shared" si="10"/>
        <v>9.1896298427561907E-3</v>
      </c>
      <c r="V65" s="49">
        <f t="shared" si="11"/>
        <v>0.10815939278937381</v>
      </c>
      <c r="W65" s="50">
        <f t="shared" si="12"/>
        <v>8.9424122807017543</v>
      </c>
      <c r="X65" s="73">
        <f t="shared" si="6"/>
        <v>7.3389933044182634E-2</v>
      </c>
    </row>
    <row r="66" spans="1:24" ht="29.1" customHeight="1" x14ac:dyDescent="0.15">
      <c r="A66" s="38" t="s">
        <v>228</v>
      </c>
      <c r="B66" s="58" t="s">
        <v>229</v>
      </c>
      <c r="C66" s="67">
        <f>SL!C66</f>
        <v>444</v>
      </c>
      <c r="D66" s="68">
        <f>SL!D66</f>
        <v>417</v>
      </c>
      <c r="E66" s="41">
        <f>SL!E66</f>
        <v>10786.89</v>
      </c>
      <c r="F66" s="42">
        <v>380</v>
      </c>
      <c r="G66" s="43">
        <v>4593</v>
      </c>
      <c r="H66" s="44">
        <v>5973</v>
      </c>
      <c r="I66" s="43">
        <v>1701</v>
      </c>
      <c r="J66" s="43">
        <v>5810</v>
      </c>
      <c r="K66" s="45">
        <v>7511</v>
      </c>
      <c r="L66" s="46">
        <f t="shared" si="13"/>
        <v>6.9814163736815676E-2</v>
      </c>
      <c r="M66" s="71">
        <f t="shared" si="14"/>
        <v>0.21351751987829673</v>
      </c>
      <c r="N66" s="68">
        <f>SL!W66</f>
        <v>215591</v>
      </c>
      <c r="O66" s="68">
        <f>SL!X66</f>
        <v>2375</v>
      </c>
      <c r="P66" s="68">
        <f>SL!Y66</f>
        <v>253</v>
      </c>
      <c r="Q66" s="68">
        <f>SL!Z66</f>
        <v>2303.19</v>
      </c>
      <c r="R66" s="69">
        <f>SL!AA66</f>
        <v>6318.58</v>
      </c>
      <c r="S66" s="68">
        <f>SL!AB66</f>
        <v>0.97</v>
      </c>
      <c r="T66" s="48">
        <f t="shared" si="9"/>
        <v>0.36451069702369837</v>
      </c>
      <c r="U66" s="49">
        <f t="shared" si="10"/>
        <v>1.1016229805511361E-2</v>
      </c>
      <c r="V66" s="49">
        <f t="shared" si="11"/>
        <v>0.10652631578947368</v>
      </c>
      <c r="W66" s="50">
        <f t="shared" si="12"/>
        <v>9.1035177865612642</v>
      </c>
      <c r="X66" s="73">
        <f t="shared" si="6"/>
        <v>7.3389933044182634E-2</v>
      </c>
    </row>
    <row r="67" spans="1:24" ht="29.1" customHeight="1" x14ac:dyDescent="0.15">
      <c r="A67" s="38" t="s">
        <v>230</v>
      </c>
      <c r="B67" s="58" t="s">
        <v>231</v>
      </c>
      <c r="C67" s="67">
        <f>SL!C67</f>
        <v>429</v>
      </c>
      <c r="D67" s="68">
        <f>SL!D67</f>
        <v>419</v>
      </c>
      <c r="E67" s="41">
        <f>SL!E67</f>
        <v>10511.13</v>
      </c>
      <c r="F67" s="42">
        <v>1154</v>
      </c>
      <c r="G67" s="43">
        <v>3625</v>
      </c>
      <c r="H67" s="44">
        <v>4779</v>
      </c>
      <c r="I67" s="43">
        <v>1476</v>
      </c>
      <c r="J67" s="43">
        <v>4572</v>
      </c>
      <c r="K67" s="45">
        <v>6048</v>
      </c>
      <c r="L67" s="46">
        <f t="shared" si="13"/>
        <v>8.7675245867336257E-2</v>
      </c>
      <c r="M67" s="71">
        <f t="shared" si="14"/>
        <v>0.20490946263627222</v>
      </c>
      <c r="N67" s="68">
        <f>SL!W67</f>
        <v>185443</v>
      </c>
      <c r="O67" s="68">
        <f>SL!X67</f>
        <v>2245</v>
      </c>
      <c r="P67" s="68">
        <f>SL!Y67</f>
        <v>277</v>
      </c>
      <c r="Q67" s="68">
        <f>SL!Z67</f>
        <v>2153.83</v>
      </c>
      <c r="R67" s="69">
        <f>SL!AA67</f>
        <v>6835.68</v>
      </c>
      <c r="S67" s="68">
        <f>SL!AB67</f>
        <v>0.96</v>
      </c>
      <c r="T67" s="48">
        <f t="shared" si="9"/>
        <v>0.31508642885565152</v>
      </c>
      <c r="U67" s="49">
        <f t="shared" si="10"/>
        <v>1.2106145823784128E-2</v>
      </c>
      <c r="V67" s="49">
        <f t="shared" si="11"/>
        <v>0.12338530066815145</v>
      </c>
      <c r="W67" s="50">
        <f t="shared" si="12"/>
        <v>7.7755595667870034</v>
      </c>
      <c r="X67" s="73">
        <f t="shared" si="6"/>
        <v>7.3389933044182634E-2</v>
      </c>
    </row>
    <row r="68" spans="1:24" ht="29.1" customHeight="1" x14ac:dyDescent="0.15">
      <c r="A68" s="38" t="s">
        <v>232</v>
      </c>
      <c r="B68" s="58" t="s">
        <v>233</v>
      </c>
      <c r="C68" s="67">
        <f>SL!C68</f>
        <v>401</v>
      </c>
      <c r="D68" s="68">
        <f>SL!D68</f>
        <v>371</v>
      </c>
      <c r="E68" s="41">
        <f>SL!E68</f>
        <v>8847.5499999999993</v>
      </c>
      <c r="F68" s="42">
        <v>1497</v>
      </c>
      <c r="G68" s="43">
        <v>5021</v>
      </c>
      <c r="H68" s="44">
        <v>6518</v>
      </c>
      <c r="I68" s="43">
        <v>2026</v>
      </c>
      <c r="J68" s="43">
        <v>6436</v>
      </c>
      <c r="K68" s="45">
        <v>8462</v>
      </c>
      <c r="L68" s="46">
        <f t="shared" si="13"/>
        <v>5.6919300398895367E-2</v>
      </c>
      <c r="M68" s="71">
        <f t="shared" si="14"/>
        <v>0.22739515459081897</v>
      </c>
      <c r="N68" s="68">
        <f>SL!W68</f>
        <v>281209</v>
      </c>
      <c r="O68" s="68">
        <f>SL!X68</f>
        <v>2093</v>
      </c>
      <c r="P68" s="68">
        <f>SL!Y68</f>
        <v>210</v>
      </c>
      <c r="Q68" s="68">
        <f>SL!Z68</f>
        <v>2011.89</v>
      </c>
      <c r="R68" s="69">
        <f>SL!AA68</f>
        <v>5176.6899999999996</v>
      </c>
      <c r="S68" s="68">
        <f>SL!AB68</f>
        <v>0.96</v>
      </c>
      <c r="T68" s="48">
        <f t="shared" ref="T68:T75" si="15">Q68/R68</f>
        <v>0.38864409497188362</v>
      </c>
      <c r="U68" s="49">
        <f t="shared" ref="U68:U75" si="16">O68/N68</f>
        <v>7.4428627817744097E-3</v>
      </c>
      <c r="V68" s="49">
        <f t="shared" ref="V68:V75" si="17">P68/O68</f>
        <v>0.10033444816053512</v>
      </c>
      <c r="W68" s="50">
        <f t="shared" ref="W68:W75" si="18">Q68/P68</f>
        <v>9.5804285714285715</v>
      </c>
      <c r="X68" s="73">
        <f t="shared" si="6"/>
        <v>7.3389933044182634E-2</v>
      </c>
    </row>
    <row r="69" spans="1:24" ht="29.1" customHeight="1" x14ac:dyDescent="0.15">
      <c r="A69" s="38" t="s">
        <v>236</v>
      </c>
      <c r="B69" s="58" t="s">
        <v>237</v>
      </c>
      <c r="C69" s="67">
        <f>SL!C69</f>
        <v>524</v>
      </c>
      <c r="D69" s="68">
        <f>SL!D69</f>
        <v>498</v>
      </c>
      <c r="E69" s="41">
        <f>SL!E69</f>
        <v>11077.72</v>
      </c>
      <c r="F69" s="42">
        <v>1633</v>
      </c>
      <c r="G69" s="43">
        <v>5705</v>
      </c>
      <c r="H69" s="44">
        <v>7338</v>
      </c>
      <c r="I69" s="43">
        <v>2070</v>
      </c>
      <c r="J69" s="43">
        <v>7291</v>
      </c>
      <c r="K69" s="45">
        <v>9361</v>
      </c>
      <c r="L69" s="46">
        <f t="shared" si="13"/>
        <v>6.7865903515944404E-2</v>
      </c>
      <c r="M69" s="71">
        <f t="shared" si="14"/>
        <v>0.20217337141577871</v>
      </c>
      <c r="N69" s="68">
        <f>SL!W69</f>
        <v>320616</v>
      </c>
      <c r="O69" s="68">
        <f>SL!X69</f>
        <v>2314</v>
      </c>
      <c r="P69" s="68">
        <f>SL!Y69</f>
        <v>300</v>
      </c>
      <c r="Q69" s="68">
        <f>SL!Z69</f>
        <v>2239.62</v>
      </c>
      <c r="R69" s="69">
        <f>SL!AA69</f>
        <v>6515.16</v>
      </c>
      <c r="S69" s="68">
        <f>SL!AB69</f>
        <v>0.97</v>
      </c>
      <c r="T69" s="48">
        <f t="shared" si="15"/>
        <v>0.34375518022581181</v>
      </c>
      <c r="U69" s="49">
        <f t="shared" si="16"/>
        <v>7.2173565885670088E-3</v>
      </c>
      <c r="V69" s="49">
        <f t="shared" si="17"/>
        <v>0.12964563526361278</v>
      </c>
      <c r="W69" s="50">
        <f t="shared" si="18"/>
        <v>7.4653999999999998</v>
      </c>
      <c r="X69" s="73">
        <f t="shared" si="6"/>
        <v>7.3389933044182634E-2</v>
      </c>
    </row>
    <row r="70" spans="1:24" ht="29.1" customHeight="1" x14ac:dyDescent="0.15">
      <c r="A70" s="38" t="s">
        <v>240</v>
      </c>
      <c r="B70" s="58" t="s">
        <v>241</v>
      </c>
      <c r="C70" s="67">
        <f>SL!C70</f>
        <v>486</v>
      </c>
      <c r="D70" s="68">
        <f>SL!D70</f>
        <v>450</v>
      </c>
      <c r="E70" s="41">
        <f>SL!E70</f>
        <v>10769.75</v>
      </c>
      <c r="F70" s="42">
        <v>1601</v>
      </c>
      <c r="G70" s="43">
        <v>5248</v>
      </c>
      <c r="H70" s="44">
        <v>6849</v>
      </c>
      <c r="I70" s="43">
        <v>2034</v>
      </c>
      <c r="J70" s="43">
        <v>6588</v>
      </c>
      <c r="K70" s="45">
        <v>8622</v>
      </c>
      <c r="L70" s="46">
        <f t="shared" si="13"/>
        <v>6.5703022339027597E-2</v>
      </c>
      <c r="M70" s="71">
        <f t="shared" si="14"/>
        <v>0.22616959539450776</v>
      </c>
      <c r="N70" s="68">
        <f>SL!W70</f>
        <v>224056</v>
      </c>
      <c r="O70" s="68">
        <f>SL!X70</f>
        <v>2432</v>
      </c>
      <c r="P70" s="68">
        <f>SL!Y70</f>
        <v>261</v>
      </c>
      <c r="Q70" s="68">
        <f>SL!Z70</f>
        <v>2435.79</v>
      </c>
      <c r="R70" s="69">
        <f>SL!AA70</f>
        <v>6049.84</v>
      </c>
      <c r="S70" s="68">
        <f>SL!AB70</f>
        <v>1</v>
      </c>
      <c r="T70" s="48">
        <f t="shared" si="15"/>
        <v>0.40262056517197148</v>
      </c>
      <c r="U70" s="49">
        <f t="shared" si="16"/>
        <v>1.08544292498304E-2</v>
      </c>
      <c r="V70" s="49">
        <f t="shared" si="17"/>
        <v>0.10731907894736842</v>
      </c>
      <c r="W70" s="50">
        <f t="shared" si="18"/>
        <v>9.3325287356321844</v>
      </c>
      <c r="X70" s="73">
        <f t="shared" si="6"/>
        <v>7.3389933044182634E-2</v>
      </c>
    </row>
    <row r="71" spans="1:24" ht="29.1" customHeight="1" x14ac:dyDescent="0.15">
      <c r="A71" s="38" t="s">
        <v>244</v>
      </c>
      <c r="B71" s="58" t="s">
        <v>245</v>
      </c>
      <c r="C71" s="67">
        <f>SL!C71</f>
        <v>495</v>
      </c>
      <c r="D71" s="68">
        <f>SL!D71</f>
        <v>481</v>
      </c>
      <c r="E71" s="41">
        <f>SL!E71</f>
        <v>10972.88</v>
      </c>
      <c r="F71" s="42">
        <v>1391</v>
      </c>
      <c r="G71" s="43">
        <v>4674</v>
      </c>
      <c r="H71" s="44">
        <v>6065</v>
      </c>
      <c r="I71" s="43">
        <v>1790</v>
      </c>
      <c r="J71" s="43">
        <v>5968</v>
      </c>
      <c r="K71" s="45">
        <v>7758</v>
      </c>
      <c r="L71" s="46">
        <f t="shared" si="13"/>
        <v>7.9307502061005772E-2</v>
      </c>
      <c r="M71" s="71">
        <f t="shared" si="14"/>
        <v>0.22793468988998331</v>
      </c>
      <c r="N71" s="68">
        <f>SL!W71</f>
        <v>192638</v>
      </c>
      <c r="O71" s="68">
        <f>SL!X71</f>
        <v>2449</v>
      </c>
      <c r="P71" s="68">
        <f>SL!Y71</f>
        <v>333</v>
      </c>
      <c r="Q71" s="68">
        <f>SL!Z71</f>
        <v>2501.1</v>
      </c>
      <c r="R71" s="69">
        <f>SL!AA71</f>
        <v>7556.87</v>
      </c>
      <c r="S71" s="68">
        <f>SL!AB71</f>
        <v>1.02</v>
      </c>
      <c r="T71" s="48">
        <f t="shared" si="15"/>
        <v>0.33097036206789321</v>
      </c>
      <c r="U71" s="49">
        <f t="shared" si="16"/>
        <v>1.2712964212668321E-2</v>
      </c>
      <c r="V71" s="49">
        <f t="shared" si="17"/>
        <v>0.13597386688444263</v>
      </c>
      <c r="W71" s="50">
        <f t="shared" si="18"/>
        <v>7.5108108108108107</v>
      </c>
      <c r="X71" s="73">
        <f t="shared" si="6"/>
        <v>7.3389933044182634E-2</v>
      </c>
    </row>
    <row r="72" spans="1:24" ht="29.1" customHeight="1" x14ac:dyDescent="0.15">
      <c r="A72" s="38" t="s">
        <v>247</v>
      </c>
      <c r="B72" s="58" t="s">
        <v>248</v>
      </c>
      <c r="C72" s="67">
        <f>SL!C72</f>
        <v>580</v>
      </c>
      <c r="D72" s="68">
        <f>SL!D72</f>
        <v>546</v>
      </c>
      <c r="E72" s="41">
        <f>SL!E72</f>
        <v>12876</v>
      </c>
      <c r="F72" s="42">
        <v>1497</v>
      </c>
      <c r="G72" s="43">
        <v>5021</v>
      </c>
      <c r="H72" s="44">
        <v>6518</v>
      </c>
      <c r="I72" s="43">
        <v>2026</v>
      </c>
      <c r="J72" s="43">
        <v>6436</v>
      </c>
      <c r="K72" s="45">
        <v>8462</v>
      </c>
      <c r="L72" s="46">
        <f t="shared" si="13"/>
        <v>8.3768027002147902E-2</v>
      </c>
      <c r="M72" s="71">
        <f t="shared" si="14"/>
        <v>0.23230661696178936</v>
      </c>
      <c r="N72" s="68">
        <f>SL!W72</f>
        <v>222786</v>
      </c>
      <c r="O72" s="68">
        <f>SL!X72</f>
        <v>2899</v>
      </c>
      <c r="P72" s="68">
        <f>SL!Y72</f>
        <v>342</v>
      </c>
      <c r="Q72" s="68">
        <f>SL!Z72</f>
        <v>2991.18</v>
      </c>
      <c r="R72" s="69">
        <f>SL!AA72</f>
        <v>7818.94</v>
      </c>
      <c r="S72" s="68">
        <f>SL!AB72</f>
        <v>1.03</v>
      </c>
      <c r="T72" s="48">
        <f t="shared" si="15"/>
        <v>0.38255569169222425</v>
      </c>
      <c r="U72" s="49">
        <f t="shared" si="16"/>
        <v>1.3012487319669997E-2</v>
      </c>
      <c r="V72" s="49">
        <f t="shared" si="17"/>
        <v>0.11797171438427044</v>
      </c>
      <c r="W72" s="50">
        <f t="shared" si="18"/>
        <v>8.7461403508771927</v>
      </c>
      <c r="X72" s="73">
        <f t="shared" si="6"/>
        <v>7.3389933044182634E-2</v>
      </c>
    </row>
    <row r="73" spans="1:24" ht="29.1" customHeight="1" x14ac:dyDescent="0.15">
      <c r="A73" s="38" t="s">
        <v>250</v>
      </c>
      <c r="B73" s="58" t="s">
        <v>251</v>
      </c>
      <c r="C73" s="67">
        <f>SL!C73</f>
        <v>596</v>
      </c>
      <c r="D73" s="68">
        <f>SL!D73</f>
        <v>558</v>
      </c>
      <c r="E73" s="41">
        <f>SL!E73</f>
        <v>13082.03</v>
      </c>
      <c r="F73" s="42">
        <v>1497</v>
      </c>
      <c r="G73" s="43">
        <v>5021</v>
      </c>
      <c r="H73" s="44">
        <v>6518</v>
      </c>
      <c r="I73" s="43">
        <v>2026</v>
      </c>
      <c r="J73" s="43">
        <v>6436</v>
      </c>
      <c r="K73" s="45">
        <v>8462</v>
      </c>
      <c r="L73" s="46">
        <f t="shared" si="13"/>
        <v>8.5609082540656647E-2</v>
      </c>
      <c r="M73" s="71">
        <f t="shared" si="14"/>
        <v>0.19352959747072893</v>
      </c>
      <c r="N73" s="68">
        <f>SL!W73</f>
        <v>211323</v>
      </c>
      <c r="O73" s="68">
        <f>SL!X73</f>
        <v>2479</v>
      </c>
      <c r="P73" s="68">
        <f>SL!Y73</f>
        <v>338</v>
      </c>
      <c r="Q73" s="68">
        <f>SL!Z73</f>
        <v>2531.7600000000002</v>
      </c>
      <c r="R73" s="69">
        <f>SL!AA73</f>
        <v>7647</v>
      </c>
      <c r="S73" s="68">
        <f>SL!AB73</f>
        <v>1.02</v>
      </c>
      <c r="T73" s="48">
        <f t="shared" si="15"/>
        <v>0.33107885445272661</v>
      </c>
      <c r="U73" s="49">
        <f t="shared" si="16"/>
        <v>1.1730857502496179E-2</v>
      </c>
      <c r="V73" s="49">
        <f t="shared" si="17"/>
        <v>0.13634530052440499</v>
      </c>
      <c r="W73" s="50">
        <f t="shared" si="18"/>
        <v>7.4904142011834329</v>
      </c>
      <c r="X73" s="73">
        <f>$L$75</f>
        <v>7.3389933044182634E-2</v>
      </c>
    </row>
    <row r="74" spans="1:24" ht="29.1" customHeight="1" x14ac:dyDescent="0.15">
      <c r="A74" s="38" t="s">
        <v>254</v>
      </c>
      <c r="B74" s="58" t="s">
        <v>255</v>
      </c>
      <c r="C74" s="67">
        <f>SL!C74</f>
        <v>489</v>
      </c>
      <c r="D74" s="68">
        <f>SL!D74</f>
        <v>463</v>
      </c>
      <c r="E74" s="41">
        <f>SL!E74</f>
        <v>10803.14</v>
      </c>
      <c r="F74" s="42">
        <v>1497</v>
      </c>
      <c r="G74" s="43">
        <v>5021</v>
      </c>
      <c r="H74" s="44">
        <v>6518</v>
      </c>
      <c r="I74" s="43">
        <v>2026</v>
      </c>
      <c r="J74" s="43">
        <v>6436</v>
      </c>
      <c r="K74" s="45">
        <v>8462</v>
      </c>
      <c r="L74" s="46">
        <f t="shared" si="13"/>
        <v>7.1034059527462418E-2</v>
      </c>
      <c r="M74" s="71">
        <f t="shared" si="14"/>
        <v>0.22152911098069636</v>
      </c>
      <c r="N74" s="68">
        <f>SL!W74</f>
        <v>191264</v>
      </c>
      <c r="O74" s="68">
        <f>SL!X74</f>
        <v>2364</v>
      </c>
      <c r="P74" s="68">
        <f>SL!Y74</f>
        <v>284</v>
      </c>
      <c r="Q74" s="68">
        <f>SL!Z74</f>
        <v>2393.21</v>
      </c>
      <c r="R74" s="69">
        <f>SL!AA74</f>
        <v>6412.56</v>
      </c>
      <c r="S74" s="68">
        <f>SL!AB74</f>
        <v>1.01</v>
      </c>
      <c r="T74" s="48">
        <f t="shared" si="15"/>
        <v>0.37320664446024676</v>
      </c>
      <c r="U74" s="49">
        <f t="shared" si="16"/>
        <v>1.2359879538229882E-2</v>
      </c>
      <c r="V74" s="49">
        <f t="shared" si="17"/>
        <v>0.12013536379018612</v>
      </c>
      <c r="W74" s="50">
        <f t="shared" si="18"/>
        <v>8.4267957746478874</v>
      </c>
      <c r="X74" s="73">
        <f>$L$75</f>
        <v>7.3389933044182634E-2</v>
      </c>
    </row>
    <row r="75" spans="1:24" ht="29.1" customHeight="1" x14ac:dyDescent="0.15">
      <c r="A75" t="s">
        <v>266</v>
      </c>
      <c r="B75" s="1"/>
      <c r="C75" s="74">
        <f>SL!C78</f>
        <v>31980</v>
      </c>
      <c r="D75" s="75">
        <f>SUBTOTAL(109,表3_3212[订单量])</f>
        <v>28630</v>
      </c>
      <c r="E75" s="76">
        <f>SL!E78</f>
        <v>720639.24</v>
      </c>
      <c r="F75" s="77">
        <f>SUBTOTAL(109,表3_3212[Sessions-Browser])</f>
        <v>93372</v>
      </c>
      <c r="G75" s="78">
        <f>SUBTOTAL(109,表3_3212[Sessions-Mobile])</f>
        <v>295736</v>
      </c>
      <c r="H75" s="78">
        <f>SUBTOTAL(109,表3_3212[Sessions-Total])</f>
        <v>390108</v>
      </c>
      <c r="I75" s="78">
        <f>SUBTOTAL(109,表3_3212[PV-Browser])</f>
        <v>122952</v>
      </c>
      <c r="J75" s="79">
        <f>SUBTOTAL(109,表3_3212[PV-Mobile])</f>
        <v>388394</v>
      </c>
      <c r="K75" s="80">
        <f>SUBTOTAL(101,表3_3212[PV-Total])</f>
        <v>7202.0563380281701</v>
      </c>
      <c r="L75" s="81">
        <f t="shared" si="13"/>
        <v>7.3389933044182634E-2</v>
      </c>
      <c r="M75" s="62">
        <f t="shared" si="14"/>
        <v>0.24517656018842379</v>
      </c>
      <c r="N75" s="1">
        <f>SUBTOTAL(109,表3_3212[展示])</f>
        <v>16504832</v>
      </c>
      <c r="O75" s="1">
        <f>SUBTOTAL(109,表3_3212[点击])</f>
        <v>173047</v>
      </c>
      <c r="P75" s="1">
        <f>SUBTOTAL(109,表3_3212[广告订单量])</f>
        <v>17613</v>
      </c>
      <c r="Q75" s="1">
        <f>SUBTOTAL(109,表3_3212[广告花费])</f>
        <v>176683.84999999998</v>
      </c>
      <c r="R75" s="1">
        <f>SUBTOTAL(109,表3_3212[广告销售额])</f>
        <v>419266.34</v>
      </c>
      <c r="S75" s="16">
        <f>SUBTOTAL(101,表3_3212[CPC])</f>
        <v>1.0236666666666665</v>
      </c>
      <c r="T75" s="48">
        <f t="shared" si="15"/>
        <v>0.42141195975808593</v>
      </c>
      <c r="U75" s="49">
        <f t="shared" si="16"/>
        <v>1.0484626562693883E-2</v>
      </c>
      <c r="V75" s="49">
        <f t="shared" si="17"/>
        <v>0.10178159690719862</v>
      </c>
      <c r="W75" s="50">
        <f t="shared" si="18"/>
        <v>10.031445523193094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ignoredErrors>
    <ignoredError sqref="I4:I18 I19:K21 I28:I35 I22:I26" calculatedColumn="1"/>
  </ignoredErrors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75"/>
  <sheetViews>
    <sheetView workbookViewId="0">
      <pane xSplit="2" ySplit="3" topLeftCell="C6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11.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40</v>
      </c>
      <c r="D4" s="68">
        <v>37</v>
      </c>
      <c r="E4" s="41">
        <v>949.6</v>
      </c>
      <c r="F4" s="42">
        <v>173</v>
      </c>
      <c r="G4" s="43">
        <v>369</v>
      </c>
      <c r="H4" s="44">
        <v>542</v>
      </c>
      <c r="I4" s="43">
        <v>209</v>
      </c>
      <c r="J4" s="43">
        <v>472</v>
      </c>
      <c r="K4" s="45">
        <v>681</v>
      </c>
      <c r="L4" s="46">
        <f t="shared" ref="L4:L35" si="0">D4/H4</f>
        <v>6.8265682656826601E-2</v>
      </c>
      <c r="M4" s="71">
        <f t="shared" ref="M4:M35" si="1">Q4/E4</f>
        <v>0.34419755686604903</v>
      </c>
      <c r="N4" s="68">
        <v>54006</v>
      </c>
      <c r="O4" s="68">
        <v>248</v>
      </c>
      <c r="P4" s="68">
        <v>29</v>
      </c>
      <c r="Q4" s="68">
        <v>326.85000000000002</v>
      </c>
      <c r="R4" s="69">
        <v>710.7</v>
      </c>
      <c r="S4" s="68">
        <v>1.32</v>
      </c>
      <c r="T4" s="48">
        <f t="shared" ref="T4:T35" si="2">Q4/R4</f>
        <v>0.459898691430984</v>
      </c>
      <c r="U4" s="49">
        <f t="shared" ref="U4:U35" si="3">O4/N4</f>
        <v>4.5920823612191197E-3</v>
      </c>
      <c r="V4" s="49">
        <f t="shared" ref="V4:V35" si="4">P4/O4</f>
        <v>0.116935483870968</v>
      </c>
      <c r="W4" s="50">
        <f t="shared" ref="W4:W35" si="5">Q4/P4</f>
        <v>11.270689655172401</v>
      </c>
    </row>
    <row r="5" spans="1:23" ht="29.1" customHeight="1" x14ac:dyDescent="0.15">
      <c r="A5" s="70" t="s">
        <v>71</v>
      </c>
      <c r="B5" s="67" t="s">
        <v>72</v>
      </c>
      <c r="C5" s="67">
        <v>58</v>
      </c>
      <c r="D5" s="68">
        <v>55</v>
      </c>
      <c r="E5" s="41">
        <v>1371.42</v>
      </c>
      <c r="F5" s="42">
        <v>217</v>
      </c>
      <c r="G5" s="43">
        <v>334</v>
      </c>
      <c r="H5" s="44">
        <v>551</v>
      </c>
      <c r="I5" s="43">
        <v>277</v>
      </c>
      <c r="J5" s="43">
        <v>455</v>
      </c>
      <c r="K5" s="45">
        <v>73</v>
      </c>
      <c r="L5" s="46">
        <f t="shared" si="0"/>
        <v>9.9818511796733206E-2</v>
      </c>
      <c r="M5" s="71">
        <f t="shared" si="1"/>
        <v>0.22456286185122001</v>
      </c>
      <c r="N5" s="68">
        <v>55780</v>
      </c>
      <c r="O5" s="68">
        <v>231</v>
      </c>
      <c r="P5" s="68">
        <v>33</v>
      </c>
      <c r="Q5" s="68">
        <v>307.97000000000003</v>
      </c>
      <c r="R5" s="69">
        <v>819.65</v>
      </c>
      <c r="S5" s="68">
        <v>1.33</v>
      </c>
      <c r="T5" s="48">
        <f t="shared" si="2"/>
        <v>0.37573354480570997</v>
      </c>
      <c r="U5" s="49">
        <f t="shared" si="3"/>
        <v>4.1412692721405501E-3</v>
      </c>
      <c r="V5" s="49">
        <f t="shared" si="4"/>
        <v>0.14285714285714299</v>
      </c>
      <c r="W5" s="50">
        <f t="shared" si="5"/>
        <v>9.3324242424242403</v>
      </c>
    </row>
    <row r="6" spans="1:23" ht="29.1" customHeight="1" x14ac:dyDescent="0.15">
      <c r="A6" s="70" t="s">
        <v>73</v>
      </c>
      <c r="B6" s="67" t="s">
        <v>74</v>
      </c>
      <c r="C6" s="67">
        <v>44</v>
      </c>
      <c r="D6" s="68">
        <v>42</v>
      </c>
      <c r="E6" s="41">
        <v>1044.56</v>
      </c>
      <c r="F6" s="42">
        <v>239</v>
      </c>
      <c r="G6" s="43">
        <v>464</v>
      </c>
      <c r="H6" s="44">
        <v>703</v>
      </c>
      <c r="I6" s="43">
        <v>286</v>
      </c>
      <c r="J6" s="43">
        <v>609</v>
      </c>
      <c r="K6" s="45">
        <v>895</v>
      </c>
      <c r="L6" s="46">
        <f t="shared" si="0"/>
        <v>5.9743954480796599E-2</v>
      </c>
      <c r="M6" s="71">
        <f t="shared" si="1"/>
        <v>0.44654208470552198</v>
      </c>
      <c r="N6" s="68">
        <v>80855</v>
      </c>
      <c r="O6" s="68">
        <v>306</v>
      </c>
      <c r="P6" s="68">
        <v>30</v>
      </c>
      <c r="Q6" s="68">
        <v>466.44</v>
      </c>
      <c r="R6" s="69">
        <v>708.7</v>
      </c>
      <c r="S6" s="68">
        <v>1.52</v>
      </c>
      <c r="T6" s="48">
        <f t="shared" si="2"/>
        <v>0.658162833356851</v>
      </c>
      <c r="U6" s="49">
        <f t="shared" si="3"/>
        <v>3.78455259415002E-3</v>
      </c>
      <c r="V6" s="49">
        <f t="shared" si="4"/>
        <v>9.8039215686274495E-2</v>
      </c>
      <c r="W6" s="50">
        <f t="shared" si="5"/>
        <v>15.548</v>
      </c>
    </row>
    <row r="7" spans="1:23" ht="29.1" customHeight="1" x14ac:dyDescent="0.15">
      <c r="A7" s="70" t="s">
        <v>76</v>
      </c>
      <c r="B7" s="67" t="s">
        <v>77</v>
      </c>
      <c r="C7" s="67">
        <v>57</v>
      </c>
      <c r="D7" s="68">
        <v>55</v>
      </c>
      <c r="E7" s="41">
        <v>1343.43</v>
      </c>
      <c r="F7" s="42">
        <v>249</v>
      </c>
      <c r="G7" s="43">
        <v>459</v>
      </c>
      <c r="H7" s="44">
        <v>708</v>
      </c>
      <c r="I7" s="43">
        <v>314</v>
      </c>
      <c r="J7" s="43">
        <v>601</v>
      </c>
      <c r="K7" s="45">
        <v>915</v>
      </c>
      <c r="L7" s="46">
        <f t="shared" si="0"/>
        <v>7.7683615819209004E-2</v>
      </c>
      <c r="M7" s="71">
        <f t="shared" si="1"/>
        <v>0.38619057189432998</v>
      </c>
      <c r="N7" s="68">
        <v>107755</v>
      </c>
      <c r="O7" s="68">
        <v>336</v>
      </c>
      <c r="P7" s="68">
        <v>35</v>
      </c>
      <c r="Q7" s="68">
        <v>518.82000000000005</v>
      </c>
      <c r="R7" s="69">
        <v>815.65</v>
      </c>
      <c r="S7" s="68">
        <v>1.54</v>
      </c>
      <c r="T7" s="48">
        <f t="shared" si="2"/>
        <v>0.63608165266965</v>
      </c>
      <c r="U7" s="49">
        <f t="shared" si="3"/>
        <v>3.1181847710083101E-3</v>
      </c>
      <c r="V7" s="49">
        <f t="shared" si="4"/>
        <v>0.104166666666667</v>
      </c>
      <c r="W7" s="50">
        <f t="shared" si="5"/>
        <v>14.8234285714286</v>
      </c>
    </row>
    <row r="8" spans="1:23" ht="29.1" customHeight="1" x14ac:dyDescent="0.15">
      <c r="A8" s="70" t="s">
        <v>79</v>
      </c>
      <c r="B8" s="67" t="s">
        <v>80</v>
      </c>
      <c r="C8" s="67">
        <v>47</v>
      </c>
      <c r="D8" s="68">
        <v>46</v>
      </c>
      <c r="E8" s="41">
        <v>1107.53</v>
      </c>
      <c r="F8" s="42">
        <v>215</v>
      </c>
      <c r="G8" s="43">
        <v>403</v>
      </c>
      <c r="H8" s="44">
        <v>618</v>
      </c>
      <c r="I8" s="43">
        <v>274</v>
      </c>
      <c r="J8" s="43">
        <v>508</v>
      </c>
      <c r="K8" s="45">
        <v>782</v>
      </c>
      <c r="L8" s="46">
        <f t="shared" si="0"/>
        <v>7.4433656957928807E-2</v>
      </c>
      <c r="M8" s="71">
        <f t="shared" si="1"/>
        <v>0.34545339629626298</v>
      </c>
      <c r="N8" s="68">
        <v>70831</v>
      </c>
      <c r="O8" s="68">
        <v>276</v>
      </c>
      <c r="P8" s="68">
        <v>25</v>
      </c>
      <c r="Q8" s="68">
        <v>382.6</v>
      </c>
      <c r="R8" s="69">
        <v>591.75</v>
      </c>
      <c r="S8" s="68">
        <v>1.39</v>
      </c>
      <c r="T8" s="48">
        <f t="shared" si="2"/>
        <v>0.64655682298267902</v>
      </c>
      <c r="U8" s="49">
        <f t="shared" si="3"/>
        <v>3.8965989467888399E-3</v>
      </c>
      <c r="V8" s="49">
        <f t="shared" si="4"/>
        <v>9.0579710144927494E-2</v>
      </c>
      <c r="W8" s="50">
        <f t="shared" si="5"/>
        <v>15.304</v>
      </c>
    </row>
    <row r="9" spans="1:23" ht="29.1" customHeight="1" x14ac:dyDescent="0.15">
      <c r="A9" s="70" t="s">
        <v>81</v>
      </c>
      <c r="B9" s="67" t="s">
        <v>82</v>
      </c>
      <c r="C9" s="67">
        <v>69</v>
      </c>
      <c r="D9" s="68">
        <v>66</v>
      </c>
      <c r="E9" s="41">
        <v>1634.31</v>
      </c>
      <c r="F9" s="42">
        <v>218</v>
      </c>
      <c r="G9" s="43">
        <v>431</v>
      </c>
      <c r="H9" s="44">
        <v>649</v>
      </c>
      <c r="I9" s="43">
        <v>286</v>
      </c>
      <c r="J9" s="43">
        <v>561</v>
      </c>
      <c r="K9" s="45">
        <v>847</v>
      </c>
      <c r="L9" s="46">
        <f t="shared" si="0"/>
        <v>0.101694915254237</v>
      </c>
      <c r="M9" s="71">
        <f t="shared" si="1"/>
        <v>0.248649277064939</v>
      </c>
      <c r="N9" s="68">
        <v>76019</v>
      </c>
      <c r="O9" s="68">
        <v>284</v>
      </c>
      <c r="P9" s="68">
        <v>36</v>
      </c>
      <c r="Q9" s="68">
        <v>406.37</v>
      </c>
      <c r="R9" s="69">
        <v>847.84</v>
      </c>
      <c r="S9" s="68">
        <v>1.43</v>
      </c>
      <c r="T9" s="48">
        <f t="shared" si="2"/>
        <v>0.47930033968673302</v>
      </c>
      <c r="U9" s="49">
        <f t="shared" si="3"/>
        <v>3.7359081282310998E-3</v>
      </c>
      <c r="V9" s="49">
        <f t="shared" si="4"/>
        <v>0.12676056338028199</v>
      </c>
      <c r="W9" s="50">
        <f t="shared" si="5"/>
        <v>11.2880555555556</v>
      </c>
    </row>
    <row r="10" spans="1:23" ht="29.1" customHeight="1" x14ac:dyDescent="0.15">
      <c r="A10" s="70" t="s">
        <v>84</v>
      </c>
      <c r="B10" s="67" t="s">
        <v>85</v>
      </c>
      <c r="C10" s="67">
        <v>78</v>
      </c>
      <c r="D10" s="68">
        <v>76</v>
      </c>
      <c r="E10" s="41">
        <v>1727.32</v>
      </c>
      <c r="F10" s="42">
        <v>274</v>
      </c>
      <c r="G10" s="43">
        <v>551</v>
      </c>
      <c r="H10" s="44">
        <v>825</v>
      </c>
      <c r="I10" s="43">
        <v>335</v>
      </c>
      <c r="J10" s="43">
        <v>671</v>
      </c>
      <c r="K10" s="45">
        <v>1006</v>
      </c>
      <c r="L10" s="46">
        <f t="shared" si="0"/>
        <v>9.2121212121212104E-2</v>
      </c>
      <c r="M10" s="71">
        <f t="shared" si="1"/>
        <v>0.29468772433596602</v>
      </c>
      <c r="N10" s="68">
        <v>95228</v>
      </c>
      <c r="O10" s="68">
        <v>359</v>
      </c>
      <c r="P10" s="68">
        <v>47</v>
      </c>
      <c r="Q10" s="68">
        <v>509.02</v>
      </c>
      <c r="R10" s="69">
        <v>1027.73</v>
      </c>
      <c r="S10" s="68">
        <v>1.42</v>
      </c>
      <c r="T10" s="48">
        <f t="shared" si="2"/>
        <v>0.49528572679594801</v>
      </c>
      <c r="U10" s="49">
        <f t="shared" si="3"/>
        <v>3.7698996093585898E-3</v>
      </c>
      <c r="V10" s="49">
        <f t="shared" si="4"/>
        <v>0.13091922005570999</v>
      </c>
      <c r="W10" s="50">
        <f t="shared" si="5"/>
        <v>10.8302127659574</v>
      </c>
    </row>
    <row r="11" spans="1:23" ht="29.1" customHeight="1" x14ac:dyDescent="0.15">
      <c r="A11" s="38" t="s">
        <v>86</v>
      </c>
      <c r="B11" s="66" t="s">
        <v>87</v>
      </c>
      <c r="C11" s="67">
        <v>44</v>
      </c>
      <c r="D11" s="68">
        <v>42</v>
      </c>
      <c r="E11" s="41">
        <v>940.06</v>
      </c>
      <c r="F11" s="42">
        <v>164</v>
      </c>
      <c r="G11" s="43">
        <v>246</v>
      </c>
      <c r="H11" s="44">
        <v>410</v>
      </c>
      <c r="I11" s="43">
        <v>214</v>
      </c>
      <c r="J11" s="43">
        <v>309</v>
      </c>
      <c r="K11" s="45">
        <v>523</v>
      </c>
      <c r="L11" s="46">
        <f t="shared" si="0"/>
        <v>0.10243902439024399</v>
      </c>
      <c r="M11" s="71">
        <f t="shared" si="1"/>
        <v>0.288385847711848</v>
      </c>
      <c r="N11" s="68">
        <v>38905</v>
      </c>
      <c r="O11" s="68">
        <v>205</v>
      </c>
      <c r="P11" s="68">
        <v>20</v>
      </c>
      <c r="Q11" s="68">
        <v>271.10000000000002</v>
      </c>
      <c r="R11" s="69">
        <v>450.69</v>
      </c>
      <c r="S11" s="68">
        <v>1.32</v>
      </c>
      <c r="T11" s="48">
        <f t="shared" si="2"/>
        <v>0.60152211054161397</v>
      </c>
      <c r="U11" s="49">
        <f t="shared" si="3"/>
        <v>5.2692455982521497E-3</v>
      </c>
      <c r="V11" s="49">
        <f t="shared" si="4"/>
        <v>9.7560975609756101E-2</v>
      </c>
      <c r="W11" s="50">
        <f t="shared" si="5"/>
        <v>13.555</v>
      </c>
    </row>
    <row r="12" spans="1:23" ht="29.1" customHeight="1" x14ac:dyDescent="0.15">
      <c r="A12" s="38" t="s">
        <v>89</v>
      </c>
      <c r="B12" s="66" t="s">
        <v>90</v>
      </c>
      <c r="C12" s="67">
        <v>40</v>
      </c>
      <c r="D12" s="68">
        <v>40</v>
      </c>
      <c r="E12" s="41">
        <v>853.7</v>
      </c>
      <c r="F12" s="42">
        <v>163</v>
      </c>
      <c r="G12" s="43">
        <v>386</v>
      </c>
      <c r="H12" s="44">
        <v>549</v>
      </c>
      <c r="I12" s="43">
        <v>199</v>
      </c>
      <c r="J12" s="43">
        <v>486</v>
      </c>
      <c r="K12" s="45">
        <v>68</v>
      </c>
      <c r="L12" s="46">
        <f t="shared" si="0"/>
        <v>7.2859744990892497E-2</v>
      </c>
      <c r="M12" s="71">
        <f t="shared" si="1"/>
        <v>0.29796181328335503</v>
      </c>
      <c r="N12" s="68">
        <v>33555</v>
      </c>
      <c r="O12" s="68">
        <v>218</v>
      </c>
      <c r="P12" s="68">
        <v>23</v>
      </c>
      <c r="Q12" s="68">
        <v>254.37</v>
      </c>
      <c r="R12" s="69">
        <v>485.47</v>
      </c>
      <c r="S12" s="68">
        <v>1.1599999999999999</v>
      </c>
      <c r="T12" s="48">
        <f t="shared" si="2"/>
        <v>0.52396646548705395</v>
      </c>
      <c r="U12" s="49">
        <f t="shared" si="3"/>
        <v>6.49679630457458E-3</v>
      </c>
      <c r="V12" s="49">
        <f t="shared" si="4"/>
        <v>0.105504587155963</v>
      </c>
      <c r="W12" s="50">
        <f t="shared" si="5"/>
        <v>11.059565217391301</v>
      </c>
    </row>
    <row r="13" spans="1:23" ht="29.1" customHeight="1" x14ac:dyDescent="0.15">
      <c r="A13" s="70" t="s">
        <v>92</v>
      </c>
      <c r="B13" s="67" t="s">
        <v>93</v>
      </c>
      <c r="C13" s="67">
        <v>32</v>
      </c>
      <c r="D13" s="68">
        <v>31</v>
      </c>
      <c r="E13" s="41">
        <v>760.68</v>
      </c>
      <c r="F13" s="42">
        <v>183</v>
      </c>
      <c r="G13" s="43">
        <v>301</v>
      </c>
      <c r="H13" s="44">
        <v>484</v>
      </c>
      <c r="I13" s="43">
        <v>240</v>
      </c>
      <c r="J13" s="43">
        <v>384</v>
      </c>
      <c r="K13" s="45">
        <v>624</v>
      </c>
      <c r="L13" s="46">
        <f t="shared" si="0"/>
        <v>6.4049586776859499E-2</v>
      </c>
      <c r="M13" s="71">
        <f t="shared" si="1"/>
        <v>0.30475364147867701</v>
      </c>
      <c r="N13" s="68">
        <v>32697</v>
      </c>
      <c r="O13" s="68">
        <v>197</v>
      </c>
      <c r="P13" s="68">
        <v>20</v>
      </c>
      <c r="Q13" s="68">
        <v>231.82</v>
      </c>
      <c r="R13" s="69">
        <v>475.8</v>
      </c>
      <c r="S13" s="68">
        <v>1.1599999999999999</v>
      </c>
      <c r="T13" s="48">
        <f t="shared" si="2"/>
        <v>0.48722152164775101</v>
      </c>
      <c r="U13" s="49">
        <f t="shared" si="3"/>
        <v>6.0250175857112301E-3</v>
      </c>
      <c r="V13" s="49">
        <f t="shared" si="4"/>
        <v>0.101522842639594</v>
      </c>
      <c r="W13" s="50">
        <f t="shared" si="5"/>
        <v>11.590999999999999</v>
      </c>
    </row>
    <row r="14" spans="1:23" ht="29.1" customHeight="1" x14ac:dyDescent="0.15">
      <c r="A14" s="38" t="s">
        <v>95</v>
      </c>
      <c r="B14" s="66" t="s">
        <v>96</v>
      </c>
      <c r="C14" s="67">
        <v>39</v>
      </c>
      <c r="D14" s="68">
        <v>37</v>
      </c>
      <c r="E14" s="41">
        <v>898.21</v>
      </c>
      <c r="F14" s="42">
        <v>211</v>
      </c>
      <c r="G14" s="43">
        <v>435</v>
      </c>
      <c r="H14" s="44">
        <v>646</v>
      </c>
      <c r="I14" s="43">
        <v>262</v>
      </c>
      <c r="J14" s="43">
        <v>559</v>
      </c>
      <c r="K14" s="45">
        <v>821</v>
      </c>
      <c r="L14" s="46">
        <f t="shared" si="0"/>
        <v>5.7275541795665602E-2</v>
      </c>
      <c r="M14" s="71">
        <f t="shared" si="1"/>
        <v>0.25809109228354199</v>
      </c>
      <c r="N14" s="68">
        <v>32697</v>
      </c>
      <c r="O14" s="68">
        <v>197</v>
      </c>
      <c r="P14" s="68">
        <v>20</v>
      </c>
      <c r="Q14" s="68">
        <v>231.82</v>
      </c>
      <c r="R14" s="69">
        <v>475.8</v>
      </c>
      <c r="S14" s="68">
        <v>1.1599999999999999</v>
      </c>
      <c r="T14" s="48">
        <f t="shared" si="2"/>
        <v>0.48722152164775101</v>
      </c>
      <c r="U14" s="49">
        <f t="shared" si="3"/>
        <v>6.0250175857112301E-3</v>
      </c>
      <c r="V14" s="49">
        <f t="shared" si="4"/>
        <v>0.101522842639594</v>
      </c>
      <c r="W14" s="50">
        <f t="shared" si="5"/>
        <v>11.590999999999999</v>
      </c>
    </row>
    <row r="15" spans="1:23" ht="29.1" customHeight="1" x14ac:dyDescent="0.15">
      <c r="A15" s="70" t="s">
        <v>98</v>
      </c>
      <c r="B15" s="67" t="s">
        <v>99</v>
      </c>
      <c r="C15" s="67">
        <v>45</v>
      </c>
      <c r="D15" s="68">
        <v>42</v>
      </c>
      <c r="E15" s="41">
        <v>1008.55</v>
      </c>
      <c r="F15" s="42">
        <v>161</v>
      </c>
      <c r="G15" s="43">
        <v>384</v>
      </c>
      <c r="H15" s="44">
        <v>545</v>
      </c>
      <c r="I15" s="43">
        <v>206</v>
      </c>
      <c r="J15" s="43">
        <v>477</v>
      </c>
      <c r="K15" s="45">
        <v>683</v>
      </c>
      <c r="L15" s="46">
        <f t="shared" si="0"/>
        <v>7.7064220183486201E-2</v>
      </c>
      <c r="M15" s="71">
        <f t="shared" si="1"/>
        <v>0.34793515442962702</v>
      </c>
      <c r="N15" s="68">
        <v>76033</v>
      </c>
      <c r="O15" s="68">
        <v>299</v>
      </c>
      <c r="P15" s="68">
        <v>25</v>
      </c>
      <c r="Q15" s="68">
        <v>350.91</v>
      </c>
      <c r="R15" s="69">
        <v>682.89</v>
      </c>
      <c r="S15" s="68">
        <v>1.17</v>
      </c>
      <c r="T15" s="48">
        <f t="shared" si="2"/>
        <v>0.51386021174713403</v>
      </c>
      <c r="U15" s="49">
        <f t="shared" si="3"/>
        <v>3.9325029921218396E-3</v>
      </c>
      <c r="V15" s="49">
        <f t="shared" si="4"/>
        <v>8.3612040133779306E-2</v>
      </c>
      <c r="W15" s="50">
        <f t="shared" si="5"/>
        <v>14.0364</v>
      </c>
    </row>
    <row r="16" spans="1:23" ht="29.1" customHeight="1" x14ac:dyDescent="0.15">
      <c r="A16" s="38" t="s">
        <v>101</v>
      </c>
      <c r="B16" s="66" t="s">
        <v>102</v>
      </c>
      <c r="C16" s="67">
        <v>57</v>
      </c>
      <c r="D16" s="68">
        <v>57</v>
      </c>
      <c r="E16" s="41">
        <v>1219.83</v>
      </c>
      <c r="F16" s="42">
        <v>206</v>
      </c>
      <c r="G16" s="43">
        <v>466</v>
      </c>
      <c r="H16" s="44">
        <v>672</v>
      </c>
      <c r="I16" s="43">
        <v>243</v>
      </c>
      <c r="J16" s="43">
        <v>586</v>
      </c>
      <c r="K16" s="45">
        <v>829</v>
      </c>
      <c r="L16" s="46">
        <f t="shared" si="0"/>
        <v>8.4821428571428603E-2</v>
      </c>
      <c r="M16" s="71">
        <f t="shared" si="1"/>
        <v>0.25233024273874199</v>
      </c>
      <c r="N16" s="68">
        <v>48720</v>
      </c>
      <c r="O16" s="68">
        <v>267</v>
      </c>
      <c r="P16" s="68">
        <v>35</v>
      </c>
      <c r="Q16" s="68">
        <v>307.8</v>
      </c>
      <c r="R16" s="69">
        <v>754.86</v>
      </c>
      <c r="S16" s="68">
        <v>1.1499999999999999</v>
      </c>
      <c r="T16" s="48">
        <f t="shared" si="2"/>
        <v>0.407757729910182</v>
      </c>
      <c r="U16" s="49">
        <f t="shared" si="3"/>
        <v>5.48029556650246E-3</v>
      </c>
      <c r="V16" s="49">
        <f t="shared" si="4"/>
        <v>0.131086142322097</v>
      </c>
      <c r="W16" s="50">
        <f t="shared" si="5"/>
        <v>8.7942857142857207</v>
      </c>
    </row>
    <row r="17" spans="1:23" ht="29.1" customHeight="1" x14ac:dyDescent="0.15">
      <c r="A17" s="38" t="s">
        <v>104</v>
      </c>
      <c r="B17" s="66" t="s">
        <v>105</v>
      </c>
      <c r="C17" s="67">
        <v>68</v>
      </c>
      <c r="D17" s="68">
        <v>57</v>
      </c>
      <c r="E17" s="41">
        <v>1559.92</v>
      </c>
      <c r="F17" s="42">
        <v>217</v>
      </c>
      <c r="G17" s="43">
        <v>479</v>
      </c>
      <c r="H17" s="44">
        <v>696</v>
      </c>
      <c r="I17" s="43">
        <v>277</v>
      </c>
      <c r="J17" s="43">
        <v>611</v>
      </c>
      <c r="K17" s="45">
        <v>888</v>
      </c>
      <c r="L17" s="46">
        <f t="shared" si="0"/>
        <v>8.18965517241379E-2</v>
      </c>
      <c r="M17" s="71">
        <f t="shared" si="1"/>
        <v>0.205997743474024</v>
      </c>
      <c r="N17" s="68">
        <v>47496</v>
      </c>
      <c r="O17" s="68">
        <v>291</v>
      </c>
      <c r="P17" s="68">
        <v>39</v>
      </c>
      <c r="Q17" s="68">
        <v>321.33999999999997</v>
      </c>
      <c r="R17" s="69">
        <v>1029.05</v>
      </c>
      <c r="S17" s="68">
        <v>1.1000000000000001</v>
      </c>
      <c r="T17" s="48">
        <f t="shared" si="2"/>
        <v>0.31226859724989098</v>
      </c>
      <c r="U17" s="49">
        <f t="shared" si="3"/>
        <v>6.1268317331985896E-3</v>
      </c>
      <c r="V17" s="49">
        <f t="shared" si="4"/>
        <v>0.134020618556701</v>
      </c>
      <c r="W17" s="50">
        <f t="shared" si="5"/>
        <v>8.2394871794871793</v>
      </c>
    </row>
    <row r="18" spans="1:23" ht="29.1" customHeight="1" x14ac:dyDescent="0.15">
      <c r="A18" s="38" t="s">
        <v>107</v>
      </c>
      <c r="B18" s="66" t="s">
        <v>108</v>
      </c>
      <c r="C18" s="67">
        <v>38</v>
      </c>
      <c r="D18" s="68">
        <v>36</v>
      </c>
      <c r="E18" s="41">
        <v>900.62</v>
      </c>
      <c r="F18" s="42">
        <v>195</v>
      </c>
      <c r="G18" s="43">
        <v>374</v>
      </c>
      <c r="H18" s="44">
        <v>569</v>
      </c>
      <c r="I18" s="43">
        <v>245</v>
      </c>
      <c r="J18" s="43">
        <v>475</v>
      </c>
      <c r="K18" s="45">
        <v>720</v>
      </c>
      <c r="L18" s="46">
        <f t="shared" si="0"/>
        <v>6.32688927943761E-2</v>
      </c>
      <c r="M18" s="71">
        <f t="shared" si="1"/>
        <v>0.31528280517865498</v>
      </c>
      <c r="N18" s="68">
        <v>43873</v>
      </c>
      <c r="O18" s="68">
        <v>252</v>
      </c>
      <c r="P18" s="68">
        <v>18</v>
      </c>
      <c r="Q18" s="68">
        <v>283.95</v>
      </c>
      <c r="R18" s="69">
        <v>454.81</v>
      </c>
      <c r="S18" s="68">
        <v>1.1299999999999999</v>
      </c>
      <c r="T18" s="48">
        <f t="shared" si="2"/>
        <v>0.624326641894417</v>
      </c>
      <c r="U18" s="49">
        <f t="shared" si="3"/>
        <v>5.7438515715816096E-3</v>
      </c>
      <c r="V18" s="49">
        <f t="shared" si="4"/>
        <v>7.1428571428571397E-2</v>
      </c>
      <c r="W18" s="50">
        <f t="shared" si="5"/>
        <v>15.775</v>
      </c>
    </row>
    <row r="19" spans="1:23" ht="29.1" customHeight="1" x14ac:dyDescent="0.15">
      <c r="A19" s="38" t="s">
        <v>110</v>
      </c>
      <c r="B19" s="66" t="s">
        <v>111</v>
      </c>
      <c r="C19" s="67">
        <f>Toy!C19</f>
        <v>37</v>
      </c>
      <c r="D19" s="68">
        <f>Toy!D19</f>
        <v>37</v>
      </c>
      <c r="E19" s="41">
        <f>Toy!E19</f>
        <v>855.64</v>
      </c>
      <c r="F19" s="42">
        <v>233</v>
      </c>
      <c r="G19" s="43">
        <v>372</v>
      </c>
      <c r="H19" s="44">
        <v>605</v>
      </c>
      <c r="I19" s="43">
        <v>297</v>
      </c>
      <c r="J19" s="43">
        <v>455</v>
      </c>
      <c r="K19" s="45">
        <v>752</v>
      </c>
      <c r="L19" s="46">
        <f t="shared" si="0"/>
        <v>6.1157024793388429E-2</v>
      </c>
      <c r="M19" s="71">
        <f t="shared" si="1"/>
        <v>0.30954607077742979</v>
      </c>
      <c r="N19" s="68">
        <f>Toy!W19</f>
        <v>49981</v>
      </c>
      <c r="O19" s="68">
        <f>Toy!X19</f>
        <v>235</v>
      </c>
      <c r="P19" s="68">
        <f>Toy!Y19</f>
        <v>25</v>
      </c>
      <c r="Q19" s="68">
        <f>Toy!Z19</f>
        <v>264.86</v>
      </c>
      <c r="R19" s="69">
        <f>Toy!AA19</f>
        <v>592.75</v>
      </c>
      <c r="S19" s="68">
        <f>Toy!AB19</f>
        <v>1.1299999999999999</v>
      </c>
      <c r="T19" s="48">
        <f t="shared" si="2"/>
        <v>0.44683256010122313</v>
      </c>
      <c r="U19" s="49">
        <f t="shared" si="3"/>
        <v>4.7017866789379964E-3</v>
      </c>
      <c r="V19" s="49">
        <f t="shared" si="4"/>
        <v>0.10638297872340426</v>
      </c>
      <c r="W19" s="50">
        <f t="shared" si="5"/>
        <v>10.5944</v>
      </c>
    </row>
    <row r="20" spans="1:23" ht="29.1" customHeight="1" x14ac:dyDescent="0.15">
      <c r="A20" s="38" t="s">
        <v>113</v>
      </c>
      <c r="B20" s="66" t="s">
        <v>114</v>
      </c>
      <c r="C20" s="67">
        <f>Toy!C20</f>
        <v>48</v>
      </c>
      <c r="D20" s="68">
        <f>Toy!D20</f>
        <v>46</v>
      </c>
      <c r="E20" s="41">
        <f>Toy!E20</f>
        <v>1142.52</v>
      </c>
      <c r="F20" s="42">
        <v>128</v>
      </c>
      <c r="G20" s="43">
        <v>383</v>
      </c>
      <c r="H20" s="44">
        <v>511</v>
      </c>
      <c r="I20" s="43">
        <v>160</v>
      </c>
      <c r="J20" s="43">
        <v>484</v>
      </c>
      <c r="K20" s="45">
        <v>644</v>
      </c>
      <c r="L20" s="46">
        <f t="shared" si="0"/>
        <v>9.0019569471624261E-2</v>
      </c>
      <c r="M20" s="71">
        <f t="shared" si="1"/>
        <v>0.17306480411721456</v>
      </c>
      <c r="N20" s="68">
        <f>Toy!W20</f>
        <v>30704</v>
      </c>
      <c r="O20" s="68">
        <f>Toy!X20</f>
        <v>193</v>
      </c>
      <c r="P20" s="68">
        <f>Toy!Y20</f>
        <v>25</v>
      </c>
      <c r="Q20" s="68">
        <f>Toy!Z20</f>
        <v>197.73</v>
      </c>
      <c r="R20" s="69">
        <f>Toy!AA20</f>
        <v>620.64</v>
      </c>
      <c r="S20" s="68">
        <f>Toy!AB20</f>
        <v>1.02</v>
      </c>
      <c r="T20" s="48">
        <f t="shared" si="2"/>
        <v>0.31859048723897909</v>
      </c>
      <c r="U20" s="49">
        <f t="shared" si="3"/>
        <v>6.2858259510161539E-3</v>
      </c>
      <c r="V20" s="49">
        <f t="shared" si="4"/>
        <v>0.12953367875647667</v>
      </c>
      <c r="W20" s="50">
        <f t="shared" si="5"/>
        <v>7.9091999999999993</v>
      </c>
    </row>
    <row r="21" spans="1:23" ht="29.1" customHeight="1" x14ac:dyDescent="0.15">
      <c r="A21" s="38" t="s">
        <v>115</v>
      </c>
      <c r="B21" s="66" t="s">
        <v>116</v>
      </c>
      <c r="C21" s="67">
        <f>Toy!C21</f>
        <v>34</v>
      </c>
      <c r="D21" s="68">
        <f>Toy!D21</f>
        <v>33</v>
      </c>
      <c r="E21" s="41">
        <f>Toy!E21</f>
        <v>806.66</v>
      </c>
      <c r="F21" s="42">
        <v>215</v>
      </c>
      <c r="G21" s="43">
        <v>422</v>
      </c>
      <c r="H21" s="44">
        <v>637</v>
      </c>
      <c r="I21" s="43">
        <v>242</v>
      </c>
      <c r="J21" s="43">
        <v>514</v>
      </c>
      <c r="K21" s="45">
        <v>756</v>
      </c>
      <c r="L21" s="46">
        <f t="shared" si="0"/>
        <v>5.1805337519623233E-2</v>
      </c>
      <c r="M21" s="71">
        <f t="shared" si="1"/>
        <v>0.28595690873478291</v>
      </c>
      <c r="N21" s="68">
        <f>Toy!W21</f>
        <v>32552</v>
      </c>
      <c r="O21" s="68">
        <f>Toy!X21</f>
        <v>215</v>
      </c>
      <c r="P21" s="68">
        <f>Toy!Y21</f>
        <v>24</v>
      </c>
      <c r="Q21" s="68">
        <f>Toy!Z21</f>
        <v>230.67</v>
      </c>
      <c r="R21" s="69">
        <f>Toy!AA21</f>
        <v>584.85</v>
      </c>
      <c r="S21" s="68">
        <f>Toy!AB21</f>
        <v>1.07</v>
      </c>
      <c r="T21" s="48">
        <f t="shared" si="2"/>
        <v>0.3944088227750705</v>
      </c>
      <c r="U21" s="49">
        <f t="shared" si="3"/>
        <v>6.6048169083312855E-3</v>
      </c>
      <c r="V21" s="49">
        <f t="shared" si="4"/>
        <v>0.11162790697674418</v>
      </c>
      <c r="W21" s="50">
        <f t="shared" si="5"/>
        <v>9.6112500000000001</v>
      </c>
    </row>
    <row r="22" spans="1:23" ht="29.1" customHeight="1" x14ac:dyDescent="0.15">
      <c r="A22" s="38" t="s">
        <v>118</v>
      </c>
      <c r="B22" s="66" t="s">
        <v>119</v>
      </c>
      <c r="C22" s="67">
        <f>Toy!C22</f>
        <v>38</v>
      </c>
      <c r="D22" s="68">
        <f>Toy!D22</f>
        <v>36</v>
      </c>
      <c r="E22" s="41">
        <f>Toy!E22</f>
        <v>902.62</v>
      </c>
      <c r="F22" s="42">
        <v>194</v>
      </c>
      <c r="G22" s="43">
        <v>297</v>
      </c>
      <c r="H22" s="44">
        <v>491</v>
      </c>
      <c r="I22" s="43">
        <v>236</v>
      </c>
      <c r="J22" s="43">
        <v>385</v>
      </c>
      <c r="K22" s="45">
        <v>621</v>
      </c>
      <c r="L22" s="46">
        <f t="shared" si="0"/>
        <v>7.3319755600814662E-2</v>
      </c>
      <c r="M22" s="71">
        <f t="shared" si="1"/>
        <v>0.2033081473931444</v>
      </c>
      <c r="N22" s="68">
        <f>Toy!W22</f>
        <v>30728</v>
      </c>
      <c r="O22" s="68">
        <f>Toy!X22</f>
        <v>173</v>
      </c>
      <c r="P22" s="68">
        <f>Toy!Y22</f>
        <v>19</v>
      </c>
      <c r="Q22" s="68">
        <f>Toy!Z22</f>
        <v>183.51</v>
      </c>
      <c r="R22" s="69">
        <f>Toy!AA22</f>
        <v>472.8</v>
      </c>
      <c r="S22" s="68">
        <f>Toy!AB22</f>
        <v>1.06</v>
      </c>
      <c r="T22" s="48">
        <f t="shared" si="2"/>
        <v>0.38813451776649743</v>
      </c>
      <c r="U22" s="49">
        <f t="shared" si="3"/>
        <v>5.630044259307472E-3</v>
      </c>
      <c r="V22" s="49">
        <f t="shared" si="4"/>
        <v>0.10982658959537572</v>
      </c>
      <c r="W22" s="50">
        <f t="shared" si="5"/>
        <v>9.6584210526315779</v>
      </c>
    </row>
    <row r="23" spans="1:23" ht="29.1" customHeight="1" x14ac:dyDescent="0.15">
      <c r="A23" s="38" t="s">
        <v>121</v>
      </c>
      <c r="B23" s="66" t="s">
        <v>122</v>
      </c>
      <c r="C23" s="67">
        <f>Toy!C23</f>
        <v>41</v>
      </c>
      <c r="D23" s="68">
        <f>Toy!D23</f>
        <v>40</v>
      </c>
      <c r="E23" s="41">
        <f>Toy!E23</f>
        <v>972.59</v>
      </c>
      <c r="F23" s="42">
        <v>156</v>
      </c>
      <c r="G23" s="43">
        <v>252</v>
      </c>
      <c r="H23" s="44">
        <v>408</v>
      </c>
      <c r="I23" s="43">
        <v>190</v>
      </c>
      <c r="J23" s="43">
        <v>313</v>
      </c>
      <c r="K23" s="45">
        <v>503</v>
      </c>
      <c r="L23" s="46">
        <f t="shared" si="0"/>
        <v>9.8039215686274508E-2</v>
      </c>
      <c r="M23" s="71">
        <f t="shared" si="1"/>
        <v>0.28038536279418869</v>
      </c>
      <c r="N23" s="68">
        <f>Toy!W23</f>
        <v>35047</v>
      </c>
      <c r="O23" s="68">
        <f>Toy!X23</f>
        <v>253</v>
      </c>
      <c r="P23" s="68">
        <f>Toy!Y23</f>
        <v>28</v>
      </c>
      <c r="Q23" s="68">
        <f>Toy!Z23</f>
        <v>272.7</v>
      </c>
      <c r="R23" s="69">
        <f>Toy!AA23</f>
        <v>653.71</v>
      </c>
      <c r="S23" s="68">
        <f>Toy!AB23</f>
        <v>1.1100000000000001</v>
      </c>
      <c r="T23" s="48">
        <f t="shared" si="2"/>
        <v>0.41715745514065866</v>
      </c>
      <c r="U23" s="49">
        <f t="shared" si="3"/>
        <v>7.2188775073472764E-3</v>
      </c>
      <c r="V23" s="49">
        <f t="shared" si="4"/>
        <v>0.11067193675889328</v>
      </c>
      <c r="W23" s="50">
        <f t="shared" si="5"/>
        <v>9.7392857142857139</v>
      </c>
    </row>
    <row r="24" spans="1:23" ht="29.1" customHeight="1" x14ac:dyDescent="0.15">
      <c r="A24" s="38" t="s">
        <v>124</v>
      </c>
      <c r="B24" s="66" t="s">
        <v>125</v>
      </c>
      <c r="C24" s="67">
        <f>Toy!C24</f>
        <v>56</v>
      </c>
      <c r="D24" s="68">
        <f>Toy!D24</f>
        <v>53</v>
      </c>
      <c r="E24" s="41">
        <f>Toy!E24</f>
        <v>1151.05</v>
      </c>
      <c r="F24" s="42">
        <v>167</v>
      </c>
      <c r="G24" s="43">
        <v>392</v>
      </c>
      <c r="H24" s="44">
        <v>559</v>
      </c>
      <c r="I24" s="43">
        <v>216</v>
      </c>
      <c r="J24" s="43">
        <v>479</v>
      </c>
      <c r="K24" s="45">
        <v>695</v>
      </c>
      <c r="L24" s="46">
        <f t="shared" si="0"/>
        <v>9.4812164579606437E-2</v>
      </c>
      <c r="M24" s="71">
        <f t="shared" si="1"/>
        <v>0.25741714087137835</v>
      </c>
      <c r="N24" s="68">
        <f>Toy!W24</f>
        <v>41621</v>
      </c>
      <c r="O24" s="68">
        <f>Toy!X24</f>
        <v>248</v>
      </c>
      <c r="P24" s="68">
        <f>Toy!Y24</f>
        <v>32</v>
      </c>
      <c r="Q24" s="68">
        <f>Toy!Z24</f>
        <v>296.3</v>
      </c>
      <c r="R24" s="69">
        <f>Toy!AA24</f>
        <v>681.37</v>
      </c>
      <c r="S24" s="68">
        <f>Toy!AB24</f>
        <v>1.19</v>
      </c>
      <c r="T24" s="48">
        <f t="shared" si="2"/>
        <v>0.43485918076815827</v>
      </c>
      <c r="U24" s="49">
        <f t="shared" si="3"/>
        <v>5.9585305494822324E-3</v>
      </c>
      <c r="V24" s="49">
        <f t="shared" si="4"/>
        <v>0.12903225806451613</v>
      </c>
      <c r="W24" s="50">
        <f t="shared" si="5"/>
        <v>9.2593750000000004</v>
      </c>
    </row>
    <row r="25" spans="1:23" ht="29.1" customHeight="1" x14ac:dyDescent="0.15">
      <c r="A25" s="38" t="s">
        <v>128</v>
      </c>
      <c r="B25" s="66" t="s">
        <v>129</v>
      </c>
      <c r="C25" s="67">
        <f>Toy!C25</f>
        <v>30</v>
      </c>
      <c r="D25" s="68">
        <f>Toy!D25</f>
        <v>29</v>
      </c>
      <c r="E25" s="41">
        <f>Toy!E25</f>
        <v>686.7</v>
      </c>
      <c r="F25" s="42">
        <v>138</v>
      </c>
      <c r="G25" s="43">
        <v>238</v>
      </c>
      <c r="H25" s="44">
        <v>376</v>
      </c>
      <c r="I25" s="43">
        <v>184</v>
      </c>
      <c r="J25" s="43">
        <v>323</v>
      </c>
      <c r="K25" s="45">
        <v>507</v>
      </c>
      <c r="L25" s="46">
        <f t="shared" si="0"/>
        <v>7.7127659574468085E-2</v>
      </c>
      <c r="M25" s="71">
        <f t="shared" si="1"/>
        <v>0.26588029707295763</v>
      </c>
      <c r="N25" s="68">
        <f>Toy!W25</f>
        <v>18306</v>
      </c>
      <c r="O25" s="68">
        <f>Toy!X25</f>
        <v>158</v>
      </c>
      <c r="P25" s="68">
        <f>Toy!Y25</f>
        <v>15</v>
      </c>
      <c r="Q25" s="68">
        <f>Toy!Z25</f>
        <v>182.58</v>
      </c>
      <c r="R25" s="69">
        <f>Toy!AA25</f>
        <v>347.8</v>
      </c>
      <c r="S25" s="68">
        <f>Toy!AB25</f>
        <v>1.1599999999999999</v>
      </c>
      <c r="T25" s="48">
        <f t="shared" si="2"/>
        <v>0.52495687176538242</v>
      </c>
      <c r="U25" s="49">
        <f t="shared" si="3"/>
        <v>8.631049928985033E-3</v>
      </c>
      <c r="V25" s="49">
        <f t="shared" si="4"/>
        <v>9.49367088607595E-2</v>
      </c>
      <c r="W25" s="50">
        <f t="shared" si="5"/>
        <v>12.172000000000001</v>
      </c>
    </row>
    <row r="26" spans="1:23" ht="29.1" customHeight="1" x14ac:dyDescent="0.15">
      <c r="A26" s="38" t="s">
        <v>130</v>
      </c>
      <c r="B26" s="66" t="s">
        <v>131</v>
      </c>
      <c r="C26" s="67">
        <f>Toy!C26</f>
        <v>40</v>
      </c>
      <c r="D26" s="68">
        <f>Toy!D26</f>
        <v>38</v>
      </c>
      <c r="E26" s="41">
        <f>Toy!E26</f>
        <v>956.6</v>
      </c>
      <c r="F26" s="42">
        <v>116</v>
      </c>
      <c r="G26" s="43">
        <v>212</v>
      </c>
      <c r="H26" s="44">
        <v>328</v>
      </c>
      <c r="I26" s="43">
        <v>143</v>
      </c>
      <c r="J26" s="43">
        <v>303</v>
      </c>
      <c r="K26" s="45">
        <v>446</v>
      </c>
      <c r="L26" s="46">
        <f t="shared" si="0"/>
        <v>0.11585365853658537</v>
      </c>
      <c r="M26" s="71">
        <f t="shared" si="1"/>
        <v>0.17767091783399541</v>
      </c>
      <c r="N26" s="68">
        <f>Toy!W26</f>
        <v>18638</v>
      </c>
      <c r="O26" s="68">
        <f>Toy!X26</f>
        <v>148</v>
      </c>
      <c r="P26" s="68">
        <f>Toy!Y26</f>
        <v>25</v>
      </c>
      <c r="Q26" s="68">
        <f>Toy!Z26</f>
        <v>169.96</v>
      </c>
      <c r="R26" s="69">
        <f>Toy!AA26</f>
        <v>622.64</v>
      </c>
      <c r="S26" s="68">
        <f>Toy!AB26</f>
        <v>1.1100000000000001</v>
      </c>
      <c r="T26" s="48">
        <f t="shared" si="2"/>
        <v>0.27296672234356933</v>
      </c>
      <c r="U26" s="49">
        <f t="shared" si="3"/>
        <v>7.9407661766283943E-3</v>
      </c>
      <c r="V26" s="49">
        <f t="shared" si="4"/>
        <v>0.16891891891891891</v>
      </c>
      <c r="W26" s="50">
        <f t="shared" si="5"/>
        <v>6.7984</v>
      </c>
    </row>
    <row r="27" spans="1:23" ht="29.1" customHeight="1" x14ac:dyDescent="0.15">
      <c r="A27" s="38" t="s">
        <v>133</v>
      </c>
      <c r="B27" s="66" t="s">
        <v>134</v>
      </c>
      <c r="C27" s="67">
        <f>Toy!C27</f>
        <v>22</v>
      </c>
      <c r="D27" s="68">
        <f>Toy!D27</f>
        <v>22</v>
      </c>
      <c r="E27" s="41">
        <f>Toy!E27</f>
        <v>524.78</v>
      </c>
      <c r="F27" s="42">
        <v>90</v>
      </c>
      <c r="G27" s="43">
        <v>235</v>
      </c>
      <c r="H27" s="44">
        <v>325</v>
      </c>
      <c r="I27" s="43">
        <v>112</v>
      </c>
      <c r="J27" s="43">
        <v>308</v>
      </c>
      <c r="K27" s="45">
        <v>420</v>
      </c>
      <c r="L27" s="46">
        <f t="shared" si="0"/>
        <v>6.7692307692307691E-2</v>
      </c>
      <c r="M27" s="71">
        <f t="shared" si="1"/>
        <v>0.31274057700369678</v>
      </c>
      <c r="N27" s="68">
        <f>Toy!W27</f>
        <v>29556</v>
      </c>
      <c r="O27" s="68">
        <f>Toy!X27</f>
        <v>160</v>
      </c>
      <c r="P27" s="68">
        <f>Toy!Y27</f>
        <v>15</v>
      </c>
      <c r="Q27" s="68">
        <f>Toy!Z27</f>
        <v>164.12</v>
      </c>
      <c r="R27" s="69">
        <f>Toy!AA27</f>
        <v>356.85</v>
      </c>
      <c r="S27" s="68">
        <f>Toy!AB27</f>
        <v>1.03</v>
      </c>
      <c r="T27" s="48">
        <f t="shared" si="2"/>
        <v>0.45991312876558776</v>
      </c>
      <c r="U27" s="49">
        <f t="shared" si="3"/>
        <v>5.413452429286778E-3</v>
      </c>
      <c r="V27" s="49">
        <f t="shared" si="4"/>
        <v>9.375E-2</v>
      </c>
      <c r="W27" s="50">
        <f t="shared" si="5"/>
        <v>10.941333333333334</v>
      </c>
    </row>
    <row r="28" spans="1:23" ht="29.1" customHeight="1" x14ac:dyDescent="0.15">
      <c r="A28" s="38" t="s">
        <v>136</v>
      </c>
      <c r="B28" s="66" t="s">
        <v>137</v>
      </c>
      <c r="C28" s="67">
        <f>Toy!C28</f>
        <v>22</v>
      </c>
      <c r="D28" s="68">
        <f>Toy!D28</f>
        <v>22</v>
      </c>
      <c r="E28" s="41">
        <f>Toy!E28</f>
        <v>522.78</v>
      </c>
      <c r="F28" s="42">
        <v>198</v>
      </c>
      <c r="G28" s="43">
        <v>412</v>
      </c>
      <c r="H28" s="44">
        <v>610</v>
      </c>
      <c r="I28" s="43">
        <v>259</v>
      </c>
      <c r="J28" s="43">
        <v>482</v>
      </c>
      <c r="K28" s="45">
        <v>741</v>
      </c>
      <c r="L28" s="46">
        <f t="shared" si="0"/>
        <v>3.6065573770491806E-2</v>
      </c>
      <c r="M28" s="71">
        <f t="shared" si="1"/>
        <v>0.44640192815333413</v>
      </c>
      <c r="N28" s="68">
        <f>Toy!W28</f>
        <v>36296</v>
      </c>
      <c r="O28" s="68">
        <f>Toy!X28</f>
        <v>220</v>
      </c>
      <c r="P28" s="68">
        <f>Toy!Y28</f>
        <v>13</v>
      </c>
      <c r="Q28" s="68">
        <f>Toy!Z28</f>
        <v>233.37</v>
      </c>
      <c r="R28" s="69">
        <f>Toy!AA28</f>
        <v>307.87</v>
      </c>
      <c r="S28" s="68">
        <f>Toy!AB28</f>
        <v>1.06</v>
      </c>
      <c r="T28" s="48">
        <f t="shared" si="2"/>
        <v>0.75801474648390554</v>
      </c>
      <c r="U28" s="49">
        <f t="shared" si="3"/>
        <v>6.0612739695834255E-3</v>
      </c>
      <c r="V28" s="49">
        <f t="shared" si="4"/>
        <v>5.909090909090909E-2</v>
      </c>
      <c r="W28" s="50">
        <f t="shared" si="5"/>
        <v>17.951538461538462</v>
      </c>
    </row>
    <row r="29" spans="1:23" ht="29.1" customHeight="1" x14ac:dyDescent="0.15">
      <c r="A29" s="38" t="s">
        <v>139</v>
      </c>
      <c r="B29" s="66" t="s">
        <v>140</v>
      </c>
      <c r="C29" s="67">
        <f>Toy!C29</f>
        <v>50</v>
      </c>
      <c r="D29" s="68">
        <f>Toy!D29</f>
        <v>49</v>
      </c>
      <c r="E29" s="41">
        <f>Toy!E29</f>
        <v>1190.5</v>
      </c>
      <c r="F29" s="42">
        <v>187</v>
      </c>
      <c r="G29" s="43">
        <v>331</v>
      </c>
      <c r="H29" s="44">
        <v>518</v>
      </c>
      <c r="I29" s="43">
        <v>222</v>
      </c>
      <c r="J29" s="43">
        <v>384</v>
      </c>
      <c r="K29" s="45">
        <v>606</v>
      </c>
      <c r="L29" s="46">
        <f t="shared" si="0"/>
        <v>9.45945945945946E-2</v>
      </c>
      <c r="M29" s="71">
        <f t="shared" si="1"/>
        <v>0.16871902561948762</v>
      </c>
      <c r="N29" s="68">
        <f>Toy!W29</f>
        <v>30152</v>
      </c>
      <c r="O29" s="68">
        <f>Toy!X29</f>
        <v>181</v>
      </c>
      <c r="P29" s="68">
        <f>Toy!Y29</f>
        <v>35</v>
      </c>
      <c r="Q29" s="68">
        <f>Toy!Z29</f>
        <v>200.86</v>
      </c>
      <c r="R29" s="69">
        <f>Toy!AA29</f>
        <v>831.65</v>
      </c>
      <c r="S29" s="68">
        <f>Toy!AB29</f>
        <v>1.1100000000000001</v>
      </c>
      <c r="T29" s="48">
        <f t="shared" si="2"/>
        <v>0.24151987013767814</v>
      </c>
      <c r="U29" s="49">
        <f t="shared" si="3"/>
        <v>6.0029185460334306E-3</v>
      </c>
      <c r="V29" s="49">
        <f t="shared" si="4"/>
        <v>0.19337016574585636</v>
      </c>
      <c r="W29" s="50">
        <f t="shared" si="5"/>
        <v>5.7388571428571433</v>
      </c>
    </row>
    <row r="30" spans="1:23" ht="29.1" customHeight="1" x14ac:dyDescent="0.15">
      <c r="A30" s="38" t="s">
        <v>142</v>
      </c>
      <c r="B30" s="66" t="s">
        <v>143</v>
      </c>
      <c r="C30" s="67">
        <f>Toy!C30</f>
        <v>44</v>
      </c>
      <c r="D30" s="68">
        <f>Toy!D30</f>
        <v>44</v>
      </c>
      <c r="E30" s="41">
        <f>Toy!E30</f>
        <v>1067.55</v>
      </c>
      <c r="F30" s="42">
        <v>101</v>
      </c>
      <c r="G30" s="43">
        <v>294</v>
      </c>
      <c r="H30" s="44">
        <v>395</v>
      </c>
      <c r="I30" s="43">
        <v>130</v>
      </c>
      <c r="J30" s="43">
        <v>338</v>
      </c>
      <c r="K30" s="45">
        <v>468</v>
      </c>
      <c r="L30" s="46">
        <f t="shared" si="0"/>
        <v>0.11139240506329114</v>
      </c>
      <c r="M30" s="71">
        <f t="shared" si="1"/>
        <v>0.18106880239801415</v>
      </c>
      <c r="N30" s="68">
        <f>Toy!W30</f>
        <v>27516</v>
      </c>
      <c r="O30" s="68">
        <f>Toy!X30</f>
        <v>177</v>
      </c>
      <c r="P30" s="68">
        <f>Toy!Y30</f>
        <v>24</v>
      </c>
      <c r="Q30" s="68">
        <f>Toy!Z30</f>
        <v>193.3</v>
      </c>
      <c r="R30" s="69">
        <f>Toy!AA30</f>
        <v>568.76</v>
      </c>
      <c r="S30" s="68">
        <f>Toy!AB30</f>
        <v>1.0900000000000001</v>
      </c>
      <c r="T30" s="48">
        <f t="shared" si="2"/>
        <v>0.33986215626977989</v>
      </c>
      <c r="U30" s="49">
        <f t="shared" si="3"/>
        <v>6.4326210204971651E-3</v>
      </c>
      <c r="V30" s="49">
        <f t="shared" si="4"/>
        <v>0.13559322033898305</v>
      </c>
      <c r="W30" s="50">
        <f t="shared" si="5"/>
        <v>8.0541666666666671</v>
      </c>
    </row>
    <row r="31" spans="1:23" ht="29.1" customHeight="1" x14ac:dyDescent="0.15">
      <c r="A31" s="38" t="s">
        <v>144</v>
      </c>
      <c r="B31" s="66" t="s">
        <v>145</v>
      </c>
      <c r="C31" s="67">
        <f>Toy!C31</f>
        <v>49</v>
      </c>
      <c r="D31" s="68">
        <f>Toy!D31</f>
        <v>47</v>
      </c>
      <c r="E31" s="41">
        <f>Toy!E31</f>
        <v>1169.51</v>
      </c>
      <c r="F31" s="42">
        <v>97</v>
      </c>
      <c r="G31" s="43">
        <v>180</v>
      </c>
      <c r="H31" s="44">
        <v>277</v>
      </c>
      <c r="I31" s="43">
        <v>160</v>
      </c>
      <c r="J31" s="43">
        <v>222</v>
      </c>
      <c r="K31" s="45">
        <v>382</v>
      </c>
      <c r="L31" s="46">
        <f t="shared" si="0"/>
        <v>0.16967509025270758</v>
      </c>
      <c r="M31" s="71">
        <f t="shared" si="1"/>
        <v>0.16528289625569684</v>
      </c>
      <c r="N31" s="68">
        <f>Toy!W31</f>
        <v>27516</v>
      </c>
      <c r="O31" s="68">
        <f>Toy!X31</f>
        <v>177</v>
      </c>
      <c r="P31" s="68">
        <f>Toy!Y31</f>
        <v>24</v>
      </c>
      <c r="Q31" s="68">
        <f>Toy!Z31</f>
        <v>193.3</v>
      </c>
      <c r="R31" s="69">
        <f>Toy!AA31</f>
        <v>568.76</v>
      </c>
      <c r="S31" s="68">
        <f>Toy!AB31</f>
        <v>1.0900000000000001</v>
      </c>
      <c r="T31" s="48">
        <f t="shared" si="2"/>
        <v>0.33986215626977989</v>
      </c>
      <c r="U31" s="49">
        <f t="shared" si="3"/>
        <v>6.4326210204971651E-3</v>
      </c>
      <c r="V31" s="49">
        <f t="shared" si="4"/>
        <v>0.13559322033898305</v>
      </c>
      <c r="W31" s="50">
        <f t="shared" si="5"/>
        <v>8.0541666666666671</v>
      </c>
    </row>
    <row r="32" spans="1:23" ht="29.1" customHeight="1" x14ac:dyDescent="0.15">
      <c r="A32" s="38" t="s">
        <v>147</v>
      </c>
      <c r="B32" s="66" t="s">
        <v>148</v>
      </c>
      <c r="C32" s="67">
        <f>Toy!C32</f>
        <v>42</v>
      </c>
      <c r="D32" s="68">
        <f>Toy!D32</f>
        <v>42</v>
      </c>
      <c r="E32" s="41">
        <f>Toy!E32</f>
        <v>1002.58</v>
      </c>
      <c r="F32" s="42">
        <v>161</v>
      </c>
      <c r="G32" s="43">
        <v>326</v>
      </c>
      <c r="H32" s="44">
        <v>487</v>
      </c>
      <c r="I32" s="43">
        <v>194</v>
      </c>
      <c r="J32" s="43">
        <v>394</v>
      </c>
      <c r="K32" s="45">
        <v>588</v>
      </c>
      <c r="L32" s="46">
        <f t="shared" si="0"/>
        <v>8.6242299794661192E-2</v>
      </c>
      <c r="M32" s="71">
        <f t="shared" si="1"/>
        <v>0.16185242075445352</v>
      </c>
      <c r="N32" s="68">
        <f>Toy!W32</f>
        <v>25169</v>
      </c>
      <c r="O32" s="68">
        <f>Toy!X32</f>
        <v>167</v>
      </c>
      <c r="P32" s="68">
        <f>Toy!Y32</f>
        <v>25</v>
      </c>
      <c r="Q32" s="68">
        <f>Toy!Z32</f>
        <v>162.27000000000001</v>
      </c>
      <c r="R32" s="69">
        <f>Toy!AA32</f>
        <v>597.86</v>
      </c>
      <c r="S32" s="68">
        <f>Toy!AB32</f>
        <v>0.97</v>
      </c>
      <c r="T32" s="48">
        <f t="shared" si="2"/>
        <v>0.27141805773927008</v>
      </c>
      <c r="U32" s="49">
        <f t="shared" si="3"/>
        <v>6.6351464102665982E-3</v>
      </c>
      <c r="V32" s="49">
        <f t="shared" si="4"/>
        <v>0.1497005988023952</v>
      </c>
      <c r="W32" s="50">
        <f t="shared" si="5"/>
        <v>6.4908000000000001</v>
      </c>
    </row>
    <row r="33" spans="1:23" ht="29.1" customHeight="1" x14ac:dyDescent="0.15">
      <c r="A33" s="38" t="s">
        <v>150</v>
      </c>
      <c r="B33" s="66" t="s">
        <v>151</v>
      </c>
      <c r="C33" s="67">
        <f>Toy!C33</f>
        <v>56</v>
      </c>
      <c r="D33" s="68">
        <f>Toy!D33</f>
        <v>54</v>
      </c>
      <c r="E33" s="41">
        <f>Toy!E33</f>
        <v>1200.94</v>
      </c>
      <c r="F33" s="42">
        <v>192</v>
      </c>
      <c r="G33" s="43">
        <v>485</v>
      </c>
      <c r="H33" s="44">
        <v>677</v>
      </c>
      <c r="I33" s="43">
        <v>239</v>
      </c>
      <c r="J33" s="43">
        <v>622</v>
      </c>
      <c r="K33" s="45">
        <v>861</v>
      </c>
      <c r="L33" s="46">
        <f t="shared" si="0"/>
        <v>7.9763663220088626E-2</v>
      </c>
      <c r="M33" s="71">
        <f t="shared" si="1"/>
        <v>0.23433310573384183</v>
      </c>
      <c r="N33" s="68">
        <f>Toy!W33</f>
        <v>30427</v>
      </c>
      <c r="O33" s="68">
        <f>Toy!X33</f>
        <v>255</v>
      </c>
      <c r="P33" s="68">
        <f>Toy!Y33</f>
        <v>40</v>
      </c>
      <c r="Q33" s="68">
        <f>Toy!Z33</f>
        <v>281.42</v>
      </c>
      <c r="R33" s="69">
        <f>Toy!AA33</f>
        <v>845.31</v>
      </c>
      <c r="S33" s="68">
        <f>Toy!AB33</f>
        <v>1.1000000000000001</v>
      </c>
      <c r="T33" s="48">
        <f t="shared" si="2"/>
        <v>0.33291928404963861</v>
      </c>
      <c r="U33" s="49">
        <f t="shared" si="3"/>
        <v>8.380714496992802E-3</v>
      </c>
      <c r="V33" s="49">
        <f t="shared" si="4"/>
        <v>0.15686274509803921</v>
      </c>
      <c r="W33" s="50">
        <f t="shared" si="5"/>
        <v>7.0355000000000008</v>
      </c>
    </row>
    <row r="34" spans="1:23" ht="29.1" customHeight="1" x14ac:dyDescent="0.15">
      <c r="A34" s="38" t="s">
        <v>154</v>
      </c>
      <c r="B34" s="66" t="s">
        <v>155</v>
      </c>
      <c r="C34" s="67">
        <f>Toy!C34</f>
        <v>80</v>
      </c>
      <c r="D34" s="68">
        <f>Toy!D34</f>
        <v>73</v>
      </c>
      <c r="E34" s="41">
        <f>Toy!E34</f>
        <v>1609.14</v>
      </c>
      <c r="F34" s="42">
        <v>195</v>
      </c>
      <c r="G34" s="43">
        <v>455</v>
      </c>
      <c r="H34" s="44">
        <v>650</v>
      </c>
      <c r="I34" s="43">
        <v>236</v>
      </c>
      <c r="J34" s="43">
        <v>565</v>
      </c>
      <c r="K34" s="45">
        <v>801</v>
      </c>
      <c r="L34" s="46">
        <f t="shared" si="0"/>
        <v>0.1123076923076923</v>
      </c>
      <c r="M34" s="71">
        <f t="shared" si="1"/>
        <v>0.19591831661632919</v>
      </c>
      <c r="N34" s="68">
        <f>Toy!W34</f>
        <v>35717</v>
      </c>
      <c r="O34" s="68">
        <f>Toy!X34</f>
        <v>282</v>
      </c>
      <c r="P34" s="68">
        <f>Toy!Y34</f>
        <v>42</v>
      </c>
      <c r="Q34" s="68">
        <f>Toy!Z34</f>
        <v>315.26</v>
      </c>
      <c r="R34" s="69">
        <f>Toy!AA34</f>
        <v>847.04</v>
      </c>
      <c r="S34" s="68">
        <f>Toy!AB34</f>
        <v>1.1200000000000001</v>
      </c>
      <c r="T34" s="48">
        <f t="shared" si="2"/>
        <v>0.37219021533811864</v>
      </c>
      <c r="U34" s="49">
        <f t="shared" si="3"/>
        <v>7.8953999496038305E-3</v>
      </c>
      <c r="V34" s="49">
        <f t="shared" si="4"/>
        <v>0.14893617021276595</v>
      </c>
      <c r="W34" s="50">
        <f t="shared" si="5"/>
        <v>7.5061904761904756</v>
      </c>
    </row>
    <row r="35" spans="1:23" ht="29.1" customHeight="1" x14ac:dyDescent="0.15">
      <c r="A35" s="38" t="s">
        <v>156</v>
      </c>
      <c r="B35" s="66" t="s">
        <v>157</v>
      </c>
      <c r="C35" s="67">
        <f>Toy!C35</f>
        <v>55</v>
      </c>
      <c r="D35" s="68">
        <f>Toy!D35</f>
        <v>52</v>
      </c>
      <c r="E35" s="41">
        <f>Toy!E35</f>
        <v>1205.75</v>
      </c>
      <c r="F35" s="42">
        <v>181</v>
      </c>
      <c r="G35" s="43">
        <v>408</v>
      </c>
      <c r="H35" s="44">
        <v>589</v>
      </c>
      <c r="I35" s="43">
        <v>211</v>
      </c>
      <c r="J35" s="43">
        <v>498</v>
      </c>
      <c r="K35" s="45">
        <v>709</v>
      </c>
      <c r="L35" s="46">
        <f t="shared" si="0"/>
        <v>8.8285229202037352E-2</v>
      </c>
      <c r="M35" s="71">
        <f t="shared" si="1"/>
        <v>0.21976363259382128</v>
      </c>
      <c r="N35" s="68">
        <f>Toy!W35</f>
        <v>24731</v>
      </c>
      <c r="O35" s="68">
        <f>Toy!X35</f>
        <v>249</v>
      </c>
      <c r="P35" s="68">
        <f>Toy!Y35</f>
        <v>39</v>
      </c>
      <c r="Q35" s="68">
        <f>Toy!Z35</f>
        <v>264.98</v>
      </c>
      <c r="R35" s="69">
        <f>Toy!AA35</f>
        <v>920.08</v>
      </c>
      <c r="S35" s="68">
        <f>Toy!AB35</f>
        <v>1.06</v>
      </c>
      <c r="T35" s="48">
        <f t="shared" si="2"/>
        <v>0.28799669593948352</v>
      </c>
      <c r="U35" s="49">
        <f t="shared" si="3"/>
        <v>1.0068335287695605E-2</v>
      </c>
      <c r="V35" s="49">
        <f t="shared" si="4"/>
        <v>0.15662650602409639</v>
      </c>
      <c r="W35" s="50">
        <f t="shared" si="5"/>
        <v>6.7943589743589747</v>
      </c>
    </row>
    <row r="36" spans="1:23" ht="29.1" customHeight="1" x14ac:dyDescent="0.15">
      <c r="A36" s="38" t="s">
        <v>158</v>
      </c>
      <c r="B36" s="66" t="s">
        <v>159</v>
      </c>
      <c r="C36" s="67">
        <f>Toy!C36</f>
        <v>63</v>
      </c>
      <c r="D36" s="68">
        <f>Toy!D36</f>
        <v>62</v>
      </c>
      <c r="E36" s="41">
        <f>Toy!E36</f>
        <v>1371.33</v>
      </c>
      <c r="F36" s="42">
        <v>161</v>
      </c>
      <c r="G36" s="43">
        <v>383</v>
      </c>
      <c r="H36" s="44">
        <v>544</v>
      </c>
      <c r="I36" s="43">
        <v>214</v>
      </c>
      <c r="J36" s="43">
        <v>461</v>
      </c>
      <c r="K36" s="45">
        <v>675</v>
      </c>
      <c r="L36" s="46">
        <f t="shared" ref="L36:L67" si="6">D36/H36</f>
        <v>0.11397058823529412</v>
      </c>
      <c r="M36" s="71">
        <f t="shared" ref="M36:M67" si="7">Q36/E36</f>
        <v>0.15707378967863317</v>
      </c>
      <c r="N36" s="68">
        <f>Toy!W36</f>
        <v>23646</v>
      </c>
      <c r="O36" s="68">
        <f>Toy!X36</f>
        <v>200</v>
      </c>
      <c r="P36" s="68">
        <f>Toy!Y36</f>
        <v>32</v>
      </c>
      <c r="Q36" s="68">
        <f>Toy!Z36</f>
        <v>215.4</v>
      </c>
      <c r="R36" s="69">
        <f>Toy!AA36</f>
        <v>694.66</v>
      </c>
      <c r="S36" s="68">
        <f>Toy!AB36</f>
        <v>1.08</v>
      </c>
      <c r="T36" s="48">
        <f t="shared" ref="T36:T67" si="8">Q36/R36</f>
        <v>0.31007975124521353</v>
      </c>
      <c r="U36" s="49">
        <f t="shared" ref="U36:U67" si="9">O36/N36</f>
        <v>8.4580901632411408E-3</v>
      </c>
      <c r="V36" s="49">
        <f t="shared" ref="V36:V67" si="10">P36/O36</f>
        <v>0.16</v>
      </c>
      <c r="W36" s="50">
        <f t="shared" ref="W36:W67" si="11">Q36/P36</f>
        <v>6.7312500000000002</v>
      </c>
    </row>
    <row r="37" spans="1:23" ht="29.1" customHeight="1" x14ac:dyDescent="0.15">
      <c r="A37" s="38" t="s">
        <v>160</v>
      </c>
      <c r="B37" s="66" t="s">
        <v>161</v>
      </c>
      <c r="C37" s="67">
        <f>Toy!C37</f>
        <v>47</v>
      </c>
      <c r="D37" s="68">
        <f>Toy!D37</f>
        <v>47</v>
      </c>
      <c r="E37" s="41">
        <f>Toy!E37</f>
        <v>1055.77</v>
      </c>
      <c r="F37" s="42">
        <v>216</v>
      </c>
      <c r="G37" s="43">
        <v>373</v>
      </c>
      <c r="H37" s="44">
        <v>589</v>
      </c>
      <c r="I37" s="43">
        <v>261</v>
      </c>
      <c r="J37" s="43">
        <v>437</v>
      </c>
      <c r="K37" s="45">
        <v>698</v>
      </c>
      <c r="L37" s="46">
        <f t="shared" si="6"/>
        <v>7.979626485568761E-2</v>
      </c>
      <c r="M37" s="71">
        <f t="shared" si="7"/>
        <v>0.21712115328149123</v>
      </c>
      <c r="N37" s="68">
        <f>Toy!W37</f>
        <v>24533</v>
      </c>
      <c r="O37" s="68">
        <f>Toy!X37</f>
        <v>218</v>
      </c>
      <c r="P37" s="68">
        <f>Toy!Y37</f>
        <v>32</v>
      </c>
      <c r="Q37" s="68">
        <f>Toy!Z37</f>
        <v>229.23</v>
      </c>
      <c r="R37" s="69">
        <f>Toy!AA37</f>
        <v>714.53</v>
      </c>
      <c r="S37" s="68">
        <f>Toy!AB37</f>
        <v>1.05</v>
      </c>
      <c r="T37" s="48">
        <f t="shared" si="8"/>
        <v>0.32081228219948776</v>
      </c>
      <c r="U37" s="49">
        <f t="shared" si="9"/>
        <v>8.885990298781234E-3</v>
      </c>
      <c r="V37" s="49">
        <f t="shared" si="10"/>
        <v>0.14678899082568808</v>
      </c>
      <c r="W37" s="50">
        <f t="shared" si="11"/>
        <v>7.1634374999999997</v>
      </c>
    </row>
    <row r="38" spans="1:23" ht="29.1" customHeight="1" x14ac:dyDescent="0.15">
      <c r="A38" s="38" t="s">
        <v>162</v>
      </c>
      <c r="B38" s="66" t="s">
        <v>163</v>
      </c>
      <c r="C38" s="67">
        <f>Toy!C38</f>
        <v>47</v>
      </c>
      <c r="D38" s="68">
        <f>Toy!D38</f>
        <v>45</v>
      </c>
      <c r="E38" s="41">
        <f>Toy!E38</f>
        <v>993.62</v>
      </c>
      <c r="F38" s="42">
        <v>145</v>
      </c>
      <c r="G38" s="43">
        <v>484</v>
      </c>
      <c r="H38" s="44">
        <v>629</v>
      </c>
      <c r="I38" s="43">
        <v>177</v>
      </c>
      <c r="J38" s="43">
        <v>589</v>
      </c>
      <c r="K38" s="45">
        <v>766</v>
      </c>
      <c r="L38" s="46">
        <f t="shared" si="6"/>
        <v>7.1542130365659776E-2</v>
      </c>
      <c r="M38" s="71">
        <f t="shared" si="7"/>
        <v>0.23752541212938547</v>
      </c>
      <c r="N38" s="68">
        <f>Toy!W38</f>
        <v>21172</v>
      </c>
      <c r="O38" s="68">
        <f>Toy!X38</f>
        <v>214</v>
      </c>
      <c r="P38" s="68">
        <f>Toy!Y38</f>
        <v>31</v>
      </c>
      <c r="Q38" s="68">
        <f>Toy!Z38</f>
        <v>236.01</v>
      </c>
      <c r="R38" s="69">
        <f>Toy!AA38</f>
        <v>665.06</v>
      </c>
      <c r="S38" s="68">
        <f>Toy!AB38</f>
        <v>1.1000000000000001</v>
      </c>
      <c r="T38" s="48">
        <f t="shared" si="8"/>
        <v>0.3548702372718251</v>
      </c>
      <c r="U38" s="49">
        <f t="shared" si="9"/>
        <v>1.0107689401095786E-2</v>
      </c>
      <c r="V38" s="49">
        <f t="shared" si="10"/>
        <v>0.14485981308411214</v>
      </c>
      <c r="W38" s="50">
        <f t="shared" si="11"/>
        <v>7.613225806451613</v>
      </c>
    </row>
    <row r="39" spans="1:23" ht="29.1" customHeight="1" x14ac:dyDescent="0.15">
      <c r="A39" s="38" t="s">
        <v>165</v>
      </c>
      <c r="B39" s="38" t="s">
        <v>166</v>
      </c>
      <c r="C39" s="67">
        <f>Toy!C39</f>
        <v>51</v>
      </c>
      <c r="D39" s="68">
        <f>Toy!D39</f>
        <v>46</v>
      </c>
      <c r="E39" s="41">
        <f>Toy!E39</f>
        <v>967.06</v>
      </c>
      <c r="F39" s="42">
        <v>135</v>
      </c>
      <c r="G39" s="43">
        <v>352</v>
      </c>
      <c r="H39" s="44">
        <v>487</v>
      </c>
      <c r="I39" s="43">
        <v>165</v>
      </c>
      <c r="J39" s="43">
        <v>434</v>
      </c>
      <c r="K39" s="45">
        <v>599</v>
      </c>
      <c r="L39" s="46">
        <f t="shared" si="6"/>
        <v>9.4455852156057493E-2</v>
      </c>
      <c r="M39" s="71">
        <f t="shared" si="7"/>
        <v>0.24940541434864436</v>
      </c>
      <c r="N39" s="68">
        <f>Toy!W39</f>
        <v>20363</v>
      </c>
      <c r="O39" s="68">
        <f>Toy!X39</f>
        <v>187</v>
      </c>
      <c r="P39" s="68">
        <f>Toy!Y39</f>
        <v>22</v>
      </c>
      <c r="Q39" s="68">
        <f>Toy!Z39</f>
        <v>241.19</v>
      </c>
      <c r="R39" s="69">
        <f>Toy!AA39</f>
        <v>469.42</v>
      </c>
      <c r="S39" s="68">
        <f>Toy!AB39</f>
        <v>1.29</v>
      </c>
      <c r="T39" s="48">
        <f t="shared" si="8"/>
        <v>0.51380426909803589</v>
      </c>
      <c r="U39" s="49">
        <f t="shared" si="9"/>
        <v>9.1833226931198747E-3</v>
      </c>
      <c r="V39" s="49">
        <f t="shared" si="10"/>
        <v>0.11764705882352941</v>
      </c>
      <c r="W39" s="50">
        <f t="shared" si="11"/>
        <v>10.963181818181818</v>
      </c>
    </row>
    <row r="40" spans="1:23" ht="29.1" customHeight="1" x14ac:dyDescent="0.15">
      <c r="A40" s="38" t="s">
        <v>167</v>
      </c>
      <c r="B40" s="38" t="s">
        <v>168</v>
      </c>
      <c r="C40" s="67">
        <f>Toy!C40</f>
        <v>68</v>
      </c>
      <c r="D40" s="68">
        <f>Toy!D40</f>
        <v>63</v>
      </c>
      <c r="E40" s="41">
        <f>Toy!E40</f>
        <v>1333.48</v>
      </c>
      <c r="F40" s="42">
        <v>210</v>
      </c>
      <c r="G40" s="43">
        <v>512</v>
      </c>
      <c r="H40" s="44">
        <v>722</v>
      </c>
      <c r="I40" s="43">
        <v>252</v>
      </c>
      <c r="J40" s="43">
        <v>627</v>
      </c>
      <c r="K40" s="45">
        <v>879</v>
      </c>
      <c r="L40" s="46">
        <f t="shared" si="6"/>
        <v>8.7257617728531855E-2</v>
      </c>
      <c r="M40" s="71">
        <f t="shared" si="7"/>
        <v>0.24685034646188919</v>
      </c>
      <c r="N40" s="68">
        <f>Toy!W40</f>
        <v>27726</v>
      </c>
      <c r="O40" s="68">
        <f>Toy!X40</f>
        <v>262</v>
      </c>
      <c r="P40" s="68">
        <f>Toy!Y40</f>
        <v>35</v>
      </c>
      <c r="Q40" s="68">
        <f>Toy!Z40</f>
        <v>329.17</v>
      </c>
      <c r="R40" s="69">
        <f>Toy!AA40</f>
        <v>735.36</v>
      </c>
      <c r="S40" s="68">
        <f>Toy!AB40</f>
        <v>1.26</v>
      </c>
      <c r="T40" s="48">
        <f t="shared" si="8"/>
        <v>0.44763109225413406</v>
      </c>
      <c r="U40" s="49">
        <f t="shared" si="9"/>
        <v>9.449614080646325E-3</v>
      </c>
      <c r="V40" s="49">
        <f t="shared" si="10"/>
        <v>0.13358778625954199</v>
      </c>
      <c r="W40" s="50">
        <f t="shared" si="11"/>
        <v>9.4048571428571428</v>
      </c>
    </row>
    <row r="41" spans="1:23" ht="29.1" customHeight="1" x14ac:dyDescent="0.15">
      <c r="A41" s="38" t="s">
        <v>169</v>
      </c>
      <c r="B41" s="38" t="s">
        <v>170</v>
      </c>
      <c r="C41" s="67">
        <f>Toy!C41</f>
        <v>56</v>
      </c>
      <c r="D41" s="68">
        <f>Toy!D41</f>
        <v>52</v>
      </c>
      <c r="E41" s="41">
        <f>Toy!E41</f>
        <v>1253.6500000000001</v>
      </c>
      <c r="F41" s="42">
        <v>188</v>
      </c>
      <c r="G41" s="43">
        <v>429</v>
      </c>
      <c r="H41" s="44">
        <v>617</v>
      </c>
      <c r="I41" s="43">
        <v>234</v>
      </c>
      <c r="J41" s="43">
        <v>498</v>
      </c>
      <c r="K41" s="45">
        <v>732</v>
      </c>
      <c r="L41" s="46">
        <f t="shared" si="6"/>
        <v>8.4278768233387355E-2</v>
      </c>
      <c r="M41" s="71">
        <f t="shared" si="7"/>
        <v>0.20591074063733894</v>
      </c>
      <c r="N41" s="68">
        <f>Toy!W41</f>
        <v>19871</v>
      </c>
      <c r="O41" s="68">
        <f>Toy!X41</f>
        <v>226</v>
      </c>
      <c r="P41" s="68">
        <f>Toy!Y41</f>
        <v>35</v>
      </c>
      <c r="Q41" s="68">
        <f>Toy!Z41</f>
        <v>258.14</v>
      </c>
      <c r="R41" s="69">
        <f>Toy!AA41</f>
        <v>824.14</v>
      </c>
      <c r="S41" s="68">
        <f>Toy!AB41</f>
        <v>1.1399999999999999</v>
      </c>
      <c r="T41" s="48">
        <f t="shared" si="8"/>
        <v>0.31322348144732692</v>
      </c>
      <c r="U41" s="49">
        <f t="shared" si="9"/>
        <v>1.1373358160132857E-2</v>
      </c>
      <c r="V41" s="49">
        <f t="shared" si="10"/>
        <v>0.15486725663716813</v>
      </c>
      <c r="W41" s="50">
        <f t="shared" si="11"/>
        <v>7.3754285714285714</v>
      </c>
    </row>
    <row r="42" spans="1:23" ht="29.1" customHeight="1" x14ac:dyDescent="0.15">
      <c r="A42" s="38" t="s">
        <v>172</v>
      </c>
      <c r="B42" s="38" t="s">
        <v>173</v>
      </c>
      <c r="C42" s="67">
        <f>Toy!C42</f>
        <v>74</v>
      </c>
      <c r="D42" s="68">
        <f>Toy!D42</f>
        <v>72</v>
      </c>
      <c r="E42" s="41">
        <f>Toy!E42</f>
        <v>1502.9</v>
      </c>
      <c r="F42" s="42">
        <v>208</v>
      </c>
      <c r="G42" s="43">
        <v>541</v>
      </c>
      <c r="H42" s="44">
        <v>749</v>
      </c>
      <c r="I42" s="43">
        <v>254</v>
      </c>
      <c r="J42" s="43">
        <v>643</v>
      </c>
      <c r="K42" s="45">
        <v>897</v>
      </c>
      <c r="L42" s="46">
        <f t="shared" si="6"/>
        <v>9.6128170894526035E-2</v>
      </c>
      <c r="M42" s="71">
        <f t="shared" si="7"/>
        <v>0.21992148512875107</v>
      </c>
      <c r="N42" s="68">
        <f>Toy!W42</f>
        <v>26370</v>
      </c>
      <c r="O42" s="68">
        <f>Toy!X42</f>
        <v>294</v>
      </c>
      <c r="P42" s="68">
        <f>Toy!Y42</f>
        <v>45</v>
      </c>
      <c r="Q42" s="68">
        <f>Toy!Z42</f>
        <v>330.52</v>
      </c>
      <c r="R42" s="69">
        <f>Toy!AA42</f>
        <v>986.95</v>
      </c>
      <c r="S42" s="68">
        <f>Toy!AB42</f>
        <v>1.1200000000000001</v>
      </c>
      <c r="T42" s="48">
        <f t="shared" si="8"/>
        <v>0.33489031865849328</v>
      </c>
      <c r="U42" s="49">
        <f t="shared" si="9"/>
        <v>1.1149032992036406E-2</v>
      </c>
      <c r="V42" s="49">
        <f t="shared" si="10"/>
        <v>0.15306122448979592</v>
      </c>
      <c r="W42" s="50">
        <f t="shared" si="11"/>
        <v>7.3448888888888888</v>
      </c>
    </row>
    <row r="43" spans="1:23" ht="29.1" customHeight="1" x14ac:dyDescent="0.15">
      <c r="A43" s="38" t="s">
        <v>175</v>
      </c>
      <c r="B43" s="38" t="s">
        <v>176</v>
      </c>
      <c r="C43" s="67">
        <f>Toy!C43</f>
        <v>44</v>
      </c>
      <c r="D43" s="68">
        <f>Toy!D43</f>
        <v>44</v>
      </c>
      <c r="E43" s="41">
        <f>Toy!E43</f>
        <v>1057.76</v>
      </c>
      <c r="F43" s="42">
        <v>164</v>
      </c>
      <c r="G43" s="43">
        <v>331</v>
      </c>
      <c r="H43" s="44">
        <v>495</v>
      </c>
      <c r="I43" s="43">
        <v>184</v>
      </c>
      <c r="J43" s="43">
        <v>402</v>
      </c>
      <c r="K43" s="45">
        <v>586</v>
      </c>
      <c r="L43" s="46">
        <f t="shared" si="6"/>
        <v>8.8888888888888892E-2</v>
      </c>
      <c r="M43" s="71">
        <f t="shared" si="7"/>
        <v>0.26670511269096964</v>
      </c>
      <c r="N43" s="68">
        <f>Toy!W43</f>
        <v>25424</v>
      </c>
      <c r="O43" s="68">
        <f>Toy!X43</f>
        <v>250</v>
      </c>
      <c r="P43" s="68">
        <f>Toy!Y43</f>
        <v>25</v>
      </c>
      <c r="Q43" s="68">
        <f>Toy!Z43</f>
        <v>282.11</v>
      </c>
      <c r="R43" s="69">
        <f>Toy!AA43</f>
        <v>588.75</v>
      </c>
      <c r="S43" s="68">
        <f>Toy!AB43</f>
        <v>1.1299999999999999</v>
      </c>
      <c r="T43" s="48">
        <f t="shared" si="8"/>
        <v>0.47916772823779197</v>
      </c>
      <c r="U43" s="49">
        <f t="shared" si="9"/>
        <v>9.8332284455632472E-3</v>
      </c>
      <c r="V43" s="49">
        <f t="shared" si="10"/>
        <v>0.1</v>
      </c>
      <c r="W43" s="50">
        <f t="shared" si="11"/>
        <v>11.2844</v>
      </c>
    </row>
    <row r="44" spans="1:23" ht="29.1" customHeight="1" x14ac:dyDescent="0.15">
      <c r="A44" s="38" t="s">
        <v>177</v>
      </c>
      <c r="B44" s="38" t="s">
        <v>178</v>
      </c>
      <c r="C44" s="67">
        <f>Toy!C44</f>
        <v>60</v>
      </c>
      <c r="D44" s="68">
        <f>Toy!D44</f>
        <v>60</v>
      </c>
      <c r="E44" s="41">
        <f>Toy!E44</f>
        <v>1272.53</v>
      </c>
      <c r="F44" s="42">
        <v>185</v>
      </c>
      <c r="G44" s="43">
        <v>469</v>
      </c>
      <c r="H44" s="44">
        <v>654</v>
      </c>
      <c r="I44" s="43">
        <v>233</v>
      </c>
      <c r="J44" s="43">
        <v>583</v>
      </c>
      <c r="K44" s="45">
        <v>816</v>
      </c>
      <c r="L44" s="46">
        <f t="shared" si="6"/>
        <v>9.1743119266055051E-2</v>
      </c>
      <c r="M44" s="71">
        <f t="shared" si="7"/>
        <v>0.26387590076461853</v>
      </c>
      <c r="N44" s="68">
        <f>Toy!W44</f>
        <v>23851</v>
      </c>
      <c r="O44" s="68">
        <f>Toy!X44</f>
        <v>295</v>
      </c>
      <c r="P44" s="68">
        <f>Toy!Y44</f>
        <v>40</v>
      </c>
      <c r="Q44" s="68">
        <f>Toy!Z44</f>
        <v>335.79</v>
      </c>
      <c r="R44" s="69">
        <f>Toy!AA44</f>
        <v>842.42</v>
      </c>
      <c r="S44" s="68">
        <f>Toy!AB44</f>
        <v>1.1399999999999999</v>
      </c>
      <c r="T44" s="48">
        <f t="shared" si="8"/>
        <v>0.39860164763419675</v>
      </c>
      <c r="U44" s="49">
        <f t="shared" si="9"/>
        <v>1.2368454152865707E-2</v>
      </c>
      <c r="V44" s="49">
        <f t="shared" si="10"/>
        <v>0.13559322033898305</v>
      </c>
      <c r="W44" s="50">
        <f t="shared" si="11"/>
        <v>8.3947500000000002</v>
      </c>
    </row>
    <row r="45" spans="1:23" ht="29.1" customHeight="1" x14ac:dyDescent="0.15">
      <c r="A45" s="38" t="s">
        <v>179</v>
      </c>
      <c r="B45" s="38" t="s">
        <v>180</v>
      </c>
      <c r="C45" s="67">
        <f>Toy!C45</f>
        <v>57</v>
      </c>
      <c r="D45" s="68">
        <f>Toy!D45</f>
        <v>56</v>
      </c>
      <c r="E45" s="41">
        <f>Toy!E45</f>
        <v>1193.3399999999999</v>
      </c>
      <c r="F45" s="42">
        <v>182</v>
      </c>
      <c r="G45" s="43">
        <v>402</v>
      </c>
      <c r="H45" s="44">
        <v>584</v>
      </c>
      <c r="I45" s="43">
        <v>224</v>
      </c>
      <c r="J45" s="43">
        <v>492</v>
      </c>
      <c r="K45" s="45">
        <v>716</v>
      </c>
      <c r="L45" s="46">
        <f t="shared" si="6"/>
        <v>9.5890410958904104E-2</v>
      </c>
      <c r="M45" s="71">
        <f t="shared" si="7"/>
        <v>0.24663549365646004</v>
      </c>
      <c r="N45" s="68">
        <f>Toy!W45</f>
        <v>22921</v>
      </c>
      <c r="O45" s="68">
        <f>Toy!X45</f>
        <v>255</v>
      </c>
      <c r="P45" s="68">
        <f>Toy!Y45</f>
        <v>36</v>
      </c>
      <c r="Q45" s="68">
        <f>Toy!Z45</f>
        <v>294.32</v>
      </c>
      <c r="R45" s="69">
        <f>Toy!AA45</f>
        <v>772.76</v>
      </c>
      <c r="S45" s="68">
        <f>Toy!AB45</f>
        <v>1.1499999999999999</v>
      </c>
      <c r="T45" s="48">
        <f t="shared" si="8"/>
        <v>0.38086857497800092</v>
      </c>
      <c r="U45" s="49">
        <f t="shared" si="9"/>
        <v>1.1125169058941582E-2</v>
      </c>
      <c r="V45" s="49">
        <f t="shared" si="10"/>
        <v>0.14117647058823529</v>
      </c>
      <c r="W45" s="50">
        <f t="shared" si="11"/>
        <v>8.1755555555555546</v>
      </c>
    </row>
    <row r="46" spans="1:23" ht="29.1" customHeight="1" x14ac:dyDescent="0.15">
      <c r="A46" s="38" t="s">
        <v>181</v>
      </c>
      <c r="B46" s="38" t="s">
        <v>182</v>
      </c>
      <c r="C46" s="67">
        <f>Toy!C46</f>
        <v>92</v>
      </c>
      <c r="D46" s="68">
        <f>Toy!D46</f>
        <v>90</v>
      </c>
      <c r="E46" s="41">
        <f>Toy!E46</f>
        <v>1872.8</v>
      </c>
      <c r="F46" s="42">
        <v>144</v>
      </c>
      <c r="G46" s="43">
        <v>460</v>
      </c>
      <c r="H46" s="44">
        <v>604</v>
      </c>
      <c r="I46" s="43">
        <v>185</v>
      </c>
      <c r="J46" s="43">
        <v>555</v>
      </c>
      <c r="K46" s="45">
        <v>740</v>
      </c>
      <c r="L46" s="46">
        <f t="shared" si="6"/>
        <v>0.1490066225165563</v>
      </c>
      <c r="M46" s="71">
        <f t="shared" si="7"/>
        <v>0.18669372063220846</v>
      </c>
      <c r="N46" s="68">
        <f>Toy!W46</f>
        <v>36290</v>
      </c>
      <c r="O46" s="68">
        <f>Toy!X46</f>
        <v>334</v>
      </c>
      <c r="P46" s="68">
        <f>Toy!Y46</f>
        <v>57</v>
      </c>
      <c r="Q46" s="68">
        <f>Toy!Z46</f>
        <v>349.64</v>
      </c>
      <c r="R46" s="69">
        <f>Toy!AA46</f>
        <v>1161.8699999999999</v>
      </c>
      <c r="S46" s="68">
        <f>Toy!AB46</f>
        <v>1.05</v>
      </c>
      <c r="T46" s="48">
        <f t="shared" si="8"/>
        <v>0.30092867532512246</v>
      </c>
      <c r="U46" s="49">
        <f t="shared" si="9"/>
        <v>9.2036373656654725E-3</v>
      </c>
      <c r="V46" s="49">
        <f t="shared" si="10"/>
        <v>0.17065868263473055</v>
      </c>
      <c r="W46" s="50">
        <f t="shared" si="11"/>
        <v>6.1340350877192984</v>
      </c>
    </row>
    <row r="47" spans="1:23" ht="29.1" customHeight="1" x14ac:dyDescent="0.15">
      <c r="A47" s="38" t="s">
        <v>183</v>
      </c>
      <c r="B47" s="38" t="s">
        <v>184</v>
      </c>
      <c r="C47" s="67">
        <f>Toy!C47</f>
        <v>65</v>
      </c>
      <c r="D47" s="68">
        <f>Toy!D47</f>
        <v>65</v>
      </c>
      <c r="E47" s="41">
        <f>Toy!E47</f>
        <v>1337.59</v>
      </c>
      <c r="F47" s="42">
        <v>214</v>
      </c>
      <c r="G47" s="43">
        <v>398</v>
      </c>
      <c r="H47" s="44">
        <v>612</v>
      </c>
      <c r="I47" s="43">
        <v>264</v>
      </c>
      <c r="J47" s="43">
        <v>474</v>
      </c>
      <c r="K47" s="45">
        <v>738</v>
      </c>
      <c r="L47" s="46">
        <f t="shared" si="6"/>
        <v>0.10620915032679738</v>
      </c>
      <c r="M47" s="71">
        <f t="shared" si="7"/>
        <v>0.22284855598501782</v>
      </c>
      <c r="N47" s="68">
        <f>Toy!W47</f>
        <v>26377</v>
      </c>
      <c r="O47" s="68">
        <f>Toy!X47</f>
        <v>253</v>
      </c>
      <c r="P47" s="68">
        <f>Toy!Y47</f>
        <v>36</v>
      </c>
      <c r="Q47" s="68">
        <f>Toy!Z47</f>
        <v>298.08</v>
      </c>
      <c r="R47" s="69">
        <f>Toy!AA47</f>
        <v>741.06</v>
      </c>
      <c r="S47" s="68">
        <f>Toy!AB47</f>
        <v>1.18</v>
      </c>
      <c r="T47" s="48">
        <f t="shared" si="8"/>
        <v>0.4022346368715084</v>
      </c>
      <c r="U47" s="49">
        <f t="shared" si="9"/>
        <v>9.5916897296887439E-3</v>
      </c>
      <c r="V47" s="49">
        <f t="shared" si="10"/>
        <v>0.14229249011857709</v>
      </c>
      <c r="W47" s="50">
        <f t="shared" si="11"/>
        <v>8.2799999999999994</v>
      </c>
    </row>
    <row r="48" spans="1:23" ht="29.1" customHeight="1" x14ac:dyDescent="0.15">
      <c r="A48" s="38" t="s">
        <v>185</v>
      </c>
      <c r="B48" s="38" t="s">
        <v>186</v>
      </c>
      <c r="C48" s="67">
        <f>Toy!C48</f>
        <v>51</v>
      </c>
      <c r="D48" s="68">
        <f>Toy!D48</f>
        <v>49</v>
      </c>
      <c r="E48" s="41">
        <f>Toy!E48</f>
        <v>1027.52</v>
      </c>
      <c r="F48" s="42">
        <v>184</v>
      </c>
      <c r="G48" s="43">
        <v>367</v>
      </c>
      <c r="H48" s="44">
        <v>551</v>
      </c>
      <c r="I48" s="43">
        <v>224</v>
      </c>
      <c r="J48" s="43">
        <v>451</v>
      </c>
      <c r="K48" s="45">
        <v>675</v>
      </c>
      <c r="L48" s="46">
        <f t="shared" si="6"/>
        <v>8.8929219600725959E-2</v>
      </c>
      <c r="M48" s="71">
        <f t="shared" si="7"/>
        <v>0.27833034880099661</v>
      </c>
      <c r="N48" s="68">
        <f>Toy!W48</f>
        <v>24380</v>
      </c>
      <c r="O48" s="68">
        <f>Toy!X48</f>
        <v>242</v>
      </c>
      <c r="P48" s="68">
        <f>Toy!Y48</f>
        <v>24</v>
      </c>
      <c r="Q48" s="68">
        <f>Toy!Z48</f>
        <v>285.99</v>
      </c>
      <c r="R48" s="69">
        <f>Toy!AA48</f>
        <v>509.27</v>
      </c>
      <c r="S48" s="68">
        <f>Toy!AB48</f>
        <v>1.18</v>
      </c>
      <c r="T48" s="48">
        <f t="shared" si="8"/>
        <v>0.56156851964576748</v>
      </c>
      <c r="U48" s="49">
        <f t="shared" si="9"/>
        <v>9.9261689909762099E-3</v>
      </c>
      <c r="V48" s="49">
        <f t="shared" si="10"/>
        <v>9.9173553719008267E-2</v>
      </c>
      <c r="W48" s="50">
        <f t="shared" si="11"/>
        <v>11.91625</v>
      </c>
    </row>
    <row r="49" spans="1:23" ht="29.1" customHeight="1" x14ac:dyDescent="0.15">
      <c r="A49" s="38" t="s">
        <v>187</v>
      </c>
      <c r="B49" s="38" t="s">
        <v>188</v>
      </c>
      <c r="C49" s="67">
        <f>Toy!C49</f>
        <v>63</v>
      </c>
      <c r="D49" s="68">
        <f>Toy!D49</f>
        <v>61</v>
      </c>
      <c r="E49" s="41">
        <f>Toy!E49</f>
        <v>1222.0899999999999</v>
      </c>
      <c r="F49" s="42">
        <v>172</v>
      </c>
      <c r="G49" s="43">
        <v>369</v>
      </c>
      <c r="H49" s="44">
        <v>541</v>
      </c>
      <c r="I49" s="43">
        <v>202</v>
      </c>
      <c r="J49" s="43">
        <v>458</v>
      </c>
      <c r="K49" s="45">
        <v>660</v>
      </c>
      <c r="L49" s="46">
        <f t="shared" si="6"/>
        <v>0.11275415896487985</v>
      </c>
      <c r="M49" s="71">
        <f t="shared" si="7"/>
        <v>0.26680522711093291</v>
      </c>
      <c r="N49" s="68">
        <f>Toy!W49</f>
        <v>26878</v>
      </c>
      <c r="O49" s="68">
        <f>Toy!X49</f>
        <v>275</v>
      </c>
      <c r="P49" s="68">
        <f>Toy!Y49</f>
        <v>32</v>
      </c>
      <c r="Q49" s="68">
        <f>Toy!Z49</f>
        <v>326.06</v>
      </c>
      <c r="R49" s="69">
        <f>Toy!AA49</f>
        <v>642.23</v>
      </c>
      <c r="S49" s="68">
        <f>Toy!AB49</f>
        <v>1.19</v>
      </c>
      <c r="T49" s="48">
        <f t="shared" si="8"/>
        <v>0.50769973374024879</v>
      </c>
      <c r="U49" s="49">
        <f t="shared" si="9"/>
        <v>1.0231416027978273E-2</v>
      </c>
      <c r="V49" s="49">
        <f t="shared" si="10"/>
        <v>0.11636363636363636</v>
      </c>
      <c r="W49" s="50">
        <f t="shared" si="11"/>
        <v>10.189375</v>
      </c>
    </row>
    <row r="50" spans="1:23" ht="29.1" customHeight="1" x14ac:dyDescent="0.15">
      <c r="A50" s="38" t="s">
        <v>189</v>
      </c>
      <c r="B50" s="38" t="s">
        <v>190</v>
      </c>
      <c r="C50" s="67">
        <f>Toy!C50</f>
        <v>78</v>
      </c>
      <c r="D50" s="68">
        <f>Toy!D50</f>
        <v>75</v>
      </c>
      <c r="E50" s="41">
        <f>Toy!E50</f>
        <v>1503.54</v>
      </c>
      <c r="F50" s="42">
        <v>168</v>
      </c>
      <c r="G50" s="43">
        <v>478</v>
      </c>
      <c r="H50" s="44">
        <v>646</v>
      </c>
      <c r="I50" s="43">
        <v>203</v>
      </c>
      <c r="J50" s="43">
        <v>568</v>
      </c>
      <c r="K50" s="45">
        <v>771</v>
      </c>
      <c r="L50" s="46">
        <f t="shared" si="6"/>
        <v>0.11609907120743033</v>
      </c>
      <c r="M50" s="71">
        <f t="shared" si="7"/>
        <v>0.24111097809170356</v>
      </c>
      <c r="N50" s="68">
        <f>Toy!W50</f>
        <v>43106</v>
      </c>
      <c r="O50" s="68">
        <f>Toy!X50</f>
        <v>313</v>
      </c>
      <c r="P50" s="68">
        <f>Toy!Y50</f>
        <v>42</v>
      </c>
      <c r="Q50" s="68">
        <f>Toy!Z50</f>
        <v>362.52</v>
      </c>
      <c r="R50" s="69">
        <f>Toy!AA50</f>
        <v>828.53</v>
      </c>
      <c r="S50" s="68">
        <f>Toy!AB50</f>
        <v>1.1599999999999999</v>
      </c>
      <c r="T50" s="48">
        <f t="shared" si="8"/>
        <v>0.43754601523179609</v>
      </c>
      <c r="U50" s="49">
        <f t="shared" si="9"/>
        <v>7.261170138727787E-3</v>
      </c>
      <c r="V50" s="49">
        <f t="shared" si="10"/>
        <v>0.13418530351437699</v>
      </c>
      <c r="W50" s="50">
        <f t="shared" si="11"/>
        <v>8.6314285714285717</v>
      </c>
    </row>
    <row r="51" spans="1:23" ht="29.1" customHeight="1" x14ac:dyDescent="0.15">
      <c r="A51" s="38" t="s">
        <v>191</v>
      </c>
      <c r="B51" s="38" t="s">
        <v>192</v>
      </c>
      <c r="C51" s="67">
        <f>Toy!C51</f>
        <v>55</v>
      </c>
      <c r="D51" s="68">
        <f>Toy!D51</f>
        <v>51</v>
      </c>
      <c r="E51" s="41">
        <f>Toy!E51</f>
        <v>1128.94</v>
      </c>
      <c r="F51" s="42">
        <v>139</v>
      </c>
      <c r="G51" s="43">
        <v>443</v>
      </c>
      <c r="H51" s="44">
        <v>582</v>
      </c>
      <c r="I51" s="43">
        <v>165</v>
      </c>
      <c r="J51" s="43">
        <v>505</v>
      </c>
      <c r="K51" s="45">
        <v>670</v>
      </c>
      <c r="L51" s="46">
        <f t="shared" si="6"/>
        <v>8.7628865979381437E-2</v>
      </c>
      <c r="M51" s="71">
        <f t="shared" si="7"/>
        <v>0.27679061774762165</v>
      </c>
      <c r="N51" s="68">
        <f>Toy!W51</f>
        <v>36559</v>
      </c>
      <c r="O51" s="68">
        <f>Toy!X51</f>
        <v>274</v>
      </c>
      <c r="P51" s="68">
        <f>Toy!Y51</f>
        <v>31</v>
      </c>
      <c r="Q51" s="68">
        <f>Toy!Z51</f>
        <v>312.48</v>
      </c>
      <c r="R51" s="69">
        <f>Toy!AA51</f>
        <v>663.58</v>
      </c>
      <c r="S51" s="68">
        <f>Toy!AB51</f>
        <v>1.1399999999999999</v>
      </c>
      <c r="T51" s="48">
        <f t="shared" si="8"/>
        <v>0.4709002682419603</v>
      </c>
      <c r="U51" s="49">
        <f t="shared" si="9"/>
        <v>7.494734538690883E-3</v>
      </c>
      <c r="V51" s="49">
        <f t="shared" si="10"/>
        <v>0.11313868613138686</v>
      </c>
      <c r="W51" s="50">
        <f t="shared" si="11"/>
        <v>10.08</v>
      </c>
    </row>
    <row r="52" spans="1:23" ht="29.1" customHeight="1" x14ac:dyDescent="0.15">
      <c r="A52" s="38" t="s">
        <v>193</v>
      </c>
      <c r="B52" s="38" t="s">
        <v>194</v>
      </c>
      <c r="C52" s="67">
        <f>Toy!C52</f>
        <v>61</v>
      </c>
      <c r="D52" s="68">
        <f>Toy!D52</f>
        <v>58</v>
      </c>
      <c r="E52" s="41">
        <f>Toy!E52</f>
        <v>1450.54</v>
      </c>
      <c r="F52" s="42">
        <v>237</v>
      </c>
      <c r="G52" s="43">
        <v>453</v>
      </c>
      <c r="H52" s="44">
        <v>690</v>
      </c>
      <c r="I52" s="43">
        <v>290</v>
      </c>
      <c r="J52" s="43">
        <v>528</v>
      </c>
      <c r="K52" s="45">
        <v>818</v>
      </c>
      <c r="L52" s="46">
        <f t="shared" si="6"/>
        <v>8.4057971014492749E-2</v>
      </c>
      <c r="M52" s="71">
        <f t="shared" si="7"/>
        <v>0.22090393922263435</v>
      </c>
      <c r="N52" s="68">
        <f>Toy!W52</f>
        <v>65756</v>
      </c>
      <c r="O52" s="68">
        <f>Toy!X52</f>
        <v>281</v>
      </c>
      <c r="P52" s="68">
        <f>Toy!Y52</f>
        <v>49</v>
      </c>
      <c r="Q52" s="68">
        <f>Toy!Z52</f>
        <v>320.43</v>
      </c>
      <c r="R52" s="69">
        <f>Toy!AA52</f>
        <v>1172.0999999999999</v>
      </c>
      <c r="S52" s="68">
        <f>Toy!AB52</f>
        <v>1.1399999999999999</v>
      </c>
      <c r="T52" s="48">
        <f t="shared" si="8"/>
        <v>0.27338111082672129</v>
      </c>
      <c r="U52" s="49">
        <f t="shared" si="9"/>
        <v>4.2733742928401973E-3</v>
      </c>
      <c r="V52" s="49">
        <f t="shared" si="10"/>
        <v>0.17437722419928825</v>
      </c>
      <c r="W52" s="50">
        <f t="shared" si="11"/>
        <v>6.539387755102041</v>
      </c>
    </row>
    <row r="53" spans="1:23" ht="29.1" customHeight="1" x14ac:dyDescent="0.15">
      <c r="A53" s="38" t="s">
        <v>195</v>
      </c>
      <c r="B53" s="38" t="s">
        <v>196</v>
      </c>
      <c r="C53" s="67">
        <f>Toy!C53</f>
        <v>109</v>
      </c>
      <c r="D53" s="68">
        <f>Toy!D53</f>
        <v>103</v>
      </c>
      <c r="E53" s="41">
        <f>Toy!E53</f>
        <v>2018.2</v>
      </c>
      <c r="F53" s="42">
        <v>262</v>
      </c>
      <c r="G53" s="43">
        <v>513</v>
      </c>
      <c r="H53" s="44">
        <v>775</v>
      </c>
      <c r="I53" s="43">
        <v>326</v>
      </c>
      <c r="J53" s="43">
        <v>613</v>
      </c>
      <c r="K53" s="45">
        <v>939</v>
      </c>
      <c r="L53" s="46">
        <f t="shared" si="6"/>
        <v>0.13290322580645161</v>
      </c>
      <c r="M53" s="71">
        <f t="shared" si="7"/>
        <v>0.17196016252105836</v>
      </c>
      <c r="N53" s="68">
        <f>Toy!W53</f>
        <v>38519</v>
      </c>
      <c r="O53" s="68">
        <f>Toy!X53</f>
        <v>293</v>
      </c>
      <c r="P53" s="68">
        <f>Toy!Y53</f>
        <v>47</v>
      </c>
      <c r="Q53" s="68">
        <f>Toy!Z53</f>
        <v>347.05</v>
      </c>
      <c r="R53" s="69">
        <f>Toy!AA53</f>
        <v>959.53</v>
      </c>
      <c r="S53" s="68">
        <f>Toy!AB53</f>
        <v>1.18</v>
      </c>
      <c r="T53" s="48">
        <f t="shared" si="8"/>
        <v>0.36168749283503382</v>
      </c>
      <c r="U53" s="49">
        <f t="shared" si="9"/>
        <v>7.606635686284691E-3</v>
      </c>
      <c r="V53" s="49">
        <f t="shared" si="10"/>
        <v>0.16040955631399317</v>
      </c>
      <c r="W53" s="50">
        <f t="shared" si="11"/>
        <v>7.3840425531914899</v>
      </c>
    </row>
    <row r="54" spans="1:23" ht="29.1" customHeight="1" x14ac:dyDescent="0.15">
      <c r="A54" s="38" t="s">
        <v>198</v>
      </c>
      <c r="B54" s="38" t="s">
        <v>199</v>
      </c>
      <c r="C54" s="67">
        <f>Toy!C54</f>
        <v>67</v>
      </c>
      <c r="D54" s="68">
        <f>Toy!D54</f>
        <v>67</v>
      </c>
      <c r="E54" s="41">
        <f>Toy!E54</f>
        <v>1412.71</v>
      </c>
      <c r="F54" s="42">
        <v>195</v>
      </c>
      <c r="G54" s="43">
        <v>436</v>
      </c>
      <c r="H54" s="44">
        <v>631</v>
      </c>
      <c r="I54" s="43">
        <v>243</v>
      </c>
      <c r="J54" s="43">
        <v>505</v>
      </c>
      <c r="K54" s="45">
        <v>748</v>
      </c>
      <c r="L54" s="46">
        <f t="shared" si="6"/>
        <v>0.10618066561014262</v>
      </c>
      <c r="M54" s="71">
        <f t="shared" si="7"/>
        <v>0.23762838799187377</v>
      </c>
      <c r="N54" s="68">
        <f>Toy!W54</f>
        <v>90691</v>
      </c>
      <c r="O54" s="68">
        <f>Toy!X54</f>
        <v>287</v>
      </c>
      <c r="P54" s="68">
        <f>Toy!Y54</f>
        <v>40</v>
      </c>
      <c r="Q54" s="68">
        <f>Toy!Z54</f>
        <v>335.7</v>
      </c>
      <c r="R54" s="69">
        <f>Toy!AA54</f>
        <v>854.36</v>
      </c>
      <c r="S54" s="68">
        <f>Toy!AB54</f>
        <v>1.17</v>
      </c>
      <c r="T54" s="48">
        <f t="shared" si="8"/>
        <v>0.39292569876866895</v>
      </c>
      <c r="U54" s="49">
        <f t="shared" si="9"/>
        <v>3.1645918558622136E-3</v>
      </c>
      <c r="V54" s="49">
        <f t="shared" si="10"/>
        <v>0.13937282229965156</v>
      </c>
      <c r="W54" s="50">
        <f t="shared" si="11"/>
        <v>8.3925000000000001</v>
      </c>
    </row>
    <row r="55" spans="1:23" ht="29.1" customHeight="1" x14ac:dyDescent="0.15">
      <c r="A55" s="38" t="s">
        <v>200</v>
      </c>
      <c r="B55" s="38" t="s">
        <v>201</v>
      </c>
      <c r="C55" s="67">
        <f>Toy!C55</f>
        <v>58</v>
      </c>
      <c r="D55" s="68">
        <f>Toy!D55</f>
        <v>58</v>
      </c>
      <c r="E55" s="41">
        <f>Toy!E55</f>
        <v>1164.0999999999999</v>
      </c>
      <c r="F55" s="42">
        <v>206</v>
      </c>
      <c r="G55" s="43">
        <v>380</v>
      </c>
      <c r="H55" s="44">
        <v>586</v>
      </c>
      <c r="I55" s="43">
        <v>256</v>
      </c>
      <c r="J55" s="43">
        <v>452</v>
      </c>
      <c r="K55" s="45">
        <v>708</v>
      </c>
      <c r="L55" s="46">
        <f t="shared" si="6"/>
        <v>9.8976109215017066E-2</v>
      </c>
      <c r="M55" s="71">
        <f t="shared" si="7"/>
        <v>0.24672279013830428</v>
      </c>
      <c r="N55" s="68">
        <f>Toy!W55</f>
        <v>24156</v>
      </c>
      <c r="O55" s="68">
        <f>Toy!X55</f>
        <v>255</v>
      </c>
      <c r="P55" s="68">
        <f>Toy!Y55</f>
        <v>43</v>
      </c>
      <c r="Q55" s="68">
        <f>Toy!Z55</f>
        <v>287.20999999999998</v>
      </c>
      <c r="R55" s="69">
        <f>Toy!AA55</f>
        <v>871.76</v>
      </c>
      <c r="S55" s="68">
        <f>Toy!AB55</f>
        <v>1.1299999999999999</v>
      </c>
      <c r="T55" s="48">
        <f t="shared" si="8"/>
        <v>0.32945994310360649</v>
      </c>
      <c r="U55" s="49">
        <f t="shared" si="9"/>
        <v>1.055638350720318E-2</v>
      </c>
      <c r="V55" s="49">
        <f t="shared" si="10"/>
        <v>0.16862745098039217</v>
      </c>
      <c r="W55" s="50">
        <f t="shared" si="11"/>
        <v>6.6793023255813946</v>
      </c>
    </row>
    <row r="56" spans="1:23" ht="29.1" customHeight="1" x14ac:dyDescent="0.15">
      <c r="A56" s="38" t="s">
        <v>202</v>
      </c>
      <c r="B56" s="38" t="s">
        <v>203</v>
      </c>
      <c r="C56" s="67">
        <f>Toy!C56</f>
        <v>70</v>
      </c>
      <c r="D56" s="68">
        <f>Toy!D56</f>
        <v>69</v>
      </c>
      <c r="E56" s="41">
        <f>Toy!E56</f>
        <v>1562.73</v>
      </c>
      <c r="F56" s="42">
        <v>238</v>
      </c>
      <c r="G56" s="43">
        <v>434</v>
      </c>
      <c r="H56" s="44">
        <v>672</v>
      </c>
      <c r="I56" s="43">
        <v>296</v>
      </c>
      <c r="J56" s="43">
        <v>517</v>
      </c>
      <c r="K56" s="45">
        <v>813</v>
      </c>
      <c r="L56" s="46">
        <f t="shared" si="6"/>
        <v>0.10267857142857142</v>
      </c>
      <c r="M56" s="71">
        <f t="shared" si="7"/>
        <v>0.15618820909562114</v>
      </c>
      <c r="N56" s="68">
        <f>Toy!W56</f>
        <v>23268</v>
      </c>
      <c r="O56" s="68">
        <f>Toy!X56</f>
        <v>218</v>
      </c>
      <c r="P56" s="68">
        <f>Toy!Y56</f>
        <v>37</v>
      </c>
      <c r="Q56" s="68">
        <f>Toy!Z56</f>
        <v>244.08</v>
      </c>
      <c r="R56" s="69">
        <f>Toy!AA56</f>
        <v>869.19</v>
      </c>
      <c r="S56" s="68">
        <f>Toy!AB56</f>
        <v>1.1200000000000001</v>
      </c>
      <c r="T56" s="48">
        <f t="shared" si="8"/>
        <v>0.2808131708832361</v>
      </c>
      <c r="U56" s="49">
        <f t="shared" si="9"/>
        <v>9.3690905965274195E-3</v>
      </c>
      <c r="V56" s="49">
        <f t="shared" si="10"/>
        <v>0.16972477064220184</v>
      </c>
      <c r="W56" s="50">
        <f t="shared" si="11"/>
        <v>6.5967567567567569</v>
      </c>
    </row>
    <row r="57" spans="1:23" ht="29.1" customHeight="1" x14ac:dyDescent="0.15">
      <c r="A57" s="38" t="s">
        <v>205</v>
      </c>
      <c r="B57" s="38" t="s">
        <v>206</v>
      </c>
      <c r="C57" s="67">
        <f>Toy!C57</f>
        <v>58</v>
      </c>
      <c r="D57" s="68">
        <f>Toy!D57</f>
        <v>49</v>
      </c>
      <c r="E57" s="41">
        <f>Toy!E57</f>
        <v>1247.3499999999999</v>
      </c>
      <c r="F57" s="42">
        <v>246</v>
      </c>
      <c r="G57" s="43">
        <v>381</v>
      </c>
      <c r="H57" s="44">
        <v>627</v>
      </c>
      <c r="I57" s="43">
        <v>299</v>
      </c>
      <c r="J57" s="43">
        <v>504</v>
      </c>
      <c r="K57" s="45">
        <v>803</v>
      </c>
      <c r="L57" s="46">
        <f t="shared" si="6"/>
        <v>7.8149920255183414E-2</v>
      </c>
      <c r="M57" s="71">
        <f t="shared" si="7"/>
        <v>0.23406421613821302</v>
      </c>
      <c r="N57" s="68">
        <f>Toy!W57</f>
        <v>26402</v>
      </c>
      <c r="O57" s="68">
        <f>Toy!X57</f>
        <v>271</v>
      </c>
      <c r="P57" s="68">
        <f>Toy!Y57</f>
        <v>29</v>
      </c>
      <c r="Q57" s="68">
        <f>Toy!Z57</f>
        <v>291.95999999999998</v>
      </c>
      <c r="R57" s="69">
        <f>Toy!AA57</f>
        <v>762.41</v>
      </c>
      <c r="S57" s="68">
        <f>Toy!AB57</f>
        <v>1.08</v>
      </c>
      <c r="T57" s="48">
        <f t="shared" si="8"/>
        <v>0.38294356055140932</v>
      </c>
      <c r="U57" s="49">
        <f t="shared" si="9"/>
        <v>1.0264373911067343E-2</v>
      </c>
      <c r="V57" s="49">
        <f t="shared" si="10"/>
        <v>0.1070110701107011</v>
      </c>
      <c r="W57" s="50">
        <f t="shared" si="11"/>
        <v>10.067586206896552</v>
      </c>
    </row>
    <row r="58" spans="1:23" ht="29.1" customHeight="1" x14ac:dyDescent="0.15">
      <c r="A58" s="38" t="s">
        <v>208</v>
      </c>
      <c r="B58" s="38" t="s">
        <v>209</v>
      </c>
      <c r="C58" s="67">
        <f>Toy!C58</f>
        <v>57</v>
      </c>
      <c r="D58" s="68">
        <f>Toy!D58</f>
        <v>56</v>
      </c>
      <c r="E58" s="41">
        <f>Toy!E58</f>
        <v>1188.24</v>
      </c>
      <c r="F58" s="42">
        <v>186</v>
      </c>
      <c r="G58" s="43">
        <v>347</v>
      </c>
      <c r="H58" s="44">
        <v>533</v>
      </c>
      <c r="I58" s="43">
        <v>240</v>
      </c>
      <c r="J58" s="43">
        <v>434</v>
      </c>
      <c r="K58" s="45">
        <v>674</v>
      </c>
      <c r="L58" s="46">
        <f t="shared" si="6"/>
        <v>0.1050656660412758</v>
      </c>
      <c r="M58" s="71">
        <f t="shared" si="7"/>
        <v>0.22203426917121119</v>
      </c>
      <c r="N58" s="68">
        <f>Toy!W58</f>
        <v>28684</v>
      </c>
      <c r="O58" s="68">
        <f>Toy!X58</f>
        <v>246</v>
      </c>
      <c r="P58" s="68">
        <f>Toy!Y58</f>
        <v>23</v>
      </c>
      <c r="Q58" s="68">
        <f>Toy!Z58</f>
        <v>263.83</v>
      </c>
      <c r="R58" s="69">
        <f>Toy!AA58</f>
        <v>479.39</v>
      </c>
      <c r="S58" s="68">
        <f>Toy!AB58</f>
        <v>1.07</v>
      </c>
      <c r="T58" s="48">
        <f t="shared" si="8"/>
        <v>0.55034523039696281</v>
      </c>
      <c r="U58" s="49">
        <f t="shared" si="9"/>
        <v>8.576209733649422E-3</v>
      </c>
      <c r="V58" s="49">
        <f t="shared" si="10"/>
        <v>9.3495934959349589E-2</v>
      </c>
      <c r="W58" s="50">
        <f t="shared" si="11"/>
        <v>11.47086956521739</v>
      </c>
    </row>
    <row r="59" spans="1:23" ht="29.1" customHeight="1" x14ac:dyDescent="0.15">
      <c r="A59" s="38" t="s">
        <v>210</v>
      </c>
      <c r="B59" s="38" t="s">
        <v>211</v>
      </c>
      <c r="C59" s="67">
        <f>Toy!C59</f>
        <v>71</v>
      </c>
      <c r="D59" s="68">
        <f>Toy!D59</f>
        <v>69</v>
      </c>
      <c r="E59" s="41">
        <f>Toy!E59</f>
        <v>1383.36</v>
      </c>
      <c r="F59" s="42">
        <v>208</v>
      </c>
      <c r="G59" s="43">
        <v>459</v>
      </c>
      <c r="H59" s="44">
        <v>667</v>
      </c>
      <c r="I59" s="43">
        <v>250</v>
      </c>
      <c r="J59" s="43">
        <v>539</v>
      </c>
      <c r="K59" s="45">
        <v>789</v>
      </c>
      <c r="L59" s="46">
        <f t="shared" si="6"/>
        <v>0.10344827586206896</v>
      </c>
      <c r="M59" s="71">
        <f t="shared" si="7"/>
        <v>0.24016163543835303</v>
      </c>
      <c r="N59" s="68">
        <f>Toy!W59</f>
        <v>45929</v>
      </c>
      <c r="O59" s="68">
        <f>Toy!X59</f>
        <v>291</v>
      </c>
      <c r="P59" s="68">
        <f>Toy!Y59</f>
        <v>38</v>
      </c>
      <c r="Q59" s="68">
        <f>Toy!Z59</f>
        <v>332.23</v>
      </c>
      <c r="R59" s="69">
        <f>Toy!AA59</f>
        <v>744.98</v>
      </c>
      <c r="S59" s="68">
        <f>Toy!AB59</f>
        <v>1.1399999999999999</v>
      </c>
      <c r="T59" s="48">
        <f t="shared" si="8"/>
        <v>0.44595828075921501</v>
      </c>
      <c r="U59" s="49">
        <f t="shared" si="9"/>
        <v>6.3358662283089116E-3</v>
      </c>
      <c r="V59" s="49">
        <f t="shared" si="10"/>
        <v>0.13058419243986255</v>
      </c>
      <c r="W59" s="50">
        <f t="shared" si="11"/>
        <v>8.7428947368421053</v>
      </c>
    </row>
    <row r="60" spans="1:23" ht="29.1" customHeight="1" x14ac:dyDescent="0.15">
      <c r="A60" s="38" t="s">
        <v>213</v>
      </c>
      <c r="B60" s="38" t="s">
        <v>214</v>
      </c>
      <c r="C60" s="67">
        <f>Toy!C60</f>
        <v>99</v>
      </c>
      <c r="D60" s="68">
        <f>Toy!D60</f>
        <v>95</v>
      </c>
      <c r="E60" s="41">
        <f>Toy!E60</f>
        <v>1788.96</v>
      </c>
      <c r="F60" s="42">
        <v>259</v>
      </c>
      <c r="G60" s="43">
        <v>572</v>
      </c>
      <c r="H60" s="44">
        <v>831</v>
      </c>
      <c r="I60" s="43">
        <v>374</v>
      </c>
      <c r="J60" s="43">
        <v>676</v>
      </c>
      <c r="K60" s="45">
        <v>1050</v>
      </c>
      <c r="L60" s="46">
        <f t="shared" si="6"/>
        <v>0.11432009626955475</v>
      </c>
      <c r="M60" s="71">
        <f t="shared" si="7"/>
        <v>0.20981464090868437</v>
      </c>
      <c r="N60" s="68">
        <f>Toy!W60</f>
        <v>44421</v>
      </c>
      <c r="O60" s="68">
        <f>Toy!X60</f>
        <v>318</v>
      </c>
      <c r="P60" s="68">
        <f>Toy!Y60</f>
        <v>61</v>
      </c>
      <c r="Q60" s="68">
        <f>Toy!Z60</f>
        <v>375.35</v>
      </c>
      <c r="R60" s="69">
        <f>Toy!AA60</f>
        <v>1132.56</v>
      </c>
      <c r="S60" s="68">
        <f>Toy!AB60</f>
        <v>1.18</v>
      </c>
      <c r="T60" s="48">
        <f t="shared" si="8"/>
        <v>0.33141732005368374</v>
      </c>
      <c r="U60" s="49">
        <f t="shared" si="9"/>
        <v>7.1587762544742355E-3</v>
      </c>
      <c r="V60" s="49">
        <f t="shared" si="10"/>
        <v>0.1918238993710692</v>
      </c>
      <c r="W60" s="50">
        <f t="shared" si="11"/>
        <v>6.1532786885245905</v>
      </c>
    </row>
    <row r="61" spans="1:23" ht="29.1" customHeight="1" x14ac:dyDescent="0.15">
      <c r="A61" s="38" t="s">
        <v>216</v>
      </c>
      <c r="B61" s="38" t="s">
        <v>217</v>
      </c>
      <c r="C61" s="67">
        <f>Toy!C61</f>
        <v>84</v>
      </c>
      <c r="D61" s="68">
        <f>Toy!D61</f>
        <v>84</v>
      </c>
      <c r="E61" s="41">
        <f>Toy!E61</f>
        <v>1677.33</v>
      </c>
      <c r="F61" s="42">
        <v>301</v>
      </c>
      <c r="G61" s="43">
        <v>803</v>
      </c>
      <c r="H61" s="44">
        <v>1104</v>
      </c>
      <c r="I61" s="43">
        <v>374</v>
      </c>
      <c r="J61" s="43">
        <v>965</v>
      </c>
      <c r="K61" s="45">
        <v>1339</v>
      </c>
      <c r="L61" s="46">
        <f t="shared" si="6"/>
        <v>7.6086956521739135E-2</v>
      </c>
      <c r="M61" s="71">
        <f t="shared" si="7"/>
        <v>0.26850411069974306</v>
      </c>
      <c r="N61" s="68">
        <f>Toy!W61</f>
        <v>52639</v>
      </c>
      <c r="O61" s="68">
        <f>Toy!X61</f>
        <v>394</v>
      </c>
      <c r="P61" s="68">
        <f>Toy!Y61</f>
        <v>40</v>
      </c>
      <c r="Q61" s="68">
        <f>Toy!Z61</f>
        <v>450.37</v>
      </c>
      <c r="R61" s="69">
        <f>Toy!AA61</f>
        <v>833.79</v>
      </c>
      <c r="S61" s="68">
        <f>Toy!AB61</f>
        <v>1.1399999999999999</v>
      </c>
      <c r="T61" s="48">
        <f t="shared" si="8"/>
        <v>0.5401479988966047</v>
      </c>
      <c r="U61" s="49">
        <f t="shared" si="9"/>
        <v>7.4849446228081838E-3</v>
      </c>
      <c r="V61" s="49">
        <f t="shared" si="10"/>
        <v>0.10152284263959391</v>
      </c>
      <c r="W61" s="50">
        <f t="shared" si="11"/>
        <v>11.25925</v>
      </c>
    </row>
    <row r="62" spans="1:23" ht="29.1" customHeight="1" x14ac:dyDescent="0.15">
      <c r="A62" s="38" t="s">
        <v>219</v>
      </c>
      <c r="B62" s="38" t="s">
        <v>220</v>
      </c>
      <c r="C62" s="67">
        <f>Toy!C62</f>
        <v>90</v>
      </c>
      <c r="D62" s="68">
        <f>Toy!D62</f>
        <v>89</v>
      </c>
      <c r="E62" s="41">
        <f>Toy!E62</f>
        <v>1842.65</v>
      </c>
      <c r="F62" s="42">
        <v>225</v>
      </c>
      <c r="G62" s="43">
        <v>709</v>
      </c>
      <c r="H62" s="44">
        <v>934</v>
      </c>
      <c r="I62" s="43">
        <v>276</v>
      </c>
      <c r="J62" s="43">
        <v>872</v>
      </c>
      <c r="K62" s="45">
        <v>1148</v>
      </c>
      <c r="L62" s="46">
        <f t="shared" si="6"/>
        <v>9.5289079229122053E-2</v>
      </c>
      <c r="M62" s="71">
        <f t="shared" si="7"/>
        <v>0.22787290044229777</v>
      </c>
      <c r="N62" s="68">
        <f>Toy!W62</f>
        <v>57766</v>
      </c>
      <c r="O62" s="68">
        <f>Toy!X62</f>
        <v>358</v>
      </c>
      <c r="P62" s="68">
        <f>Toy!Y62</f>
        <v>41</v>
      </c>
      <c r="Q62" s="68">
        <f>Toy!Z62</f>
        <v>419.89</v>
      </c>
      <c r="R62" s="69">
        <f>Toy!AA62</f>
        <v>835.95</v>
      </c>
      <c r="S62" s="68">
        <f>Toy!AB62</f>
        <v>1.17</v>
      </c>
      <c r="T62" s="48">
        <f t="shared" si="8"/>
        <v>0.50229080686643934</v>
      </c>
      <c r="U62" s="49">
        <f t="shared" si="9"/>
        <v>6.1974171658068762E-3</v>
      </c>
      <c r="V62" s="49">
        <f t="shared" si="10"/>
        <v>0.11452513966480447</v>
      </c>
      <c r="W62" s="50">
        <f t="shared" si="11"/>
        <v>10.241219512195121</v>
      </c>
    </row>
    <row r="63" spans="1:23" ht="29.1" customHeight="1" x14ac:dyDescent="0.15">
      <c r="A63" s="38" t="s">
        <v>221</v>
      </c>
      <c r="B63" s="38" t="s">
        <v>222</v>
      </c>
      <c r="C63" s="67">
        <f>Toy!C63</f>
        <v>76</v>
      </c>
      <c r="D63" s="68">
        <f>Toy!D63</f>
        <v>76</v>
      </c>
      <c r="E63" s="41">
        <f>Toy!E63</f>
        <v>1555.45</v>
      </c>
      <c r="F63" s="42">
        <v>255</v>
      </c>
      <c r="G63" s="43">
        <v>712</v>
      </c>
      <c r="H63" s="44">
        <v>967</v>
      </c>
      <c r="I63" s="43">
        <v>312</v>
      </c>
      <c r="J63" s="43">
        <v>857</v>
      </c>
      <c r="K63" s="45">
        <v>1169</v>
      </c>
      <c r="L63" s="46">
        <f t="shared" si="6"/>
        <v>7.8593588417786964E-2</v>
      </c>
      <c r="M63" s="71">
        <f t="shared" si="7"/>
        <v>0.35054807290494711</v>
      </c>
      <c r="N63" s="68">
        <f>Toy!W63</f>
        <v>65627</v>
      </c>
      <c r="O63" s="68">
        <f>Toy!X63</f>
        <v>464</v>
      </c>
      <c r="P63" s="68">
        <f>Toy!Y63</f>
        <v>42</v>
      </c>
      <c r="Q63" s="68">
        <f>Toy!Z63</f>
        <v>545.26</v>
      </c>
      <c r="R63" s="69">
        <f>Toy!AA63</f>
        <v>876.16</v>
      </c>
      <c r="S63" s="68">
        <f>Toy!AB63</f>
        <v>1.18</v>
      </c>
      <c r="T63" s="48">
        <f t="shared" si="8"/>
        <v>0.62232925493060631</v>
      </c>
      <c r="U63" s="49">
        <f t="shared" si="9"/>
        <v>7.0702607158638978E-3</v>
      </c>
      <c r="V63" s="49">
        <f t="shared" si="10"/>
        <v>9.0517241379310345E-2</v>
      </c>
      <c r="W63" s="50">
        <f t="shared" si="11"/>
        <v>12.982380952380952</v>
      </c>
    </row>
    <row r="64" spans="1:23" ht="29.1" customHeight="1" x14ac:dyDescent="0.15">
      <c r="A64" s="38" t="s">
        <v>223</v>
      </c>
      <c r="B64" s="38" t="s">
        <v>224</v>
      </c>
      <c r="C64" s="67">
        <f>Toy!C64</f>
        <v>57</v>
      </c>
      <c r="D64" s="68">
        <f>Toy!D64</f>
        <v>54</v>
      </c>
      <c r="E64" s="41">
        <f>Toy!E64</f>
        <v>1144.73</v>
      </c>
      <c r="F64" s="42">
        <v>183</v>
      </c>
      <c r="G64" s="43">
        <v>365</v>
      </c>
      <c r="H64" s="44">
        <v>548</v>
      </c>
      <c r="I64" s="43">
        <v>219</v>
      </c>
      <c r="J64" s="43">
        <v>452</v>
      </c>
      <c r="K64" s="45">
        <v>671</v>
      </c>
      <c r="L64" s="46">
        <f t="shared" si="6"/>
        <v>9.8540145985401464E-2</v>
      </c>
      <c r="M64" s="71">
        <f t="shared" si="7"/>
        <v>0.25700383496545037</v>
      </c>
      <c r="N64" s="68">
        <f>Toy!W64</f>
        <v>40516</v>
      </c>
      <c r="O64" s="68">
        <f>Toy!X64</f>
        <v>266</v>
      </c>
      <c r="P64" s="68">
        <f>Toy!Y64</f>
        <v>29</v>
      </c>
      <c r="Q64" s="68">
        <f>Toy!Z64</f>
        <v>294.2</v>
      </c>
      <c r="R64" s="69">
        <f>Toy!AA64</f>
        <v>594.12</v>
      </c>
      <c r="S64" s="68">
        <f>Toy!AB64</f>
        <v>1.1100000000000001</v>
      </c>
      <c r="T64" s="48">
        <f t="shared" si="8"/>
        <v>0.49518615767858343</v>
      </c>
      <c r="U64" s="49">
        <f t="shared" si="9"/>
        <v>6.5653075328265375E-3</v>
      </c>
      <c r="V64" s="49">
        <f t="shared" si="10"/>
        <v>0.10902255639097744</v>
      </c>
      <c r="W64" s="50">
        <f t="shared" si="11"/>
        <v>10.144827586206896</v>
      </c>
    </row>
    <row r="65" spans="1:23" ht="29.1" customHeight="1" x14ac:dyDescent="0.15">
      <c r="A65" s="56" t="s">
        <v>226</v>
      </c>
      <c r="B65" s="57" t="s">
        <v>227</v>
      </c>
      <c r="C65" s="67">
        <f>Toy!C65</f>
        <v>73</v>
      </c>
      <c r="D65" s="68">
        <f>Toy!D65</f>
        <v>72</v>
      </c>
      <c r="E65" s="41">
        <f>Toy!E65</f>
        <v>1581.15</v>
      </c>
      <c r="F65" s="42">
        <v>190</v>
      </c>
      <c r="G65" s="43">
        <v>567</v>
      </c>
      <c r="H65" s="44">
        <v>757</v>
      </c>
      <c r="I65" s="43">
        <v>237</v>
      </c>
      <c r="J65" s="43">
        <v>688</v>
      </c>
      <c r="K65" s="45">
        <v>925</v>
      </c>
      <c r="L65" s="46">
        <f t="shared" si="6"/>
        <v>9.5112285336856006E-2</v>
      </c>
      <c r="M65" s="71">
        <f t="shared" si="7"/>
        <v>0.23292540239698953</v>
      </c>
      <c r="N65" s="68">
        <f>Toy!W65</f>
        <v>45474</v>
      </c>
      <c r="O65" s="68">
        <f>Toy!X65</f>
        <v>332</v>
      </c>
      <c r="P65" s="68">
        <f>Toy!Y65</f>
        <v>37</v>
      </c>
      <c r="Q65" s="68">
        <f>Toy!Z65</f>
        <v>368.29</v>
      </c>
      <c r="R65" s="69">
        <f>Toy!AA65</f>
        <v>793.82</v>
      </c>
      <c r="S65" s="68">
        <f>Toy!AB65</f>
        <v>1.1100000000000001</v>
      </c>
      <c r="T65" s="48">
        <f t="shared" si="8"/>
        <v>0.46394648660905496</v>
      </c>
      <c r="U65" s="49">
        <f t="shared" si="9"/>
        <v>7.3008752254035275E-3</v>
      </c>
      <c r="V65" s="49">
        <f t="shared" si="10"/>
        <v>0.11144578313253012</v>
      </c>
      <c r="W65" s="50">
        <f t="shared" si="11"/>
        <v>9.9537837837837841</v>
      </c>
    </row>
    <row r="66" spans="1:23" ht="29.1" customHeight="1" x14ac:dyDescent="0.15">
      <c r="A66" s="38" t="s">
        <v>228</v>
      </c>
      <c r="B66" s="58" t="s">
        <v>229</v>
      </c>
      <c r="C66" s="67">
        <f>Toy!C66</f>
        <v>86</v>
      </c>
      <c r="D66" s="68">
        <f>Toy!D66</f>
        <v>85</v>
      </c>
      <c r="E66" s="41">
        <f>Toy!E66</f>
        <v>1716.64</v>
      </c>
      <c r="F66" s="42">
        <v>268</v>
      </c>
      <c r="G66" s="43">
        <v>696</v>
      </c>
      <c r="H66" s="44">
        <v>964</v>
      </c>
      <c r="I66" s="43">
        <v>318</v>
      </c>
      <c r="J66" s="43">
        <v>840</v>
      </c>
      <c r="K66" s="45">
        <v>1158</v>
      </c>
      <c r="L66" s="46">
        <f t="shared" si="6"/>
        <v>8.8174273858921168E-2</v>
      </c>
      <c r="M66" s="71">
        <f t="shared" si="7"/>
        <v>0.24182123217448037</v>
      </c>
      <c r="N66" s="68">
        <f>Toy!W66</f>
        <v>48458</v>
      </c>
      <c r="O66" s="68">
        <f>Toy!X66</f>
        <v>384</v>
      </c>
      <c r="P66" s="68">
        <f>Toy!Y66</f>
        <v>62</v>
      </c>
      <c r="Q66" s="68">
        <f>Toy!Z66</f>
        <v>415.12</v>
      </c>
      <c r="R66" s="69">
        <f>Toy!AA66</f>
        <v>1245.44</v>
      </c>
      <c r="S66" s="68">
        <f>Toy!AB66</f>
        <v>1.08</v>
      </c>
      <c r="T66" s="48">
        <f t="shared" si="8"/>
        <v>0.33331192189105857</v>
      </c>
      <c r="U66" s="49">
        <f t="shared" si="9"/>
        <v>7.9243881299269469E-3</v>
      </c>
      <c r="V66" s="49">
        <f t="shared" si="10"/>
        <v>0.16145833333333334</v>
      </c>
      <c r="W66" s="50">
        <f t="shared" si="11"/>
        <v>6.6954838709677418</v>
      </c>
    </row>
    <row r="67" spans="1:23" ht="29.1" customHeight="1" x14ac:dyDescent="0.15">
      <c r="A67" s="38" t="s">
        <v>230</v>
      </c>
      <c r="B67" s="58" t="s">
        <v>231</v>
      </c>
      <c r="C67" s="67">
        <f>Toy!C67</f>
        <v>103</v>
      </c>
      <c r="D67" s="68">
        <f>Toy!D67</f>
        <v>98</v>
      </c>
      <c r="E67" s="41">
        <f>Toy!E67</f>
        <v>2156.64</v>
      </c>
      <c r="F67" s="42">
        <v>351</v>
      </c>
      <c r="G67" s="43">
        <v>712</v>
      </c>
      <c r="H67" s="44">
        <v>1063</v>
      </c>
      <c r="I67" s="43">
        <v>451</v>
      </c>
      <c r="J67" s="43">
        <v>872</v>
      </c>
      <c r="K67" s="45">
        <v>1323</v>
      </c>
      <c r="L67" s="46">
        <f t="shared" si="6"/>
        <v>9.2191909689557858E-2</v>
      </c>
      <c r="M67" s="71">
        <f t="shared" si="7"/>
        <v>0.20976148082201945</v>
      </c>
      <c r="N67" s="68">
        <f>Toy!W67</f>
        <v>51795</v>
      </c>
      <c r="O67" s="68">
        <f>Toy!X67</f>
        <v>408</v>
      </c>
      <c r="P67" s="68">
        <f>Toy!Y67</f>
        <v>65</v>
      </c>
      <c r="Q67" s="68">
        <f>Toy!Z67</f>
        <v>452.38</v>
      </c>
      <c r="R67" s="69">
        <f>Toy!AA67</f>
        <v>1441.69</v>
      </c>
      <c r="S67" s="68">
        <f>Toy!AB67</f>
        <v>1.1100000000000001</v>
      </c>
      <c r="T67" s="48">
        <f t="shared" si="8"/>
        <v>0.31378451678238733</v>
      </c>
      <c r="U67" s="49">
        <f t="shared" si="9"/>
        <v>7.8772082247321167E-3</v>
      </c>
      <c r="V67" s="49">
        <f t="shared" si="10"/>
        <v>0.15931372549019607</v>
      </c>
      <c r="W67" s="50">
        <f t="shared" si="11"/>
        <v>6.9596923076923076</v>
      </c>
    </row>
    <row r="68" spans="1:23" ht="29.1" customHeight="1" x14ac:dyDescent="0.15">
      <c r="A68" s="38" t="s">
        <v>232</v>
      </c>
      <c r="B68" s="58" t="s">
        <v>233</v>
      </c>
      <c r="C68" s="67">
        <f>Toy!C68</f>
        <v>95</v>
      </c>
      <c r="D68" s="68">
        <f>Toy!D68</f>
        <v>94</v>
      </c>
      <c r="E68" s="41">
        <f>Toy!E68</f>
        <v>1930.2</v>
      </c>
      <c r="F68" s="42">
        <v>290</v>
      </c>
      <c r="G68" s="43">
        <v>652</v>
      </c>
      <c r="H68" s="44">
        <v>942</v>
      </c>
      <c r="I68" s="43">
        <v>354</v>
      </c>
      <c r="J68" s="43">
        <v>788</v>
      </c>
      <c r="K68" s="45">
        <v>1142</v>
      </c>
      <c r="L68" s="46">
        <f t="shared" ref="L68:L74" si="12">D68/H68</f>
        <v>9.9787685774946927E-2</v>
      </c>
      <c r="M68" s="71">
        <f t="shared" ref="M68:M75" si="13">Q68/E68</f>
        <v>0.2121490001036162</v>
      </c>
      <c r="N68" s="68">
        <f>Toy!W68</f>
        <v>43943</v>
      </c>
      <c r="O68" s="68">
        <f>Toy!X68</f>
        <v>379</v>
      </c>
      <c r="P68" s="68">
        <f>Toy!Y68</f>
        <v>62</v>
      </c>
      <c r="Q68" s="68">
        <f>Toy!Z68</f>
        <v>409.49</v>
      </c>
      <c r="R68" s="69">
        <f>Toy!AA68</f>
        <v>1231.78</v>
      </c>
      <c r="S68" s="68">
        <f>Toy!AB68</f>
        <v>1.08</v>
      </c>
      <c r="T68" s="48">
        <f t="shared" ref="T68:T75" si="14">Q68/R68</f>
        <v>0.33243761061228466</v>
      </c>
      <c r="U68" s="49">
        <f t="shared" ref="U68:U74" si="15">O68/N68</f>
        <v>8.6248094121930685E-3</v>
      </c>
      <c r="V68" s="49">
        <f t="shared" ref="V68:V74" si="16">P68/O68</f>
        <v>0.16358839050131926</v>
      </c>
      <c r="W68" s="50">
        <f t="shared" ref="W68:W74" si="17">Q68/P68</f>
        <v>6.6046774193548385</v>
      </c>
    </row>
    <row r="69" spans="1:23" ht="29.1" customHeight="1" x14ac:dyDescent="0.15">
      <c r="A69" s="38" t="s">
        <v>236</v>
      </c>
      <c r="B69" s="58" t="s">
        <v>237</v>
      </c>
      <c r="C69" s="67">
        <f>Toy!C69</f>
        <v>74</v>
      </c>
      <c r="D69" s="68">
        <f>Toy!D69</f>
        <v>73</v>
      </c>
      <c r="E69" s="41">
        <f>Toy!E69</f>
        <v>1633.68</v>
      </c>
      <c r="F69" s="42">
        <v>304</v>
      </c>
      <c r="G69" s="43">
        <v>540</v>
      </c>
      <c r="H69" s="44">
        <v>844</v>
      </c>
      <c r="I69" s="43">
        <v>402</v>
      </c>
      <c r="J69" s="43">
        <v>658</v>
      </c>
      <c r="K69" s="45">
        <v>1060</v>
      </c>
      <c r="L69" s="46">
        <f t="shared" si="12"/>
        <v>8.6492890995260668E-2</v>
      </c>
      <c r="M69" s="71">
        <f t="shared" si="13"/>
        <v>0.23476445815581998</v>
      </c>
      <c r="N69" s="68">
        <f>Toy!W69</f>
        <v>45625</v>
      </c>
      <c r="O69" s="68">
        <f>Toy!X69</f>
        <v>348</v>
      </c>
      <c r="P69" s="68">
        <f>Toy!Y69</f>
        <v>46</v>
      </c>
      <c r="Q69" s="68">
        <f>Toy!Z69</f>
        <v>383.53</v>
      </c>
      <c r="R69" s="69">
        <f>Toy!AA69</f>
        <v>1062.24</v>
      </c>
      <c r="S69" s="68">
        <f>Toy!AB69</f>
        <v>1.1000000000000001</v>
      </c>
      <c r="T69" s="48">
        <f t="shared" si="14"/>
        <v>0.3610577647236029</v>
      </c>
      <c r="U69" s="49">
        <f t="shared" si="15"/>
        <v>7.6273972602739727E-3</v>
      </c>
      <c r="V69" s="49">
        <f t="shared" si="16"/>
        <v>0.13218390804597702</v>
      </c>
      <c r="W69" s="50">
        <f t="shared" si="17"/>
        <v>8.3376086956521736</v>
      </c>
    </row>
    <row r="70" spans="1:23" ht="29.1" customHeight="1" x14ac:dyDescent="0.15">
      <c r="A70" s="38" t="s">
        <v>240</v>
      </c>
      <c r="B70" s="58" t="s">
        <v>241</v>
      </c>
      <c r="C70" s="67">
        <f>Toy!C70</f>
        <v>67</v>
      </c>
      <c r="D70" s="68">
        <f>Toy!D70</f>
        <v>67</v>
      </c>
      <c r="E70" s="41">
        <f>Toy!E70</f>
        <v>1357.41</v>
      </c>
      <c r="F70" s="42">
        <v>265</v>
      </c>
      <c r="G70" s="43">
        <v>508</v>
      </c>
      <c r="H70" s="44">
        <v>773</v>
      </c>
      <c r="I70" s="43">
        <v>340</v>
      </c>
      <c r="J70" s="43">
        <v>599</v>
      </c>
      <c r="K70" s="45">
        <v>939</v>
      </c>
      <c r="L70" s="46">
        <f t="shared" si="12"/>
        <v>8.6675291073738683E-2</v>
      </c>
      <c r="M70" s="71">
        <f t="shared" si="13"/>
        <v>0.27102349327027203</v>
      </c>
      <c r="N70" s="68">
        <f>Toy!W70</f>
        <v>33253</v>
      </c>
      <c r="O70" s="68">
        <f>Toy!X70</f>
        <v>336</v>
      </c>
      <c r="P70" s="68">
        <f>Toy!Y70</f>
        <v>39</v>
      </c>
      <c r="Q70" s="68">
        <f>Toy!Z70</f>
        <v>367.89</v>
      </c>
      <c r="R70" s="69">
        <f>Toy!AA70</f>
        <v>800.46</v>
      </c>
      <c r="S70" s="68">
        <f>Toy!AB70</f>
        <v>1.0900000000000001</v>
      </c>
      <c r="T70" s="48">
        <f t="shared" si="14"/>
        <v>0.45959823101716507</v>
      </c>
      <c r="U70" s="49">
        <f t="shared" si="15"/>
        <v>1.0104351487083872E-2</v>
      </c>
      <c r="V70" s="49">
        <f t="shared" si="16"/>
        <v>0.11607142857142858</v>
      </c>
      <c r="W70" s="50">
        <f t="shared" si="17"/>
        <v>9.4330769230769231</v>
      </c>
    </row>
    <row r="71" spans="1:23" ht="29.1" customHeight="1" x14ac:dyDescent="0.15">
      <c r="A71" s="38" t="s">
        <v>244</v>
      </c>
      <c r="B71" s="58" t="s">
        <v>245</v>
      </c>
      <c r="C71" s="67">
        <f>Toy!C71</f>
        <v>96</v>
      </c>
      <c r="D71" s="68">
        <f>Toy!D71</f>
        <v>90</v>
      </c>
      <c r="E71" s="41">
        <f>Toy!E71</f>
        <v>1904.88</v>
      </c>
      <c r="F71" s="42">
        <v>249</v>
      </c>
      <c r="G71" s="43">
        <v>610</v>
      </c>
      <c r="H71" s="44">
        <v>859</v>
      </c>
      <c r="I71" s="43">
        <v>293</v>
      </c>
      <c r="J71" s="43">
        <v>725</v>
      </c>
      <c r="K71" s="45">
        <v>1018</v>
      </c>
      <c r="L71" s="46">
        <f t="shared" si="12"/>
        <v>0.10477299185098952</v>
      </c>
      <c r="M71" s="71">
        <f t="shared" si="13"/>
        <v>0.20855906933770105</v>
      </c>
      <c r="N71" s="68">
        <f>Toy!W71</f>
        <v>32333</v>
      </c>
      <c r="O71" s="68">
        <f>Toy!X71</f>
        <v>358</v>
      </c>
      <c r="P71" s="68">
        <f>Toy!Y71</f>
        <v>51</v>
      </c>
      <c r="Q71" s="68">
        <f>Toy!Z71</f>
        <v>397.28</v>
      </c>
      <c r="R71" s="69">
        <f>Toy!AA71</f>
        <v>1014.02</v>
      </c>
      <c r="S71" s="68">
        <f>Toy!AB71</f>
        <v>1.1100000000000001</v>
      </c>
      <c r="T71" s="48">
        <f t="shared" si="14"/>
        <v>0.39178714423778621</v>
      </c>
      <c r="U71" s="49">
        <f t="shared" si="15"/>
        <v>1.107227909566078E-2</v>
      </c>
      <c r="V71" s="49">
        <f t="shared" si="16"/>
        <v>0.14245810055865921</v>
      </c>
      <c r="W71" s="50">
        <f t="shared" si="17"/>
        <v>7.7898039215686268</v>
      </c>
    </row>
    <row r="72" spans="1:23" ht="29.1" customHeight="1" x14ac:dyDescent="0.15">
      <c r="A72" s="38" t="s">
        <v>247</v>
      </c>
      <c r="B72" s="58" t="s">
        <v>248</v>
      </c>
      <c r="C72" s="67">
        <f>Toy!C72</f>
        <v>101</v>
      </c>
      <c r="D72" s="68">
        <f>Toy!D72</f>
        <v>98</v>
      </c>
      <c r="E72" s="41">
        <f>Toy!E72</f>
        <v>2018.13</v>
      </c>
      <c r="F72" s="42">
        <v>191</v>
      </c>
      <c r="G72" s="43">
        <v>530</v>
      </c>
      <c r="H72" s="44">
        <v>721</v>
      </c>
      <c r="I72" s="43">
        <v>237</v>
      </c>
      <c r="J72" s="43">
        <v>631</v>
      </c>
      <c r="K72" s="45">
        <v>868</v>
      </c>
      <c r="L72" s="46">
        <f t="shared" si="12"/>
        <v>0.13592233009708737</v>
      </c>
      <c r="M72" s="71">
        <f t="shared" si="13"/>
        <v>0.18349164820898553</v>
      </c>
      <c r="N72" s="68">
        <f>Toy!W72</f>
        <v>34909</v>
      </c>
      <c r="O72" s="68">
        <f>Toy!X72</f>
        <v>348</v>
      </c>
      <c r="P72" s="68">
        <f>Toy!Y72</f>
        <v>55</v>
      </c>
      <c r="Q72" s="68">
        <f>Toy!Z72</f>
        <v>370.31</v>
      </c>
      <c r="R72" s="69">
        <f>Toy!AA72</f>
        <v>1089.75</v>
      </c>
      <c r="S72" s="68">
        <f>Toy!AB72</f>
        <v>1.06</v>
      </c>
      <c r="T72" s="48">
        <f t="shared" si="14"/>
        <v>0.33981188345950908</v>
      </c>
      <c r="U72" s="49">
        <f t="shared" si="15"/>
        <v>9.9687759603540628E-3</v>
      </c>
      <c r="V72" s="49">
        <f t="shared" si="16"/>
        <v>0.15804597701149425</v>
      </c>
      <c r="W72" s="50">
        <f t="shared" si="17"/>
        <v>6.7329090909090912</v>
      </c>
    </row>
    <row r="73" spans="1:23" ht="29.1" customHeight="1" x14ac:dyDescent="0.15">
      <c r="A73" s="38" t="s">
        <v>250</v>
      </c>
      <c r="B73" s="58" t="s">
        <v>251</v>
      </c>
      <c r="C73" s="67">
        <f>Toy!C73</f>
        <v>88</v>
      </c>
      <c r="D73" s="68">
        <f>Toy!D73</f>
        <v>86</v>
      </c>
      <c r="E73" s="41">
        <f>Toy!E73</f>
        <v>1839.22</v>
      </c>
      <c r="F73" s="42">
        <v>191</v>
      </c>
      <c r="G73" s="43">
        <v>530</v>
      </c>
      <c r="H73" s="44">
        <v>721</v>
      </c>
      <c r="I73" s="43">
        <v>237</v>
      </c>
      <c r="J73" s="43">
        <v>631</v>
      </c>
      <c r="K73" s="45">
        <v>868</v>
      </c>
      <c r="L73" s="46">
        <f t="shared" si="12"/>
        <v>0.11927877947295423</v>
      </c>
      <c r="M73" s="71">
        <f t="shared" si="13"/>
        <v>0.2167440545448614</v>
      </c>
      <c r="N73" s="68">
        <f>Toy!W73</f>
        <v>33036</v>
      </c>
      <c r="O73" s="68">
        <f>Toy!X73</f>
        <v>366</v>
      </c>
      <c r="P73" s="68">
        <f>Toy!Y73</f>
        <v>53</v>
      </c>
      <c r="Q73" s="68">
        <f>Toy!Z73</f>
        <v>398.64</v>
      </c>
      <c r="R73" s="69">
        <f>Toy!AA73</f>
        <v>1167.43</v>
      </c>
      <c r="S73" s="68">
        <f>Toy!AB73</f>
        <v>1.0900000000000001</v>
      </c>
      <c r="T73" s="48">
        <f t="shared" si="14"/>
        <v>0.34146801092999152</v>
      </c>
      <c r="U73" s="49">
        <f t="shared" si="15"/>
        <v>1.1078823102070468E-2</v>
      </c>
      <c r="V73" s="49">
        <f t="shared" si="16"/>
        <v>0.1448087431693989</v>
      </c>
      <c r="W73" s="50">
        <f t="shared" si="17"/>
        <v>7.5215094339622635</v>
      </c>
    </row>
    <row r="74" spans="1:23" ht="29.1" customHeight="1" x14ac:dyDescent="0.15">
      <c r="A74" s="38" t="s">
        <v>254</v>
      </c>
      <c r="B74" s="58" t="s">
        <v>255</v>
      </c>
      <c r="C74" s="67">
        <f>Toy!C74</f>
        <v>65</v>
      </c>
      <c r="D74" s="68">
        <f>Toy!D74</f>
        <v>63</v>
      </c>
      <c r="E74" s="41">
        <f>Toy!E74</f>
        <v>1508.03</v>
      </c>
      <c r="F74" s="42">
        <v>191</v>
      </c>
      <c r="G74" s="43">
        <v>530</v>
      </c>
      <c r="H74" s="44">
        <v>721</v>
      </c>
      <c r="I74" s="43">
        <v>237</v>
      </c>
      <c r="J74" s="43">
        <v>631</v>
      </c>
      <c r="K74" s="45">
        <v>868</v>
      </c>
      <c r="L74" s="46">
        <f t="shared" si="12"/>
        <v>8.7378640776699032E-2</v>
      </c>
      <c r="M74" s="71">
        <f t="shared" si="13"/>
        <v>0.21162045847894273</v>
      </c>
      <c r="N74" s="68">
        <f>Toy!W74</f>
        <v>37841</v>
      </c>
      <c r="O74" s="68">
        <f>Toy!X74</f>
        <v>307</v>
      </c>
      <c r="P74" s="68">
        <f>Toy!Y74</f>
        <v>29</v>
      </c>
      <c r="Q74" s="68">
        <f>Toy!Z74</f>
        <v>319.13</v>
      </c>
      <c r="R74" s="69">
        <f>Toy!AA74</f>
        <v>697.45</v>
      </c>
      <c r="S74" s="68">
        <f>Toy!AB74</f>
        <v>1.04</v>
      </c>
      <c r="T74" s="48">
        <f t="shared" si="14"/>
        <v>0.4575668506702989</v>
      </c>
      <c r="U74" s="49">
        <f t="shared" si="15"/>
        <v>8.1128934224782637E-3</v>
      </c>
      <c r="V74" s="49">
        <f t="shared" si="16"/>
        <v>9.4462540716612378E-2</v>
      </c>
      <c r="W74" s="50">
        <f t="shared" si="17"/>
        <v>11.004482758620689</v>
      </c>
    </row>
    <row r="75" spans="1:23" ht="29.1" customHeight="1" x14ac:dyDescent="0.15">
      <c r="A75" t="s">
        <v>266</v>
      </c>
      <c r="B75" s="1"/>
      <c r="C75" s="1">
        <f>SUBTOTAL(109,表3_3254[销量])</f>
        <v>4276</v>
      </c>
      <c r="D75" s="1">
        <f>SUBTOTAL(109,表3_3254[订单量])</f>
        <v>4127</v>
      </c>
      <c r="E75" s="59">
        <f>SUBTOTAL(109,表3_3254[销售额])</f>
        <v>91463.89999999998</v>
      </c>
      <c r="F75" s="1">
        <f>SUBTOTAL(101,表3_3254[Sessions-Browser])</f>
        <v>199.154929577465</v>
      </c>
      <c r="G75" s="60">
        <f>SUBTOTAL(101,表3_3254[Sessions-Mobile])</f>
        <v>436.70422535211299</v>
      </c>
      <c r="H75" s="60">
        <f>SUBTOTAL(101,表3_3254[Sessions-Total])</f>
        <v>635.85915492957702</v>
      </c>
      <c r="I75" s="60">
        <f>SUBTOTAL(101,表3_3254[PV-Browser])</f>
        <v>247.88732394366201</v>
      </c>
      <c r="J75" s="61">
        <f>SUBTOTAL(101,表3_3254[PV-Mobile])</f>
        <v>535.02816901408403</v>
      </c>
      <c r="K75" s="61">
        <f>SUBTOTAL(101,表3_3254[PV-Total])</f>
        <v>764.94366197183103</v>
      </c>
      <c r="L75" s="62">
        <f>SUBTOTAL(101,表3_3254[CVR])</f>
        <v>9.183445116530807E-2</v>
      </c>
      <c r="M75" s="62">
        <f t="shared" si="13"/>
        <v>0.24112945107304631</v>
      </c>
      <c r="N75" s="1">
        <f>SUBTOTAL(109,表3_3254[展示])</f>
        <v>2859615</v>
      </c>
      <c r="O75" s="1">
        <f>SUBTOTAL(109,表3_3254[点击])</f>
        <v>19057</v>
      </c>
      <c r="P75" s="1">
        <f>SUBTOTAL(109,表3_3254[广告订单量])</f>
        <v>2458</v>
      </c>
      <c r="Q75" s="1">
        <f>SUBTOTAL(109,表3_3254[广告花费])</f>
        <v>22054.639999999996</v>
      </c>
      <c r="R75" s="1">
        <f>SUBTOTAL(109,表3_3254[广告销售额])</f>
        <v>54123.100000000006</v>
      </c>
      <c r="S75" s="16">
        <f>SUBTOTAL(101,表3_3254[CPC])</f>
        <v>1.1523943661971832</v>
      </c>
      <c r="T75" s="63">
        <f t="shared" si="14"/>
        <v>0.40749033222413339</v>
      </c>
      <c r="U75" s="64">
        <f t="shared" ref="U75:W75" si="18">O75/N75</f>
        <v>6.6641838149541109E-3</v>
      </c>
      <c r="V75" s="64">
        <f t="shared" si="18"/>
        <v>0.1289814766227633</v>
      </c>
      <c r="W75" s="65">
        <f t="shared" si="18"/>
        <v>8.9725956061838872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0"/>
  <sheetViews>
    <sheetView workbookViewId="0">
      <pane xSplit="2" ySplit="3" topLeftCell="C7" activePane="bottomRight" state="frozen"/>
      <selection pane="topRight"/>
      <selection pane="bottomLeft"/>
      <selection pane="bottomRight" activeCell="E3" sqref="E1:E1048576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8.1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210</v>
      </c>
      <c r="B4" s="38" t="s">
        <v>211</v>
      </c>
      <c r="C4" s="39">
        <f>ToyDH!C4</f>
        <v>30</v>
      </c>
      <c r="D4" s="40">
        <f>ToyDH!D4</f>
        <v>29</v>
      </c>
      <c r="E4" s="41">
        <f>ToyDH!E4</f>
        <v>496.01</v>
      </c>
      <c r="F4" s="42">
        <v>64</v>
      </c>
      <c r="G4" s="43">
        <v>149</v>
      </c>
      <c r="H4" s="44">
        <v>213</v>
      </c>
      <c r="I4" s="43">
        <v>80</v>
      </c>
      <c r="J4" s="43">
        <v>187</v>
      </c>
      <c r="K4" s="45">
        <v>267</v>
      </c>
      <c r="L4" s="46">
        <f t="shared" ref="L4:L19" si="0">D4/H4</f>
        <v>0.13615023474178403</v>
      </c>
      <c r="M4" s="71">
        <f t="shared" ref="M4:M20" si="1">Q4/E4</f>
        <v>0.17378681881413682</v>
      </c>
      <c r="N4" s="40">
        <f>ToyDH!W4</f>
        <v>9139</v>
      </c>
      <c r="O4" s="40">
        <f>ToyDH!X4</f>
        <v>73</v>
      </c>
      <c r="P4" s="40">
        <f>ToyDH!Y4</f>
        <v>20</v>
      </c>
      <c r="Q4" s="40">
        <f>ToyDH!Z4</f>
        <v>86.2</v>
      </c>
      <c r="R4" s="40">
        <f>ToyDH!AA4</f>
        <v>357.27</v>
      </c>
      <c r="S4" s="40">
        <f>ToyDH!AB4</f>
        <v>1.18</v>
      </c>
      <c r="T4" s="48">
        <f t="shared" ref="T4:T20" si="2">Q4/R4</f>
        <v>0.24127410641811517</v>
      </c>
      <c r="U4" s="49">
        <f t="shared" ref="U4:W4" si="3">O4/N4</f>
        <v>7.9877448298500929E-3</v>
      </c>
      <c r="V4" s="49">
        <f t="shared" si="3"/>
        <v>0.27397260273972601</v>
      </c>
      <c r="W4" s="50">
        <f t="shared" si="3"/>
        <v>4.3100000000000005</v>
      </c>
    </row>
    <row r="5" spans="1:23" ht="29.1" customHeight="1" x14ac:dyDescent="0.15">
      <c r="A5" s="38" t="s">
        <v>213</v>
      </c>
      <c r="B5" s="38" t="s">
        <v>214</v>
      </c>
      <c r="C5" s="39">
        <f>ToyDH!C5</f>
        <v>27</v>
      </c>
      <c r="D5" s="40">
        <f>ToyDH!D5</f>
        <v>26</v>
      </c>
      <c r="E5" s="41">
        <f>ToyDH!E5</f>
        <v>441.96</v>
      </c>
      <c r="F5" s="42">
        <v>89</v>
      </c>
      <c r="G5" s="43">
        <v>226</v>
      </c>
      <c r="H5" s="44">
        <v>315</v>
      </c>
      <c r="I5" s="43">
        <v>115</v>
      </c>
      <c r="J5" s="43">
        <v>288</v>
      </c>
      <c r="K5" s="45">
        <v>403</v>
      </c>
      <c r="L5" s="46">
        <f t="shared" si="0"/>
        <v>8.2539682539682538E-2</v>
      </c>
      <c r="M5" s="71">
        <f t="shared" si="1"/>
        <v>0.20961172956828675</v>
      </c>
      <c r="N5" s="40">
        <f>ToyDH!W5</f>
        <v>12451</v>
      </c>
      <c r="O5" s="40">
        <f>ToyDH!X5</f>
        <v>88</v>
      </c>
      <c r="P5" s="40">
        <f>ToyDH!Y5</f>
        <v>14</v>
      </c>
      <c r="Q5" s="40">
        <f>ToyDH!Z5</f>
        <v>92.64</v>
      </c>
      <c r="R5" s="40">
        <f>ToyDH!AA5</f>
        <v>230.67</v>
      </c>
      <c r="S5" s="40">
        <f>ToyDH!AB5</f>
        <v>1.05</v>
      </c>
      <c r="T5" s="48">
        <f t="shared" si="2"/>
        <v>0.40161269345818706</v>
      </c>
      <c r="U5" s="49">
        <f t="shared" ref="U5:W5" si="4">O5/N5</f>
        <v>7.0677054051883383E-3</v>
      </c>
      <c r="V5" s="49">
        <f t="shared" si="4"/>
        <v>0.15909090909090909</v>
      </c>
      <c r="W5" s="50">
        <f t="shared" si="4"/>
        <v>6.6171428571428574</v>
      </c>
    </row>
    <row r="6" spans="1:23" ht="29.1" customHeight="1" x14ac:dyDescent="0.15">
      <c r="A6" s="38" t="s">
        <v>216</v>
      </c>
      <c r="B6" s="38" t="s">
        <v>217</v>
      </c>
      <c r="C6" s="39">
        <f>ToyDH!C6</f>
        <v>19</v>
      </c>
      <c r="D6" s="40">
        <f>ToyDH!D6</f>
        <v>19</v>
      </c>
      <c r="E6" s="41">
        <f>ToyDH!E6</f>
        <v>439.19</v>
      </c>
      <c r="F6" s="42">
        <v>83</v>
      </c>
      <c r="G6" s="43">
        <v>158</v>
      </c>
      <c r="H6" s="44">
        <v>241</v>
      </c>
      <c r="I6" s="43">
        <v>98</v>
      </c>
      <c r="J6" s="43">
        <v>199</v>
      </c>
      <c r="K6" s="45">
        <v>297</v>
      </c>
      <c r="L6" s="46">
        <f t="shared" si="0"/>
        <v>7.8838174273858919E-2</v>
      </c>
      <c r="M6" s="71">
        <f t="shared" si="1"/>
        <v>0.20569685102119811</v>
      </c>
      <c r="N6" s="40">
        <f>ToyDH!W6</f>
        <v>20044</v>
      </c>
      <c r="O6" s="40">
        <f>ToyDH!X6</f>
        <v>87</v>
      </c>
      <c r="P6" s="40">
        <f>ToyDH!Y6</f>
        <v>14</v>
      </c>
      <c r="Q6" s="40">
        <f>ToyDH!Z6</f>
        <v>90.34</v>
      </c>
      <c r="R6" s="40">
        <f>ToyDH!AA6</f>
        <v>295.13</v>
      </c>
      <c r="S6" s="40">
        <f>ToyDH!AB6</f>
        <v>1.04</v>
      </c>
      <c r="T6" s="48">
        <f t="shared" si="2"/>
        <v>0.30610239555450142</v>
      </c>
      <c r="U6" s="49">
        <f t="shared" ref="U6:W6" si="5">O6/N6</f>
        <v>4.340451007782878E-3</v>
      </c>
      <c r="V6" s="49">
        <f t="shared" si="5"/>
        <v>0.16091954022988506</v>
      </c>
      <c r="W6" s="50">
        <f t="shared" si="5"/>
        <v>6.4528571428571428</v>
      </c>
    </row>
    <row r="7" spans="1:23" ht="29.1" customHeight="1" x14ac:dyDescent="0.15">
      <c r="A7" s="38" t="s">
        <v>219</v>
      </c>
      <c r="B7" s="38" t="s">
        <v>220</v>
      </c>
      <c r="C7" s="39">
        <f>ToyDH!C7</f>
        <v>20</v>
      </c>
      <c r="D7" s="40">
        <f>ToyDH!D7</f>
        <v>20</v>
      </c>
      <c r="E7" s="41">
        <f>ToyDH!E7</f>
        <v>331.55</v>
      </c>
      <c r="F7" s="42">
        <v>94</v>
      </c>
      <c r="G7" s="43">
        <v>175</v>
      </c>
      <c r="H7" s="44">
        <v>269</v>
      </c>
      <c r="I7" s="43">
        <v>110</v>
      </c>
      <c r="J7" s="43">
        <v>208</v>
      </c>
      <c r="K7" s="45">
        <v>318</v>
      </c>
      <c r="L7" s="46">
        <f t="shared" si="0"/>
        <v>7.434944237918216E-2</v>
      </c>
      <c r="M7" s="71">
        <f t="shared" si="1"/>
        <v>0.27875131955964411</v>
      </c>
      <c r="N7" s="40">
        <f>ToyDH!W7</f>
        <v>14676</v>
      </c>
      <c r="O7" s="40">
        <f>ToyDH!X7</f>
        <v>82</v>
      </c>
      <c r="P7" s="40">
        <f>ToyDH!Y7</f>
        <v>14</v>
      </c>
      <c r="Q7" s="40">
        <f>ToyDH!Z7</f>
        <v>92.42</v>
      </c>
      <c r="R7" s="40">
        <f>ToyDH!AA7</f>
        <v>228.76</v>
      </c>
      <c r="S7" s="40">
        <f>ToyDH!AB7</f>
        <v>1.1299999999999999</v>
      </c>
      <c r="T7" s="48">
        <f t="shared" si="2"/>
        <v>0.4040041965378563</v>
      </c>
      <c r="U7" s="49">
        <f t="shared" ref="U7:W7" si="6">O7/N7</f>
        <v>5.587353502316708E-3</v>
      </c>
      <c r="V7" s="49">
        <f t="shared" si="6"/>
        <v>0.17073170731707318</v>
      </c>
      <c r="W7" s="50">
        <f t="shared" si="6"/>
        <v>6.6014285714285714</v>
      </c>
    </row>
    <row r="8" spans="1:23" ht="29.1" customHeight="1" x14ac:dyDescent="0.15">
      <c r="A8" s="38" t="s">
        <v>221</v>
      </c>
      <c r="B8" s="38" t="s">
        <v>222</v>
      </c>
      <c r="C8" s="39">
        <f>ToyDH!C8</f>
        <v>26</v>
      </c>
      <c r="D8" s="40">
        <f>ToyDH!D8</f>
        <v>26</v>
      </c>
      <c r="E8" s="41">
        <f>ToyDH!E8</f>
        <v>501.24</v>
      </c>
      <c r="F8" s="42">
        <v>71</v>
      </c>
      <c r="G8" s="43">
        <v>170</v>
      </c>
      <c r="H8" s="44">
        <v>241</v>
      </c>
      <c r="I8" s="43">
        <v>88</v>
      </c>
      <c r="J8" s="43">
        <v>211</v>
      </c>
      <c r="K8" s="45">
        <v>299</v>
      </c>
      <c r="L8" s="46">
        <f t="shared" si="0"/>
        <v>0.1078838174273859</v>
      </c>
      <c r="M8" s="71">
        <f t="shared" si="1"/>
        <v>0.24477296305163193</v>
      </c>
      <c r="N8" s="40">
        <f>ToyDH!W8</f>
        <v>2533</v>
      </c>
      <c r="O8" s="40">
        <f>ToyDH!X8</f>
        <v>107</v>
      </c>
      <c r="P8" s="40">
        <f>ToyDH!Y8</f>
        <v>16</v>
      </c>
      <c r="Q8" s="40">
        <f>ToyDH!Z8</f>
        <v>122.69</v>
      </c>
      <c r="R8" s="40">
        <f>ToyDH!AA8</f>
        <v>284.14999999999998</v>
      </c>
      <c r="S8" s="40">
        <f>ToyDH!AB8</f>
        <v>1.1499999999999999</v>
      </c>
      <c r="T8" s="48">
        <f t="shared" si="2"/>
        <v>0.43177898997008624</v>
      </c>
      <c r="U8" s="49">
        <f t="shared" ref="U8:W8" si="7">O8/N8</f>
        <v>4.2242400315831027E-2</v>
      </c>
      <c r="V8" s="49">
        <f t="shared" si="7"/>
        <v>0.14953271028037382</v>
      </c>
      <c r="W8" s="50">
        <f t="shared" si="7"/>
        <v>7.6681249999999999</v>
      </c>
    </row>
    <row r="9" spans="1:23" ht="29.1" customHeight="1" x14ac:dyDescent="0.15">
      <c r="A9" s="38" t="s">
        <v>223</v>
      </c>
      <c r="B9" s="38" t="s">
        <v>224</v>
      </c>
      <c r="C9" s="39">
        <f>ToyDH!C9</f>
        <v>12</v>
      </c>
      <c r="D9" s="40">
        <f>ToyDH!D9</f>
        <v>12</v>
      </c>
      <c r="E9" s="41">
        <f>ToyDH!E9</f>
        <v>278.37</v>
      </c>
      <c r="F9" s="42">
        <v>30</v>
      </c>
      <c r="G9" s="43">
        <v>111</v>
      </c>
      <c r="H9" s="44">
        <v>141</v>
      </c>
      <c r="I9" s="43">
        <v>32</v>
      </c>
      <c r="J9" s="43">
        <v>124</v>
      </c>
      <c r="K9" s="45">
        <v>156</v>
      </c>
      <c r="L9" s="46">
        <f t="shared" si="0"/>
        <v>8.5106382978723402E-2</v>
      </c>
      <c r="M9" s="71">
        <f t="shared" si="1"/>
        <v>0.25868448467866512</v>
      </c>
      <c r="N9" s="40">
        <f>ToyDH!W9</f>
        <v>12725</v>
      </c>
      <c r="O9" s="40">
        <f>ToyDH!X9</f>
        <v>68</v>
      </c>
      <c r="P9" s="40">
        <f>ToyDH!Y9</f>
        <v>10</v>
      </c>
      <c r="Q9" s="40">
        <f>ToyDH!Z9</f>
        <v>72.010000000000005</v>
      </c>
      <c r="R9" s="40">
        <f>ToyDH!AA9</f>
        <v>212.34</v>
      </c>
      <c r="S9" s="40">
        <f>ToyDH!AB9</f>
        <v>1.06</v>
      </c>
      <c r="T9" s="48">
        <f t="shared" si="2"/>
        <v>0.33912593011208442</v>
      </c>
      <c r="U9" s="49">
        <f t="shared" ref="U9:W9" si="8">O9/N9</f>
        <v>5.3438113948919451E-3</v>
      </c>
      <c r="V9" s="49">
        <f t="shared" si="8"/>
        <v>0.14705882352941177</v>
      </c>
      <c r="W9" s="50">
        <f t="shared" si="8"/>
        <v>7.2010000000000005</v>
      </c>
    </row>
    <row r="10" spans="1:23" ht="29.1" customHeight="1" x14ac:dyDescent="0.15">
      <c r="A10" s="56" t="s">
        <v>226</v>
      </c>
      <c r="B10" s="57" t="s">
        <v>227</v>
      </c>
      <c r="C10" s="39">
        <f>ToyDH!C10</f>
        <v>15</v>
      </c>
      <c r="D10" s="40">
        <f>ToyDH!D10</f>
        <v>15</v>
      </c>
      <c r="E10" s="41">
        <f>ToyDH!E10</f>
        <v>275.77999999999997</v>
      </c>
      <c r="F10" s="42">
        <v>48</v>
      </c>
      <c r="G10" s="43">
        <v>135</v>
      </c>
      <c r="H10" s="44">
        <v>183</v>
      </c>
      <c r="I10" s="43">
        <v>56</v>
      </c>
      <c r="J10" s="43">
        <v>173</v>
      </c>
      <c r="K10" s="45">
        <v>229</v>
      </c>
      <c r="L10" s="46">
        <f t="shared" si="0"/>
        <v>8.1967213114754092E-2</v>
      </c>
      <c r="M10" s="71">
        <f t="shared" si="1"/>
        <v>0.3090506925810429</v>
      </c>
      <c r="N10" s="40">
        <f>ToyDH!W10</f>
        <v>17816</v>
      </c>
      <c r="O10" s="40">
        <f>ToyDH!X10</f>
        <v>85</v>
      </c>
      <c r="P10" s="40">
        <f>ToyDH!Y10</f>
        <v>14</v>
      </c>
      <c r="Q10" s="40">
        <f>ToyDH!Z10</f>
        <v>85.23</v>
      </c>
      <c r="R10" s="40">
        <f>ToyDH!AA10</f>
        <v>245.19</v>
      </c>
      <c r="S10" s="40">
        <f>ToyDH!AB10</f>
        <v>1</v>
      </c>
      <c r="T10" s="48">
        <f t="shared" si="2"/>
        <v>0.34760797748684696</v>
      </c>
      <c r="U10" s="49">
        <f t="shared" ref="U10:W10" si="9">O10/N10</f>
        <v>4.7709923664122139E-3</v>
      </c>
      <c r="V10" s="49">
        <f t="shared" si="9"/>
        <v>0.16470588235294117</v>
      </c>
      <c r="W10" s="50">
        <f t="shared" si="9"/>
        <v>6.0878571428571435</v>
      </c>
    </row>
    <row r="11" spans="1:23" ht="29.1" customHeight="1" x14ac:dyDescent="0.15">
      <c r="A11" s="38" t="s">
        <v>228</v>
      </c>
      <c r="B11" s="58" t="s">
        <v>229</v>
      </c>
      <c r="C11" s="39">
        <f>ToyDH!C11</f>
        <v>16</v>
      </c>
      <c r="D11" s="40">
        <f>ToyDH!D11</f>
        <v>16</v>
      </c>
      <c r="E11" s="41">
        <f>ToyDH!E11</f>
        <v>333.46</v>
      </c>
      <c r="F11" s="42">
        <v>42</v>
      </c>
      <c r="G11" s="43">
        <v>143</v>
      </c>
      <c r="H11" s="44">
        <v>185</v>
      </c>
      <c r="I11" s="43">
        <v>54</v>
      </c>
      <c r="J11" s="43">
        <v>172</v>
      </c>
      <c r="K11" s="45">
        <v>226</v>
      </c>
      <c r="L11" s="46">
        <f t="shared" si="0"/>
        <v>8.6486486486486491E-2</v>
      </c>
      <c r="M11" s="71">
        <f t="shared" si="1"/>
        <v>0.23981886882984468</v>
      </c>
      <c r="N11" s="40">
        <f>ToyDH!W11</f>
        <v>13816</v>
      </c>
      <c r="O11" s="40">
        <f>ToyDH!X11</f>
        <v>84</v>
      </c>
      <c r="P11" s="40">
        <f>ToyDH!Y11</f>
        <v>14</v>
      </c>
      <c r="Q11" s="40">
        <f>ToyDH!Z11</f>
        <v>79.97</v>
      </c>
      <c r="R11" s="40">
        <f>ToyDH!AA11</f>
        <v>288.39999999999998</v>
      </c>
      <c r="S11" s="40">
        <f>ToyDH!AB11</f>
        <v>0.95</v>
      </c>
      <c r="T11" s="48">
        <f t="shared" si="2"/>
        <v>0.27728848821081831</v>
      </c>
      <c r="U11" s="49">
        <f t="shared" ref="U11:W11" si="10">O11/N11</f>
        <v>6.0799073537927042E-3</v>
      </c>
      <c r="V11" s="49">
        <f t="shared" si="10"/>
        <v>0.16666666666666666</v>
      </c>
      <c r="W11" s="50">
        <f t="shared" si="10"/>
        <v>5.7121428571428572</v>
      </c>
    </row>
    <row r="12" spans="1:23" ht="29.1" customHeight="1" x14ac:dyDescent="0.15">
      <c r="A12" s="38" t="s">
        <v>230</v>
      </c>
      <c r="B12" s="58" t="s">
        <v>231</v>
      </c>
      <c r="C12" s="39">
        <f>ToyDH!C12</f>
        <v>12</v>
      </c>
      <c r="D12" s="40">
        <f>ToyDH!D12</f>
        <v>12</v>
      </c>
      <c r="E12" s="41">
        <f>ToyDH!E12</f>
        <v>233.73</v>
      </c>
      <c r="F12" s="42">
        <v>65</v>
      </c>
      <c r="G12" s="43">
        <v>156</v>
      </c>
      <c r="H12" s="44">
        <v>221</v>
      </c>
      <c r="I12" s="43">
        <v>80</v>
      </c>
      <c r="J12" s="43">
        <v>187</v>
      </c>
      <c r="K12" s="45">
        <v>267</v>
      </c>
      <c r="L12" s="46">
        <f t="shared" si="0"/>
        <v>5.4298642533936653E-2</v>
      </c>
      <c r="M12" s="71">
        <f t="shared" si="1"/>
        <v>0.37543319214478243</v>
      </c>
      <c r="N12" s="40">
        <f>ToyDH!W12</f>
        <v>17964</v>
      </c>
      <c r="O12" s="40">
        <f>ToyDH!X12</f>
        <v>87</v>
      </c>
      <c r="P12" s="40">
        <f>ToyDH!Y12</f>
        <v>12</v>
      </c>
      <c r="Q12" s="40">
        <f>ToyDH!Z12</f>
        <v>87.75</v>
      </c>
      <c r="R12" s="40">
        <f>ToyDH!AA12</f>
        <v>226.09</v>
      </c>
      <c r="S12" s="40">
        <f>ToyDH!AB12</f>
        <v>1.01</v>
      </c>
      <c r="T12" s="48">
        <f t="shared" si="2"/>
        <v>0.38811977531071695</v>
      </c>
      <c r="U12" s="49">
        <f t="shared" ref="U12:W12" si="11">O12/N12</f>
        <v>4.8430193720774882E-3</v>
      </c>
      <c r="V12" s="49">
        <f t="shared" si="11"/>
        <v>0.13793103448275862</v>
      </c>
      <c r="W12" s="50">
        <f t="shared" si="11"/>
        <v>7.3125</v>
      </c>
    </row>
    <row r="13" spans="1:23" ht="29.1" customHeight="1" x14ac:dyDescent="0.15">
      <c r="A13" s="38" t="s">
        <v>232</v>
      </c>
      <c r="B13" s="58" t="s">
        <v>233</v>
      </c>
      <c r="C13" s="39">
        <f>ToyDH!C13</f>
        <v>19</v>
      </c>
      <c r="D13" s="40">
        <f>ToyDH!D13</f>
        <v>18</v>
      </c>
      <c r="E13" s="41">
        <f>ToyDH!E13</f>
        <v>388.56</v>
      </c>
      <c r="F13" s="42">
        <v>61</v>
      </c>
      <c r="G13" s="43">
        <v>173</v>
      </c>
      <c r="H13" s="44">
        <v>234</v>
      </c>
      <c r="I13" s="43">
        <v>69</v>
      </c>
      <c r="J13" s="43">
        <v>218</v>
      </c>
      <c r="K13" s="45">
        <v>287</v>
      </c>
      <c r="L13" s="46">
        <f t="shared" si="0"/>
        <v>7.6923076923076927E-2</v>
      </c>
      <c r="M13" s="71">
        <f t="shared" si="1"/>
        <v>0.24935659872349186</v>
      </c>
      <c r="N13" s="40">
        <f>ToyDH!W13</f>
        <v>23192</v>
      </c>
      <c r="O13" s="40">
        <f>ToyDH!X13</f>
        <v>98</v>
      </c>
      <c r="P13" s="40">
        <f>ToyDH!Y13</f>
        <v>9</v>
      </c>
      <c r="Q13" s="40">
        <f>ToyDH!Z13</f>
        <v>96.89</v>
      </c>
      <c r="R13" s="40">
        <f>ToyDH!AA13</f>
        <v>188.15</v>
      </c>
      <c r="S13" s="40">
        <f>ToyDH!AB13</f>
        <v>0.99</v>
      </c>
      <c r="T13" s="48">
        <f t="shared" si="2"/>
        <v>0.51496146691469569</v>
      </c>
      <c r="U13" s="49">
        <f t="shared" ref="U13:W13" si="12">O13/N13</f>
        <v>4.2255950327699209E-3</v>
      </c>
      <c r="V13" s="49">
        <f t="shared" si="12"/>
        <v>9.1836734693877556E-2</v>
      </c>
      <c r="W13" s="50">
        <f t="shared" si="12"/>
        <v>10.765555555555556</v>
      </c>
    </row>
    <row r="14" spans="1:23" ht="29.1" customHeight="1" x14ac:dyDescent="0.15">
      <c r="A14" s="38" t="s">
        <v>236</v>
      </c>
      <c r="B14" s="58" t="s">
        <v>237</v>
      </c>
      <c r="C14" s="39">
        <f>ToyDH!C14</f>
        <v>20</v>
      </c>
      <c r="D14" s="40">
        <f>ToyDH!D14</f>
        <v>20</v>
      </c>
      <c r="E14" s="41">
        <f>ToyDH!E14</f>
        <v>419.88</v>
      </c>
      <c r="F14" s="42">
        <v>61</v>
      </c>
      <c r="G14" s="43">
        <v>145</v>
      </c>
      <c r="H14" s="44">
        <v>206</v>
      </c>
      <c r="I14" s="43">
        <v>66</v>
      </c>
      <c r="J14" s="43">
        <v>181</v>
      </c>
      <c r="K14" s="45">
        <v>247</v>
      </c>
      <c r="L14" s="46">
        <f t="shared" si="0"/>
        <v>9.7087378640776698E-2</v>
      </c>
      <c r="M14" s="71">
        <f t="shared" si="1"/>
        <v>0.18907783176145565</v>
      </c>
      <c r="N14" s="40">
        <f>ToyDH!W14</f>
        <v>23242</v>
      </c>
      <c r="O14" s="40">
        <f>ToyDH!X14</f>
        <v>83</v>
      </c>
      <c r="P14" s="40">
        <f>ToyDH!Y14</f>
        <v>14</v>
      </c>
      <c r="Q14" s="40">
        <f>ToyDH!Z14</f>
        <v>79.39</v>
      </c>
      <c r="R14" s="40">
        <f>ToyDH!AA14</f>
        <v>303.18</v>
      </c>
      <c r="S14" s="40">
        <f>ToyDH!AB14</f>
        <v>0.96</v>
      </c>
      <c r="T14" s="48">
        <f t="shared" si="2"/>
        <v>0.26185764232469161</v>
      </c>
      <c r="U14" s="49">
        <f t="shared" ref="U14:W14" si="13">O14/N14</f>
        <v>3.5711212460201361E-3</v>
      </c>
      <c r="V14" s="49">
        <f t="shared" si="13"/>
        <v>0.16867469879518071</v>
      </c>
      <c r="W14" s="50">
        <f t="shared" si="13"/>
        <v>5.6707142857142854</v>
      </c>
    </row>
    <row r="15" spans="1:23" ht="29.1" customHeight="1" x14ac:dyDescent="0.15">
      <c r="A15" s="38" t="s">
        <v>240</v>
      </c>
      <c r="B15" s="58" t="s">
        <v>241</v>
      </c>
      <c r="C15" s="39">
        <f>ToyDH!C15</f>
        <v>13</v>
      </c>
      <c r="D15" s="40">
        <f>ToyDH!D15</f>
        <v>13</v>
      </c>
      <c r="E15" s="41">
        <f>ToyDH!E15</f>
        <v>264.10000000000002</v>
      </c>
      <c r="F15" s="42">
        <v>53</v>
      </c>
      <c r="G15" s="43">
        <v>136</v>
      </c>
      <c r="H15" s="44">
        <v>189</v>
      </c>
      <c r="I15" s="43">
        <v>61</v>
      </c>
      <c r="J15" s="43">
        <v>178</v>
      </c>
      <c r="K15" s="45">
        <v>239</v>
      </c>
      <c r="L15" s="46">
        <f t="shared" si="0"/>
        <v>6.8783068783068779E-2</v>
      </c>
      <c r="M15" s="71">
        <f t="shared" si="1"/>
        <v>0.24498296099962136</v>
      </c>
      <c r="N15" s="40">
        <f>ToyDH!W15</f>
        <v>11812</v>
      </c>
      <c r="O15" s="40">
        <f>ToyDH!X15</f>
        <v>72</v>
      </c>
      <c r="P15" s="40">
        <f>ToyDH!Y15</f>
        <v>5</v>
      </c>
      <c r="Q15" s="40">
        <f>ToyDH!Z15</f>
        <v>64.7</v>
      </c>
      <c r="R15" s="40">
        <f>ToyDH!AA15</f>
        <v>87.35</v>
      </c>
      <c r="S15" s="40">
        <f>ToyDH!AB15</f>
        <v>0.9</v>
      </c>
      <c r="T15" s="48">
        <f t="shared" si="2"/>
        <v>0.7406983400114483</v>
      </c>
      <c r="U15" s="49">
        <f t="shared" ref="U15:W15" si="14">O15/N15</f>
        <v>6.0954961056552655E-3</v>
      </c>
      <c r="V15" s="49">
        <f t="shared" si="14"/>
        <v>6.9444444444444448E-2</v>
      </c>
      <c r="W15" s="50">
        <f t="shared" si="14"/>
        <v>12.940000000000001</v>
      </c>
    </row>
    <row r="16" spans="1:23" ht="29.1" customHeight="1" x14ac:dyDescent="0.15">
      <c r="A16" s="38" t="s">
        <v>244</v>
      </c>
      <c r="B16" s="58" t="s">
        <v>245</v>
      </c>
      <c r="C16" s="39">
        <f>ToyDH!C16</f>
        <v>21</v>
      </c>
      <c r="D16" s="40">
        <f>ToyDH!D16</f>
        <v>21</v>
      </c>
      <c r="E16" s="41">
        <f>ToyDH!E16</f>
        <v>403.08</v>
      </c>
      <c r="F16" s="42">
        <v>60</v>
      </c>
      <c r="G16" s="43">
        <v>198</v>
      </c>
      <c r="H16" s="44">
        <v>258</v>
      </c>
      <c r="I16" s="43">
        <v>70</v>
      </c>
      <c r="J16" s="43">
        <v>251</v>
      </c>
      <c r="K16" s="45">
        <v>321</v>
      </c>
      <c r="L16" s="46">
        <f t="shared" si="0"/>
        <v>8.1395348837209308E-2</v>
      </c>
      <c r="M16" s="71">
        <f t="shared" si="1"/>
        <v>0.23216234990572593</v>
      </c>
      <c r="N16" s="40">
        <f>ToyDH!W16</f>
        <v>13071</v>
      </c>
      <c r="O16" s="40">
        <f>ToyDH!X16</f>
        <v>97</v>
      </c>
      <c r="P16" s="40">
        <f>ToyDH!Y16</f>
        <v>20</v>
      </c>
      <c r="Q16" s="40">
        <f>ToyDH!Z16</f>
        <v>93.58</v>
      </c>
      <c r="R16" s="40">
        <f>ToyDH!AA16</f>
        <v>386.45</v>
      </c>
      <c r="S16" s="40">
        <f>ToyDH!AB16</f>
        <v>0.96</v>
      </c>
      <c r="T16" s="48">
        <f t="shared" si="2"/>
        <v>0.24215293052141287</v>
      </c>
      <c r="U16" s="49">
        <f t="shared" ref="U16:W16" si="15">O16/N16</f>
        <v>7.4210083390712266E-3</v>
      </c>
      <c r="V16" s="49">
        <f t="shared" si="15"/>
        <v>0.20618556701030927</v>
      </c>
      <c r="W16" s="50">
        <f t="shared" si="15"/>
        <v>4.6790000000000003</v>
      </c>
    </row>
    <row r="17" spans="1:23" ht="29.1" customHeight="1" x14ac:dyDescent="0.15">
      <c r="A17" s="38" t="s">
        <v>247</v>
      </c>
      <c r="B17" s="58" t="s">
        <v>248</v>
      </c>
      <c r="C17" s="39">
        <f>ToyDH!C17</f>
        <v>15</v>
      </c>
      <c r="D17" s="40">
        <f>ToyDH!D17</f>
        <v>15</v>
      </c>
      <c r="E17" s="41">
        <f>ToyDH!E17</f>
        <v>274.12</v>
      </c>
      <c r="F17" s="42">
        <v>54</v>
      </c>
      <c r="G17" s="43">
        <v>139</v>
      </c>
      <c r="H17" s="44">
        <v>193</v>
      </c>
      <c r="I17" s="43">
        <v>65</v>
      </c>
      <c r="J17" s="43">
        <v>156</v>
      </c>
      <c r="K17" s="45">
        <v>221</v>
      </c>
      <c r="L17" s="46">
        <f t="shared" si="0"/>
        <v>7.7720207253886009E-2</v>
      </c>
      <c r="M17" s="71">
        <f t="shared" si="1"/>
        <v>0.29114986137458049</v>
      </c>
      <c r="N17" s="40">
        <f>ToyDH!W17</f>
        <v>17455</v>
      </c>
      <c r="O17" s="40">
        <f>ToyDH!X17</f>
        <v>78</v>
      </c>
      <c r="P17" s="40">
        <f>ToyDH!Y17</f>
        <v>6</v>
      </c>
      <c r="Q17" s="40">
        <f>ToyDH!Z17</f>
        <v>79.81</v>
      </c>
      <c r="R17" s="40">
        <f>ToyDH!AA17</f>
        <v>121.05</v>
      </c>
      <c r="S17" s="40">
        <f>ToyDH!AB17</f>
        <v>1.02</v>
      </c>
      <c r="T17" s="48">
        <f t="shared" si="2"/>
        <v>0.65931433292028085</v>
      </c>
      <c r="U17" s="49">
        <f t="shared" ref="U17:W17" si="16">O17/N17</f>
        <v>4.4686336293325692E-3</v>
      </c>
      <c r="V17" s="49">
        <f t="shared" si="16"/>
        <v>7.6923076923076927E-2</v>
      </c>
      <c r="W17" s="50">
        <f t="shared" si="16"/>
        <v>13.301666666666668</v>
      </c>
    </row>
    <row r="18" spans="1:23" ht="29.1" customHeight="1" x14ac:dyDescent="0.15">
      <c r="A18" s="38" t="s">
        <v>250</v>
      </c>
      <c r="B18" s="58" t="s">
        <v>251</v>
      </c>
      <c r="C18" s="39">
        <f>ToyDH!C18</f>
        <v>26</v>
      </c>
      <c r="D18" s="40">
        <f>ToyDH!D18</f>
        <v>25</v>
      </c>
      <c r="E18" s="41">
        <f>ToyDH!E18</f>
        <v>490.43</v>
      </c>
      <c r="F18" s="42">
        <v>54</v>
      </c>
      <c r="G18" s="43">
        <v>139</v>
      </c>
      <c r="H18" s="44">
        <v>193</v>
      </c>
      <c r="I18" s="43">
        <v>65</v>
      </c>
      <c r="J18" s="43">
        <v>156</v>
      </c>
      <c r="K18" s="45">
        <v>221</v>
      </c>
      <c r="L18" s="46">
        <f t="shared" si="0"/>
        <v>0.12953367875647667</v>
      </c>
      <c r="M18" s="71">
        <f t="shared" si="1"/>
        <v>0.23171502558978854</v>
      </c>
      <c r="N18" s="40">
        <f>ToyDH!W18</f>
        <v>15771</v>
      </c>
      <c r="O18" s="40">
        <f>ToyDH!X18</f>
        <v>112</v>
      </c>
      <c r="P18" s="40">
        <f>ToyDH!Y18</f>
        <v>17</v>
      </c>
      <c r="Q18" s="40">
        <f>ToyDH!Z18</f>
        <v>113.64</v>
      </c>
      <c r="R18" s="40">
        <f>ToyDH!AA18</f>
        <v>312.7</v>
      </c>
      <c r="S18" s="40">
        <f>ToyDH!AB18</f>
        <v>1.01</v>
      </c>
      <c r="T18" s="48">
        <f t="shared" si="2"/>
        <v>0.36341541413495365</v>
      </c>
      <c r="U18" s="49">
        <f t="shared" ref="U18:W18" si="17">O18/N18</f>
        <v>7.1016422547714158E-3</v>
      </c>
      <c r="V18" s="49">
        <f t="shared" si="17"/>
        <v>0.15178571428571427</v>
      </c>
      <c r="W18" s="50">
        <f t="shared" si="17"/>
        <v>6.6847058823529411</v>
      </c>
    </row>
    <row r="19" spans="1:23" ht="29.1" customHeight="1" x14ac:dyDescent="0.15">
      <c r="A19" s="38" t="s">
        <v>254</v>
      </c>
      <c r="B19" s="58" t="s">
        <v>255</v>
      </c>
      <c r="C19" s="39">
        <f>ToyDH!C19</f>
        <v>23</v>
      </c>
      <c r="D19" s="40">
        <f>ToyDH!D19</f>
        <v>23</v>
      </c>
      <c r="E19" s="41">
        <f>ToyDH!E19</f>
        <v>482.48</v>
      </c>
      <c r="F19" s="42">
        <v>54</v>
      </c>
      <c r="G19" s="43">
        <v>139</v>
      </c>
      <c r="H19" s="44">
        <v>193</v>
      </c>
      <c r="I19" s="43">
        <v>65</v>
      </c>
      <c r="J19" s="43">
        <v>156</v>
      </c>
      <c r="K19" s="45">
        <v>221</v>
      </c>
      <c r="L19" s="46">
        <f t="shared" si="0"/>
        <v>0.11917098445595854</v>
      </c>
      <c r="M19" s="71">
        <f t="shared" si="1"/>
        <v>0.18326148234123693</v>
      </c>
      <c r="N19" s="40">
        <f>ToyDH!W19</f>
        <v>14434</v>
      </c>
      <c r="O19" s="40">
        <f>ToyDH!X19</f>
        <v>87</v>
      </c>
      <c r="P19" s="40">
        <f>ToyDH!Y19</f>
        <v>19</v>
      </c>
      <c r="Q19" s="40">
        <f>ToyDH!Z19</f>
        <v>88.42</v>
      </c>
      <c r="R19" s="40">
        <f>ToyDH!AA19</f>
        <v>455.05</v>
      </c>
      <c r="S19" s="40">
        <f>ToyDH!AB19</f>
        <v>1.02</v>
      </c>
      <c r="T19" s="48">
        <f t="shared" si="2"/>
        <v>0.19430831776727833</v>
      </c>
      <c r="U19" s="49">
        <f t="shared" ref="U19:W19" si="18">O19/N19</f>
        <v>6.027435222391575E-3</v>
      </c>
      <c r="V19" s="49">
        <f t="shared" si="18"/>
        <v>0.21839080459770116</v>
      </c>
      <c r="W19" s="50">
        <f t="shared" si="18"/>
        <v>4.6536842105263156</v>
      </c>
    </row>
    <row r="20" spans="1:23" ht="29.1" customHeight="1" x14ac:dyDescent="0.15">
      <c r="A20" t="s">
        <v>266</v>
      </c>
      <c r="B20" s="1"/>
      <c r="C20" s="1">
        <f>SUBTOTAL(109,表3_325419[销量])</f>
        <v>314</v>
      </c>
      <c r="D20" s="1">
        <f>SUBTOTAL(109,表3_325419[订单量])</f>
        <v>310</v>
      </c>
      <c r="E20" s="59">
        <f>SUBTOTAL(109,表3_325419[销售额])</f>
        <v>6053.9400000000005</v>
      </c>
      <c r="F20" s="1">
        <f>SUBTOTAL(101,表3_325419[Sessions-Browser])</f>
        <v>61.4375</v>
      </c>
      <c r="G20" s="60">
        <f>SUBTOTAL(101,表3_325419[Sessions-Mobile])</f>
        <v>155.75</v>
      </c>
      <c r="H20" s="60">
        <f>SUBTOTAL(101,表3_325419[Sessions-Total])</f>
        <v>217.1875</v>
      </c>
      <c r="I20" s="60">
        <f>SUBTOTAL(101,表3_325419[PV-Browser])</f>
        <v>73.375</v>
      </c>
      <c r="J20" s="61">
        <f>SUBTOTAL(101,表3_325419[PV-Mobile])</f>
        <v>190.3125</v>
      </c>
      <c r="K20" s="61">
        <f>SUBTOTAL(101,表3_325419[PV-Total])</f>
        <v>263.6875</v>
      </c>
      <c r="L20" s="62">
        <f>SUBTOTAL(101,表3_325419[CVR])</f>
        <v>8.9889613757890452E-2</v>
      </c>
      <c r="M20" s="62">
        <f t="shared" si="1"/>
        <v>0.23549622229490216</v>
      </c>
      <c r="N20" s="1">
        <f>SUBTOTAL(109,表3_325419[展示])</f>
        <v>240141</v>
      </c>
      <c r="O20" s="1">
        <f>SUBTOTAL(109,表3_325419[点击])</f>
        <v>1388</v>
      </c>
      <c r="P20" s="1">
        <f>SUBTOTAL(109,表3_325419[广告订单量])</f>
        <v>218</v>
      </c>
      <c r="Q20" s="1">
        <f>SUBTOTAL(109,表3_325419[广告花费])</f>
        <v>1425.68</v>
      </c>
      <c r="R20" s="1">
        <f>SUBTOTAL(109,表3_325419[广告销售额])</f>
        <v>4221.9299999999994</v>
      </c>
      <c r="S20" s="16">
        <f>SUBTOTAL(101,表3_325419[CPC])</f>
        <v>1.026875</v>
      </c>
      <c r="T20" s="63">
        <f t="shared" si="2"/>
        <v>0.33768442394828913</v>
      </c>
      <c r="U20" s="64">
        <f t="shared" ref="U20:W20" si="19">O20/N20</f>
        <v>5.7799376199815945E-3</v>
      </c>
      <c r="V20" s="64">
        <f t="shared" si="19"/>
        <v>0.15706051873198848</v>
      </c>
      <c r="W20" s="65">
        <f t="shared" si="19"/>
        <v>6.5398165137614681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W75"/>
  <sheetViews>
    <sheetView workbookViewId="0">
      <pane xSplit="2" ySplit="3" topLeftCell="C60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62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70" t="s">
        <v>69</v>
      </c>
      <c r="B4" s="67" t="s">
        <v>70</v>
      </c>
      <c r="C4" s="67">
        <v>33</v>
      </c>
      <c r="D4" s="68">
        <v>33</v>
      </c>
      <c r="E4" s="41">
        <v>530.67999999999995</v>
      </c>
      <c r="F4" s="42">
        <v>144</v>
      </c>
      <c r="G4" s="43">
        <v>372</v>
      </c>
      <c r="H4" s="44">
        <v>516</v>
      </c>
      <c r="I4" s="43">
        <v>193</v>
      </c>
      <c r="J4" s="43">
        <v>523</v>
      </c>
      <c r="K4" s="45">
        <v>716</v>
      </c>
      <c r="L4" s="46">
        <f t="shared" ref="L4:L35" si="0">D4/H4</f>
        <v>6.3953488372092998E-2</v>
      </c>
      <c r="M4" s="71">
        <f t="shared" ref="M4:M35" si="1">Q4/E4</f>
        <v>0.54401899449762603</v>
      </c>
      <c r="N4" s="68">
        <v>51372</v>
      </c>
      <c r="O4" s="68">
        <v>301</v>
      </c>
      <c r="P4" s="68">
        <v>26</v>
      </c>
      <c r="Q4" s="68">
        <v>288.7</v>
      </c>
      <c r="R4" s="69">
        <v>429.74</v>
      </c>
      <c r="S4" s="68">
        <v>0.96</v>
      </c>
      <c r="T4" s="48">
        <f t="shared" ref="T4:T35" si="2">Q4/R4</f>
        <v>0.67180155442825895</v>
      </c>
      <c r="U4" s="49">
        <f t="shared" ref="U4:U35" si="3">O4/N4</f>
        <v>5.8592229229930699E-3</v>
      </c>
      <c r="V4" s="49">
        <f t="shared" ref="V4:V35" si="4">P4/O4</f>
        <v>8.6378737541528194E-2</v>
      </c>
      <c r="W4" s="50">
        <f t="shared" ref="W4:W35" si="5">Q4/P4</f>
        <v>11.103846153846201</v>
      </c>
    </row>
    <row r="5" spans="1:23" ht="29.1" customHeight="1" x14ac:dyDescent="0.15">
      <c r="A5" s="70" t="s">
        <v>71</v>
      </c>
      <c r="B5" s="67" t="s">
        <v>72</v>
      </c>
      <c r="C5" s="67">
        <v>29</v>
      </c>
      <c r="D5" s="68">
        <v>29</v>
      </c>
      <c r="E5" s="41">
        <v>493.21</v>
      </c>
      <c r="F5" s="42">
        <v>122</v>
      </c>
      <c r="G5" s="43">
        <v>283</v>
      </c>
      <c r="H5" s="44">
        <v>405</v>
      </c>
      <c r="I5" s="43">
        <v>166</v>
      </c>
      <c r="J5" s="43">
        <v>429</v>
      </c>
      <c r="K5" s="45">
        <v>595</v>
      </c>
      <c r="L5" s="46">
        <f t="shared" si="0"/>
        <v>7.1604938271604898E-2</v>
      </c>
      <c r="M5" s="71">
        <f t="shared" si="1"/>
        <v>0.37779039354433203</v>
      </c>
      <c r="N5" s="68">
        <v>30309</v>
      </c>
      <c r="O5" s="68">
        <v>207</v>
      </c>
      <c r="P5" s="68">
        <v>21</v>
      </c>
      <c r="Q5" s="68">
        <v>186.33</v>
      </c>
      <c r="R5" s="69">
        <v>354.29</v>
      </c>
      <c r="S5" s="68">
        <v>0.9</v>
      </c>
      <c r="T5" s="48">
        <f t="shared" si="2"/>
        <v>0.52592508961585105</v>
      </c>
      <c r="U5" s="49">
        <f t="shared" si="3"/>
        <v>6.8296545580520604E-3</v>
      </c>
      <c r="V5" s="49">
        <f t="shared" si="4"/>
        <v>0.101449275362319</v>
      </c>
      <c r="W5" s="50">
        <f t="shared" si="5"/>
        <v>8.8728571428571392</v>
      </c>
    </row>
    <row r="6" spans="1:23" ht="29.1" customHeight="1" x14ac:dyDescent="0.15">
      <c r="A6" s="70" t="s">
        <v>73</v>
      </c>
      <c r="B6" s="67" t="s">
        <v>74</v>
      </c>
      <c r="C6" s="67">
        <v>11</v>
      </c>
      <c r="D6" s="68">
        <v>11</v>
      </c>
      <c r="E6" s="41">
        <v>201.48</v>
      </c>
      <c r="F6" s="42">
        <v>73</v>
      </c>
      <c r="G6" s="43">
        <v>162</v>
      </c>
      <c r="H6" s="44">
        <v>235</v>
      </c>
      <c r="I6" s="43">
        <v>121</v>
      </c>
      <c r="J6" s="43">
        <v>244</v>
      </c>
      <c r="K6" s="45">
        <v>365</v>
      </c>
      <c r="L6" s="46">
        <f t="shared" si="0"/>
        <v>4.6808510638297898E-2</v>
      </c>
      <c r="M6" s="71">
        <f t="shared" si="1"/>
        <v>0.40574746873138801</v>
      </c>
      <c r="N6" s="68">
        <v>19912</v>
      </c>
      <c r="O6" s="68">
        <v>103</v>
      </c>
      <c r="P6" s="68">
        <v>9</v>
      </c>
      <c r="Q6" s="68">
        <v>81.75</v>
      </c>
      <c r="R6" s="69">
        <v>163.5</v>
      </c>
      <c r="S6" s="68">
        <v>0.79</v>
      </c>
      <c r="T6" s="48">
        <f t="shared" si="2"/>
        <v>0.5</v>
      </c>
      <c r="U6" s="49">
        <f t="shared" si="3"/>
        <v>5.1727601446364003E-3</v>
      </c>
      <c r="V6" s="49">
        <f t="shared" si="4"/>
        <v>8.7378640776699004E-2</v>
      </c>
      <c r="W6" s="50">
        <f t="shared" si="5"/>
        <v>9.0833333333333304</v>
      </c>
    </row>
    <row r="7" spans="1:23" ht="29.1" customHeight="1" x14ac:dyDescent="0.15">
      <c r="A7" s="70" t="s">
        <v>76</v>
      </c>
      <c r="B7" s="67" t="s">
        <v>77</v>
      </c>
      <c r="C7" s="67">
        <v>32</v>
      </c>
      <c r="D7" s="68">
        <v>32</v>
      </c>
      <c r="E7" s="41">
        <v>534.08000000000004</v>
      </c>
      <c r="F7" s="42">
        <v>176</v>
      </c>
      <c r="G7" s="43">
        <v>333</v>
      </c>
      <c r="H7" s="44">
        <v>509</v>
      </c>
      <c r="I7" s="43">
        <v>247</v>
      </c>
      <c r="J7" s="43">
        <v>454</v>
      </c>
      <c r="K7" s="45">
        <v>701</v>
      </c>
      <c r="L7" s="46">
        <f t="shared" si="0"/>
        <v>6.2868369351669895E-2</v>
      </c>
      <c r="M7" s="71">
        <f t="shared" si="1"/>
        <v>0.57118783702816101</v>
      </c>
      <c r="N7" s="68">
        <v>37460</v>
      </c>
      <c r="O7" s="68">
        <v>295</v>
      </c>
      <c r="P7" s="68">
        <v>32</v>
      </c>
      <c r="Q7" s="68">
        <v>305.06</v>
      </c>
      <c r="R7" s="69">
        <v>554.77</v>
      </c>
      <c r="S7" s="68">
        <v>1.03</v>
      </c>
      <c r="T7" s="48">
        <f t="shared" si="2"/>
        <v>0.54988553815094499</v>
      </c>
      <c r="U7" s="49">
        <f t="shared" si="3"/>
        <v>7.8750667378537104E-3</v>
      </c>
      <c r="V7" s="49">
        <f t="shared" si="4"/>
        <v>0.10847457627118599</v>
      </c>
      <c r="W7" s="50">
        <f t="shared" si="5"/>
        <v>9.5331250000000001</v>
      </c>
    </row>
    <row r="8" spans="1:23" ht="29.1" customHeight="1" x14ac:dyDescent="0.15">
      <c r="A8" s="70" t="s">
        <v>79</v>
      </c>
      <c r="B8" s="67" t="s">
        <v>80</v>
      </c>
      <c r="C8" s="67">
        <v>31</v>
      </c>
      <c r="D8" s="68">
        <v>29</v>
      </c>
      <c r="E8" s="41">
        <v>551.79</v>
      </c>
      <c r="F8" s="42">
        <v>157</v>
      </c>
      <c r="G8" s="43">
        <v>450</v>
      </c>
      <c r="H8" s="44">
        <v>607</v>
      </c>
      <c r="I8" s="43">
        <v>232</v>
      </c>
      <c r="J8" s="43">
        <v>618</v>
      </c>
      <c r="K8" s="45">
        <v>850</v>
      </c>
      <c r="L8" s="46">
        <f t="shared" si="0"/>
        <v>4.7775947281713298E-2</v>
      </c>
      <c r="M8" s="71">
        <f t="shared" si="1"/>
        <v>0.54698345385019698</v>
      </c>
      <c r="N8" s="68">
        <v>60281</v>
      </c>
      <c r="O8" s="68">
        <v>304</v>
      </c>
      <c r="P8" s="68">
        <v>21</v>
      </c>
      <c r="Q8" s="68">
        <v>301.82</v>
      </c>
      <c r="R8" s="69">
        <v>391.28</v>
      </c>
      <c r="S8" s="68">
        <v>0.99</v>
      </c>
      <c r="T8" s="48">
        <f t="shared" si="2"/>
        <v>0.77136577387037397</v>
      </c>
      <c r="U8" s="49">
        <f t="shared" si="3"/>
        <v>5.04304839003998E-3</v>
      </c>
      <c r="V8" s="49">
        <f t="shared" si="4"/>
        <v>6.9078947368421101E-2</v>
      </c>
      <c r="W8" s="50">
        <f t="shared" si="5"/>
        <v>14.372380952381</v>
      </c>
    </row>
    <row r="9" spans="1:23" ht="29.1" customHeight="1" x14ac:dyDescent="0.15">
      <c r="A9" s="70" t="s">
        <v>81</v>
      </c>
      <c r="B9" s="67" t="s">
        <v>82</v>
      </c>
      <c r="C9" s="67">
        <v>36</v>
      </c>
      <c r="D9" s="68">
        <v>36</v>
      </c>
      <c r="E9" s="41">
        <v>649.64</v>
      </c>
      <c r="F9" s="42">
        <v>191</v>
      </c>
      <c r="G9" s="43">
        <v>346</v>
      </c>
      <c r="H9" s="44">
        <v>537</v>
      </c>
      <c r="I9" s="43">
        <v>250</v>
      </c>
      <c r="J9" s="43">
        <v>501</v>
      </c>
      <c r="K9" s="45">
        <v>751</v>
      </c>
      <c r="L9" s="46">
        <f t="shared" si="0"/>
        <v>6.7039106145251395E-2</v>
      </c>
      <c r="M9" s="71">
        <f t="shared" si="1"/>
        <v>0.39018533341542999</v>
      </c>
      <c r="N9" s="68">
        <v>42587</v>
      </c>
      <c r="O9" s="68">
        <v>273</v>
      </c>
      <c r="P9" s="68">
        <v>24</v>
      </c>
      <c r="Q9" s="68">
        <v>253.48</v>
      </c>
      <c r="R9" s="69">
        <v>425.76</v>
      </c>
      <c r="S9" s="68">
        <v>0.93</v>
      </c>
      <c r="T9" s="48">
        <f t="shared" si="2"/>
        <v>0.59535888763622702</v>
      </c>
      <c r="U9" s="49">
        <f t="shared" si="3"/>
        <v>6.4104069316927702E-3</v>
      </c>
      <c r="V9" s="49">
        <f t="shared" si="4"/>
        <v>8.7912087912087905E-2</v>
      </c>
      <c r="W9" s="50">
        <f t="shared" si="5"/>
        <v>10.561666666666699</v>
      </c>
    </row>
    <row r="10" spans="1:23" ht="29.1" customHeight="1" x14ac:dyDescent="0.15">
      <c r="A10" s="70" t="s">
        <v>84</v>
      </c>
      <c r="B10" s="67" t="s">
        <v>85</v>
      </c>
      <c r="C10" s="67">
        <v>75</v>
      </c>
      <c r="D10" s="68">
        <v>75</v>
      </c>
      <c r="E10" s="41">
        <v>1334.75</v>
      </c>
      <c r="F10" s="42">
        <v>196</v>
      </c>
      <c r="G10" s="43">
        <v>942</v>
      </c>
      <c r="H10" s="44">
        <v>1138</v>
      </c>
      <c r="I10" s="43">
        <v>278</v>
      </c>
      <c r="J10" s="43">
        <v>1192</v>
      </c>
      <c r="K10" s="45">
        <v>1470</v>
      </c>
      <c r="L10" s="46">
        <f t="shared" si="0"/>
        <v>6.5905096660808404E-2</v>
      </c>
      <c r="M10" s="71">
        <f t="shared" si="1"/>
        <v>0.19926578010863499</v>
      </c>
      <c r="N10" s="68">
        <v>61553</v>
      </c>
      <c r="O10" s="68">
        <v>276</v>
      </c>
      <c r="P10" s="68">
        <v>35</v>
      </c>
      <c r="Q10" s="68">
        <v>265.97000000000003</v>
      </c>
      <c r="R10" s="69">
        <v>627.65</v>
      </c>
      <c r="S10" s="68">
        <v>0.96</v>
      </c>
      <c r="T10" s="48">
        <f t="shared" si="2"/>
        <v>0.42375527762287901</v>
      </c>
      <c r="U10" s="49">
        <f t="shared" si="3"/>
        <v>4.4839406690169404E-3</v>
      </c>
      <c r="V10" s="49">
        <f t="shared" si="4"/>
        <v>0.126811594202899</v>
      </c>
      <c r="W10" s="50">
        <f t="shared" si="5"/>
        <v>7.5991428571428603</v>
      </c>
    </row>
    <row r="11" spans="1:23" ht="29.1" customHeight="1" x14ac:dyDescent="0.15">
      <c r="A11" s="38" t="s">
        <v>86</v>
      </c>
      <c r="B11" s="66" t="s">
        <v>87</v>
      </c>
      <c r="C11" s="67">
        <v>24</v>
      </c>
      <c r="D11" s="68">
        <v>24</v>
      </c>
      <c r="E11" s="41">
        <v>435.77</v>
      </c>
      <c r="F11" s="42">
        <v>105</v>
      </c>
      <c r="G11" s="43">
        <v>341</v>
      </c>
      <c r="H11" s="44">
        <v>446</v>
      </c>
      <c r="I11" s="43">
        <v>157</v>
      </c>
      <c r="J11" s="43">
        <v>460</v>
      </c>
      <c r="K11" s="45">
        <v>617</v>
      </c>
      <c r="L11" s="46">
        <f t="shared" si="0"/>
        <v>5.3811659192825101E-2</v>
      </c>
      <c r="M11" s="71">
        <f t="shared" si="1"/>
        <v>0.52598848016155297</v>
      </c>
      <c r="N11" s="68">
        <v>41499</v>
      </c>
      <c r="O11" s="68">
        <v>243</v>
      </c>
      <c r="P11" s="68">
        <v>20</v>
      </c>
      <c r="Q11" s="68">
        <v>229.21</v>
      </c>
      <c r="R11" s="69">
        <v>413.09</v>
      </c>
      <c r="S11" s="68">
        <v>0.94</v>
      </c>
      <c r="T11" s="48">
        <f t="shared" si="2"/>
        <v>0.55486697814035701</v>
      </c>
      <c r="U11" s="49">
        <f t="shared" si="3"/>
        <v>5.8555627846454102E-3</v>
      </c>
      <c r="V11" s="49">
        <f t="shared" si="4"/>
        <v>8.2304526748971193E-2</v>
      </c>
      <c r="W11" s="50">
        <f t="shared" si="5"/>
        <v>11.4605</v>
      </c>
    </row>
    <row r="12" spans="1:23" ht="29.1" customHeight="1" x14ac:dyDescent="0.15">
      <c r="A12" s="38" t="s">
        <v>89</v>
      </c>
      <c r="B12" s="66" t="s">
        <v>90</v>
      </c>
      <c r="C12" s="67">
        <v>50</v>
      </c>
      <c r="D12" s="68">
        <v>43</v>
      </c>
      <c r="E12" s="41">
        <v>864.14</v>
      </c>
      <c r="F12" s="42">
        <v>229</v>
      </c>
      <c r="G12" s="43">
        <v>579</v>
      </c>
      <c r="H12" s="44">
        <v>808</v>
      </c>
      <c r="I12" s="43">
        <v>302</v>
      </c>
      <c r="J12" s="43">
        <v>786</v>
      </c>
      <c r="K12" s="45">
        <v>1088</v>
      </c>
      <c r="L12" s="46">
        <f t="shared" si="0"/>
        <v>5.3217821782178203E-2</v>
      </c>
      <c r="M12" s="71">
        <f t="shared" si="1"/>
        <v>0.46309625755085998</v>
      </c>
      <c r="N12" s="68">
        <v>69054</v>
      </c>
      <c r="O12" s="68">
        <v>405</v>
      </c>
      <c r="P12" s="68">
        <v>37</v>
      </c>
      <c r="Q12" s="68">
        <v>400.18</v>
      </c>
      <c r="R12" s="69">
        <v>739.13</v>
      </c>
      <c r="S12" s="68">
        <v>0.99</v>
      </c>
      <c r="T12" s="48">
        <f t="shared" si="2"/>
        <v>0.54142031848254002</v>
      </c>
      <c r="U12" s="49">
        <f t="shared" si="3"/>
        <v>5.8649752367712204E-3</v>
      </c>
      <c r="V12" s="49">
        <f t="shared" si="4"/>
        <v>9.1358024691357995E-2</v>
      </c>
      <c r="W12" s="50">
        <f t="shared" si="5"/>
        <v>10.815675675675701</v>
      </c>
    </row>
    <row r="13" spans="1:23" ht="29.1" customHeight="1" x14ac:dyDescent="0.15">
      <c r="A13" s="70" t="s">
        <v>92</v>
      </c>
      <c r="B13" s="67" t="s">
        <v>93</v>
      </c>
      <c r="C13" s="67">
        <v>54</v>
      </c>
      <c r="D13" s="68">
        <v>54</v>
      </c>
      <c r="E13" s="41">
        <v>1130.06</v>
      </c>
      <c r="F13" s="42">
        <v>207</v>
      </c>
      <c r="G13" s="43">
        <v>408</v>
      </c>
      <c r="H13" s="44">
        <v>615</v>
      </c>
      <c r="I13" s="43">
        <v>322</v>
      </c>
      <c r="J13" s="43">
        <v>574</v>
      </c>
      <c r="K13" s="45">
        <v>896</v>
      </c>
      <c r="L13" s="46">
        <f t="shared" si="0"/>
        <v>8.7804878048780496E-2</v>
      </c>
      <c r="M13" s="72">
        <f t="shared" si="1"/>
        <v>0.305010353432561</v>
      </c>
      <c r="N13" s="68">
        <v>48538</v>
      </c>
      <c r="O13" s="68">
        <v>311</v>
      </c>
      <c r="P13" s="68">
        <v>49</v>
      </c>
      <c r="Q13" s="68">
        <v>344.68</v>
      </c>
      <c r="R13" s="69">
        <v>1028.6099999999999</v>
      </c>
      <c r="S13" s="68">
        <v>1.1100000000000001</v>
      </c>
      <c r="T13" s="48">
        <f t="shared" si="2"/>
        <v>0.33509298956844702</v>
      </c>
      <c r="U13" s="49">
        <f t="shared" si="3"/>
        <v>6.4073509415303502E-3</v>
      </c>
      <c r="V13" s="49">
        <f t="shared" si="4"/>
        <v>0.157556270096463</v>
      </c>
      <c r="W13" s="50">
        <f t="shared" si="5"/>
        <v>7.0342857142857103</v>
      </c>
    </row>
    <row r="14" spans="1:23" ht="29.1" customHeight="1" x14ac:dyDescent="0.15">
      <c r="A14" s="38" t="s">
        <v>95</v>
      </c>
      <c r="B14" s="66" t="s">
        <v>96</v>
      </c>
      <c r="C14" s="67">
        <v>77</v>
      </c>
      <c r="D14" s="68">
        <v>75</v>
      </c>
      <c r="E14" s="41">
        <v>1527.91</v>
      </c>
      <c r="F14" s="42">
        <v>297</v>
      </c>
      <c r="G14" s="43">
        <v>823</v>
      </c>
      <c r="H14" s="44">
        <v>1120</v>
      </c>
      <c r="I14" s="43">
        <v>399</v>
      </c>
      <c r="J14" s="43">
        <v>1091</v>
      </c>
      <c r="K14" s="45">
        <v>1490</v>
      </c>
      <c r="L14" s="46">
        <f t="shared" si="0"/>
        <v>6.6964285714285698E-2</v>
      </c>
      <c r="M14" s="47">
        <f t="shared" si="1"/>
        <v>0.46995569110745999</v>
      </c>
      <c r="N14" s="68">
        <v>90016</v>
      </c>
      <c r="O14" s="68">
        <v>604</v>
      </c>
      <c r="P14" s="68">
        <v>59</v>
      </c>
      <c r="Q14" s="68">
        <v>718.05</v>
      </c>
      <c r="R14" s="69">
        <v>1195.6500000000001</v>
      </c>
      <c r="S14" s="68">
        <v>1.19</v>
      </c>
      <c r="T14" s="48">
        <f t="shared" si="2"/>
        <v>0.60055200100363804</v>
      </c>
      <c r="U14" s="49">
        <f t="shared" si="3"/>
        <v>6.7099182367579098E-3</v>
      </c>
      <c r="V14" s="49">
        <f t="shared" si="4"/>
        <v>9.7682119205297999E-2</v>
      </c>
      <c r="W14" s="50">
        <f t="shared" si="5"/>
        <v>12.170338983050801</v>
      </c>
    </row>
    <row r="15" spans="1:23" ht="29.1" customHeight="1" x14ac:dyDescent="0.15">
      <c r="A15" s="70" t="s">
        <v>98</v>
      </c>
      <c r="B15" s="67" t="s">
        <v>99</v>
      </c>
      <c r="C15" s="67">
        <v>69</v>
      </c>
      <c r="D15" s="68">
        <v>66</v>
      </c>
      <c r="E15" s="41">
        <v>1345.38</v>
      </c>
      <c r="F15" s="42">
        <v>178</v>
      </c>
      <c r="G15" s="43">
        <v>623</v>
      </c>
      <c r="H15" s="44">
        <v>801</v>
      </c>
      <c r="I15" s="43">
        <v>228</v>
      </c>
      <c r="J15" s="43">
        <v>819</v>
      </c>
      <c r="K15" s="45">
        <v>1047</v>
      </c>
      <c r="L15" s="46">
        <f t="shared" si="0"/>
        <v>8.2397003745318304E-2</v>
      </c>
      <c r="M15" s="47">
        <f t="shared" si="1"/>
        <v>0.43744518277363997</v>
      </c>
      <c r="N15" s="68">
        <v>64444</v>
      </c>
      <c r="O15" s="68">
        <v>508</v>
      </c>
      <c r="P15" s="68">
        <v>50</v>
      </c>
      <c r="Q15" s="68">
        <v>588.53</v>
      </c>
      <c r="R15" s="69">
        <v>1004.18</v>
      </c>
      <c r="S15" s="68">
        <v>1.1599999999999999</v>
      </c>
      <c r="T15" s="48">
        <f t="shared" si="2"/>
        <v>0.58608018482742097</v>
      </c>
      <c r="U15" s="49">
        <f t="shared" si="3"/>
        <v>7.8828129849171404E-3</v>
      </c>
      <c r="V15" s="49">
        <f t="shared" si="4"/>
        <v>9.8425196850393706E-2</v>
      </c>
      <c r="W15" s="50">
        <f t="shared" si="5"/>
        <v>11.7706</v>
      </c>
    </row>
    <row r="16" spans="1:23" ht="29.1" customHeight="1" x14ac:dyDescent="0.15">
      <c r="A16" s="38" t="s">
        <v>101</v>
      </c>
      <c r="B16" s="66" t="s">
        <v>102</v>
      </c>
      <c r="C16" s="67">
        <v>73</v>
      </c>
      <c r="D16" s="68">
        <v>73</v>
      </c>
      <c r="E16" s="41">
        <v>1344.51</v>
      </c>
      <c r="F16" s="42">
        <v>296</v>
      </c>
      <c r="G16" s="43">
        <v>798</v>
      </c>
      <c r="H16" s="44">
        <v>1094</v>
      </c>
      <c r="I16" s="43">
        <v>444</v>
      </c>
      <c r="J16" s="43">
        <v>1135</v>
      </c>
      <c r="K16" s="45">
        <v>1579</v>
      </c>
      <c r="L16" s="46">
        <f t="shared" si="0"/>
        <v>6.6727605118829997E-2</v>
      </c>
      <c r="M16" s="47">
        <f t="shared" si="1"/>
        <v>0.49340651984737899</v>
      </c>
      <c r="N16" s="68">
        <v>67700</v>
      </c>
      <c r="O16" s="68">
        <v>587</v>
      </c>
      <c r="P16" s="68">
        <v>58</v>
      </c>
      <c r="Q16" s="68">
        <v>663.39</v>
      </c>
      <c r="R16" s="69">
        <v>1028.93</v>
      </c>
      <c r="S16" s="68">
        <v>1.1299999999999999</v>
      </c>
      <c r="T16" s="48">
        <f t="shared" si="2"/>
        <v>0.644737737261038</v>
      </c>
      <c r="U16" s="49">
        <f t="shared" si="3"/>
        <v>8.6706056129985196E-3</v>
      </c>
      <c r="V16" s="49">
        <f t="shared" si="4"/>
        <v>9.8807495741056198E-2</v>
      </c>
      <c r="W16" s="50">
        <f t="shared" si="5"/>
        <v>11.437758620689699</v>
      </c>
    </row>
    <row r="17" spans="1:23" ht="29.1" customHeight="1" x14ac:dyDescent="0.15">
      <c r="A17" s="38" t="s">
        <v>104</v>
      </c>
      <c r="B17" s="66" t="s">
        <v>105</v>
      </c>
      <c r="C17" s="67">
        <v>43</v>
      </c>
      <c r="D17" s="68">
        <v>42</v>
      </c>
      <c r="E17" s="41">
        <v>808.16</v>
      </c>
      <c r="F17" s="42">
        <v>162</v>
      </c>
      <c r="G17" s="43">
        <v>578</v>
      </c>
      <c r="H17" s="44">
        <v>740</v>
      </c>
      <c r="I17" s="43">
        <v>214</v>
      </c>
      <c r="J17" s="43">
        <v>838</v>
      </c>
      <c r="K17" s="45">
        <v>1052</v>
      </c>
      <c r="L17" s="46">
        <f t="shared" si="0"/>
        <v>5.6756756756756802E-2</v>
      </c>
      <c r="M17" s="47">
        <f t="shared" si="1"/>
        <v>0.52841021579885195</v>
      </c>
      <c r="N17" s="68">
        <v>42564</v>
      </c>
      <c r="O17" s="68">
        <v>394</v>
      </c>
      <c r="P17" s="68">
        <v>34</v>
      </c>
      <c r="Q17" s="68">
        <v>427.04</v>
      </c>
      <c r="R17" s="69">
        <v>654.69000000000005</v>
      </c>
      <c r="S17" s="68">
        <v>1.08</v>
      </c>
      <c r="T17" s="48">
        <f t="shared" si="2"/>
        <v>0.65227817745803396</v>
      </c>
      <c r="U17" s="49">
        <f t="shared" si="3"/>
        <v>9.2566488112019608E-3</v>
      </c>
      <c r="V17" s="49">
        <f t="shared" si="4"/>
        <v>8.6294416243654803E-2</v>
      </c>
      <c r="W17" s="50">
        <f t="shared" si="5"/>
        <v>12.56</v>
      </c>
    </row>
    <row r="18" spans="1:23" ht="29.1" customHeight="1" x14ac:dyDescent="0.15">
      <c r="A18" s="38" t="s">
        <v>107</v>
      </c>
      <c r="B18" s="66" t="s">
        <v>108</v>
      </c>
      <c r="C18" s="67">
        <v>23</v>
      </c>
      <c r="D18" s="68">
        <v>22</v>
      </c>
      <c r="E18" s="41">
        <v>473.47</v>
      </c>
      <c r="F18" s="42">
        <v>110</v>
      </c>
      <c r="G18" s="43">
        <v>266</v>
      </c>
      <c r="H18" s="44">
        <v>376</v>
      </c>
      <c r="I18" s="43">
        <v>128</v>
      </c>
      <c r="J18" s="43">
        <v>497</v>
      </c>
      <c r="K18" s="45">
        <v>683</v>
      </c>
      <c r="L18" s="46">
        <f t="shared" si="0"/>
        <v>5.85106382978723E-2</v>
      </c>
      <c r="M18" s="47">
        <f t="shared" si="1"/>
        <v>0.55133376982702198</v>
      </c>
      <c r="N18" s="68">
        <v>30607</v>
      </c>
      <c r="O18" s="68">
        <v>255</v>
      </c>
      <c r="P18" s="68">
        <v>17</v>
      </c>
      <c r="Q18" s="68">
        <v>261.04000000000002</v>
      </c>
      <c r="R18" s="69">
        <v>349.13</v>
      </c>
      <c r="S18" s="68">
        <v>1.02</v>
      </c>
      <c r="T18" s="48">
        <f t="shared" si="2"/>
        <v>0.74768710795405702</v>
      </c>
      <c r="U18" s="49">
        <f t="shared" si="3"/>
        <v>8.3314274512366494E-3</v>
      </c>
      <c r="V18" s="49">
        <f t="shared" si="4"/>
        <v>6.6666666666666693E-2</v>
      </c>
      <c r="W18" s="50">
        <f t="shared" si="5"/>
        <v>15.3552941176471</v>
      </c>
    </row>
    <row r="19" spans="1:23" ht="29.1" customHeight="1" x14ac:dyDescent="0.15">
      <c r="A19" s="38" t="s">
        <v>110</v>
      </c>
      <c r="B19" s="66" t="s">
        <v>111</v>
      </c>
      <c r="C19" s="67">
        <f>DL!C19</f>
        <v>25</v>
      </c>
      <c r="D19" s="68">
        <f>DL!D19</f>
        <v>25</v>
      </c>
      <c r="E19" s="41">
        <f>DL!E19</f>
        <v>487.45</v>
      </c>
      <c r="F19" s="42">
        <v>132</v>
      </c>
      <c r="G19" s="43">
        <v>371</v>
      </c>
      <c r="H19" s="44">
        <v>503</v>
      </c>
      <c r="I19" s="43">
        <v>195</v>
      </c>
      <c r="J19" s="43">
        <v>509</v>
      </c>
      <c r="K19" s="45">
        <v>704</v>
      </c>
      <c r="L19" s="46">
        <f t="shared" si="0"/>
        <v>4.9701789264413522E-2</v>
      </c>
      <c r="M19" s="47">
        <f t="shared" si="1"/>
        <v>0.58373166478613192</v>
      </c>
      <c r="N19" s="68">
        <f>DL!W19</f>
        <v>36519</v>
      </c>
      <c r="O19" s="68">
        <f>DL!X19</f>
        <v>293</v>
      </c>
      <c r="P19" s="68">
        <f>DL!Y19</f>
        <v>17</v>
      </c>
      <c r="Q19" s="68">
        <f>DL!Z19</f>
        <v>284.54000000000002</v>
      </c>
      <c r="R19" s="69">
        <f>DL!AA19</f>
        <v>340.43</v>
      </c>
      <c r="S19" s="68">
        <f>DL!AB19</f>
        <v>0.97</v>
      </c>
      <c r="T19" s="48">
        <f t="shared" si="2"/>
        <v>0.83582527979320276</v>
      </c>
      <c r="U19" s="49">
        <f t="shared" si="3"/>
        <v>8.023220789178236E-3</v>
      </c>
      <c r="V19" s="49">
        <f t="shared" si="4"/>
        <v>5.8020477815699661E-2</v>
      </c>
      <c r="W19" s="50">
        <f t="shared" si="5"/>
        <v>16.73764705882353</v>
      </c>
    </row>
    <row r="20" spans="1:23" ht="29.1" customHeight="1" x14ac:dyDescent="0.15">
      <c r="A20" s="38" t="s">
        <v>113</v>
      </c>
      <c r="B20" s="66" t="s">
        <v>114</v>
      </c>
      <c r="C20" s="67">
        <f>DL!C20</f>
        <v>39</v>
      </c>
      <c r="D20" s="68">
        <f>DL!D20</f>
        <v>39</v>
      </c>
      <c r="E20" s="41">
        <f>DL!E20</f>
        <v>754.32</v>
      </c>
      <c r="F20" s="42">
        <v>183</v>
      </c>
      <c r="G20" s="43">
        <v>589</v>
      </c>
      <c r="H20" s="44">
        <v>772</v>
      </c>
      <c r="I20" s="43">
        <v>244</v>
      </c>
      <c r="J20" s="43">
        <v>829</v>
      </c>
      <c r="K20" s="45">
        <v>1073</v>
      </c>
      <c r="L20" s="46">
        <f t="shared" si="0"/>
        <v>5.0518134715025906E-2</v>
      </c>
      <c r="M20" s="47">
        <f t="shared" si="1"/>
        <v>0.48390603457418596</v>
      </c>
      <c r="N20" s="68">
        <f>DL!W20</f>
        <v>49340</v>
      </c>
      <c r="O20" s="68">
        <f>DL!X20</f>
        <v>368</v>
      </c>
      <c r="P20" s="68">
        <f>DL!Y20</f>
        <v>27</v>
      </c>
      <c r="Q20" s="68">
        <f>DL!Z20</f>
        <v>365.02</v>
      </c>
      <c r="R20" s="69">
        <f>DL!AA20</f>
        <v>536.92999999999995</v>
      </c>
      <c r="S20" s="68">
        <f>DL!AB20</f>
        <v>0.99</v>
      </c>
      <c r="T20" s="48">
        <f t="shared" si="2"/>
        <v>0.67982791052837432</v>
      </c>
      <c r="U20" s="49">
        <f t="shared" si="3"/>
        <v>7.4584515605999185E-3</v>
      </c>
      <c r="V20" s="49">
        <f t="shared" si="4"/>
        <v>7.3369565217391311E-2</v>
      </c>
      <c r="W20" s="50">
        <f t="shared" si="5"/>
        <v>13.519259259259259</v>
      </c>
    </row>
    <row r="21" spans="1:23" ht="29.1" customHeight="1" x14ac:dyDescent="0.15">
      <c r="A21" s="38" t="s">
        <v>115</v>
      </c>
      <c r="B21" s="66" t="s">
        <v>116</v>
      </c>
      <c r="C21" s="67">
        <f>DL!C21</f>
        <v>50</v>
      </c>
      <c r="D21" s="68">
        <f>DL!D21</f>
        <v>50</v>
      </c>
      <c r="E21" s="41">
        <f>DL!E21</f>
        <v>1040.5</v>
      </c>
      <c r="F21" s="42">
        <v>188</v>
      </c>
      <c r="G21" s="43">
        <v>632</v>
      </c>
      <c r="H21" s="44">
        <v>820</v>
      </c>
      <c r="I21" s="43">
        <v>246</v>
      </c>
      <c r="J21" s="43">
        <v>882</v>
      </c>
      <c r="K21" s="45">
        <v>1128</v>
      </c>
      <c r="L21" s="46">
        <f t="shared" si="0"/>
        <v>6.097560975609756E-2</v>
      </c>
      <c r="M21" s="47">
        <f t="shared" si="1"/>
        <v>0.3928880345987506</v>
      </c>
      <c r="N21" s="68">
        <f>DL!W21</f>
        <v>63704</v>
      </c>
      <c r="O21" s="68">
        <f>DL!X21</f>
        <v>398</v>
      </c>
      <c r="P21" s="68">
        <f>DL!Y21</f>
        <v>34</v>
      </c>
      <c r="Q21" s="68">
        <f>DL!Z21</f>
        <v>408.8</v>
      </c>
      <c r="R21" s="69">
        <f>DL!AA21</f>
        <v>720.36</v>
      </c>
      <c r="S21" s="68">
        <f>DL!AB21</f>
        <v>1.03</v>
      </c>
      <c r="T21" s="48">
        <f t="shared" si="2"/>
        <v>0.56749403076239657</v>
      </c>
      <c r="U21" s="49">
        <f t="shared" si="3"/>
        <v>6.2476453597890245E-3</v>
      </c>
      <c r="V21" s="49">
        <f t="shared" si="4"/>
        <v>8.5427135678391955E-2</v>
      </c>
      <c r="W21" s="50">
        <f t="shared" si="5"/>
        <v>12.023529411764706</v>
      </c>
    </row>
    <row r="22" spans="1:23" ht="29.1" customHeight="1" x14ac:dyDescent="0.15">
      <c r="A22" s="38" t="s">
        <v>118</v>
      </c>
      <c r="B22" s="66" t="s">
        <v>119</v>
      </c>
      <c r="C22" s="67">
        <f>DL!C22</f>
        <v>65</v>
      </c>
      <c r="D22" s="68">
        <f>DL!D22</f>
        <v>64</v>
      </c>
      <c r="E22" s="41">
        <f>DL!E22</f>
        <v>1312.36</v>
      </c>
      <c r="F22" s="42">
        <v>301</v>
      </c>
      <c r="G22" s="43">
        <v>1099</v>
      </c>
      <c r="H22" s="44">
        <v>1400</v>
      </c>
      <c r="I22" s="43">
        <v>400</v>
      </c>
      <c r="J22" s="43">
        <v>1412</v>
      </c>
      <c r="K22" s="45">
        <v>1812</v>
      </c>
      <c r="L22" s="46">
        <f t="shared" si="0"/>
        <v>4.5714285714285714E-2</v>
      </c>
      <c r="M22" s="47">
        <f t="shared" si="1"/>
        <v>0.57665579566582348</v>
      </c>
      <c r="N22" s="68">
        <f>DL!W22</f>
        <v>75311</v>
      </c>
      <c r="O22" s="68">
        <f>DL!X22</f>
        <v>732</v>
      </c>
      <c r="P22" s="68">
        <f>DL!Y22</f>
        <v>51</v>
      </c>
      <c r="Q22" s="68">
        <f>DL!Z22</f>
        <v>756.78</v>
      </c>
      <c r="R22" s="69">
        <f>DL!AA22</f>
        <v>1049.0899999999999</v>
      </c>
      <c r="S22" s="68">
        <f>DL!AB22</f>
        <v>1.03</v>
      </c>
      <c r="T22" s="48">
        <f t="shared" si="2"/>
        <v>0.72136804277993316</v>
      </c>
      <c r="U22" s="49">
        <f t="shared" si="3"/>
        <v>9.7196956619882893E-3</v>
      </c>
      <c r="V22" s="49">
        <f t="shared" si="4"/>
        <v>6.9672131147540978E-2</v>
      </c>
      <c r="W22" s="50">
        <f t="shared" si="5"/>
        <v>14.838823529411764</v>
      </c>
    </row>
    <row r="23" spans="1:23" ht="29.1" customHeight="1" x14ac:dyDescent="0.15">
      <c r="A23" s="38" t="s">
        <v>121</v>
      </c>
      <c r="B23" s="66" t="s">
        <v>122</v>
      </c>
      <c r="C23" s="67">
        <f>DL!C23</f>
        <v>55</v>
      </c>
      <c r="D23" s="68">
        <f>DL!D23</f>
        <v>55</v>
      </c>
      <c r="E23" s="41">
        <f>DL!E23</f>
        <v>1155.95</v>
      </c>
      <c r="F23" s="42">
        <v>174</v>
      </c>
      <c r="G23" s="43">
        <v>668</v>
      </c>
      <c r="H23" s="44">
        <v>842</v>
      </c>
      <c r="I23" s="43">
        <v>218</v>
      </c>
      <c r="J23" s="43">
        <v>906</v>
      </c>
      <c r="K23" s="45">
        <v>1124</v>
      </c>
      <c r="L23" s="46">
        <f t="shared" si="0"/>
        <v>6.5320665083135387E-2</v>
      </c>
      <c r="M23" s="47">
        <f t="shared" si="1"/>
        <v>0.51948613694363943</v>
      </c>
      <c r="N23" s="68">
        <f>DL!W23</f>
        <v>68475</v>
      </c>
      <c r="O23" s="68">
        <f>DL!X23</f>
        <v>656</v>
      </c>
      <c r="P23" s="68">
        <f>DL!Y23</f>
        <v>39</v>
      </c>
      <c r="Q23" s="68">
        <f>DL!Z23</f>
        <v>600.5</v>
      </c>
      <c r="R23" s="69">
        <f>DL!AA23</f>
        <v>825.71</v>
      </c>
      <c r="S23" s="68">
        <f>DL!AB23</f>
        <v>0.92</v>
      </c>
      <c r="T23" s="48">
        <f t="shared" si="2"/>
        <v>0.72725290961717792</v>
      </c>
      <c r="U23" s="49">
        <f t="shared" si="3"/>
        <v>9.5801387367652428E-3</v>
      </c>
      <c r="V23" s="49">
        <f t="shared" si="4"/>
        <v>5.9451219512195119E-2</v>
      </c>
      <c r="W23" s="50">
        <f t="shared" si="5"/>
        <v>15.397435897435898</v>
      </c>
    </row>
    <row r="24" spans="1:23" ht="29.1" customHeight="1" x14ac:dyDescent="0.15">
      <c r="A24" s="38" t="s">
        <v>124</v>
      </c>
      <c r="B24" s="66" t="s">
        <v>125</v>
      </c>
      <c r="C24" s="67">
        <f>DL!C24</f>
        <v>80</v>
      </c>
      <c r="D24" s="68">
        <f>DL!D24</f>
        <v>72</v>
      </c>
      <c r="E24" s="41">
        <f>DL!E24</f>
        <v>1298.1199999999999</v>
      </c>
      <c r="F24" s="42">
        <v>325</v>
      </c>
      <c r="G24" s="43">
        <v>841</v>
      </c>
      <c r="H24" s="44">
        <v>1166</v>
      </c>
      <c r="I24" s="43">
        <v>425</v>
      </c>
      <c r="J24" s="43">
        <v>1108</v>
      </c>
      <c r="K24" s="45">
        <v>1533</v>
      </c>
      <c r="L24" s="46">
        <f t="shared" si="0"/>
        <v>6.1749571183533448E-2</v>
      </c>
      <c r="M24" s="47">
        <f t="shared" si="1"/>
        <v>0.55151295719964255</v>
      </c>
      <c r="N24" s="68">
        <f>DL!W24</f>
        <v>81114</v>
      </c>
      <c r="O24" s="68">
        <f>DL!X24</f>
        <v>711</v>
      </c>
      <c r="P24" s="68">
        <f>DL!Y24</f>
        <v>55</v>
      </c>
      <c r="Q24" s="68">
        <f>DL!Z24</f>
        <v>715.93</v>
      </c>
      <c r="R24" s="69">
        <f>DL!AA24</f>
        <v>1025.31</v>
      </c>
      <c r="S24" s="68">
        <f>DL!AB24</f>
        <v>1.01</v>
      </c>
      <c r="T24" s="48">
        <f t="shared" si="2"/>
        <v>0.69825711248305389</v>
      </c>
      <c r="U24" s="49">
        <f t="shared" si="3"/>
        <v>8.7654412308602707E-3</v>
      </c>
      <c r="V24" s="49">
        <f t="shared" si="4"/>
        <v>7.7355836849507739E-2</v>
      </c>
      <c r="W24" s="50">
        <f t="shared" si="5"/>
        <v>13.01690909090909</v>
      </c>
    </row>
    <row r="25" spans="1:23" ht="29.1" customHeight="1" x14ac:dyDescent="0.15">
      <c r="A25" s="38" t="s">
        <v>128</v>
      </c>
      <c r="B25" s="66" t="s">
        <v>129</v>
      </c>
      <c r="C25" s="67">
        <f>DL!C25</f>
        <v>56</v>
      </c>
      <c r="D25" s="68">
        <f>DL!D25</f>
        <v>56</v>
      </c>
      <c r="E25" s="41">
        <f>DL!E25</f>
        <v>1077.08</v>
      </c>
      <c r="F25" s="42">
        <v>276</v>
      </c>
      <c r="G25" s="43">
        <v>862</v>
      </c>
      <c r="H25" s="44">
        <v>1138</v>
      </c>
      <c r="I25" s="43">
        <v>367</v>
      </c>
      <c r="J25" s="43">
        <v>1208</v>
      </c>
      <c r="K25" s="45">
        <v>1575</v>
      </c>
      <c r="L25" s="46">
        <f t="shared" si="0"/>
        <v>4.9209138840070298E-2</v>
      </c>
      <c r="M25" s="47">
        <f t="shared" si="1"/>
        <v>0.57211163516173369</v>
      </c>
      <c r="N25" s="68">
        <f>DL!W25</f>
        <v>55573</v>
      </c>
      <c r="O25" s="68">
        <f>DL!X25</f>
        <v>642</v>
      </c>
      <c r="P25" s="68">
        <f>DL!Y25</f>
        <v>39</v>
      </c>
      <c r="Q25" s="68">
        <f>DL!Z25</f>
        <v>616.21</v>
      </c>
      <c r="R25" s="69">
        <f>DL!AA25</f>
        <v>760.04</v>
      </c>
      <c r="S25" s="68">
        <f>DL!AB25</f>
        <v>0.96</v>
      </c>
      <c r="T25" s="48">
        <f t="shared" si="2"/>
        <v>0.81075996000210526</v>
      </c>
      <c r="U25" s="49">
        <f t="shared" si="3"/>
        <v>1.1552372555017724E-2</v>
      </c>
      <c r="V25" s="49">
        <f t="shared" si="4"/>
        <v>6.0747663551401869E-2</v>
      </c>
      <c r="W25" s="50">
        <f t="shared" si="5"/>
        <v>15.800256410256411</v>
      </c>
    </row>
    <row r="26" spans="1:23" ht="29.1" customHeight="1" x14ac:dyDescent="0.15">
      <c r="A26" s="38" t="s">
        <v>130</v>
      </c>
      <c r="B26" s="66" t="s">
        <v>131</v>
      </c>
      <c r="C26" s="67">
        <f>DL!C26</f>
        <v>56</v>
      </c>
      <c r="D26" s="68">
        <f>DL!D26</f>
        <v>56</v>
      </c>
      <c r="E26" s="41">
        <f>DL!E26</f>
        <v>1135.95</v>
      </c>
      <c r="F26" s="42">
        <v>282</v>
      </c>
      <c r="G26" s="43">
        <v>747</v>
      </c>
      <c r="H26" s="44">
        <v>1029</v>
      </c>
      <c r="I26" s="43">
        <v>365</v>
      </c>
      <c r="J26" s="43">
        <v>1036</v>
      </c>
      <c r="K26" s="45">
        <v>1401</v>
      </c>
      <c r="L26" s="46">
        <f t="shared" si="0"/>
        <v>5.4421768707482991E-2</v>
      </c>
      <c r="M26" s="47">
        <f t="shared" si="1"/>
        <v>0.49056736652141375</v>
      </c>
      <c r="N26" s="68">
        <f>DL!W26</f>
        <v>63886</v>
      </c>
      <c r="O26" s="68">
        <f>DL!X26</f>
        <v>584</v>
      </c>
      <c r="P26" s="68">
        <f>DL!Y26</f>
        <v>48</v>
      </c>
      <c r="Q26" s="68">
        <f>DL!Z26</f>
        <v>557.26</v>
      </c>
      <c r="R26" s="69">
        <f>DL!AA26</f>
        <v>1011.11</v>
      </c>
      <c r="S26" s="68">
        <f>DL!AB26</f>
        <v>0.95</v>
      </c>
      <c r="T26" s="48">
        <f t="shared" si="2"/>
        <v>0.55113686938117512</v>
      </c>
      <c r="U26" s="49">
        <f t="shared" si="3"/>
        <v>9.141282910183764E-3</v>
      </c>
      <c r="V26" s="49">
        <f t="shared" si="4"/>
        <v>8.2191780821917804E-2</v>
      </c>
      <c r="W26" s="50">
        <f t="shared" si="5"/>
        <v>11.609583333333333</v>
      </c>
    </row>
    <row r="27" spans="1:23" ht="29.1" customHeight="1" x14ac:dyDescent="0.15">
      <c r="A27" s="38" t="s">
        <v>133</v>
      </c>
      <c r="B27" s="66" t="s">
        <v>134</v>
      </c>
      <c r="C27" s="67">
        <f>DL!C27</f>
        <v>59</v>
      </c>
      <c r="D27" s="68">
        <f>DL!D27</f>
        <v>59</v>
      </c>
      <c r="E27" s="41">
        <f>DL!E27</f>
        <v>1231.51</v>
      </c>
      <c r="F27" s="42">
        <v>211</v>
      </c>
      <c r="G27" s="43">
        <v>731</v>
      </c>
      <c r="H27" s="44">
        <v>942</v>
      </c>
      <c r="I27" s="43">
        <v>289</v>
      </c>
      <c r="J27" s="43">
        <v>975</v>
      </c>
      <c r="K27" s="45">
        <v>1264</v>
      </c>
      <c r="L27" s="46">
        <f t="shared" si="0"/>
        <v>6.2632696390658174E-2</v>
      </c>
      <c r="M27" s="47">
        <f t="shared" si="1"/>
        <v>0.43910321475262076</v>
      </c>
      <c r="N27" s="68">
        <f>DL!W27</f>
        <v>67100</v>
      </c>
      <c r="O27" s="68">
        <f>DL!X27</f>
        <v>580</v>
      </c>
      <c r="P27" s="68">
        <f>DL!Y27</f>
        <v>45</v>
      </c>
      <c r="Q27" s="68">
        <f>DL!Z27</f>
        <v>540.76</v>
      </c>
      <c r="R27" s="69">
        <f>DL!AA27</f>
        <v>949.25</v>
      </c>
      <c r="S27" s="68">
        <f>DL!AB27</f>
        <v>0.93</v>
      </c>
      <c r="T27" s="48">
        <f t="shared" si="2"/>
        <v>0.56967079273110355</v>
      </c>
      <c r="U27" s="49">
        <f t="shared" si="3"/>
        <v>8.6438152011922512E-3</v>
      </c>
      <c r="V27" s="49">
        <f t="shared" si="4"/>
        <v>7.7586206896551727E-2</v>
      </c>
      <c r="W27" s="50">
        <f t="shared" si="5"/>
        <v>12.016888888888889</v>
      </c>
    </row>
    <row r="28" spans="1:23" ht="29.1" customHeight="1" x14ac:dyDescent="0.15">
      <c r="A28" s="38" t="s">
        <v>136</v>
      </c>
      <c r="B28" s="66" t="s">
        <v>137</v>
      </c>
      <c r="C28" s="67">
        <f>DL!C28</f>
        <v>54</v>
      </c>
      <c r="D28" s="68">
        <f>DL!D28</f>
        <v>53</v>
      </c>
      <c r="E28" s="41">
        <f>DL!E28</f>
        <v>1120.06</v>
      </c>
      <c r="F28" s="42">
        <v>284</v>
      </c>
      <c r="G28" s="43">
        <v>735</v>
      </c>
      <c r="H28" s="44">
        <v>1019</v>
      </c>
      <c r="I28" s="43">
        <v>390</v>
      </c>
      <c r="J28" s="43">
        <v>975</v>
      </c>
      <c r="K28" s="45">
        <v>1365</v>
      </c>
      <c r="L28" s="46">
        <f t="shared" si="0"/>
        <v>5.2011776251226695E-2</v>
      </c>
      <c r="M28" s="47">
        <f t="shared" si="1"/>
        <v>0.42552184704390839</v>
      </c>
      <c r="N28" s="68">
        <f>DL!W28</f>
        <v>58548</v>
      </c>
      <c r="O28" s="68">
        <f>DL!X28</f>
        <v>525</v>
      </c>
      <c r="P28" s="68">
        <f>DL!Y28</f>
        <v>37</v>
      </c>
      <c r="Q28" s="68">
        <f>DL!Z28</f>
        <v>476.61</v>
      </c>
      <c r="R28" s="69">
        <f>DL!AA28</f>
        <v>761.93</v>
      </c>
      <c r="S28" s="68">
        <f>DL!AB28</f>
        <v>0.91</v>
      </c>
      <c r="T28" s="48">
        <f t="shared" si="2"/>
        <v>0.62552990432191935</v>
      </c>
      <c r="U28" s="49">
        <f t="shared" si="3"/>
        <v>8.9670014347202291E-3</v>
      </c>
      <c r="V28" s="49">
        <f t="shared" si="4"/>
        <v>7.047619047619047E-2</v>
      </c>
      <c r="W28" s="50">
        <f t="shared" si="5"/>
        <v>12.881351351351352</v>
      </c>
    </row>
    <row r="29" spans="1:23" ht="29.1" customHeight="1" x14ac:dyDescent="0.15">
      <c r="A29" s="38" t="s">
        <v>139</v>
      </c>
      <c r="B29" s="66" t="s">
        <v>140</v>
      </c>
      <c r="C29" s="67">
        <f>DL!C29</f>
        <v>56</v>
      </c>
      <c r="D29" s="68">
        <f>DL!D29</f>
        <v>55</v>
      </c>
      <c r="E29" s="41">
        <f>DL!E29</f>
        <v>1273.8399999999999</v>
      </c>
      <c r="F29" s="42">
        <v>239</v>
      </c>
      <c r="G29" s="43">
        <v>869</v>
      </c>
      <c r="H29" s="44">
        <v>1108</v>
      </c>
      <c r="I29" s="43">
        <v>323</v>
      </c>
      <c r="J29" s="43">
        <v>1204</v>
      </c>
      <c r="K29" s="45">
        <v>1527</v>
      </c>
      <c r="L29" s="46">
        <f t="shared" si="0"/>
        <v>4.9638989169675088E-2</v>
      </c>
      <c r="M29" s="47">
        <f t="shared" si="1"/>
        <v>0.49539188595113987</v>
      </c>
      <c r="N29" s="68">
        <f>DL!W29</f>
        <v>71343</v>
      </c>
      <c r="O29" s="68">
        <f>DL!X29</f>
        <v>593</v>
      </c>
      <c r="P29" s="68">
        <f>DL!Y29</f>
        <v>39</v>
      </c>
      <c r="Q29" s="68">
        <f>DL!Z29</f>
        <v>631.04999999999995</v>
      </c>
      <c r="R29" s="69">
        <f>DL!AA29</f>
        <v>923.8</v>
      </c>
      <c r="S29" s="68">
        <f>DL!AB29</f>
        <v>1.06</v>
      </c>
      <c r="T29" s="48">
        <f t="shared" si="2"/>
        <v>0.68310240311755788</v>
      </c>
      <c r="U29" s="49">
        <f t="shared" si="3"/>
        <v>8.3119577253549758E-3</v>
      </c>
      <c r="V29" s="49">
        <f t="shared" si="4"/>
        <v>6.5767284991568295E-2</v>
      </c>
      <c r="W29" s="50">
        <f t="shared" si="5"/>
        <v>16.180769230769229</v>
      </c>
    </row>
    <row r="30" spans="1:23" ht="29.1" customHeight="1" x14ac:dyDescent="0.15">
      <c r="A30" s="38" t="s">
        <v>142</v>
      </c>
      <c r="B30" s="66" t="s">
        <v>143</v>
      </c>
      <c r="C30" s="67">
        <f>DL!C30</f>
        <v>57</v>
      </c>
      <c r="D30" s="68">
        <f>DL!D30</f>
        <v>57</v>
      </c>
      <c r="E30" s="41">
        <f>DL!E30</f>
        <v>1329.62</v>
      </c>
      <c r="F30" s="42">
        <v>265</v>
      </c>
      <c r="G30" s="43">
        <v>904</v>
      </c>
      <c r="H30" s="44">
        <v>1169</v>
      </c>
      <c r="I30" s="43">
        <v>335</v>
      </c>
      <c r="J30" s="43">
        <v>1182</v>
      </c>
      <c r="K30" s="45">
        <v>1517</v>
      </c>
      <c r="L30" s="46">
        <f t="shared" si="0"/>
        <v>4.875962360992301E-2</v>
      </c>
      <c r="M30" s="47">
        <f t="shared" si="1"/>
        <v>0.51612490786841358</v>
      </c>
      <c r="N30" s="68">
        <f>DL!W30</f>
        <v>90603</v>
      </c>
      <c r="O30" s="68">
        <f>DL!X30</f>
        <v>660</v>
      </c>
      <c r="P30" s="68">
        <f>DL!Y30</f>
        <v>46</v>
      </c>
      <c r="Q30" s="68">
        <f>DL!Z30</f>
        <v>686.25</v>
      </c>
      <c r="R30" s="69">
        <f>DL!AA30</f>
        <v>1065.04</v>
      </c>
      <c r="S30" s="68">
        <f>DL!AB30</f>
        <v>1.04</v>
      </c>
      <c r="T30" s="48">
        <f t="shared" si="2"/>
        <v>0.64434199654473079</v>
      </c>
      <c r="U30" s="49">
        <f t="shared" si="3"/>
        <v>7.2845270024171384E-3</v>
      </c>
      <c r="V30" s="49">
        <f t="shared" si="4"/>
        <v>6.9696969696969702E-2</v>
      </c>
      <c r="W30" s="50">
        <f t="shared" si="5"/>
        <v>14.918478260869565</v>
      </c>
    </row>
    <row r="31" spans="1:23" ht="29.1" customHeight="1" x14ac:dyDescent="0.15">
      <c r="A31" s="38" t="s">
        <v>144</v>
      </c>
      <c r="B31" s="66" t="s">
        <v>145</v>
      </c>
      <c r="C31" s="67">
        <f>DL!C31</f>
        <v>84</v>
      </c>
      <c r="D31" s="68">
        <f>DL!D31</f>
        <v>84</v>
      </c>
      <c r="E31" s="41">
        <f>DL!E31</f>
        <v>1898.87</v>
      </c>
      <c r="F31" s="42">
        <v>328</v>
      </c>
      <c r="G31" s="43">
        <v>933</v>
      </c>
      <c r="H31" s="44">
        <v>1261</v>
      </c>
      <c r="I31" s="43">
        <v>424</v>
      </c>
      <c r="J31" s="43">
        <v>1238</v>
      </c>
      <c r="K31" s="45">
        <v>1662</v>
      </c>
      <c r="L31" s="46">
        <f t="shared" si="0"/>
        <v>6.6613798572561458E-2</v>
      </c>
      <c r="M31" s="47">
        <f t="shared" si="1"/>
        <v>0.41048097026126068</v>
      </c>
      <c r="N31" s="68">
        <f>DL!W31</f>
        <v>103147</v>
      </c>
      <c r="O31" s="68">
        <f>DL!X31</f>
        <v>762</v>
      </c>
      <c r="P31" s="68">
        <f>DL!Y31</f>
        <v>64</v>
      </c>
      <c r="Q31" s="68">
        <f>DL!Z31</f>
        <v>779.45</v>
      </c>
      <c r="R31" s="69">
        <f>DL!AA31</f>
        <v>1483.16</v>
      </c>
      <c r="S31" s="68">
        <f>DL!AB31</f>
        <v>1.02</v>
      </c>
      <c r="T31" s="48">
        <f t="shared" si="2"/>
        <v>0.52553332074759296</v>
      </c>
      <c r="U31" s="49">
        <f t="shared" si="3"/>
        <v>7.3875149059109812E-3</v>
      </c>
      <c r="V31" s="49">
        <f t="shared" si="4"/>
        <v>8.3989501312335957E-2</v>
      </c>
      <c r="W31" s="50">
        <f t="shared" si="5"/>
        <v>12.178906250000001</v>
      </c>
    </row>
    <row r="32" spans="1:23" ht="29.1" customHeight="1" x14ac:dyDescent="0.15">
      <c r="A32" s="38" t="s">
        <v>147</v>
      </c>
      <c r="B32" s="66" t="s">
        <v>148</v>
      </c>
      <c r="C32" s="67">
        <f>DL!C32</f>
        <v>111</v>
      </c>
      <c r="D32" s="68">
        <f>DL!D32</f>
        <v>111</v>
      </c>
      <c r="E32" s="41">
        <f>DL!E32</f>
        <v>2516.9899999999998</v>
      </c>
      <c r="F32" s="42">
        <v>372</v>
      </c>
      <c r="G32" s="43">
        <v>1274</v>
      </c>
      <c r="H32" s="44">
        <v>1646</v>
      </c>
      <c r="I32" s="43">
        <v>491</v>
      </c>
      <c r="J32" s="43">
        <v>1672</v>
      </c>
      <c r="K32" s="45">
        <v>2163</v>
      </c>
      <c r="L32" s="46">
        <f t="shared" si="0"/>
        <v>6.7436208991494537E-2</v>
      </c>
      <c r="M32" s="47">
        <f t="shared" si="1"/>
        <v>0.38818588870039217</v>
      </c>
      <c r="N32" s="68">
        <f>DL!W32</f>
        <v>121904</v>
      </c>
      <c r="O32" s="68">
        <f>DL!X32</f>
        <v>894</v>
      </c>
      <c r="P32" s="68">
        <f>DL!Y32</f>
        <v>91</v>
      </c>
      <c r="Q32" s="68">
        <f>DL!Z32</f>
        <v>977.06</v>
      </c>
      <c r="R32" s="69">
        <f>DL!AA32</f>
        <v>2033.9</v>
      </c>
      <c r="S32" s="68">
        <f>DL!AB32</f>
        <v>1.0900000000000001</v>
      </c>
      <c r="T32" s="48">
        <f t="shared" si="2"/>
        <v>0.48038743301047243</v>
      </c>
      <c r="U32" s="49">
        <f t="shared" si="3"/>
        <v>7.3336395852474081E-3</v>
      </c>
      <c r="V32" s="49">
        <f t="shared" si="4"/>
        <v>0.1017897091722595</v>
      </c>
      <c r="W32" s="50">
        <f t="shared" si="5"/>
        <v>10.736923076923077</v>
      </c>
    </row>
    <row r="33" spans="1:23" ht="29.1" customHeight="1" x14ac:dyDescent="0.15">
      <c r="A33" s="38" t="s">
        <v>150</v>
      </c>
      <c r="B33" s="66" t="s">
        <v>151</v>
      </c>
      <c r="C33" s="67">
        <f>DL!C33</f>
        <v>124</v>
      </c>
      <c r="D33" s="68">
        <f>DL!D33</f>
        <v>123</v>
      </c>
      <c r="E33" s="41">
        <f>DL!E33</f>
        <v>2899.27</v>
      </c>
      <c r="F33" s="42">
        <v>533</v>
      </c>
      <c r="G33" s="43">
        <v>2007</v>
      </c>
      <c r="H33" s="44">
        <v>2540</v>
      </c>
      <c r="I33" s="43">
        <v>711</v>
      </c>
      <c r="J33" s="43">
        <v>2600</v>
      </c>
      <c r="K33" s="45">
        <v>3311</v>
      </c>
      <c r="L33" s="46">
        <f t="shared" si="0"/>
        <v>4.8425196850393704E-2</v>
      </c>
      <c r="M33" s="47">
        <f t="shared" si="1"/>
        <v>0.54340920300627404</v>
      </c>
      <c r="N33" s="68">
        <f>DL!W33</f>
        <v>171331</v>
      </c>
      <c r="O33" s="68">
        <f>DL!X33</f>
        <v>1404</v>
      </c>
      <c r="P33" s="68">
        <f>DL!Y33</f>
        <v>113</v>
      </c>
      <c r="Q33" s="68">
        <f>DL!Z33</f>
        <v>1575.49</v>
      </c>
      <c r="R33" s="69">
        <f>DL!AA33</f>
        <v>2611.86</v>
      </c>
      <c r="S33" s="68">
        <f>DL!AB33</f>
        <v>1.1200000000000001</v>
      </c>
      <c r="T33" s="48">
        <f t="shared" si="2"/>
        <v>0.60320614428032127</v>
      </c>
      <c r="U33" s="49">
        <f t="shared" si="3"/>
        <v>8.1946641296671355E-3</v>
      </c>
      <c r="V33" s="49">
        <f t="shared" si="4"/>
        <v>8.0484330484330485E-2</v>
      </c>
      <c r="W33" s="50">
        <f t="shared" si="5"/>
        <v>13.942389380530974</v>
      </c>
    </row>
    <row r="34" spans="1:23" ht="29.1" customHeight="1" x14ac:dyDescent="0.15">
      <c r="A34" s="38" t="s">
        <v>154</v>
      </c>
      <c r="B34" s="66" t="s">
        <v>155</v>
      </c>
      <c r="C34" s="67">
        <f>DL!C34</f>
        <v>135</v>
      </c>
      <c r="D34" s="68">
        <f>DL!D34</f>
        <v>133</v>
      </c>
      <c r="E34" s="41">
        <f>DL!E34</f>
        <v>3079.15</v>
      </c>
      <c r="F34" s="42">
        <v>451</v>
      </c>
      <c r="G34" s="43">
        <v>1760</v>
      </c>
      <c r="H34" s="44">
        <v>2211</v>
      </c>
      <c r="I34" s="43">
        <v>604</v>
      </c>
      <c r="J34" s="43">
        <v>2249</v>
      </c>
      <c r="K34" s="45">
        <v>2853</v>
      </c>
      <c r="L34" s="46">
        <f t="shared" si="0"/>
        <v>6.0153776571687016E-2</v>
      </c>
      <c r="M34" s="47">
        <f t="shared" si="1"/>
        <v>0.45553155903414905</v>
      </c>
      <c r="N34" s="68">
        <f>DL!W34</f>
        <v>123891</v>
      </c>
      <c r="O34" s="68">
        <f>DL!X34</f>
        <v>1216</v>
      </c>
      <c r="P34" s="68">
        <f>DL!Y34</f>
        <v>113</v>
      </c>
      <c r="Q34" s="68">
        <f>DL!Z34</f>
        <v>1402.65</v>
      </c>
      <c r="R34" s="69">
        <f>DL!AA34</f>
        <v>2645.34</v>
      </c>
      <c r="S34" s="68">
        <f>DL!AB34</f>
        <v>1.1499999999999999</v>
      </c>
      <c r="T34" s="48">
        <f t="shared" si="2"/>
        <v>0.53023429880469053</v>
      </c>
      <c r="U34" s="49">
        <f t="shared" si="3"/>
        <v>9.8150793842974871E-3</v>
      </c>
      <c r="V34" s="49">
        <f t="shared" si="4"/>
        <v>9.2927631578947373E-2</v>
      </c>
      <c r="W34" s="50">
        <f t="shared" si="5"/>
        <v>12.412831858407081</v>
      </c>
    </row>
    <row r="35" spans="1:23" ht="29.1" customHeight="1" x14ac:dyDescent="0.15">
      <c r="A35" s="38" t="s">
        <v>156</v>
      </c>
      <c r="B35" s="66" t="s">
        <v>157</v>
      </c>
      <c r="C35" s="67">
        <f>DL!C35</f>
        <v>121</v>
      </c>
      <c r="D35" s="68">
        <f>DL!D35</f>
        <v>120</v>
      </c>
      <c r="E35" s="41">
        <f>DL!E35</f>
        <v>2748.69</v>
      </c>
      <c r="F35" s="42">
        <v>402</v>
      </c>
      <c r="G35" s="43">
        <v>1739</v>
      </c>
      <c r="H35" s="44">
        <v>2141</v>
      </c>
      <c r="I35" s="43">
        <v>516</v>
      </c>
      <c r="J35" s="43">
        <v>2222</v>
      </c>
      <c r="K35" s="45">
        <v>2738</v>
      </c>
      <c r="L35" s="46">
        <f t="shared" si="0"/>
        <v>5.6048575432041101E-2</v>
      </c>
      <c r="M35" s="47">
        <f t="shared" si="1"/>
        <v>0.45110943758663219</v>
      </c>
      <c r="N35" s="68">
        <f>DL!W35</f>
        <v>127321</v>
      </c>
      <c r="O35" s="68">
        <f>DL!X35</f>
        <v>1119</v>
      </c>
      <c r="P35" s="68">
        <f>DL!Y35</f>
        <v>112</v>
      </c>
      <c r="Q35" s="68">
        <f>DL!Z35</f>
        <v>1239.96</v>
      </c>
      <c r="R35" s="69">
        <f>DL!AA35</f>
        <v>2496.29</v>
      </c>
      <c r="S35" s="68">
        <f>DL!AB35</f>
        <v>1.1100000000000001</v>
      </c>
      <c r="T35" s="48">
        <f t="shared" si="2"/>
        <v>0.49672113416309804</v>
      </c>
      <c r="U35" s="49">
        <f t="shared" si="3"/>
        <v>8.7888093872966755E-3</v>
      </c>
      <c r="V35" s="49">
        <f t="shared" si="4"/>
        <v>0.10008936550491511</v>
      </c>
      <c r="W35" s="50">
        <f t="shared" si="5"/>
        <v>11.071071428571429</v>
      </c>
    </row>
    <row r="36" spans="1:23" ht="29.1" customHeight="1" x14ac:dyDescent="0.15">
      <c r="A36" s="38" t="s">
        <v>158</v>
      </c>
      <c r="B36" s="66" t="s">
        <v>159</v>
      </c>
      <c r="C36" s="67">
        <f>DL!C36</f>
        <v>119</v>
      </c>
      <c r="D36" s="68">
        <f>DL!D36</f>
        <v>117</v>
      </c>
      <c r="E36" s="41">
        <f>DL!E36</f>
        <v>2458.2199999999998</v>
      </c>
      <c r="F36" s="42">
        <v>498</v>
      </c>
      <c r="G36" s="43">
        <v>1771</v>
      </c>
      <c r="H36" s="44">
        <v>2269</v>
      </c>
      <c r="I36" s="43">
        <v>645</v>
      </c>
      <c r="J36" s="43">
        <v>2231</v>
      </c>
      <c r="K36" s="45">
        <v>2876</v>
      </c>
      <c r="L36" s="46">
        <f t="shared" ref="L36:L67" si="6">D36/H36</f>
        <v>5.1564565888056413E-2</v>
      </c>
      <c r="M36" s="47">
        <f t="shared" ref="M36:M67" si="7">Q36/E36</f>
        <v>0.4857254436136717</v>
      </c>
      <c r="N36" s="68">
        <f>DL!W36</f>
        <v>134645</v>
      </c>
      <c r="O36" s="68">
        <f>DL!X36</f>
        <v>1091</v>
      </c>
      <c r="P36" s="68">
        <f>DL!Y36</f>
        <v>81</v>
      </c>
      <c r="Q36" s="68">
        <f>DL!Z36</f>
        <v>1194.02</v>
      </c>
      <c r="R36" s="69">
        <f>DL!AA36</f>
        <v>1721.78</v>
      </c>
      <c r="S36" s="68">
        <f>DL!AB36</f>
        <v>1.0900000000000001</v>
      </c>
      <c r="T36" s="48">
        <f t="shared" ref="T36:T67" si="8">Q36/R36</f>
        <v>0.69348000325244807</v>
      </c>
      <c r="U36" s="49">
        <f t="shared" ref="U36:U67" si="9">O36/N36</f>
        <v>8.1027888150321213E-3</v>
      </c>
      <c r="V36" s="49">
        <f t="shared" ref="V36:V67" si="10">P36/O36</f>
        <v>7.4243813015582041E-2</v>
      </c>
      <c r="W36" s="50">
        <f t="shared" ref="W36:W67" si="11">Q36/P36</f>
        <v>14.740987654320987</v>
      </c>
    </row>
    <row r="37" spans="1:23" ht="29.1" customHeight="1" x14ac:dyDescent="0.15">
      <c r="A37" s="38" t="s">
        <v>160</v>
      </c>
      <c r="B37" s="66" t="s">
        <v>161</v>
      </c>
      <c r="C37" s="67">
        <f>DL!C37</f>
        <v>119</v>
      </c>
      <c r="D37" s="68">
        <f>DL!D37</f>
        <v>118</v>
      </c>
      <c r="E37" s="41">
        <f>DL!E37</f>
        <v>2684.51</v>
      </c>
      <c r="F37" s="42">
        <v>408</v>
      </c>
      <c r="G37" s="43">
        <v>1719</v>
      </c>
      <c r="H37" s="44">
        <v>2127</v>
      </c>
      <c r="I37" s="43">
        <v>527</v>
      </c>
      <c r="J37" s="43">
        <v>2217</v>
      </c>
      <c r="K37" s="45">
        <v>2744</v>
      </c>
      <c r="L37" s="46">
        <f t="shared" si="6"/>
        <v>5.5477197931358718E-2</v>
      </c>
      <c r="M37" s="47">
        <f t="shared" si="7"/>
        <v>0.44656194240289654</v>
      </c>
      <c r="N37" s="68">
        <f>DL!W37</f>
        <v>118209</v>
      </c>
      <c r="O37" s="68">
        <f>DL!X37</f>
        <v>1125</v>
      </c>
      <c r="P37" s="68">
        <f>DL!Y37</f>
        <v>99</v>
      </c>
      <c r="Q37" s="68">
        <f>DL!Z37</f>
        <v>1198.8</v>
      </c>
      <c r="R37" s="69">
        <f>DL!AA37</f>
        <v>2255.4</v>
      </c>
      <c r="S37" s="68">
        <f>DL!AB37</f>
        <v>1.07</v>
      </c>
      <c r="T37" s="48">
        <f t="shared" si="8"/>
        <v>0.53152434158020745</v>
      </c>
      <c r="U37" s="49">
        <f t="shared" si="9"/>
        <v>9.5170418496053604E-3</v>
      </c>
      <c r="V37" s="49">
        <f t="shared" si="10"/>
        <v>8.7999999999999995E-2</v>
      </c>
      <c r="W37" s="50">
        <f t="shared" si="11"/>
        <v>12.109090909090909</v>
      </c>
    </row>
    <row r="38" spans="1:23" ht="29.1" customHeight="1" x14ac:dyDescent="0.15">
      <c r="A38" s="38" t="s">
        <v>162</v>
      </c>
      <c r="B38" s="66" t="s">
        <v>163</v>
      </c>
      <c r="C38" s="67">
        <f>DL!C38</f>
        <v>123</v>
      </c>
      <c r="D38" s="68">
        <f>DL!D38</f>
        <v>121</v>
      </c>
      <c r="E38" s="41">
        <f>DL!E38</f>
        <v>2624.18</v>
      </c>
      <c r="F38" s="42">
        <v>465</v>
      </c>
      <c r="G38" s="43">
        <v>1673</v>
      </c>
      <c r="H38" s="44">
        <v>2138</v>
      </c>
      <c r="I38" s="43">
        <v>598</v>
      </c>
      <c r="J38" s="43">
        <v>2174</v>
      </c>
      <c r="K38" s="45">
        <v>2772</v>
      </c>
      <c r="L38" s="46">
        <f t="shared" si="6"/>
        <v>5.6594948550046771E-2</v>
      </c>
      <c r="M38" s="47">
        <f t="shared" si="7"/>
        <v>0.49039700020577864</v>
      </c>
      <c r="N38" s="68">
        <f>DL!W38</f>
        <v>122158</v>
      </c>
      <c r="O38" s="68">
        <f>DL!X38</f>
        <v>1161</v>
      </c>
      <c r="P38" s="68">
        <f>DL!Y38</f>
        <v>117</v>
      </c>
      <c r="Q38" s="68">
        <f>DL!Z38</f>
        <v>1286.8900000000001</v>
      </c>
      <c r="R38" s="69">
        <f>DL!AA38</f>
        <v>2531.14</v>
      </c>
      <c r="S38" s="68">
        <f>DL!AB38</f>
        <v>1.1100000000000001</v>
      </c>
      <c r="T38" s="48">
        <f t="shared" si="8"/>
        <v>0.50842308208949338</v>
      </c>
      <c r="U38" s="49">
        <f t="shared" si="9"/>
        <v>9.5040848736881751E-3</v>
      </c>
      <c r="V38" s="49">
        <f t="shared" si="10"/>
        <v>0.10077519379844961</v>
      </c>
      <c r="W38" s="50">
        <f t="shared" si="11"/>
        <v>10.99905982905983</v>
      </c>
    </row>
    <row r="39" spans="1:23" ht="29.1" customHeight="1" x14ac:dyDescent="0.15">
      <c r="A39" s="38" t="s">
        <v>165</v>
      </c>
      <c r="B39" s="38" t="s">
        <v>166</v>
      </c>
      <c r="C39" s="67">
        <f>DL!C39</f>
        <v>228</v>
      </c>
      <c r="D39" s="68">
        <f>DL!D39</f>
        <v>225</v>
      </c>
      <c r="E39" s="41">
        <f>DL!E39</f>
        <v>3680.07</v>
      </c>
      <c r="F39" s="42">
        <v>539</v>
      </c>
      <c r="G39" s="43">
        <v>1907</v>
      </c>
      <c r="H39" s="44">
        <v>2446</v>
      </c>
      <c r="I39" s="43">
        <v>715</v>
      </c>
      <c r="J39" s="43">
        <v>2546</v>
      </c>
      <c r="K39" s="45">
        <v>3261</v>
      </c>
      <c r="L39" s="46">
        <f t="shared" si="6"/>
        <v>9.1986917416189695E-2</v>
      </c>
      <c r="M39" s="47">
        <f t="shared" si="7"/>
        <v>0.43508683258742359</v>
      </c>
      <c r="N39" s="68">
        <f>DL!W39</f>
        <v>151914</v>
      </c>
      <c r="O39" s="68">
        <f>DL!X39</f>
        <v>1379</v>
      </c>
      <c r="P39" s="68">
        <f>DL!Y39</f>
        <v>185</v>
      </c>
      <c r="Q39" s="68">
        <f>DL!Z39</f>
        <v>1601.15</v>
      </c>
      <c r="R39" s="69">
        <f>DL!AA39</f>
        <v>3023.92</v>
      </c>
      <c r="S39" s="68">
        <f>DL!AB39</f>
        <v>1.1599999999999999</v>
      </c>
      <c r="T39" s="48">
        <f t="shared" si="8"/>
        <v>0.52949482790550018</v>
      </c>
      <c r="U39" s="49">
        <f t="shared" si="9"/>
        <v>9.0775043774767306E-3</v>
      </c>
      <c r="V39" s="49">
        <f t="shared" si="10"/>
        <v>0.13415518491660625</v>
      </c>
      <c r="W39" s="50">
        <f t="shared" si="11"/>
        <v>8.6548648648648658</v>
      </c>
    </row>
    <row r="40" spans="1:23" ht="29.1" customHeight="1" x14ac:dyDescent="0.15">
      <c r="A40" s="38" t="s">
        <v>167</v>
      </c>
      <c r="B40" s="38" t="s">
        <v>168</v>
      </c>
      <c r="C40" s="67">
        <f>DL!C40</f>
        <v>277</v>
      </c>
      <c r="D40" s="68">
        <f>DL!D40</f>
        <v>274</v>
      </c>
      <c r="E40" s="41">
        <f>DL!E40</f>
        <v>4734.6899999999996</v>
      </c>
      <c r="F40" s="42">
        <v>739</v>
      </c>
      <c r="G40" s="43">
        <v>2635</v>
      </c>
      <c r="H40" s="44">
        <v>3374</v>
      </c>
      <c r="I40" s="43">
        <v>991</v>
      </c>
      <c r="J40" s="43">
        <v>3460</v>
      </c>
      <c r="K40" s="45">
        <v>4451</v>
      </c>
      <c r="L40" s="46">
        <f t="shared" si="6"/>
        <v>8.1209247184350922E-2</v>
      </c>
      <c r="M40" s="47">
        <f t="shared" si="7"/>
        <v>0.45781878011020793</v>
      </c>
      <c r="N40" s="68">
        <f>DL!W40</f>
        <v>206294</v>
      </c>
      <c r="O40" s="68">
        <f>DL!X40</f>
        <v>1895</v>
      </c>
      <c r="P40" s="68">
        <f>DL!Y40</f>
        <v>224</v>
      </c>
      <c r="Q40" s="68">
        <f>DL!Z40</f>
        <v>2167.63</v>
      </c>
      <c r="R40" s="69">
        <f>DL!AA40</f>
        <v>3857.88</v>
      </c>
      <c r="S40" s="68">
        <f>DL!AB40</f>
        <v>1.1399999999999999</v>
      </c>
      <c r="T40" s="48">
        <f t="shared" si="8"/>
        <v>0.56187076840129813</v>
      </c>
      <c r="U40" s="49">
        <f t="shared" si="9"/>
        <v>9.1859191251320929E-3</v>
      </c>
      <c r="V40" s="49">
        <f t="shared" si="10"/>
        <v>0.11820580474934037</v>
      </c>
      <c r="W40" s="50">
        <f t="shared" si="11"/>
        <v>9.6769196428571433</v>
      </c>
    </row>
    <row r="41" spans="1:23" ht="29.1" customHeight="1" x14ac:dyDescent="0.15">
      <c r="A41" s="38" t="s">
        <v>169</v>
      </c>
      <c r="B41" s="38" t="s">
        <v>170</v>
      </c>
      <c r="C41" s="67">
        <f>DL!C41</f>
        <v>77</v>
      </c>
      <c r="D41" s="68">
        <f>DL!D41</f>
        <v>76</v>
      </c>
      <c r="E41" s="41">
        <f>DL!E41</f>
        <v>1574.1</v>
      </c>
      <c r="F41" s="42">
        <v>340</v>
      </c>
      <c r="G41" s="43">
        <v>1133</v>
      </c>
      <c r="H41" s="44">
        <v>1473</v>
      </c>
      <c r="I41" s="43">
        <v>410</v>
      </c>
      <c r="J41" s="43">
        <v>1500</v>
      </c>
      <c r="K41" s="45">
        <v>1910</v>
      </c>
      <c r="L41" s="46">
        <f t="shared" si="6"/>
        <v>5.1595383570943655E-2</v>
      </c>
      <c r="M41" s="47">
        <f t="shared" si="7"/>
        <v>0.46394765262689791</v>
      </c>
      <c r="N41" s="68">
        <f>DL!W41</f>
        <v>80541</v>
      </c>
      <c r="O41" s="68">
        <f>DL!X41</f>
        <v>722</v>
      </c>
      <c r="P41" s="68">
        <f>DL!Y41</f>
        <v>54</v>
      </c>
      <c r="Q41" s="68">
        <f>DL!Z41</f>
        <v>730.3</v>
      </c>
      <c r="R41" s="69">
        <f>DL!AA41</f>
        <v>1113.77</v>
      </c>
      <c r="S41" s="68">
        <f>DL!AB41</f>
        <v>1.01</v>
      </c>
      <c r="T41" s="48">
        <f t="shared" si="8"/>
        <v>0.65570090772780731</v>
      </c>
      <c r="U41" s="49">
        <f t="shared" si="9"/>
        <v>8.9643783911299828E-3</v>
      </c>
      <c r="V41" s="49">
        <f t="shared" si="10"/>
        <v>7.4792243767313013E-2</v>
      </c>
      <c r="W41" s="50">
        <f t="shared" si="11"/>
        <v>13.524074074074074</v>
      </c>
    </row>
    <row r="42" spans="1:23" ht="29.1" customHeight="1" x14ac:dyDescent="0.15">
      <c r="A42" s="38" t="s">
        <v>172</v>
      </c>
      <c r="B42" s="38" t="s">
        <v>173</v>
      </c>
      <c r="C42" s="67">
        <f>DL!C42</f>
        <v>74</v>
      </c>
      <c r="D42" s="68">
        <f>DL!D42</f>
        <v>74</v>
      </c>
      <c r="E42" s="41">
        <f>DL!E42</f>
        <v>1731.86</v>
      </c>
      <c r="F42" s="42">
        <v>260</v>
      </c>
      <c r="G42" s="43">
        <v>923</v>
      </c>
      <c r="H42" s="44">
        <v>1183</v>
      </c>
      <c r="I42" s="43">
        <v>333</v>
      </c>
      <c r="J42" s="43">
        <v>1176</v>
      </c>
      <c r="K42" s="45">
        <v>1509</v>
      </c>
      <c r="L42" s="46">
        <f t="shared" si="6"/>
        <v>6.2552831783601021E-2</v>
      </c>
      <c r="M42" s="47">
        <f t="shared" si="7"/>
        <v>0.34287990946150387</v>
      </c>
      <c r="N42" s="68">
        <f>DL!W42</f>
        <v>68861</v>
      </c>
      <c r="O42" s="68">
        <f>DL!X42</f>
        <v>593</v>
      </c>
      <c r="P42" s="68">
        <f>DL!Y42</f>
        <v>58</v>
      </c>
      <c r="Q42" s="68">
        <f>DL!Z42</f>
        <v>593.82000000000005</v>
      </c>
      <c r="R42" s="69">
        <f>DL!AA42</f>
        <v>1351.57</v>
      </c>
      <c r="S42" s="68">
        <f>DL!AB42</f>
        <v>1</v>
      </c>
      <c r="T42" s="48">
        <f t="shared" si="8"/>
        <v>0.4393557122457587</v>
      </c>
      <c r="U42" s="49">
        <f t="shared" si="9"/>
        <v>8.6115508052453486E-3</v>
      </c>
      <c r="V42" s="49">
        <f t="shared" si="10"/>
        <v>9.7807757166947729E-2</v>
      </c>
      <c r="W42" s="50">
        <f t="shared" si="11"/>
        <v>10.238275862068967</v>
      </c>
    </row>
    <row r="43" spans="1:23" ht="29.1" customHeight="1" x14ac:dyDescent="0.15">
      <c r="A43" s="38" t="s">
        <v>175</v>
      </c>
      <c r="B43" s="38" t="s">
        <v>176</v>
      </c>
      <c r="C43" s="67">
        <f>DL!C43</f>
        <v>67</v>
      </c>
      <c r="D43" s="68">
        <f>DL!D43</f>
        <v>67</v>
      </c>
      <c r="E43" s="41">
        <f>DL!E43</f>
        <v>1580.23</v>
      </c>
      <c r="F43" s="42">
        <v>248</v>
      </c>
      <c r="G43" s="43">
        <v>875</v>
      </c>
      <c r="H43" s="44">
        <v>1123</v>
      </c>
      <c r="I43" s="43">
        <v>309</v>
      </c>
      <c r="J43" s="43">
        <v>1106</v>
      </c>
      <c r="K43" s="45">
        <v>1415</v>
      </c>
      <c r="L43" s="46">
        <f t="shared" si="6"/>
        <v>5.9661620658949241E-2</v>
      </c>
      <c r="M43" s="47">
        <f t="shared" si="7"/>
        <v>0.37765388582674669</v>
      </c>
      <c r="N43" s="68">
        <f>DL!W43</f>
        <v>64479</v>
      </c>
      <c r="O43" s="68">
        <f>DL!X43</f>
        <v>604</v>
      </c>
      <c r="P43" s="68">
        <f>DL!Y43</f>
        <v>46</v>
      </c>
      <c r="Q43" s="68">
        <f>DL!Z43</f>
        <v>596.78</v>
      </c>
      <c r="R43" s="69">
        <f>DL!AA43</f>
        <v>1085.46</v>
      </c>
      <c r="S43" s="68">
        <f>DL!AB43</f>
        <v>0.99</v>
      </c>
      <c r="T43" s="48">
        <f t="shared" si="8"/>
        <v>0.54979455714627901</v>
      </c>
      <c r="U43" s="49">
        <f t="shared" si="9"/>
        <v>9.3673909334822184E-3</v>
      </c>
      <c r="V43" s="49">
        <f t="shared" si="10"/>
        <v>7.6158940397350994E-2</v>
      </c>
      <c r="W43" s="50">
        <f t="shared" si="11"/>
        <v>12.973478260869564</v>
      </c>
    </row>
    <row r="44" spans="1:23" ht="29.1" customHeight="1" x14ac:dyDescent="0.15">
      <c r="A44" s="38" t="s">
        <v>177</v>
      </c>
      <c r="B44" s="38" t="s">
        <v>178</v>
      </c>
      <c r="C44" s="67">
        <f>DL!C44</f>
        <v>80</v>
      </c>
      <c r="D44" s="68">
        <f>DL!D44</f>
        <v>80</v>
      </c>
      <c r="E44" s="41">
        <f>DL!E44</f>
        <v>1885.2</v>
      </c>
      <c r="F44" s="42">
        <v>259</v>
      </c>
      <c r="G44" s="43">
        <v>991</v>
      </c>
      <c r="H44" s="44">
        <v>1250</v>
      </c>
      <c r="I44" s="43">
        <v>329</v>
      </c>
      <c r="J44" s="43">
        <v>1240</v>
      </c>
      <c r="K44" s="45">
        <v>1569</v>
      </c>
      <c r="L44" s="46">
        <f t="shared" si="6"/>
        <v>6.4000000000000001E-2</v>
      </c>
      <c r="M44" s="47">
        <f t="shared" si="7"/>
        <v>0.38872268194356036</v>
      </c>
      <c r="N44" s="68">
        <f>DL!W44</f>
        <v>74930</v>
      </c>
      <c r="O44" s="68">
        <f>DL!X44</f>
        <v>730</v>
      </c>
      <c r="P44" s="68">
        <f>DL!Y44</f>
        <v>60</v>
      </c>
      <c r="Q44" s="68">
        <f>DL!Z44</f>
        <v>732.82</v>
      </c>
      <c r="R44" s="69">
        <f>DL!AA44</f>
        <v>1407.84</v>
      </c>
      <c r="S44" s="68">
        <f>DL!AB44</f>
        <v>1</v>
      </c>
      <c r="T44" s="48">
        <f t="shared" si="8"/>
        <v>0.52052790089782941</v>
      </c>
      <c r="U44" s="49">
        <f t="shared" si="9"/>
        <v>9.7424262645135467E-3</v>
      </c>
      <c r="V44" s="49">
        <f t="shared" si="10"/>
        <v>8.2191780821917804E-2</v>
      </c>
      <c r="W44" s="50">
        <f t="shared" si="11"/>
        <v>12.213666666666667</v>
      </c>
    </row>
    <row r="45" spans="1:23" ht="29.1" customHeight="1" x14ac:dyDescent="0.15">
      <c r="A45" s="38" t="s">
        <v>179</v>
      </c>
      <c r="B45" s="38" t="s">
        <v>180</v>
      </c>
      <c r="C45" s="67">
        <f>DL!C45</f>
        <v>67</v>
      </c>
      <c r="D45" s="68">
        <f>DL!D45</f>
        <v>66</v>
      </c>
      <c r="E45" s="41">
        <f>DL!E45</f>
        <v>1554.74</v>
      </c>
      <c r="F45" s="42">
        <v>224</v>
      </c>
      <c r="G45" s="43">
        <v>853</v>
      </c>
      <c r="H45" s="44">
        <v>1077</v>
      </c>
      <c r="I45" s="43">
        <v>291</v>
      </c>
      <c r="J45" s="43">
        <v>1118</v>
      </c>
      <c r="K45" s="45">
        <v>1409</v>
      </c>
      <c r="L45" s="46">
        <f t="shared" si="6"/>
        <v>6.1281337047353758E-2</v>
      </c>
      <c r="M45" s="47">
        <f t="shared" si="7"/>
        <v>0.41796055932181592</v>
      </c>
      <c r="N45" s="68">
        <f>DL!W45</f>
        <v>65149</v>
      </c>
      <c r="O45" s="68">
        <f>DL!X45</f>
        <v>650</v>
      </c>
      <c r="P45" s="68">
        <f>DL!Y45</f>
        <v>51</v>
      </c>
      <c r="Q45" s="68">
        <f>DL!Z45</f>
        <v>649.82000000000005</v>
      </c>
      <c r="R45" s="69">
        <f>DL!AA45</f>
        <v>1169.43</v>
      </c>
      <c r="S45" s="68">
        <f>DL!AB45</f>
        <v>1</v>
      </c>
      <c r="T45" s="48">
        <f t="shared" si="8"/>
        <v>0.55567242160710772</v>
      </c>
      <c r="U45" s="49">
        <f t="shared" si="9"/>
        <v>9.97712934964466E-3</v>
      </c>
      <c r="V45" s="49">
        <f t="shared" si="10"/>
        <v>7.8461538461538458E-2</v>
      </c>
      <c r="W45" s="50">
        <f t="shared" si="11"/>
        <v>12.741568627450981</v>
      </c>
    </row>
    <row r="46" spans="1:23" ht="29.1" customHeight="1" x14ac:dyDescent="0.15">
      <c r="A46" s="38" t="s">
        <v>181</v>
      </c>
      <c r="B46" s="38" t="s">
        <v>182</v>
      </c>
      <c r="C46" s="67">
        <f>DL!C46</f>
        <v>76</v>
      </c>
      <c r="D46" s="68">
        <f>DL!D46</f>
        <v>74</v>
      </c>
      <c r="E46" s="41">
        <f>DL!E46</f>
        <v>1769.64</v>
      </c>
      <c r="F46" s="42">
        <v>227</v>
      </c>
      <c r="G46" s="43">
        <v>773</v>
      </c>
      <c r="H46" s="44">
        <v>1000</v>
      </c>
      <c r="I46" s="43">
        <v>292</v>
      </c>
      <c r="J46" s="43">
        <v>970</v>
      </c>
      <c r="K46" s="45">
        <v>1262</v>
      </c>
      <c r="L46" s="46">
        <f t="shared" si="6"/>
        <v>7.3999999999999996E-2</v>
      </c>
      <c r="M46" s="47">
        <f t="shared" si="7"/>
        <v>0.34925747609683322</v>
      </c>
      <c r="N46" s="68">
        <f>DL!W46</f>
        <v>64744</v>
      </c>
      <c r="O46" s="68">
        <f>DL!X46</f>
        <v>617</v>
      </c>
      <c r="P46" s="68">
        <f>DL!Y46</f>
        <v>56</v>
      </c>
      <c r="Q46" s="68">
        <f>DL!Z46</f>
        <v>618.05999999999995</v>
      </c>
      <c r="R46" s="69">
        <f>DL!AA46</f>
        <v>1339.15</v>
      </c>
      <c r="S46" s="68">
        <f>DL!AB46</f>
        <v>1</v>
      </c>
      <c r="T46" s="48">
        <f t="shared" si="8"/>
        <v>0.46153156853227789</v>
      </c>
      <c r="U46" s="49">
        <f t="shared" si="9"/>
        <v>9.5298406029902388E-3</v>
      </c>
      <c r="V46" s="49">
        <f t="shared" si="10"/>
        <v>9.0761750405186387E-2</v>
      </c>
      <c r="W46" s="50">
        <f t="shared" si="11"/>
        <v>11.036785714285713</v>
      </c>
    </row>
    <row r="47" spans="1:23" ht="29.1" customHeight="1" x14ac:dyDescent="0.15">
      <c r="A47" s="38" t="s">
        <v>183</v>
      </c>
      <c r="B47" s="38" t="s">
        <v>184</v>
      </c>
      <c r="C47" s="67">
        <f>DL!C47</f>
        <v>63</v>
      </c>
      <c r="D47" s="68">
        <f>DL!D47</f>
        <v>62</v>
      </c>
      <c r="E47" s="41">
        <f>DL!E47</f>
        <v>1470.25</v>
      </c>
      <c r="F47" s="42">
        <v>329</v>
      </c>
      <c r="G47" s="43">
        <v>896</v>
      </c>
      <c r="H47" s="44">
        <v>1225</v>
      </c>
      <c r="I47" s="43">
        <v>447</v>
      </c>
      <c r="J47" s="43">
        <v>1108</v>
      </c>
      <c r="K47" s="45">
        <v>1555</v>
      </c>
      <c r="L47" s="46">
        <f t="shared" si="6"/>
        <v>5.0612244897959187E-2</v>
      </c>
      <c r="M47" s="47">
        <f t="shared" si="7"/>
        <v>0.43825879952389052</v>
      </c>
      <c r="N47" s="68">
        <f>DL!W47</f>
        <v>76783</v>
      </c>
      <c r="O47" s="68">
        <f>DL!X47</f>
        <v>640</v>
      </c>
      <c r="P47" s="68">
        <f>DL!Y47</f>
        <v>53</v>
      </c>
      <c r="Q47" s="68">
        <f>DL!Z47</f>
        <v>644.35</v>
      </c>
      <c r="R47" s="69">
        <f>DL!AA47</f>
        <v>1248.82</v>
      </c>
      <c r="S47" s="68">
        <f>DL!AB47</f>
        <v>1.01</v>
      </c>
      <c r="T47" s="48">
        <f t="shared" si="8"/>
        <v>0.51596707291683352</v>
      </c>
      <c r="U47" s="49">
        <f t="shared" si="9"/>
        <v>8.3351783597931835E-3</v>
      </c>
      <c r="V47" s="49">
        <f t="shared" si="10"/>
        <v>8.2812499999999997E-2</v>
      </c>
      <c r="W47" s="50">
        <f t="shared" si="11"/>
        <v>12.157547169811322</v>
      </c>
    </row>
    <row r="48" spans="1:23" ht="29.1" customHeight="1" x14ac:dyDescent="0.15">
      <c r="A48" s="38" t="s">
        <v>185</v>
      </c>
      <c r="B48" s="38" t="s">
        <v>186</v>
      </c>
      <c r="C48" s="67">
        <f>DL!C48</f>
        <v>68</v>
      </c>
      <c r="D48" s="68">
        <f>DL!D48</f>
        <v>68</v>
      </c>
      <c r="E48" s="41">
        <f>DL!E48</f>
        <v>1602.52</v>
      </c>
      <c r="F48" s="42">
        <v>246</v>
      </c>
      <c r="G48" s="43">
        <v>941</v>
      </c>
      <c r="H48" s="44">
        <v>1187</v>
      </c>
      <c r="I48" s="43">
        <v>329</v>
      </c>
      <c r="J48" s="43">
        <v>1164</v>
      </c>
      <c r="K48" s="45">
        <v>1493</v>
      </c>
      <c r="L48" s="46">
        <f t="shared" si="6"/>
        <v>5.7287278854254421E-2</v>
      </c>
      <c r="M48" s="47">
        <f t="shared" si="7"/>
        <v>0.45639367995407232</v>
      </c>
      <c r="N48" s="68">
        <f>DL!W48</f>
        <v>71302</v>
      </c>
      <c r="O48" s="68">
        <f>DL!X48</f>
        <v>722</v>
      </c>
      <c r="P48" s="68">
        <f>DL!Y48</f>
        <v>54</v>
      </c>
      <c r="Q48" s="68">
        <f>DL!Z48</f>
        <v>731.38</v>
      </c>
      <c r="R48" s="69">
        <f>DL!AA48</f>
        <v>1253.93</v>
      </c>
      <c r="S48" s="68">
        <f>DL!AB48</f>
        <v>1.01</v>
      </c>
      <c r="T48" s="48">
        <f t="shared" si="8"/>
        <v>0.58327019849592876</v>
      </c>
      <c r="U48" s="49">
        <f t="shared" si="9"/>
        <v>1.0125943171299542E-2</v>
      </c>
      <c r="V48" s="49">
        <f t="shared" si="10"/>
        <v>7.4792243767313013E-2</v>
      </c>
      <c r="W48" s="50">
        <f t="shared" si="11"/>
        <v>13.544074074074073</v>
      </c>
    </row>
    <row r="49" spans="1:23" ht="29.1" customHeight="1" x14ac:dyDescent="0.15">
      <c r="A49" s="38" t="s">
        <v>187</v>
      </c>
      <c r="B49" s="38" t="s">
        <v>188</v>
      </c>
      <c r="C49" s="67">
        <f>DL!C49</f>
        <v>73</v>
      </c>
      <c r="D49" s="68">
        <f>DL!D49</f>
        <v>70</v>
      </c>
      <c r="E49" s="41">
        <f>DL!E49</f>
        <v>1703.97</v>
      </c>
      <c r="F49" s="42">
        <v>309</v>
      </c>
      <c r="G49" s="43">
        <v>1005</v>
      </c>
      <c r="H49" s="44">
        <v>1314</v>
      </c>
      <c r="I49" s="43">
        <v>388</v>
      </c>
      <c r="J49" s="43">
        <v>1268</v>
      </c>
      <c r="K49" s="45">
        <v>1656</v>
      </c>
      <c r="L49" s="46">
        <f t="shared" si="6"/>
        <v>5.3272450532724502E-2</v>
      </c>
      <c r="M49" s="47">
        <f t="shared" si="7"/>
        <v>0.46854111281301902</v>
      </c>
      <c r="N49" s="68">
        <f>DL!W49</f>
        <v>80078</v>
      </c>
      <c r="O49" s="68">
        <f>DL!X49</f>
        <v>779</v>
      </c>
      <c r="P49" s="68">
        <f>DL!Y49</f>
        <v>71</v>
      </c>
      <c r="Q49" s="68">
        <f>DL!Z49</f>
        <v>798.38</v>
      </c>
      <c r="R49" s="69">
        <f>DL!AA49</f>
        <v>1641.78</v>
      </c>
      <c r="S49" s="68">
        <f>DL!AB49</f>
        <v>1.02</v>
      </c>
      <c r="T49" s="48">
        <f t="shared" si="8"/>
        <v>0.48628927140055306</v>
      </c>
      <c r="U49" s="49">
        <f t="shared" si="9"/>
        <v>9.7280151851944358E-3</v>
      </c>
      <c r="V49" s="49">
        <f t="shared" si="10"/>
        <v>9.114249037227215E-2</v>
      </c>
      <c r="W49" s="50">
        <f t="shared" si="11"/>
        <v>11.244788732394365</v>
      </c>
    </row>
    <row r="50" spans="1:23" ht="29.1" customHeight="1" x14ac:dyDescent="0.15">
      <c r="A50" s="38" t="s">
        <v>189</v>
      </c>
      <c r="B50" s="38" t="s">
        <v>190</v>
      </c>
      <c r="C50" s="67">
        <f>DL!C50</f>
        <v>102</v>
      </c>
      <c r="D50" s="68">
        <f>DL!D50</f>
        <v>99</v>
      </c>
      <c r="E50" s="41">
        <f>DL!E50</f>
        <v>2362.89</v>
      </c>
      <c r="F50" s="42">
        <v>408</v>
      </c>
      <c r="G50" s="43">
        <v>1251</v>
      </c>
      <c r="H50" s="44">
        <v>1659</v>
      </c>
      <c r="I50" s="43">
        <v>534</v>
      </c>
      <c r="J50" s="43">
        <v>1538</v>
      </c>
      <c r="K50" s="45">
        <v>2072</v>
      </c>
      <c r="L50" s="46">
        <f t="shared" si="6"/>
        <v>5.9674502712477394E-2</v>
      </c>
      <c r="M50" s="47">
        <f t="shared" si="7"/>
        <v>0.40573619592956089</v>
      </c>
      <c r="N50" s="68">
        <f>DL!W50</f>
        <v>78513</v>
      </c>
      <c r="O50" s="68">
        <f>DL!X50</f>
        <v>910</v>
      </c>
      <c r="P50" s="68">
        <f>DL!Y50</f>
        <v>108</v>
      </c>
      <c r="Q50" s="68">
        <f>DL!Z50</f>
        <v>958.71</v>
      </c>
      <c r="R50" s="69">
        <f>DL!AA50</f>
        <v>2618.83</v>
      </c>
      <c r="S50" s="68">
        <f>DL!AB50</f>
        <v>1.05</v>
      </c>
      <c r="T50" s="48">
        <f t="shared" si="8"/>
        <v>0.36608332728737647</v>
      </c>
      <c r="U50" s="49">
        <f t="shared" si="9"/>
        <v>1.1590437252429534E-2</v>
      </c>
      <c r="V50" s="49">
        <f t="shared" si="10"/>
        <v>0.11868131868131868</v>
      </c>
      <c r="W50" s="50">
        <f t="shared" si="11"/>
        <v>8.8769444444444456</v>
      </c>
    </row>
    <row r="51" spans="1:23" ht="29.1" customHeight="1" x14ac:dyDescent="0.15">
      <c r="A51" s="38" t="s">
        <v>191</v>
      </c>
      <c r="B51" s="38" t="s">
        <v>192</v>
      </c>
      <c r="C51" s="67">
        <f>DL!C51</f>
        <v>84</v>
      </c>
      <c r="D51" s="68">
        <f>DL!D51</f>
        <v>83</v>
      </c>
      <c r="E51" s="41">
        <f>DL!E51</f>
        <v>1974.76</v>
      </c>
      <c r="F51" s="42">
        <v>381</v>
      </c>
      <c r="G51" s="43">
        <v>1215</v>
      </c>
      <c r="H51" s="44">
        <v>1596</v>
      </c>
      <c r="I51" s="43">
        <v>513</v>
      </c>
      <c r="J51" s="43">
        <v>1486</v>
      </c>
      <c r="K51" s="45">
        <v>1999</v>
      </c>
      <c r="L51" s="46">
        <f t="shared" si="6"/>
        <v>5.2005012531328318E-2</v>
      </c>
      <c r="M51" s="47">
        <f t="shared" si="7"/>
        <v>0.45781259494824689</v>
      </c>
      <c r="N51" s="68">
        <f>DL!W51</f>
        <v>81151</v>
      </c>
      <c r="O51" s="68">
        <f>DL!X51</f>
        <v>850</v>
      </c>
      <c r="P51" s="68">
        <f>DL!Y51</f>
        <v>90</v>
      </c>
      <c r="Q51" s="68">
        <f>DL!Z51</f>
        <v>904.07</v>
      </c>
      <c r="R51" s="69">
        <f>DL!AA51</f>
        <v>2116.9299999999998</v>
      </c>
      <c r="S51" s="68" t="str">
        <f>DL!AB51</f>
        <v>1..06</v>
      </c>
      <c r="T51" s="48">
        <f t="shared" si="8"/>
        <v>0.42706655392478737</v>
      </c>
      <c r="U51" s="49">
        <f t="shared" si="9"/>
        <v>1.047430099444246E-2</v>
      </c>
      <c r="V51" s="49">
        <f t="shared" si="10"/>
        <v>0.10588235294117647</v>
      </c>
      <c r="W51" s="50">
        <f t="shared" si="11"/>
        <v>10.045222222222224</v>
      </c>
    </row>
    <row r="52" spans="1:23" ht="29.1" customHeight="1" x14ac:dyDescent="0.15">
      <c r="A52" s="38" t="s">
        <v>193</v>
      </c>
      <c r="B52" s="38" t="s">
        <v>194</v>
      </c>
      <c r="C52" s="67">
        <f>DL!C52</f>
        <v>112</v>
      </c>
      <c r="D52" s="68">
        <f>DL!D52</f>
        <v>111</v>
      </c>
      <c r="E52" s="41">
        <f>DL!E52</f>
        <v>2577.79</v>
      </c>
      <c r="F52" s="42">
        <v>523</v>
      </c>
      <c r="G52" s="43">
        <v>1716</v>
      </c>
      <c r="H52" s="44">
        <v>2239</v>
      </c>
      <c r="I52" s="43">
        <v>665</v>
      </c>
      <c r="J52" s="43">
        <v>2063</v>
      </c>
      <c r="K52" s="45">
        <v>2728</v>
      </c>
      <c r="L52" s="46">
        <f t="shared" si="6"/>
        <v>4.9575703439035286E-2</v>
      </c>
      <c r="M52" s="47">
        <f t="shared" si="7"/>
        <v>0.4269005621094038</v>
      </c>
      <c r="N52" s="68">
        <f>DL!W52</f>
        <v>96422</v>
      </c>
      <c r="O52" s="68">
        <f>DL!X52</f>
        <v>1030</v>
      </c>
      <c r="P52" s="68">
        <f>DL!Y52</f>
        <v>101</v>
      </c>
      <c r="Q52" s="68">
        <f>DL!Z52</f>
        <v>1100.46</v>
      </c>
      <c r="R52" s="69">
        <f>DL!AA52</f>
        <v>2274.4699999999998</v>
      </c>
      <c r="S52" s="68">
        <f>DL!AB52</f>
        <v>1.07</v>
      </c>
      <c r="T52" s="48">
        <f t="shared" si="8"/>
        <v>0.48383139808394926</v>
      </c>
      <c r="U52" s="49">
        <f t="shared" si="9"/>
        <v>1.068220945427392E-2</v>
      </c>
      <c r="V52" s="49">
        <f t="shared" si="10"/>
        <v>9.8058252427184467E-2</v>
      </c>
      <c r="W52" s="50">
        <f t="shared" si="11"/>
        <v>10.895643564356437</v>
      </c>
    </row>
    <row r="53" spans="1:23" ht="29.1" customHeight="1" x14ac:dyDescent="0.15">
      <c r="A53" s="38" t="s">
        <v>195</v>
      </c>
      <c r="B53" s="38" t="s">
        <v>196</v>
      </c>
      <c r="C53" s="67">
        <f>DL!C53</f>
        <v>174</v>
      </c>
      <c r="D53" s="68">
        <f>DL!D53</f>
        <v>171</v>
      </c>
      <c r="E53" s="41">
        <f>DL!E53</f>
        <v>3365.96</v>
      </c>
      <c r="F53" s="42">
        <v>569</v>
      </c>
      <c r="G53" s="43">
        <v>1639</v>
      </c>
      <c r="H53" s="44">
        <v>2208</v>
      </c>
      <c r="I53" s="43">
        <v>729</v>
      </c>
      <c r="J53" s="43">
        <v>1958</v>
      </c>
      <c r="K53" s="45">
        <v>2687</v>
      </c>
      <c r="L53" s="46">
        <f t="shared" si="6"/>
        <v>7.744565217391304E-2</v>
      </c>
      <c r="M53" s="47">
        <f t="shared" si="7"/>
        <v>0.32228844074201712</v>
      </c>
      <c r="N53" s="68">
        <f>DL!W53</f>
        <v>101187</v>
      </c>
      <c r="O53" s="68">
        <f>DL!X53</f>
        <v>1056</v>
      </c>
      <c r="P53" s="68">
        <f>DL!Y53</f>
        <v>130</v>
      </c>
      <c r="Q53" s="68">
        <f>DL!Z53</f>
        <v>1084.81</v>
      </c>
      <c r="R53" s="69">
        <f>DL!AA53</f>
        <v>2617.02</v>
      </c>
      <c r="S53" s="68">
        <f>DL!AB53</f>
        <v>1.03</v>
      </c>
      <c r="T53" s="48">
        <f t="shared" si="8"/>
        <v>0.41452109651435598</v>
      </c>
      <c r="U53" s="49">
        <f t="shared" si="9"/>
        <v>1.0436123217409351E-2</v>
      </c>
      <c r="V53" s="49">
        <f t="shared" si="10"/>
        <v>0.12310606060606061</v>
      </c>
      <c r="W53" s="50">
        <f t="shared" si="11"/>
        <v>8.3446923076923074</v>
      </c>
    </row>
    <row r="54" spans="1:23" ht="29.1" customHeight="1" x14ac:dyDescent="0.15">
      <c r="A54" s="38" t="s">
        <v>198</v>
      </c>
      <c r="B54" s="38" t="s">
        <v>199</v>
      </c>
      <c r="C54" s="67">
        <f>DL!C54</f>
        <v>160</v>
      </c>
      <c r="D54" s="68">
        <f>DL!D54</f>
        <v>158</v>
      </c>
      <c r="E54" s="41">
        <f>DL!E54</f>
        <v>3549.51</v>
      </c>
      <c r="F54" s="42">
        <v>416</v>
      </c>
      <c r="G54" s="43">
        <v>1633</v>
      </c>
      <c r="H54" s="44">
        <v>2049</v>
      </c>
      <c r="I54" s="43">
        <v>545</v>
      </c>
      <c r="J54" s="43">
        <v>1971</v>
      </c>
      <c r="K54" s="45">
        <v>2516</v>
      </c>
      <c r="L54" s="46">
        <f t="shared" si="6"/>
        <v>7.7110785749145927E-2</v>
      </c>
      <c r="M54" s="47">
        <f t="shared" si="7"/>
        <v>0.32217404655853904</v>
      </c>
      <c r="N54" s="68">
        <f>DL!W54</f>
        <v>122283</v>
      </c>
      <c r="O54" s="68">
        <f>DL!X54</f>
        <v>1093</v>
      </c>
      <c r="P54" s="68">
        <f>DL!Y54</f>
        <v>129</v>
      </c>
      <c r="Q54" s="68">
        <f>DL!Z54</f>
        <v>1143.56</v>
      </c>
      <c r="R54" s="69">
        <f>DL!AA54</f>
        <v>2874.28</v>
      </c>
      <c r="S54" s="68">
        <f>DL!AB54</f>
        <v>1.05</v>
      </c>
      <c r="T54" s="48">
        <f t="shared" si="8"/>
        <v>0.39785963789192419</v>
      </c>
      <c r="U54" s="49">
        <f t="shared" si="9"/>
        <v>8.9382825086070841E-3</v>
      </c>
      <c r="V54" s="49">
        <f t="shared" si="10"/>
        <v>0.11802378774016468</v>
      </c>
      <c r="W54" s="50">
        <f t="shared" si="11"/>
        <v>8.8648062015503868</v>
      </c>
    </row>
    <row r="55" spans="1:23" ht="29.1" customHeight="1" x14ac:dyDescent="0.15">
      <c r="A55" s="38" t="s">
        <v>200</v>
      </c>
      <c r="B55" s="38" t="s">
        <v>201</v>
      </c>
      <c r="C55" s="67">
        <f>DL!C55</f>
        <v>140</v>
      </c>
      <c r="D55" s="68">
        <f>DL!D55</f>
        <v>140</v>
      </c>
      <c r="E55" s="41">
        <f>DL!E55</f>
        <v>3093.93</v>
      </c>
      <c r="F55" s="42">
        <v>480</v>
      </c>
      <c r="G55" s="43">
        <v>1433</v>
      </c>
      <c r="H55" s="44">
        <v>1913</v>
      </c>
      <c r="I55" s="43">
        <v>581</v>
      </c>
      <c r="J55" s="43">
        <v>1770</v>
      </c>
      <c r="K55" s="45">
        <v>2351</v>
      </c>
      <c r="L55" s="46">
        <f t="shared" si="6"/>
        <v>7.3183481442760059E-2</v>
      </c>
      <c r="M55" s="47">
        <f t="shared" si="7"/>
        <v>0.35195043197486697</v>
      </c>
      <c r="N55" s="68">
        <f>DL!W55</f>
        <v>122246</v>
      </c>
      <c r="O55" s="68">
        <f>DL!X55</f>
        <v>1047</v>
      </c>
      <c r="P55" s="68">
        <f>DL!Y55</f>
        <v>106</v>
      </c>
      <c r="Q55" s="68">
        <f>DL!Z55</f>
        <v>1088.9100000000001</v>
      </c>
      <c r="R55" s="69">
        <f>DL!AA55</f>
        <v>2380.33</v>
      </c>
      <c r="S55" s="68">
        <f>DL!AB55</f>
        <v>1.04</v>
      </c>
      <c r="T55" s="48">
        <f t="shared" si="8"/>
        <v>0.45746178050942521</v>
      </c>
      <c r="U55" s="49">
        <f t="shared" si="9"/>
        <v>8.5646974134123005E-3</v>
      </c>
      <c r="V55" s="49">
        <f t="shared" si="10"/>
        <v>0.10124164278892073</v>
      </c>
      <c r="W55" s="50">
        <f t="shared" si="11"/>
        <v>10.272735849056605</v>
      </c>
    </row>
    <row r="56" spans="1:23" ht="29.1" customHeight="1" x14ac:dyDescent="0.15">
      <c r="A56" s="38" t="s">
        <v>202</v>
      </c>
      <c r="B56" s="38" t="s">
        <v>203</v>
      </c>
      <c r="C56" s="67">
        <f>DL!C56</f>
        <v>144</v>
      </c>
      <c r="D56" s="68">
        <f>DL!D56</f>
        <v>144</v>
      </c>
      <c r="E56" s="41">
        <f>DL!E56</f>
        <v>3285.27</v>
      </c>
      <c r="F56" s="42">
        <v>575</v>
      </c>
      <c r="G56" s="43">
        <v>1818</v>
      </c>
      <c r="H56" s="44">
        <v>2393</v>
      </c>
      <c r="I56" s="43">
        <v>694</v>
      </c>
      <c r="J56" s="43">
        <v>2238</v>
      </c>
      <c r="K56" s="45">
        <v>2932</v>
      </c>
      <c r="L56" s="46">
        <f t="shared" si="6"/>
        <v>6.0175511909736731E-2</v>
      </c>
      <c r="M56" s="47">
        <f t="shared" si="7"/>
        <v>0.32200093143029335</v>
      </c>
      <c r="N56" s="68">
        <f>DL!W56</f>
        <v>115096</v>
      </c>
      <c r="O56" s="68">
        <f>DL!X56</f>
        <v>987</v>
      </c>
      <c r="P56" s="68">
        <f>DL!Y56</f>
        <v>118</v>
      </c>
      <c r="Q56" s="68">
        <f>DL!Z56</f>
        <v>1057.8599999999999</v>
      </c>
      <c r="R56" s="69">
        <f>DL!AA56</f>
        <v>2626.68</v>
      </c>
      <c r="S56" s="68">
        <f>DL!AB56</f>
        <v>1.07</v>
      </c>
      <c r="T56" s="48">
        <f t="shared" si="8"/>
        <v>0.40273653433231305</v>
      </c>
      <c r="U56" s="49">
        <f t="shared" si="9"/>
        <v>8.5754500590811151E-3</v>
      </c>
      <c r="V56" s="49">
        <f t="shared" si="10"/>
        <v>0.11955420466058764</v>
      </c>
      <c r="W56" s="50">
        <f t="shared" si="11"/>
        <v>8.9649152542372867</v>
      </c>
    </row>
    <row r="57" spans="1:23" ht="29.1" customHeight="1" x14ac:dyDescent="0.15">
      <c r="A57" s="38" t="s">
        <v>205</v>
      </c>
      <c r="B57" s="38" t="s">
        <v>206</v>
      </c>
      <c r="C57" s="67">
        <f>DL!C57</f>
        <v>153</v>
      </c>
      <c r="D57" s="68">
        <f>DL!D57</f>
        <v>153</v>
      </c>
      <c r="E57" s="41">
        <f>DL!E57</f>
        <v>3457.39</v>
      </c>
      <c r="F57" s="42">
        <v>614</v>
      </c>
      <c r="G57" s="43">
        <v>2026</v>
      </c>
      <c r="H57" s="44">
        <v>2640</v>
      </c>
      <c r="I57" s="43">
        <v>787</v>
      </c>
      <c r="J57" s="43">
        <v>2513</v>
      </c>
      <c r="K57" s="45">
        <v>3300</v>
      </c>
      <c r="L57" s="46">
        <f t="shared" si="6"/>
        <v>5.7954545454545453E-2</v>
      </c>
      <c r="M57" s="47">
        <f t="shared" si="7"/>
        <v>0.35833388770141644</v>
      </c>
      <c r="N57" s="68">
        <f>DL!W57</f>
        <v>126104</v>
      </c>
      <c r="O57" s="68">
        <f>DL!X57</f>
        <v>1176</v>
      </c>
      <c r="P57" s="68">
        <f>DL!Y57</f>
        <v>141</v>
      </c>
      <c r="Q57" s="68">
        <f>DL!Z57</f>
        <v>1238.9000000000001</v>
      </c>
      <c r="R57" s="69">
        <f>DL!AA57</f>
        <v>3166.47</v>
      </c>
      <c r="S57" s="68">
        <f>DL!AB57</f>
        <v>1.05</v>
      </c>
      <c r="T57" s="48">
        <f t="shared" si="8"/>
        <v>0.39125587799663353</v>
      </c>
      <c r="U57" s="49">
        <f t="shared" si="9"/>
        <v>9.3256359829981608E-3</v>
      </c>
      <c r="V57" s="49">
        <f t="shared" si="10"/>
        <v>0.11989795918367346</v>
      </c>
      <c r="W57" s="50">
        <f t="shared" si="11"/>
        <v>8.7865248226950357</v>
      </c>
    </row>
    <row r="58" spans="1:23" ht="29.1" customHeight="1" x14ac:dyDescent="0.15">
      <c r="A58" s="38" t="s">
        <v>208</v>
      </c>
      <c r="B58" s="38" t="s">
        <v>209</v>
      </c>
      <c r="C58" s="67">
        <f>DL!C58</f>
        <v>126</v>
      </c>
      <c r="D58" s="68">
        <f>DL!D58</f>
        <v>123</v>
      </c>
      <c r="E58" s="41">
        <f>DL!E58</f>
        <v>2825.25</v>
      </c>
      <c r="F58" s="42">
        <v>439</v>
      </c>
      <c r="G58" s="43">
        <v>1188</v>
      </c>
      <c r="H58" s="44">
        <v>1627</v>
      </c>
      <c r="I58" s="43">
        <v>582</v>
      </c>
      <c r="J58" s="43">
        <v>1515</v>
      </c>
      <c r="K58" s="45">
        <v>2097</v>
      </c>
      <c r="L58" s="46">
        <f t="shared" si="6"/>
        <v>7.5599262446220034E-2</v>
      </c>
      <c r="M58" s="47">
        <f t="shared" si="7"/>
        <v>0.36321741438810728</v>
      </c>
      <c r="N58" s="68">
        <f>DL!W58</f>
        <v>103058</v>
      </c>
      <c r="O58" s="68">
        <f>DL!X58</f>
        <v>963</v>
      </c>
      <c r="P58" s="68">
        <f>DL!Y58</f>
        <v>100</v>
      </c>
      <c r="Q58" s="68">
        <f>DL!Z58</f>
        <v>1026.18</v>
      </c>
      <c r="R58" s="69">
        <f>DL!AA58</f>
        <v>2241.92</v>
      </c>
      <c r="S58" s="68">
        <f>DL!AB58</f>
        <v>1.07</v>
      </c>
      <c r="T58" s="48">
        <f t="shared" si="8"/>
        <v>0.45772373679703116</v>
      </c>
      <c r="U58" s="49">
        <f t="shared" si="9"/>
        <v>9.3442527508781469E-3</v>
      </c>
      <c r="V58" s="49">
        <f t="shared" si="10"/>
        <v>0.10384215991692627</v>
      </c>
      <c r="W58" s="50">
        <f t="shared" si="11"/>
        <v>10.261800000000001</v>
      </c>
    </row>
    <row r="59" spans="1:23" ht="29.1" customHeight="1" x14ac:dyDescent="0.15">
      <c r="A59" s="38" t="s">
        <v>210</v>
      </c>
      <c r="B59" s="38" t="s">
        <v>211</v>
      </c>
      <c r="C59" s="67">
        <f>DL!C59</f>
        <v>134</v>
      </c>
      <c r="D59" s="68">
        <f>DL!D59</f>
        <v>129</v>
      </c>
      <c r="E59" s="41">
        <f>DL!E59</f>
        <v>2380.61</v>
      </c>
      <c r="F59" s="42">
        <v>391</v>
      </c>
      <c r="G59" s="43">
        <v>1369</v>
      </c>
      <c r="H59" s="44">
        <v>1760</v>
      </c>
      <c r="I59" s="43">
        <v>480</v>
      </c>
      <c r="J59" s="43">
        <v>1722</v>
      </c>
      <c r="K59" s="45">
        <v>2202</v>
      </c>
      <c r="L59" s="46">
        <f t="shared" si="6"/>
        <v>7.3295454545454539E-2</v>
      </c>
      <c r="M59" s="47">
        <f t="shared" si="7"/>
        <v>0.41342765089619887</v>
      </c>
      <c r="N59" s="68">
        <f>DL!W59</f>
        <v>91054</v>
      </c>
      <c r="O59" s="68">
        <f>DL!X59</f>
        <v>940</v>
      </c>
      <c r="P59" s="68">
        <f>DL!Y59</f>
        <v>89</v>
      </c>
      <c r="Q59" s="68">
        <f>DL!Z59</f>
        <v>984.21</v>
      </c>
      <c r="R59" s="69">
        <f>DL!AA59</f>
        <v>1678.37</v>
      </c>
      <c r="S59" s="68">
        <f>DL!AB59</f>
        <v>1.05</v>
      </c>
      <c r="T59" s="48">
        <f t="shared" si="8"/>
        <v>0.58640824132938507</v>
      </c>
      <c r="U59" s="49">
        <f t="shared" si="9"/>
        <v>1.032354427043293E-2</v>
      </c>
      <c r="V59" s="49">
        <f t="shared" si="10"/>
        <v>9.4680851063829785E-2</v>
      </c>
      <c r="W59" s="50">
        <f t="shared" si="11"/>
        <v>11.058539325842696</v>
      </c>
    </row>
    <row r="60" spans="1:23" ht="29.1" customHeight="1" x14ac:dyDescent="0.15">
      <c r="A60" s="38" t="s">
        <v>213</v>
      </c>
      <c r="B60" s="38" t="s">
        <v>214</v>
      </c>
      <c r="C60" s="67">
        <f>DL!C60</f>
        <v>207</v>
      </c>
      <c r="D60" s="68">
        <f>DL!D60</f>
        <v>204</v>
      </c>
      <c r="E60" s="41">
        <f>DL!E60</f>
        <v>3307.18</v>
      </c>
      <c r="F60" s="42">
        <v>736</v>
      </c>
      <c r="G60" s="43">
        <v>2093</v>
      </c>
      <c r="H60" s="44">
        <v>2829</v>
      </c>
      <c r="I60" s="43">
        <v>967</v>
      </c>
      <c r="J60" s="43">
        <v>2672</v>
      </c>
      <c r="K60" s="45">
        <v>3639</v>
      </c>
      <c r="L60" s="46">
        <f t="shared" si="6"/>
        <v>7.2110286320254513E-2</v>
      </c>
      <c r="M60" s="47">
        <f t="shared" si="7"/>
        <v>0.40316825815347213</v>
      </c>
      <c r="N60" s="68">
        <f>DL!W60</f>
        <v>100705</v>
      </c>
      <c r="O60" s="68">
        <f>DL!X60</f>
        <v>1267</v>
      </c>
      <c r="P60" s="68">
        <f>DL!Y60</f>
        <v>173</v>
      </c>
      <c r="Q60" s="68">
        <f>DL!Z60</f>
        <v>1333.35</v>
      </c>
      <c r="R60" s="69">
        <f>DL!AA60</f>
        <v>2730.65</v>
      </c>
      <c r="S60" s="68">
        <f>DL!AB60</f>
        <v>1.05</v>
      </c>
      <c r="T60" s="48">
        <f t="shared" si="8"/>
        <v>0.48829033380330683</v>
      </c>
      <c r="U60" s="49">
        <f t="shared" si="9"/>
        <v>1.2581301822153815E-2</v>
      </c>
      <c r="V60" s="49">
        <f t="shared" si="10"/>
        <v>0.13654301499605367</v>
      </c>
      <c r="W60" s="50">
        <f t="shared" si="11"/>
        <v>7.7072254335260109</v>
      </c>
    </row>
    <row r="61" spans="1:23" ht="29.1" customHeight="1" x14ac:dyDescent="0.15">
      <c r="A61" s="38" t="s">
        <v>216</v>
      </c>
      <c r="B61" s="38" t="s">
        <v>217</v>
      </c>
      <c r="C61" s="67">
        <f>DL!C61</f>
        <v>171</v>
      </c>
      <c r="D61" s="68">
        <f>DL!D61</f>
        <v>166</v>
      </c>
      <c r="E61" s="41">
        <f>DL!E61</f>
        <v>3365.95</v>
      </c>
      <c r="F61" s="42">
        <v>572</v>
      </c>
      <c r="G61" s="43">
        <v>1764</v>
      </c>
      <c r="H61" s="44">
        <v>2336</v>
      </c>
      <c r="I61" s="43">
        <v>729</v>
      </c>
      <c r="J61" s="43">
        <v>2243</v>
      </c>
      <c r="K61" s="45">
        <v>2972</v>
      </c>
      <c r="L61" s="46">
        <f t="shared" si="6"/>
        <v>7.1061643835616445E-2</v>
      </c>
      <c r="M61" s="47">
        <f t="shared" si="7"/>
        <v>0.27451982352679039</v>
      </c>
      <c r="N61" s="68">
        <f>DL!W61</f>
        <v>81197</v>
      </c>
      <c r="O61" s="68">
        <f>DL!X61</f>
        <v>895</v>
      </c>
      <c r="P61" s="68">
        <f>DL!Y61</f>
        <v>122</v>
      </c>
      <c r="Q61" s="68">
        <f>DL!Z61</f>
        <v>924.02</v>
      </c>
      <c r="R61" s="69">
        <f>DL!AA61</f>
        <v>2505.29</v>
      </c>
      <c r="S61" s="68">
        <f>DL!AB61</f>
        <v>1.03</v>
      </c>
      <c r="T61" s="48">
        <f t="shared" si="8"/>
        <v>0.36882756088117541</v>
      </c>
      <c r="U61" s="49">
        <f t="shared" si="9"/>
        <v>1.1022574725667204E-2</v>
      </c>
      <c r="V61" s="49">
        <f t="shared" si="10"/>
        <v>0.13631284916201117</v>
      </c>
      <c r="W61" s="50">
        <f t="shared" si="11"/>
        <v>7.5739344262295081</v>
      </c>
    </row>
    <row r="62" spans="1:23" ht="29.1" customHeight="1" x14ac:dyDescent="0.15">
      <c r="A62" s="38" t="s">
        <v>219</v>
      </c>
      <c r="B62" s="38" t="s">
        <v>220</v>
      </c>
      <c r="C62" s="67">
        <f>DL!C62</f>
        <v>147</v>
      </c>
      <c r="D62" s="68">
        <f>DL!D62</f>
        <v>146</v>
      </c>
      <c r="E62" s="41">
        <f>DL!E62</f>
        <v>3207.94</v>
      </c>
      <c r="F62" s="42">
        <v>537</v>
      </c>
      <c r="G62" s="43">
        <v>1418</v>
      </c>
      <c r="H62" s="44">
        <v>1955</v>
      </c>
      <c r="I62" s="43">
        <v>693</v>
      </c>
      <c r="J62" s="43">
        <v>1778</v>
      </c>
      <c r="K62" s="45">
        <v>2471</v>
      </c>
      <c r="L62" s="46">
        <f t="shared" si="6"/>
        <v>7.468030690537085E-2</v>
      </c>
      <c r="M62" s="47">
        <f t="shared" si="7"/>
        <v>0.23827752389383841</v>
      </c>
      <c r="N62" s="68">
        <f>DL!W62</f>
        <v>63474</v>
      </c>
      <c r="O62" s="68">
        <f>DL!X62</f>
        <v>751</v>
      </c>
      <c r="P62" s="68">
        <f>DL!Y62</f>
        <v>103</v>
      </c>
      <c r="Q62" s="68">
        <f>DL!Z62</f>
        <v>764.38</v>
      </c>
      <c r="R62" s="69">
        <f>DL!AA62</f>
        <v>2238.71</v>
      </c>
      <c r="S62" s="68">
        <f>DL!AB62</f>
        <v>1.02</v>
      </c>
      <c r="T62" s="48">
        <f t="shared" si="8"/>
        <v>0.34143770296286702</v>
      </c>
      <c r="U62" s="49">
        <f t="shared" si="9"/>
        <v>1.1831616094778964E-2</v>
      </c>
      <c r="V62" s="49">
        <f t="shared" si="10"/>
        <v>0.13715046604527298</v>
      </c>
      <c r="W62" s="50">
        <f t="shared" si="11"/>
        <v>7.4211650485436893</v>
      </c>
    </row>
    <row r="63" spans="1:23" ht="29.1" customHeight="1" x14ac:dyDescent="0.15">
      <c r="A63" s="38" t="s">
        <v>221</v>
      </c>
      <c r="B63" s="38" t="s">
        <v>222</v>
      </c>
      <c r="C63" s="67">
        <f>DL!C63</f>
        <v>135</v>
      </c>
      <c r="D63" s="68">
        <f>DL!D63</f>
        <v>133</v>
      </c>
      <c r="E63" s="41">
        <f>DL!E63</f>
        <v>2898.26</v>
      </c>
      <c r="F63" s="42">
        <v>309</v>
      </c>
      <c r="G63" s="43">
        <v>1107</v>
      </c>
      <c r="H63" s="44">
        <v>1416</v>
      </c>
      <c r="I63" s="43">
        <v>392</v>
      </c>
      <c r="J63" s="43">
        <v>1414</v>
      </c>
      <c r="K63" s="45">
        <v>1806</v>
      </c>
      <c r="L63" s="46">
        <f t="shared" si="6"/>
        <v>9.3926553672316379E-2</v>
      </c>
      <c r="M63" s="47">
        <f t="shared" si="7"/>
        <v>0.25077805303871981</v>
      </c>
      <c r="N63" s="68">
        <f>DL!W63</f>
        <v>56264</v>
      </c>
      <c r="O63" s="68">
        <f>DL!X63</f>
        <v>710</v>
      </c>
      <c r="P63" s="68">
        <f>DL!Y63</f>
        <v>93</v>
      </c>
      <c r="Q63" s="68">
        <f>DL!Z63</f>
        <v>726.82</v>
      </c>
      <c r="R63" s="69">
        <f>DL!AA63</f>
        <v>1961.55</v>
      </c>
      <c r="S63" s="68">
        <f>DL!AB63</f>
        <v>1.02</v>
      </c>
      <c r="T63" s="48">
        <f t="shared" si="8"/>
        <v>0.37053350666564711</v>
      </c>
      <c r="U63" s="49">
        <f t="shared" si="9"/>
        <v>1.2619081473055595E-2</v>
      </c>
      <c r="V63" s="49">
        <f t="shared" si="10"/>
        <v>0.13098591549295774</v>
      </c>
      <c r="W63" s="50">
        <f t="shared" si="11"/>
        <v>7.8152688172043012</v>
      </c>
    </row>
    <row r="64" spans="1:23" ht="29.1" customHeight="1" x14ac:dyDescent="0.15">
      <c r="A64" s="38" t="s">
        <v>223</v>
      </c>
      <c r="B64" s="38" t="s">
        <v>224</v>
      </c>
      <c r="C64" s="67">
        <f>DL!C64</f>
        <v>118</v>
      </c>
      <c r="D64" s="68">
        <f>DL!D64</f>
        <v>117</v>
      </c>
      <c r="E64" s="41">
        <f>DL!E64</f>
        <v>2646.02</v>
      </c>
      <c r="F64" s="42">
        <v>360</v>
      </c>
      <c r="G64" s="43">
        <v>1117</v>
      </c>
      <c r="H64" s="44">
        <v>1477</v>
      </c>
      <c r="I64" s="43">
        <v>466</v>
      </c>
      <c r="J64" s="43">
        <v>1363</v>
      </c>
      <c r="K64" s="45">
        <v>1829</v>
      </c>
      <c r="L64" s="46">
        <f t="shared" si="6"/>
        <v>7.9214624238320916E-2</v>
      </c>
      <c r="M64" s="47">
        <f t="shared" si="7"/>
        <v>0.26628294570713751</v>
      </c>
      <c r="N64" s="68">
        <f>DL!W64</f>
        <v>61162</v>
      </c>
      <c r="O64" s="68">
        <f>DL!X64</f>
        <v>698</v>
      </c>
      <c r="P64" s="68">
        <f>DL!Y64</f>
        <v>88</v>
      </c>
      <c r="Q64" s="68">
        <f>DL!Z64</f>
        <v>704.59</v>
      </c>
      <c r="R64" s="69">
        <f>DL!AA64</f>
        <v>1880.53</v>
      </c>
      <c r="S64" s="68">
        <f>DL!AB64</f>
        <v>1.01</v>
      </c>
      <c r="T64" s="48">
        <f t="shared" si="8"/>
        <v>0.37467628806772563</v>
      </c>
      <c r="U64" s="49">
        <f t="shared" si="9"/>
        <v>1.1412314836009288E-2</v>
      </c>
      <c r="V64" s="49">
        <f t="shared" si="10"/>
        <v>0.12607449856733524</v>
      </c>
      <c r="W64" s="50">
        <f t="shared" si="11"/>
        <v>8.0067045454545465</v>
      </c>
    </row>
    <row r="65" spans="1:23" ht="29.1" customHeight="1" x14ac:dyDescent="0.15">
      <c r="A65" s="56" t="s">
        <v>226</v>
      </c>
      <c r="B65" s="57" t="s">
        <v>227</v>
      </c>
      <c r="C65" s="67">
        <f>DL!C65</f>
        <v>179</v>
      </c>
      <c r="D65" s="68">
        <f>DL!D65</f>
        <v>174</v>
      </c>
      <c r="E65" s="41">
        <f>DL!E65</f>
        <v>3901.31</v>
      </c>
      <c r="F65" s="42">
        <v>652</v>
      </c>
      <c r="G65" s="43">
        <v>1942</v>
      </c>
      <c r="H65" s="44">
        <v>2594</v>
      </c>
      <c r="I65" s="43">
        <v>801</v>
      </c>
      <c r="J65" s="43">
        <v>2437</v>
      </c>
      <c r="K65" s="45">
        <v>3238</v>
      </c>
      <c r="L65" s="46">
        <f t="shared" si="6"/>
        <v>6.7077872012336157E-2</v>
      </c>
      <c r="M65" s="47">
        <f t="shared" si="7"/>
        <v>0.30564348898190613</v>
      </c>
      <c r="N65" s="68">
        <f>DL!W65</f>
        <v>87253</v>
      </c>
      <c r="O65" s="68">
        <f>DL!X65</f>
        <v>1141</v>
      </c>
      <c r="P65" s="68">
        <f>DL!Y65</f>
        <v>133</v>
      </c>
      <c r="Q65" s="68">
        <f>DL!Z65</f>
        <v>1192.4100000000001</v>
      </c>
      <c r="R65" s="69">
        <f>DL!AA65</f>
        <v>2980.93</v>
      </c>
      <c r="S65" s="68">
        <f>DL!AB65</f>
        <v>1.05</v>
      </c>
      <c r="T65" s="48">
        <f t="shared" si="8"/>
        <v>0.40001274769954348</v>
      </c>
      <c r="U65" s="49">
        <f t="shared" si="9"/>
        <v>1.3076914260827709E-2</v>
      </c>
      <c r="V65" s="49">
        <f t="shared" si="10"/>
        <v>0.1165644171779141</v>
      </c>
      <c r="W65" s="50">
        <f t="shared" si="11"/>
        <v>8.9654887218045118</v>
      </c>
    </row>
    <row r="66" spans="1:23" ht="29.1" customHeight="1" x14ac:dyDescent="0.15">
      <c r="A66" s="38" t="s">
        <v>228</v>
      </c>
      <c r="B66" s="58" t="s">
        <v>229</v>
      </c>
      <c r="C66" s="67">
        <f>DL!C66</f>
        <v>165</v>
      </c>
      <c r="D66" s="68">
        <f>DL!D66</f>
        <v>165</v>
      </c>
      <c r="E66" s="41">
        <f>DL!E66</f>
        <v>3587.96</v>
      </c>
      <c r="F66" s="42">
        <v>662</v>
      </c>
      <c r="G66" s="43">
        <v>2085</v>
      </c>
      <c r="H66" s="44">
        <v>2747</v>
      </c>
      <c r="I66" s="43">
        <v>780</v>
      </c>
      <c r="J66" s="43">
        <v>2545</v>
      </c>
      <c r="K66" s="45">
        <v>3325</v>
      </c>
      <c r="L66" s="46">
        <f t="shared" si="6"/>
        <v>6.0065526028394614E-2</v>
      </c>
      <c r="M66" s="47">
        <f t="shared" si="7"/>
        <v>0.30187348799875136</v>
      </c>
      <c r="N66" s="68">
        <f>DL!W66</f>
        <v>82473</v>
      </c>
      <c r="O66" s="68">
        <f>DL!X66</f>
        <v>1095</v>
      </c>
      <c r="P66" s="68">
        <f>DL!Y66</f>
        <v>100</v>
      </c>
      <c r="Q66" s="68">
        <f>DL!Z66</f>
        <v>1083.1099999999999</v>
      </c>
      <c r="R66" s="69">
        <f>DL!AA66</f>
        <v>2904.24</v>
      </c>
      <c r="S66" s="68">
        <f>DL!AB66</f>
        <v>1.02</v>
      </c>
      <c r="T66" s="48">
        <f t="shared" si="8"/>
        <v>0.37294094151998458</v>
      </c>
      <c r="U66" s="49">
        <f t="shared" si="9"/>
        <v>1.3277072496453384E-2</v>
      </c>
      <c r="V66" s="49">
        <f t="shared" si="10"/>
        <v>9.1324200913242004E-2</v>
      </c>
      <c r="W66" s="50">
        <f t="shared" si="11"/>
        <v>10.831099999999999</v>
      </c>
    </row>
    <row r="67" spans="1:23" ht="29.1" customHeight="1" x14ac:dyDescent="0.15">
      <c r="A67" s="38" t="s">
        <v>230</v>
      </c>
      <c r="B67" s="58" t="s">
        <v>231</v>
      </c>
      <c r="C67" s="67">
        <f>DL!C67</f>
        <v>172</v>
      </c>
      <c r="D67" s="68">
        <f>DL!D67</f>
        <v>169</v>
      </c>
      <c r="E67" s="41">
        <f>DL!E67</f>
        <v>3773.08</v>
      </c>
      <c r="F67" s="42">
        <v>637</v>
      </c>
      <c r="G67" s="43">
        <v>2138</v>
      </c>
      <c r="H67" s="44">
        <v>2775</v>
      </c>
      <c r="I67" s="43">
        <v>796</v>
      </c>
      <c r="J67" s="43">
        <v>2617</v>
      </c>
      <c r="K67" s="45">
        <v>3413</v>
      </c>
      <c r="L67" s="46">
        <f t="shared" si="6"/>
        <v>6.0900900900900903E-2</v>
      </c>
      <c r="M67" s="47">
        <f t="shared" si="7"/>
        <v>0.31018690300762242</v>
      </c>
      <c r="N67" s="68">
        <f>DL!W67</f>
        <v>83315</v>
      </c>
      <c r="O67" s="68">
        <f>DL!X67</f>
        <v>1146</v>
      </c>
      <c r="P67" s="68">
        <f>DL!Y67</f>
        <v>139</v>
      </c>
      <c r="Q67" s="68">
        <f>DL!Z67</f>
        <v>1170.3599999999999</v>
      </c>
      <c r="R67" s="69">
        <f>DL!AA67</f>
        <v>3049.27</v>
      </c>
      <c r="S67" s="68">
        <f>DL!AB67</f>
        <v>1.02</v>
      </c>
      <c r="T67" s="48">
        <f t="shared" si="8"/>
        <v>0.38381645443007667</v>
      </c>
      <c r="U67" s="49">
        <f t="shared" si="9"/>
        <v>1.3755026105743263E-2</v>
      </c>
      <c r="V67" s="49">
        <f t="shared" si="10"/>
        <v>0.1212914485165794</v>
      </c>
      <c r="W67" s="50">
        <f t="shared" si="11"/>
        <v>8.4198561151079137</v>
      </c>
    </row>
    <row r="68" spans="1:23" ht="29.1" customHeight="1" x14ac:dyDescent="0.15">
      <c r="A68" s="38" t="s">
        <v>232</v>
      </c>
      <c r="B68" s="58" t="s">
        <v>233</v>
      </c>
      <c r="C68" s="67">
        <f>DL!C68</f>
        <v>158</v>
      </c>
      <c r="D68" s="68">
        <f>DL!D68</f>
        <v>157</v>
      </c>
      <c r="E68" s="41">
        <f>DL!E68</f>
        <v>3354.44</v>
      </c>
      <c r="F68" s="42">
        <v>503</v>
      </c>
      <c r="G68" s="43">
        <v>1794</v>
      </c>
      <c r="H68" s="44">
        <v>2297</v>
      </c>
      <c r="I68" s="43">
        <v>646</v>
      </c>
      <c r="J68" s="43">
        <v>2174</v>
      </c>
      <c r="K68" s="45">
        <v>2820</v>
      </c>
      <c r="L68" s="46">
        <f t="shared" ref="L68:L74" si="12">D68/H68</f>
        <v>6.8350021767522862E-2</v>
      </c>
      <c r="M68" s="47">
        <f t="shared" ref="M68:M75" si="13">Q68/E68</f>
        <v>0.29996363029298484</v>
      </c>
      <c r="N68" s="68">
        <f>DL!W68</f>
        <v>76400</v>
      </c>
      <c r="O68" s="68">
        <f>DL!X68</f>
        <v>999</v>
      </c>
      <c r="P68" s="68">
        <f>DL!Y68</f>
        <v>113</v>
      </c>
      <c r="Q68" s="68">
        <f>DL!Z68</f>
        <v>1006.21</v>
      </c>
      <c r="R68" s="69">
        <f>DL!AA68</f>
        <v>2412.73</v>
      </c>
      <c r="S68" s="68">
        <f>DL!AB68</f>
        <v>1.01</v>
      </c>
      <c r="T68" s="48">
        <f t="shared" ref="T68:T75" si="14">Q68/R68</f>
        <v>0.41704210583032497</v>
      </c>
      <c r="U68" s="49">
        <f t="shared" ref="U68:U74" si="15">O68/N68</f>
        <v>1.3075916230366491E-2</v>
      </c>
      <c r="V68" s="49">
        <f t="shared" ref="V68:V74" si="16">P68/O68</f>
        <v>0.11311311311311312</v>
      </c>
      <c r="W68" s="50">
        <f t="shared" ref="W68:W74" si="17">Q68/P68</f>
        <v>8.9045132743362831</v>
      </c>
    </row>
    <row r="69" spans="1:23" ht="29.1" customHeight="1" x14ac:dyDescent="0.15">
      <c r="A69" s="38" t="s">
        <v>236</v>
      </c>
      <c r="B69" s="58" t="s">
        <v>237</v>
      </c>
      <c r="C69" s="67">
        <f>DL!C69</f>
        <v>118</v>
      </c>
      <c r="D69" s="68">
        <f>DL!D69</f>
        <v>116</v>
      </c>
      <c r="E69" s="41">
        <f>DL!E69</f>
        <v>2579</v>
      </c>
      <c r="F69" s="42">
        <v>365</v>
      </c>
      <c r="G69" s="43">
        <v>1323</v>
      </c>
      <c r="H69" s="44">
        <v>1688</v>
      </c>
      <c r="I69" s="43">
        <v>479</v>
      </c>
      <c r="J69" s="43">
        <v>1612</v>
      </c>
      <c r="K69" s="45">
        <v>2091</v>
      </c>
      <c r="L69" s="46">
        <f t="shared" si="12"/>
        <v>6.8720379146919433E-2</v>
      </c>
      <c r="M69" s="47">
        <f t="shared" si="13"/>
        <v>0.29830942225668866</v>
      </c>
      <c r="N69" s="68">
        <f>DL!W69</f>
        <v>62879</v>
      </c>
      <c r="O69" s="68">
        <f>DL!X69</f>
        <v>757</v>
      </c>
      <c r="P69" s="68">
        <f>DL!Y69</f>
        <v>87</v>
      </c>
      <c r="Q69" s="68">
        <f>DL!Z69</f>
        <v>769.34</v>
      </c>
      <c r="R69" s="69">
        <f>DL!AA69</f>
        <v>1833.27</v>
      </c>
      <c r="S69" s="68">
        <f>DL!AB69</f>
        <v>1.02</v>
      </c>
      <c r="T69" s="48">
        <f t="shared" si="14"/>
        <v>0.4196544971553563</v>
      </c>
      <c r="U69" s="49">
        <f t="shared" si="15"/>
        <v>1.2038995531099413E-2</v>
      </c>
      <c r="V69" s="49">
        <f t="shared" si="16"/>
        <v>0.11492734478203434</v>
      </c>
      <c r="W69" s="50">
        <f t="shared" si="17"/>
        <v>8.842988505747126</v>
      </c>
    </row>
    <row r="70" spans="1:23" ht="29.1" customHeight="1" x14ac:dyDescent="0.15">
      <c r="A70" s="38" t="s">
        <v>240</v>
      </c>
      <c r="B70" s="58" t="s">
        <v>241</v>
      </c>
      <c r="C70" s="67">
        <f>DL!C70</f>
        <v>130</v>
      </c>
      <c r="D70" s="68">
        <f>DL!D70</f>
        <v>130</v>
      </c>
      <c r="E70" s="41">
        <f>DL!E70</f>
        <v>2830.7</v>
      </c>
      <c r="F70" s="42">
        <v>517</v>
      </c>
      <c r="G70" s="43">
        <v>1546</v>
      </c>
      <c r="H70" s="44">
        <v>2063</v>
      </c>
      <c r="I70" s="43">
        <v>623</v>
      </c>
      <c r="J70" s="43">
        <v>1879</v>
      </c>
      <c r="K70" s="45">
        <v>2502</v>
      </c>
      <c r="L70" s="46">
        <f t="shared" si="12"/>
        <v>6.3015026660203588E-2</v>
      </c>
      <c r="M70" s="47">
        <f t="shared" si="13"/>
        <v>0.28505669975624404</v>
      </c>
      <c r="N70" s="68">
        <f>DL!W70</f>
        <v>72249</v>
      </c>
      <c r="O70" s="68">
        <f>DL!X70</f>
        <v>808</v>
      </c>
      <c r="P70" s="68">
        <f>DL!Y70</f>
        <v>95</v>
      </c>
      <c r="Q70" s="68">
        <f>DL!Z70</f>
        <v>806.91</v>
      </c>
      <c r="R70" s="69">
        <f>DL!AA70</f>
        <v>2033.78</v>
      </c>
      <c r="S70" s="68">
        <f>DL!AB70</f>
        <v>1</v>
      </c>
      <c r="T70" s="48">
        <f t="shared" si="14"/>
        <v>0.39675382784765312</v>
      </c>
      <c r="U70" s="49">
        <f t="shared" si="15"/>
        <v>1.1183545793021357E-2</v>
      </c>
      <c r="V70" s="49">
        <f t="shared" si="16"/>
        <v>0.11757425742574257</v>
      </c>
      <c r="W70" s="50">
        <f t="shared" si="17"/>
        <v>8.4937894736842097</v>
      </c>
    </row>
    <row r="71" spans="1:23" ht="29.1" customHeight="1" x14ac:dyDescent="0.15">
      <c r="A71" s="38" t="s">
        <v>244</v>
      </c>
      <c r="B71" s="58" t="s">
        <v>245</v>
      </c>
      <c r="C71" s="67">
        <f>DL!C71</f>
        <v>170</v>
      </c>
      <c r="D71" s="68">
        <f>DL!D71</f>
        <v>168</v>
      </c>
      <c r="E71" s="41">
        <f>DL!E71</f>
        <v>3620.63</v>
      </c>
      <c r="F71" s="42">
        <v>607</v>
      </c>
      <c r="G71" s="43">
        <v>1912</v>
      </c>
      <c r="H71" s="44">
        <v>2519</v>
      </c>
      <c r="I71" s="43">
        <v>808</v>
      </c>
      <c r="J71" s="43">
        <v>2405</v>
      </c>
      <c r="K71" s="45">
        <v>3213</v>
      </c>
      <c r="L71" s="46">
        <f t="shared" si="12"/>
        <v>6.6693132195315599E-2</v>
      </c>
      <c r="M71" s="47">
        <f t="shared" si="13"/>
        <v>0.30419291670234183</v>
      </c>
      <c r="N71" s="68">
        <f>DL!W71</f>
        <v>85640</v>
      </c>
      <c r="O71" s="68">
        <f>DL!X71</f>
        <v>1059</v>
      </c>
      <c r="P71" s="68">
        <f>DL!Y71</f>
        <v>145</v>
      </c>
      <c r="Q71" s="68">
        <f>DL!Z71</f>
        <v>1101.3699999999999</v>
      </c>
      <c r="R71" s="69">
        <f>DL!AA71</f>
        <v>3054.59</v>
      </c>
      <c r="S71" s="68">
        <f>DL!AB71</f>
        <v>1.04</v>
      </c>
      <c r="T71" s="48">
        <f t="shared" si="14"/>
        <v>0.36056230132358186</v>
      </c>
      <c r="U71" s="49">
        <f t="shared" si="15"/>
        <v>1.2365716954694067E-2</v>
      </c>
      <c r="V71" s="49">
        <f t="shared" si="16"/>
        <v>0.13692162417374881</v>
      </c>
      <c r="W71" s="50">
        <f t="shared" si="17"/>
        <v>7.5956551724137924</v>
      </c>
    </row>
    <row r="72" spans="1:23" ht="29.1" customHeight="1" x14ac:dyDescent="0.15">
      <c r="A72" s="38" t="s">
        <v>247</v>
      </c>
      <c r="B72" s="58" t="s">
        <v>248</v>
      </c>
      <c r="C72" s="67">
        <f>DL!C72</f>
        <v>237</v>
      </c>
      <c r="D72" s="68">
        <f>DL!D72</f>
        <v>235</v>
      </c>
      <c r="E72" s="41">
        <f>DL!E72</f>
        <v>5136.93</v>
      </c>
      <c r="F72" s="42">
        <v>648</v>
      </c>
      <c r="G72" s="43">
        <v>2402</v>
      </c>
      <c r="H72" s="44">
        <v>3050</v>
      </c>
      <c r="I72" s="43">
        <v>817</v>
      </c>
      <c r="J72" s="43">
        <v>2951</v>
      </c>
      <c r="K72" s="45">
        <v>3768</v>
      </c>
      <c r="L72" s="46">
        <f t="shared" si="12"/>
        <v>7.7049180327868852E-2</v>
      </c>
      <c r="M72" s="47">
        <f t="shared" si="13"/>
        <v>0.31817836723490489</v>
      </c>
      <c r="N72" s="68">
        <f>DL!W72</f>
        <v>112297</v>
      </c>
      <c r="O72" s="68">
        <f>DL!X72</f>
        <v>1538</v>
      </c>
      <c r="P72" s="68">
        <f>DL!Y72</f>
        <v>201</v>
      </c>
      <c r="Q72" s="68">
        <f>DL!Z72</f>
        <v>1634.46</v>
      </c>
      <c r="R72" s="69">
        <f>DL!AA72</f>
        <v>4312.8</v>
      </c>
      <c r="S72" s="68">
        <f>DL!AB72</f>
        <v>1.06</v>
      </c>
      <c r="T72" s="48">
        <f t="shared" si="14"/>
        <v>0.37897885364496381</v>
      </c>
      <c r="U72" s="49">
        <f t="shared" si="15"/>
        <v>1.3695824465479933E-2</v>
      </c>
      <c r="V72" s="49">
        <f t="shared" si="16"/>
        <v>0.13068920676202861</v>
      </c>
      <c r="W72" s="50">
        <f t="shared" si="17"/>
        <v>8.1316417910447765</v>
      </c>
    </row>
    <row r="73" spans="1:23" ht="29.1" customHeight="1" x14ac:dyDescent="0.15">
      <c r="A73" s="38" t="s">
        <v>250</v>
      </c>
      <c r="B73" s="58" t="s">
        <v>251</v>
      </c>
      <c r="C73" s="67">
        <f>DL!C73</f>
        <v>215</v>
      </c>
      <c r="D73" s="68">
        <f>DL!D73</f>
        <v>213</v>
      </c>
      <c r="E73" s="41">
        <f>DL!E73</f>
        <v>4541.57</v>
      </c>
      <c r="F73" s="42">
        <v>648</v>
      </c>
      <c r="G73" s="43">
        <v>2402</v>
      </c>
      <c r="H73" s="44">
        <v>3050</v>
      </c>
      <c r="I73" s="43">
        <v>817</v>
      </c>
      <c r="J73" s="43">
        <v>2951</v>
      </c>
      <c r="K73" s="45">
        <v>3768</v>
      </c>
      <c r="L73" s="46">
        <f t="shared" si="12"/>
        <v>6.9836065573770492E-2</v>
      </c>
      <c r="M73" s="47">
        <f t="shared" si="13"/>
        <v>0.32142629090821018</v>
      </c>
      <c r="N73" s="68">
        <f>DL!W73</f>
        <v>115042</v>
      </c>
      <c r="O73" s="68">
        <f>DL!X73</f>
        <v>1382</v>
      </c>
      <c r="P73" s="68">
        <f>DL!Y73</f>
        <v>184</v>
      </c>
      <c r="Q73" s="68">
        <f>DL!Z73</f>
        <v>1459.78</v>
      </c>
      <c r="R73" s="69">
        <f>DL!AA73</f>
        <v>3912.16</v>
      </c>
      <c r="S73" s="68">
        <f>DL!AB73</f>
        <v>1.06</v>
      </c>
      <c r="T73" s="48">
        <f t="shared" si="14"/>
        <v>0.37313913541368454</v>
      </c>
      <c r="U73" s="49">
        <f t="shared" si="15"/>
        <v>1.2013003946384798E-2</v>
      </c>
      <c r="V73" s="49">
        <f t="shared" si="16"/>
        <v>0.13314037626628075</v>
      </c>
      <c r="W73" s="50">
        <f t="shared" si="17"/>
        <v>7.9335869565217392</v>
      </c>
    </row>
    <row r="74" spans="1:23" ht="29.1" customHeight="1" x14ac:dyDescent="0.15">
      <c r="A74" s="38" t="s">
        <v>254</v>
      </c>
      <c r="B74" s="58" t="s">
        <v>255</v>
      </c>
      <c r="C74" s="67">
        <f>DL!C74</f>
        <v>238</v>
      </c>
      <c r="D74" s="68">
        <f>DL!D74</f>
        <v>233</v>
      </c>
      <c r="E74" s="41">
        <f>DL!E74</f>
        <v>5185.82</v>
      </c>
      <c r="F74" s="42">
        <v>648</v>
      </c>
      <c r="G74" s="43">
        <v>2402</v>
      </c>
      <c r="H74" s="44">
        <v>3050</v>
      </c>
      <c r="I74" s="43">
        <v>817</v>
      </c>
      <c r="J74" s="43">
        <v>2951</v>
      </c>
      <c r="K74" s="45">
        <v>3768</v>
      </c>
      <c r="L74" s="46">
        <f t="shared" si="12"/>
        <v>7.6393442622950822E-2</v>
      </c>
      <c r="M74" s="47">
        <f t="shared" si="13"/>
        <v>0.26605049924602092</v>
      </c>
      <c r="N74" s="68">
        <f>DL!W74</f>
        <v>117521</v>
      </c>
      <c r="O74" s="68">
        <f>DL!X74</f>
        <v>1333</v>
      </c>
      <c r="P74" s="68">
        <f>DL!Y74</f>
        <v>164</v>
      </c>
      <c r="Q74" s="68">
        <f>DL!Z74</f>
        <v>1379.69</v>
      </c>
      <c r="R74" s="69">
        <f>DL!AA74</f>
        <v>3672.84</v>
      </c>
      <c r="S74" s="68">
        <f>DL!AB74</f>
        <v>1.04</v>
      </c>
      <c r="T74" s="48">
        <f t="shared" si="14"/>
        <v>0.37564663856851921</v>
      </c>
      <c r="U74" s="49">
        <f t="shared" si="15"/>
        <v>1.1342653653389607E-2</v>
      </c>
      <c r="V74" s="49">
        <f t="shared" si="16"/>
        <v>0.12303075768942236</v>
      </c>
      <c r="W74" s="50">
        <f t="shared" si="17"/>
        <v>8.4127439024390256</v>
      </c>
    </row>
    <row r="75" spans="1:23" ht="29.1" customHeight="1" x14ac:dyDescent="0.15">
      <c r="A75" t="s">
        <v>266</v>
      </c>
      <c r="B75" s="1"/>
      <c r="C75" s="1">
        <f>SUBTOTAL(109,表3_32546[销量])</f>
        <v>7287</v>
      </c>
      <c r="D75" s="1">
        <f>SUBTOTAL(109,表3_32546[订单量])</f>
        <v>7185</v>
      </c>
      <c r="E75" s="59">
        <f>SUBTOTAL(109,表3_32546[销售额])</f>
        <v>152449.09000000003</v>
      </c>
      <c r="F75" s="1">
        <f>SUBTOTAL(101,表3_32546[Sessions-Browser])</f>
        <v>364.46478873239403</v>
      </c>
      <c r="G75" s="60">
        <f>SUBTOTAL(101,表3_32546[Sessions-Mobile])</f>
        <v>1195.6760563380301</v>
      </c>
      <c r="H75" s="60">
        <f>SUBTOTAL(101,表3_32546[Sessions-Total])</f>
        <v>1560.14084507042</v>
      </c>
      <c r="I75" s="60">
        <f>SUBTOTAL(101,表3_32546[PV-Browser])</f>
        <v>472.80281690140799</v>
      </c>
      <c r="J75" s="61">
        <f>SUBTOTAL(101,表3_32546[PV-Mobile])</f>
        <v>1526.9295774647901</v>
      </c>
      <c r="K75" s="61">
        <f>SUBTOTAL(101,表3_32546[PV-Total])</f>
        <v>2000.5492957746501</v>
      </c>
      <c r="L75" s="62">
        <f>SUBTOTAL(101,表3_32546[CVR])</f>
        <v>6.3347726893105069E-2</v>
      </c>
      <c r="M75" s="62">
        <f t="shared" si="13"/>
        <v>0.38123035040747033</v>
      </c>
      <c r="N75" s="1">
        <f>SUBTOTAL(109,表3_32546[展示])</f>
        <v>5862078</v>
      </c>
      <c r="O75" s="1">
        <f>SUBTOTAL(109,表3_32546[点击])</f>
        <v>55542</v>
      </c>
      <c r="P75" s="1">
        <f>SUBTOTAL(109,表3_32546[广告订单量])</f>
        <v>5723</v>
      </c>
      <c r="Q75" s="1">
        <f>SUBTOTAL(109,表3_32546[广告花费])</f>
        <v>58118.219999999994</v>
      </c>
      <c r="R75" s="1">
        <f>SUBTOTAL(109,表3_32546[广告销售额])</f>
        <v>121680.45999999998</v>
      </c>
      <c r="S75" s="16">
        <f>SUBTOTAL(101,表3_32546[CPC])</f>
        <v>1.0287142857142857</v>
      </c>
      <c r="T75" s="63">
        <f t="shared" si="14"/>
        <v>0.47762985116920176</v>
      </c>
      <c r="U75" s="64">
        <f t="shared" ref="U75:W75" si="18">O75/N75</f>
        <v>9.4747971623714324E-3</v>
      </c>
      <c r="V75" s="64">
        <f t="shared" si="18"/>
        <v>0.10303914155053834</v>
      </c>
      <c r="W75" s="65">
        <f t="shared" si="18"/>
        <v>10.155201817228726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3"/>
  <sheetViews>
    <sheetView workbookViewId="0">
      <pane xSplit="2" ySplit="3" topLeftCell="C48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101</v>
      </c>
      <c r="B4" s="66" t="s">
        <v>102</v>
      </c>
      <c r="C4" s="67">
        <v>2</v>
      </c>
      <c r="D4" s="68">
        <v>2</v>
      </c>
      <c r="E4" s="41">
        <v>29.99</v>
      </c>
      <c r="F4" s="42">
        <v>24</v>
      </c>
      <c r="G4" s="43">
        <v>55</v>
      </c>
      <c r="H4" s="44">
        <v>79</v>
      </c>
      <c r="I4" s="43">
        <v>24</v>
      </c>
      <c r="J4" s="43">
        <v>70</v>
      </c>
      <c r="K4" s="45">
        <v>94</v>
      </c>
      <c r="L4" s="46">
        <f t="shared" ref="L4:L21" si="0">D4/H4</f>
        <v>2.53164556962025E-2</v>
      </c>
      <c r="M4" s="47">
        <f t="shared" ref="M4:M63" si="1">Q4/E4</f>
        <v>1.3661220406802299</v>
      </c>
      <c r="N4" s="68">
        <v>3053</v>
      </c>
      <c r="O4" s="68">
        <v>39</v>
      </c>
      <c r="P4" s="68">
        <v>1</v>
      </c>
      <c r="Q4" s="68">
        <v>40.97</v>
      </c>
      <c r="R4" s="69">
        <v>14.99</v>
      </c>
      <c r="S4" s="68">
        <v>1.05</v>
      </c>
      <c r="T4" s="48">
        <f t="shared" ref="T4:T35" si="2">Q4/R4</f>
        <v>2.7331554369579698</v>
      </c>
      <c r="U4" s="49">
        <f t="shared" ref="U4:U35" si="3">O4/N4</f>
        <v>1.2774320340648499E-2</v>
      </c>
      <c r="V4" s="49">
        <f t="shared" ref="V4:V35" si="4">P4/O4</f>
        <v>2.5641025641025599E-2</v>
      </c>
      <c r="W4" s="50">
        <f t="shared" ref="W4:W35" si="5">Q4/P4</f>
        <v>40.97</v>
      </c>
    </row>
    <row r="5" spans="1:23" ht="29.1" customHeight="1" x14ac:dyDescent="0.15">
      <c r="A5" s="38" t="s">
        <v>104</v>
      </c>
      <c r="B5" s="66" t="s">
        <v>105</v>
      </c>
      <c r="C5" s="67">
        <v>6</v>
      </c>
      <c r="D5" s="68">
        <v>6</v>
      </c>
      <c r="E5" s="41">
        <v>155.19</v>
      </c>
      <c r="F5" s="42">
        <v>62</v>
      </c>
      <c r="G5" s="43">
        <v>133</v>
      </c>
      <c r="H5" s="44">
        <v>195</v>
      </c>
      <c r="I5" s="43">
        <v>111</v>
      </c>
      <c r="J5" s="43">
        <v>185</v>
      </c>
      <c r="K5" s="45">
        <v>296</v>
      </c>
      <c r="L5" s="46">
        <f t="shared" si="0"/>
        <v>3.0769230769230799E-2</v>
      </c>
      <c r="M5" s="47">
        <f t="shared" si="1"/>
        <v>0.85044139441974398</v>
      </c>
      <c r="N5" s="68">
        <v>12361</v>
      </c>
      <c r="O5" s="68">
        <v>118</v>
      </c>
      <c r="P5" s="68">
        <v>11</v>
      </c>
      <c r="Q5" s="68">
        <v>131.97999999999999</v>
      </c>
      <c r="R5" s="69">
        <v>291.69</v>
      </c>
      <c r="S5" s="68">
        <v>1.1200000000000001</v>
      </c>
      <c r="T5" s="48">
        <f t="shared" si="2"/>
        <v>0.452466659810072</v>
      </c>
      <c r="U5" s="49">
        <f t="shared" si="3"/>
        <v>9.5461532238491995E-3</v>
      </c>
      <c r="V5" s="49">
        <f t="shared" si="4"/>
        <v>9.3220338983050793E-2</v>
      </c>
      <c r="W5" s="50">
        <f t="shared" si="5"/>
        <v>11.9981818181818</v>
      </c>
    </row>
    <row r="6" spans="1:23" ht="29.1" customHeight="1" x14ac:dyDescent="0.15">
      <c r="A6" s="38" t="s">
        <v>107</v>
      </c>
      <c r="B6" s="66" t="s">
        <v>108</v>
      </c>
      <c r="C6" s="67">
        <v>18</v>
      </c>
      <c r="D6" s="68">
        <v>18</v>
      </c>
      <c r="E6" s="41">
        <v>256.39999999999998</v>
      </c>
      <c r="F6" s="42">
        <v>91</v>
      </c>
      <c r="G6" s="43">
        <v>150</v>
      </c>
      <c r="H6" s="44">
        <v>241</v>
      </c>
      <c r="I6" s="43">
        <v>122</v>
      </c>
      <c r="J6" s="43">
        <v>223</v>
      </c>
      <c r="K6" s="45">
        <v>345</v>
      </c>
      <c r="L6" s="46">
        <f t="shared" si="0"/>
        <v>7.4688796680497896E-2</v>
      </c>
      <c r="M6" s="47">
        <f t="shared" si="1"/>
        <v>0.35830733229329198</v>
      </c>
      <c r="N6" s="68">
        <v>14591</v>
      </c>
      <c r="O6" s="68">
        <v>96</v>
      </c>
      <c r="P6" s="68">
        <v>3</v>
      </c>
      <c r="Q6" s="68">
        <v>91.87</v>
      </c>
      <c r="R6" s="69">
        <v>80.97</v>
      </c>
      <c r="S6" s="68">
        <v>0.96</v>
      </c>
      <c r="T6" s="48">
        <f t="shared" si="2"/>
        <v>1.1346177596640701</v>
      </c>
      <c r="U6" s="49">
        <f t="shared" si="3"/>
        <v>6.5793982592008797E-3</v>
      </c>
      <c r="V6" s="49">
        <f t="shared" si="4"/>
        <v>3.125E-2</v>
      </c>
      <c r="W6" s="50">
        <f t="shared" si="5"/>
        <v>30.623333333333299</v>
      </c>
    </row>
    <row r="7" spans="1:23" ht="29.1" customHeight="1" x14ac:dyDescent="0.15">
      <c r="A7" s="38" t="s">
        <v>110</v>
      </c>
      <c r="B7" s="66" t="s">
        <v>111</v>
      </c>
      <c r="C7" s="67">
        <f>DSL!C7</f>
        <v>17</v>
      </c>
      <c r="D7" s="68">
        <f>DSL!D7</f>
        <v>17</v>
      </c>
      <c r="E7" s="41">
        <f>DSL!E7</f>
        <v>431.84</v>
      </c>
      <c r="F7" s="42">
        <v>67</v>
      </c>
      <c r="G7" s="43">
        <v>167</v>
      </c>
      <c r="H7" s="44">
        <v>234</v>
      </c>
      <c r="I7" s="43">
        <v>77</v>
      </c>
      <c r="J7" s="43">
        <v>236</v>
      </c>
      <c r="K7" s="45">
        <v>313</v>
      </c>
      <c r="L7" s="46">
        <f t="shared" si="0"/>
        <v>7.2649572649572655E-2</v>
      </c>
      <c r="M7" s="47">
        <f t="shared" si="1"/>
        <v>0.23721748795850317</v>
      </c>
      <c r="N7" s="68">
        <f>DSL!W7</f>
        <v>12016</v>
      </c>
      <c r="O7" s="68">
        <f>DSL!X7</f>
        <v>122</v>
      </c>
      <c r="P7" s="68">
        <f>DSL!Y7</f>
        <v>13</v>
      </c>
      <c r="Q7" s="68">
        <f>DSL!Z7</f>
        <v>102.44</v>
      </c>
      <c r="R7" s="69">
        <f>DSL!AA7</f>
        <v>320.67</v>
      </c>
      <c r="S7" s="68">
        <f>DSL!AB7</f>
        <v>0.84</v>
      </c>
      <c r="T7" s="48">
        <f t="shared" si="2"/>
        <v>0.31945613870957679</v>
      </c>
      <c r="U7" s="49">
        <f t="shared" si="3"/>
        <v>1.0153129161118509E-2</v>
      </c>
      <c r="V7" s="49">
        <f t="shared" si="4"/>
        <v>0.10655737704918032</v>
      </c>
      <c r="W7" s="50">
        <f t="shared" si="5"/>
        <v>7.88</v>
      </c>
    </row>
    <row r="8" spans="1:23" ht="29.1" customHeight="1" x14ac:dyDescent="0.15">
      <c r="A8" s="38" t="s">
        <v>113</v>
      </c>
      <c r="B8" s="66" t="s">
        <v>114</v>
      </c>
      <c r="C8" s="67">
        <f>DSL!C8</f>
        <v>14</v>
      </c>
      <c r="D8" s="68">
        <f>DSL!D8</f>
        <v>14</v>
      </c>
      <c r="E8" s="41">
        <f>DSL!E8</f>
        <v>401.86</v>
      </c>
      <c r="F8" s="42">
        <v>50</v>
      </c>
      <c r="G8" s="43">
        <v>229</v>
      </c>
      <c r="H8" s="44">
        <v>279</v>
      </c>
      <c r="I8" s="43">
        <v>78</v>
      </c>
      <c r="J8" s="43">
        <v>303</v>
      </c>
      <c r="K8" s="45">
        <v>381</v>
      </c>
      <c r="L8" s="46">
        <f t="shared" si="0"/>
        <v>5.0179211469534052E-2</v>
      </c>
      <c r="M8" s="47">
        <f t="shared" si="1"/>
        <v>0.35738814512516798</v>
      </c>
      <c r="N8" s="68">
        <f>DSL!W8</f>
        <v>19399</v>
      </c>
      <c r="O8" s="68">
        <f>DSL!X8</f>
        <v>174</v>
      </c>
      <c r="P8" s="68">
        <f>DSL!Y8</f>
        <v>13</v>
      </c>
      <c r="Q8" s="68">
        <f>DSL!Z8</f>
        <v>143.62</v>
      </c>
      <c r="R8" s="69">
        <f>DSL!AA8</f>
        <v>353.27</v>
      </c>
      <c r="S8" s="68">
        <f>DSL!AB8</f>
        <v>0.83</v>
      </c>
      <c r="T8" s="48">
        <f t="shared" si="2"/>
        <v>0.40654456930959326</v>
      </c>
      <c r="U8" s="49">
        <f t="shared" si="3"/>
        <v>8.9695345120882515E-3</v>
      </c>
      <c r="V8" s="49">
        <f t="shared" si="4"/>
        <v>7.4712643678160925E-2</v>
      </c>
      <c r="W8" s="50">
        <f t="shared" si="5"/>
        <v>11.047692307692309</v>
      </c>
    </row>
    <row r="9" spans="1:23" ht="29.1" customHeight="1" x14ac:dyDescent="0.15">
      <c r="A9" s="38" t="s">
        <v>115</v>
      </c>
      <c r="B9" s="66" t="s">
        <v>116</v>
      </c>
      <c r="C9" s="67">
        <f>DSL!C9</f>
        <v>11</v>
      </c>
      <c r="D9" s="68">
        <f>DSL!D9</f>
        <v>11</v>
      </c>
      <c r="E9" s="41">
        <f>DSL!E9</f>
        <v>329.89</v>
      </c>
      <c r="F9" s="42">
        <v>35</v>
      </c>
      <c r="G9" s="43">
        <v>110</v>
      </c>
      <c r="H9" s="44">
        <v>145</v>
      </c>
      <c r="I9" s="43">
        <v>47</v>
      </c>
      <c r="J9" s="43">
        <v>197</v>
      </c>
      <c r="K9" s="45">
        <v>244</v>
      </c>
      <c r="L9" s="46">
        <f t="shared" si="0"/>
        <v>7.586206896551724E-2</v>
      </c>
      <c r="M9" s="47">
        <f t="shared" si="1"/>
        <v>0.15277819879353724</v>
      </c>
      <c r="N9" s="68">
        <f>DSL!W9</f>
        <v>8341</v>
      </c>
      <c r="O9" s="68">
        <f>DSL!X9</f>
        <v>61</v>
      </c>
      <c r="P9" s="68">
        <f>DSL!Y9</f>
        <v>6</v>
      </c>
      <c r="Q9" s="68">
        <f>DSL!Z9</f>
        <v>50.4</v>
      </c>
      <c r="R9" s="69">
        <f>DSL!AA9</f>
        <v>174.84</v>
      </c>
      <c r="S9" s="68">
        <f>DSL!AB9</f>
        <v>0.83</v>
      </c>
      <c r="T9" s="48">
        <f t="shared" si="2"/>
        <v>0.28826355525051472</v>
      </c>
      <c r="U9" s="49">
        <f t="shared" si="3"/>
        <v>7.3132717899532431E-3</v>
      </c>
      <c r="V9" s="49">
        <f t="shared" si="4"/>
        <v>9.8360655737704916E-2</v>
      </c>
      <c r="W9" s="50">
        <f t="shared" si="5"/>
        <v>8.4</v>
      </c>
    </row>
    <row r="10" spans="1:23" ht="29.1" customHeight="1" x14ac:dyDescent="0.15">
      <c r="A10" s="38" t="s">
        <v>118</v>
      </c>
      <c r="B10" s="66" t="s">
        <v>119</v>
      </c>
      <c r="C10" s="67">
        <f>DSL!C10</f>
        <v>6</v>
      </c>
      <c r="D10" s="68">
        <f>DSL!D10</f>
        <v>6</v>
      </c>
      <c r="E10" s="41">
        <f>DSL!E10</f>
        <v>179.94</v>
      </c>
      <c r="F10" s="42">
        <v>19</v>
      </c>
      <c r="G10" s="43">
        <v>37</v>
      </c>
      <c r="H10" s="44">
        <v>56</v>
      </c>
      <c r="I10" s="43">
        <v>30</v>
      </c>
      <c r="J10" s="43">
        <v>80</v>
      </c>
      <c r="K10" s="45">
        <v>110</v>
      </c>
      <c r="L10" s="46">
        <f t="shared" si="0"/>
        <v>0.10714285714285714</v>
      </c>
      <c r="M10" s="47">
        <f t="shared" si="1"/>
        <v>0</v>
      </c>
      <c r="N10" s="68">
        <f>DSL!W10</f>
        <v>0</v>
      </c>
      <c r="O10" s="68">
        <f>DSL!X10</f>
        <v>0</v>
      </c>
      <c r="P10" s="68">
        <f>DSL!Y10</f>
        <v>0</v>
      </c>
      <c r="Q10" s="68">
        <f>DSL!Z10</f>
        <v>0</v>
      </c>
      <c r="R10" s="69">
        <f>DSL!AA10</f>
        <v>0</v>
      </c>
      <c r="S10" s="68">
        <f>DSL!AB10</f>
        <v>0</v>
      </c>
      <c r="T10" s="48" t="e">
        <f t="shared" si="2"/>
        <v>#DIV/0!</v>
      </c>
      <c r="U10" s="49" t="e">
        <f t="shared" si="3"/>
        <v>#DIV/0!</v>
      </c>
      <c r="V10" s="49" t="e">
        <f t="shared" si="4"/>
        <v>#DIV/0!</v>
      </c>
      <c r="W10" s="50" t="e">
        <f t="shared" si="5"/>
        <v>#DIV/0!</v>
      </c>
    </row>
    <row r="11" spans="1:23" ht="29.1" customHeight="1" x14ac:dyDescent="0.15">
      <c r="A11" s="38" t="s">
        <v>121</v>
      </c>
      <c r="B11" s="66" t="s">
        <v>122</v>
      </c>
      <c r="C11" s="67">
        <f>DSL!C11</f>
        <v>3</v>
      </c>
      <c r="D11" s="68">
        <f>DSL!D11</f>
        <v>3</v>
      </c>
      <c r="E11" s="41">
        <f>DSL!E11</f>
        <v>89.97</v>
      </c>
      <c r="F11" s="42">
        <v>9</v>
      </c>
      <c r="G11" s="43">
        <v>9</v>
      </c>
      <c r="H11" s="44">
        <v>18</v>
      </c>
      <c r="I11" s="43">
        <v>24</v>
      </c>
      <c r="J11" s="43">
        <v>21</v>
      </c>
      <c r="K11" s="45">
        <v>45</v>
      </c>
      <c r="L11" s="46">
        <f t="shared" si="0"/>
        <v>0.16666666666666666</v>
      </c>
      <c r="M11" s="47">
        <f t="shared" si="1"/>
        <v>0</v>
      </c>
      <c r="N11" s="68">
        <f>DSL!W11</f>
        <v>0</v>
      </c>
      <c r="O11" s="68">
        <f>DSL!X11</f>
        <v>0</v>
      </c>
      <c r="P11" s="68">
        <f>DSL!Y11</f>
        <v>0</v>
      </c>
      <c r="Q11" s="68">
        <f>DSL!Z11</f>
        <v>0</v>
      </c>
      <c r="R11" s="69">
        <f>DSL!AA11</f>
        <v>0</v>
      </c>
      <c r="S11" s="68">
        <f>DSL!AB11</f>
        <v>0</v>
      </c>
      <c r="T11" s="48" t="e">
        <f t="shared" si="2"/>
        <v>#DIV/0!</v>
      </c>
      <c r="U11" s="49" t="e">
        <f t="shared" si="3"/>
        <v>#DIV/0!</v>
      </c>
      <c r="V11" s="49" t="e">
        <f t="shared" si="4"/>
        <v>#DIV/0!</v>
      </c>
      <c r="W11" s="50" t="e">
        <f t="shared" si="5"/>
        <v>#DIV/0!</v>
      </c>
    </row>
    <row r="12" spans="1:23" ht="29.1" customHeight="1" x14ac:dyDescent="0.15">
      <c r="A12" s="38" t="s">
        <v>124</v>
      </c>
      <c r="B12" s="66" t="s">
        <v>125</v>
      </c>
      <c r="C12" s="67">
        <f>DSL!C12</f>
        <v>7</v>
      </c>
      <c r="D12" s="68">
        <f>DSL!D12</f>
        <v>7</v>
      </c>
      <c r="E12" s="41">
        <f>DSL!E12</f>
        <v>181.73</v>
      </c>
      <c r="F12" s="42">
        <v>37</v>
      </c>
      <c r="G12" s="43">
        <v>106</v>
      </c>
      <c r="H12" s="44">
        <v>143</v>
      </c>
      <c r="I12" s="43">
        <v>51</v>
      </c>
      <c r="J12" s="43">
        <v>142</v>
      </c>
      <c r="K12" s="45">
        <v>193</v>
      </c>
      <c r="L12" s="46">
        <f t="shared" si="0"/>
        <v>4.8951048951048952E-2</v>
      </c>
      <c r="M12" s="47">
        <f t="shared" si="1"/>
        <v>0.33186595498816929</v>
      </c>
      <c r="N12" s="68">
        <f>DSL!W12</f>
        <v>6868</v>
      </c>
      <c r="O12" s="68">
        <f>DSL!X12</f>
        <v>59</v>
      </c>
      <c r="P12" s="68">
        <f>DSL!Y12</f>
        <v>4</v>
      </c>
      <c r="Q12" s="68">
        <f>DSL!Z12</f>
        <v>60.31</v>
      </c>
      <c r="R12" s="69">
        <f>DSL!AA12</f>
        <v>97.63</v>
      </c>
      <c r="S12" s="68">
        <f>DSL!AB12</f>
        <v>1.02</v>
      </c>
      <c r="T12" s="48">
        <f t="shared" si="2"/>
        <v>0.61774044863259248</v>
      </c>
      <c r="U12" s="49">
        <f t="shared" si="3"/>
        <v>8.5905649388468251E-3</v>
      </c>
      <c r="V12" s="49">
        <f t="shared" si="4"/>
        <v>6.7796610169491525E-2</v>
      </c>
      <c r="W12" s="50">
        <f t="shared" si="5"/>
        <v>15.077500000000001</v>
      </c>
    </row>
    <row r="13" spans="1:23" ht="29.1" customHeight="1" x14ac:dyDescent="0.15">
      <c r="A13" s="38" t="s">
        <v>128</v>
      </c>
      <c r="B13" s="66" t="s">
        <v>129</v>
      </c>
      <c r="C13" s="67">
        <f>DSL!C13</f>
        <v>11</v>
      </c>
      <c r="D13" s="68">
        <f>DSL!D13</f>
        <v>11</v>
      </c>
      <c r="E13" s="41">
        <f>DSL!E13</f>
        <v>300.58999999999997</v>
      </c>
      <c r="F13" s="42">
        <v>106</v>
      </c>
      <c r="G13" s="43">
        <v>332</v>
      </c>
      <c r="H13" s="44">
        <v>438</v>
      </c>
      <c r="I13" s="43">
        <v>129</v>
      </c>
      <c r="J13" s="43">
        <v>443</v>
      </c>
      <c r="K13" s="45">
        <v>572</v>
      </c>
      <c r="L13" s="46">
        <f t="shared" si="0"/>
        <v>2.5114155251141551E-2</v>
      </c>
      <c r="M13" s="47">
        <f t="shared" si="1"/>
        <v>0.60214910675671185</v>
      </c>
      <c r="N13" s="68">
        <f>DSL!W13</f>
        <v>26303</v>
      </c>
      <c r="O13" s="68">
        <f>DSL!X13</f>
        <v>190</v>
      </c>
      <c r="P13" s="68">
        <f>DSL!Y13</f>
        <v>8</v>
      </c>
      <c r="Q13" s="68">
        <f>DSL!Z13</f>
        <v>181</v>
      </c>
      <c r="R13" s="69">
        <f>DSL!AA13</f>
        <v>204.82</v>
      </c>
      <c r="S13" s="68">
        <f>DSL!AB13</f>
        <v>0.95</v>
      </c>
      <c r="T13" s="48">
        <f t="shared" si="2"/>
        <v>0.88370276340201159</v>
      </c>
      <c r="U13" s="49">
        <f t="shared" si="3"/>
        <v>7.2235106261643155E-3</v>
      </c>
      <c r="V13" s="49">
        <f t="shared" si="4"/>
        <v>4.2105263157894736E-2</v>
      </c>
      <c r="W13" s="50">
        <f t="shared" si="5"/>
        <v>22.625</v>
      </c>
    </row>
    <row r="14" spans="1:23" ht="29.1" customHeight="1" x14ac:dyDescent="0.15">
      <c r="A14" s="38" t="s">
        <v>130</v>
      </c>
      <c r="B14" s="66" t="s">
        <v>131</v>
      </c>
      <c r="C14" s="67">
        <f>DSL!C14</f>
        <v>21</v>
      </c>
      <c r="D14" s="68">
        <f>DSL!D14</f>
        <v>21</v>
      </c>
      <c r="E14" s="41">
        <f>DSL!E14</f>
        <v>627.49</v>
      </c>
      <c r="F14" s="42">
        <v>136</v>
      </c>
      <c r="G14" s="43">
        <v>345</v>
      </c>
      <c r="H14" s="44">
        <v>481</v>
      </c>
      <c r="I14" s="43">
        <v>202</v>
      </c>
      <c r="J14" s="43">
        <v>452</v>
      </c>
      <c r="K14" s="45">
        <v>654</v>
      </c>
      <c r="L14" s="46">
        <f t="shared" si="0"/>
        <v>4.3659043659043661E-2</v>
      </c>
      <c r="M14" s="47">
        <f t="shared" si="1"/>
        <v>0.22946979234728843</v>
      </c>
      <c r="N14" s="68">
        <f>DSL!W14</f>
        <v>21003</v>
      </c>
      <c r="O14" s="68">
        <f>DSL!X14</f>
        <v>163</v>
      </c>
      <c r="P14" s="68">
        <f>DSL!Y14</f>
        <v>18</v>
      </c>
      <c r="Q14" s="68">
        <f>DSL!Z14</f>
        <v>143.99</v>
      </c>
      <c r="R14" s="69">
        <f>DSL!AA14</f>
        <v>511.82</v>
      </c>
      <c r="S14" s="68">
        <f>DSL!AB14</f>
        <v>0.88</v>
      </c>
      <c r="T14" s="48">
        <f t="shared" si="2"/>
        <v>0.28132937360790905</v>
      </c>
      <c r="U14" s="49">
        <f t="shared" si="3"/>
        <v>7.7607960767509402E-3</v>
      </c>
      <c r="V14" s="49">
        <f t="shared" si="4"/>
        <v>0.11042944785276074</v>
      </c>
      <c r="W14" s="50">
        <f t="shared" si="5"/>
        <v>7.9994444444444452</v>
      </c>
    </row>
    <row r="15" spans="1:23" ht="29.1" customHeight="1" x14ac:dyDescent="0.15">
      <c r="A15" s="38" t="s">
        <v>133</v>
      </c>
      <c r="B15" s="66" t="s">
        <v>134</v>
      </c>
      <c r="C15" s="67">
        <f>DSL!C15</f>
        <v>26</v>
      </c>
      <c r="D15" s="68">
        <f>DSL!D15</f>
        <v>26</v>
      </c>
      <c r="E15" s="41">
        <f>DSL!E15</f>
        <v>775.14</v>
      </c>
      <c r="F15" s="42">
        <v>103</v>
      </c>
      <c r="G15" s="43">
        <v>373</v>
      </c>
      <c r="H15" s="44">
        <v>476</v>
      </c>
      <c r="I15" s="43">
        <v>133</v>
      </c>
      <c r="J15" s="43">
        <v>509</v>
      </c>
      <c r="K15" s="45">
        <v>642</v>
      </c>
      <c r="L15" s="46">
        <f t="shared" si="0"/>
        <v>5.4621848739495799E-2</v>
      </c>
      <c r="M15" s="47">
        <f t="shared" si="1"/>
        <v>0.23350620533064995</v>
      </c>
      <c r="N15" s="68">
        <f>DSL!W15</f>
        <v>22270</v>
      </c>
      <c r="O15" s="68">
        <f>DSL!X15</f>
        <v>201</v>
      </c>
      <c r="P15" s="68">
        <f>DSL!Y15</f>
        <v>13</v>
      </c>
      <c r="Q15" s="68">
        <f>DSL!Z15</f>
        <v>181</v>
      </c>
      <c r="R15" s="69">
        <f>DSL!AA15</f>
        <v>385.76</v>
      </c>
      <c r="S15" s="68">
        <f>DSL!AB15</f>
        <v>0.9</v>
      </c>
      <c r="T15" s="48">
        <f t="shared" si="2"/>
        <v>0.46920364993778518</v>
      </c>
      <c r="U15" s="49">
        <f t="shared" si="3"/>
        <v>9.0255949708127527E-3</v>
      </c>
      <c r="V15" s="49">
        <f t="shared" si="4"/>
        <v>6.4676616915422883E-2</v>
      </c>
      <c r="W15" s="50">
        <f t="shared" si="5"/>
        <v>13.923076923076923</v>
      </c>
    </row>
    <row r="16" spans="1:23" ht="29.1" customHeight="1" x14ac:dyDescent="0.15">
      <c r="A16" s="38" t="s">
        <v>136</v>
      </c>
      <c r="B16" s="66" t="s">
        <v>137</v>
      </c>
      <c r="C16" s="67">
        <f>DSL!C16</f>
        <v>23</v>
      </c>
      <c r="D16" s="68">
        <f>DSL!D16</f>
        <v>23</v>
      </c>
      <c r="E16" s="41">
        <f>DSL!E16</f>
        <v>614.11</v>
      </c>
      <c r="F16" s="42">
        <v>120</v>
      </c>
      <c r="G16" s="43">
        <v>467</v>
      </c>
      <c r="H16" s="44">
        <v>587</v>
      </c>
      <c r="I16" s="43">
        <v>150</v>
      </c>
      <c r="J16" s="43">
        <v>580</v>
      </c>
      <c r="K16" s="45">
        <v>730</v>
      </c>
      <c r="L16" s="46">
        <f t="shared" si="0"/>
        <v>3.9182282793867124E-2</v>
      </c>
      <c r="M16" s="47">
        <f t="shared" si="1"/>
        <v>0.33101561609483643</v>
      </c>
      <c r="N16" s="68">
        <f>DSL!W16</f>
        <v>30438</v>
      </c>
      <c r="O16" s="68">
        <f>DSL!X16</f>
        <v>229</v>
      </c>
      <c r="P16" s="68">
        <f>DSL!Y16</f>
        <v>15</v>
      </c>
      <c r="Q16" s="68">
        <f>DSL!Z16</f>
        <v>203.28</v>
      </c>
      <c r="R16" s="69">
        <f>DSL!AA16</f>
        <v>472.07</v>
      </c>
      <c r="S16" s="68">
        <f>DSL!AB16</f>
        <v>0.89</v>
      </c>
      <c r="T16" s="48">
        <f t="shared" si="2"/>
        <v>0.43061410384053211</v>
      </c>
      <c r="U16" s="49">
        <f t="shared" si="3"/>
        <v>7.5234903738747617E-3</v>
      </c>
      <c r="V16" s="49">
        <f t="shared" si="4"/>
        <v>6.5502183406113537E-2</v>
      </c>
      <c r="W16" s="50">
        <f t="shared" si="5"/>
        <v>13.552</v>
      </c>
    </row>
    <row r="17" spans="1:23" ht="29.1" customHeight="1" x14ac:dyDescent="0.15">
      <c r="A17" s="38" t="s">
        <v>139</v>
      </c>
      <c r="B17" s="66" t="s">
        <v>140</v>
      </c>
      <c r="C17" s="67">
        <f>DSL!C17</f>
        <v>20</v>
      </c>
      <c r="D17" s="68">
        <f>DSL!D17</f>
        <v>18</v>
      </c>
      <c r="E17" s="41">
        <f>DSL!E17</f>
        <v>592.9</v>
      </c>
      <c r="F17" s="42">
        <v>116</v>
      </c>
      <c r="G17" s="43">
        <v>312</v>
      </c>
      <c r="H17" s="44">
        <v>428</v>
      </c>
      <c r="I17" s="43">
        <v>150</v>
      </c>
      <c r="J17" s="43">
        <v>430</v>
      </c>
      <c r="K17" s="45">
        <v>580</v>
      </c>
      <c r="L17" s="46">
        <f t="shared" si="0"/>
        <v>4.2056074766355138E-2</v>
      </c>
      <c r="M17" s="47">
        <f t="shared" si="1"/>
        <v>0.25989205599595211</v>
      </c>
      <c r="N17" s="68">
        <f>DSL!W17</f>
        <v>20642</v>
      </c>
      <c r="O17" s="68">
        <f>DSL!X17</f>
        <v>158</v>
      </c>
      <c r="P17" s="68">
        <f>DSL!Y17</f>
        <v>14</v>
      </c>
      <c r="Q17" s="68">
        <f>DSL!Z17</f>
        <v>154.09</v>
      </c>
      <c r="R17" s="69">
        <f>DSL!AA17</f>
        <v>370.6</v>
      </c>
      <c r="S17" s="68">
        <f>DSL!AB17</f>
        <v>0.98</v>
      </c>
      <c r="T17" s="48">
        <f t="shared" si="2"/>
        <v>0.4157852131678359</v>
      </c>
      <c r="U17" s="49">
        <f t="shared" si="3"/>
        <v>7.6542970642379613E-3</v>
      </c>
      <c r="V17" s="49">
        <f t="shared" si="4"/>
        <v>8.8607594936708861E-2</v>
      </c>
      <c r="W17" s="50">
        <f t="shared" si="5"/>
        <v>11.006428571428572</v>
      </c>
    </row>
    <row r="18" spans="1:23" ht="29.1" customHeight="1" x14ac:dyDescent="0.15">
      <c r="A18" s="38" t="s">
        <v>142</v>
      </c>
      <c r="B18" s="66" t="s">
        <v>143</v>
      </c>
      <c r="C18" s="67">
        <f>DSL!C18</f>
        <v>25</v>
      </c>
      <c r="D18" s="68">
        <f>DSL!D18</f>
        <v>25</v>
      </c>
      <c r="E18" s="41">
        <f>DSL!E18</f>
        <v>682.87</v>
      </c>
      <c r="F18" s="42">
        <v>81</v>
      </c>
      <c r="G18" s="43">
        <v>318</v>
      </c>
      <c r="H18" s="44">
        <v>399</v>
      </c>
      <c r="I18" s="43">
        <v>97</v>
      </c>
      <c r="J18" s="43">
        <v>484</v>
      </c>
      <c r="K18" s="45">
        <v>581</v>
      </c>
      <c r="L18" s="46">
        <f t="shared" si="0"/>
        <v>6.2656641604010022E-2</v>
      </c>
      <c r="M18" s="47">
        <f t="shared" si="1"/>
        <v>0.16919765109025145</v>
      </c>
      <c r="N18" s="68">
        <f>DSL!W18</f>
        <v>20842</v>
      </c>
      <c r="O18" s="68">
        <f>DSL!X18</f>
        <v>121</v>
      </c>
      <c r="P18" s="68">
        <f>DSL!Y18</f>
        <v>11</v>
      </c>
      <c r="Q18" s="68">
        <f>DSL!Z18</f>
        <v>115.54</v>
      </c>
      <c r="R18" s="69">
        <f>DSL!AA18</f>
        <v>307.39</v>
      </c>
      <c r="S18" s="68">
        <f>DSL!AB18</f>
        <v>0.95</v>
      </c>
      <c r="T18" s="48">
        <f t="shared" si="2"/>
        <v>0.37587429649630766</v>
      </c>
      <c r="U18" s="49">
        <f t="shared" si="3"/>
        <v>5.8055848766912967E-3</v>
      </c>
      <c r="V18" s="49">
        <f t="shared" si="4"/>
        <v>9.0909090909090912E-2</v>
      </c>
      <c r="W18" s="50">
        <f t="shared" si="5"/>
        <v>10.503636363636364</v>
      </c>
    </row>
    <row r="19" spans="1:23" ht="29.1" customHeight="1" x14ac:dyDescent="0.15">
      <c r="A19" s="38" t="s">
        <v>144</v>
      </c>
      <c r="B19" s="66" t="s">
        <v>145</v>
      </c>
      <c r="C19" s="67">
        <f>DSL!C19</f>
        <v>17</v>
      </c>
      <c r="D19" s="68">
        <f>DSL!D19</f>
        <v>17</v>
      </c>
      <c r="E19" s="41">
        <f>DSL!E19</f>
        <v>503.14</v>
      </c>
      <c r="F19" s="42">
        <v>101</v>
      </c>
      <c r="G19" s="43">
        <v>290</v>
      </c>
      <c r="H19" s="44">
        <v>391</v>
      </c>
      <c r="I19" s="43">
        <v>130</v>
      </c>
      <c r="J19" s="43">
        <v>373</v>
      </c>
      <c r="K19" s="45">
        <v>503</v>
      </c>
      <c r="L19" s="46">
        <f t="shared" si="0"/>
        <v>4.3478260869565216E-2</v>
      </c>
      <c r="M19" s="47">
        <f t="shared" si="1"/>
        <v>0.29802838176253127</v>
      </c>
      <c r="N19" s="68">
        <f>DSL!W19</f>
        <v>22841</v>
      </c>
      <c r="O19" s="68">
        <f>DSL!X19</f>
        <v>158</v>
      </c>
      <c r="P19" s="68">
        <f>DSL!Y19</f>
        <v>18</v>
      </c>
      <c r="Q19" s="68">
        <f>DSL!Z19</f>
        <v>149.94999999999999</v>
      </c>
      <c r="R19" s="69">
        <f>DSL!AA19</f>
        <v>473.72</v>
      </c>
      <c r="S19" s="68">
        <f>DSL!AB19</f>
        <v>0.95</v>
      </c>
      <c r="T19" s="48">
        <f t="shared" si="2"/>
        <v>0.31653719496749128</v>
      </c>
      <c r="U19" s="49">
        <f t="shared" si="3"/>
        <v>6.9173854034411805E-3</v>
      </c>
      <c r="V19" s="49">
        <f t="shared" si="4"/>
        <v>0.11392405063291139</v>
      </c>
      <c r="W19" s="50">
        <f t="shared" si="5"/>
        <v>8.3305555555555557</v>
      </c>
    </row>
    <row r="20" spans="1:23" ht="29.1" customHeight="1" x14ac:dyDescent="0.15">
      <c r="A20" s="38" t="s">
        <v>147</v>
      </c>
      <c r="B20" s="66" t="s">
        <v>148</v>
      </c>
      <c r="C20" s="67">
        <f>DSL!C20</f>
        <v>26</v>
      </c>
      <c r="D20" s="68">
        <f>DSL!D20</f>
        <v>26</v>
      </c>
      <c r="E20" s="41">
        <f>DSL!E20</f>
        <v>709.6</v>
      </c>
      <c r="F20" s="42">
        <v>93</v>
      </c>
      <c r="G20" s="43">
        <v>349</v>
      </c>
      <c r="H20" s="44">
        <v>442</v>
      </c>
      <c r="I20" s="43">
        <v>118</v>
      </c>
      <c r="J20" s="43">
        <v>488</v>
      </c>
      <c r="K20" s="45">
        <v>606</v>
      </c>
      <c r="L20" s="46">
        <f t="shared" si="0"/>
        <v>5.8823529411764705E-2</v>
      </c>
      <c r="M20" s="47">
        <f t="shared" si="1"/>
        <v>0.24887260428410371</v>
      </c>
      <c r="N20" s="68">
        <f>DSL!W20</f>
        <v>23355</v>
      </c>
      <c r="O20" s="68">
        <f>DSL!X20</f>
        <v>183</v>
      </c>
      <c r="P20" s="68">
        <f>DSL!Y20</f>
        <v>15</v>
      </c>
      <c r="Q20" s="68">
        <f>DSL!Z20</f>
        <v>176.6</v>
      </c>
      <c r="R20" s="69">
        <f>DSL!AA20</f>
        <v>399.48</v>
      </c>
      <c r="S20" s="68">
        <f>DSL!AB20</f>
        <v>0.97</v>
      </c>
      <c r="T20" s="48">
        <f t="shared" si="2"/>
        <v>0.44207469710623809</v>
      </c>
      <c r="U20" s="49">
        <f t="shared" si="3"/>
        <v>7.83558124598587E-3</v>
      </c>
      <c r="V20" s="49">
        <f t="shared" si="4"/>
        <v>8.1967213114754092E-2</v>
      </c>
      <c r="W20" s="50">
        <f t="shared" si="5"/>
        <v>11.773333333333333</v>
      </c>
    </row>
    <row r="21" spans="1:23" ht="29.1" customHeight="1" x14ac:dyDescent="0.15">
      <c r="A21" s="38" t="s">
        <v>150</v>
      </c>
      <c r="B21" s="66" t="s">
        <v>151</v>
      </c>
      <c r="C21" s="67">
        <f>DSL!C21</f>
        <v>28</v>
      </c>
      <c r="D21" s="68">
        <f>DSL!D21</f>
        <v>28</v>
      </c>
      <c r="E21" s="41">
        <f>DSL!E21</f>
        <v>762.44</v>
      </c>
      <c r="F21" s="42">
        <v>131</v>
      </c>
      <c r="G21" s="43">
        <v>428</v>
      </c>
      <c r="H21" s="44">
        <v>559</v>
      </c>
      <c r="I21" s="43">
        <v>171</v>
      </c>
      <c r="J21" s="43">
        <v>560</v>
      </c>
      <c r="K21" s="45">
        <v>731</v>
      </c>
      <c r="L21" s="46">
        <f t="shared" si="0"/>
        <v>5.008944543828265E-2</v>
      </c>
      <c r="M21" s="47">
        <f t="shared" si="1"/>
        <v>0.28298620219295939</v>
      </c>
      <c r="N21" s="68">
        <f>DSL!W21</f>
        <v>34070</v>
      </c>
      <c r="O21" s="68">
        <f>DSL!X21</f>
        <v>217</v>
      </c>
      <c r="P21" s="68">
        <f>DSL!Y21</f>
        <v>19</v>
      </c>
      <c r="Q21" s="68">
        <f>DSL!Z21</f>
        <v>215.76</v>
      </c>
      <c r="R21" s="69">
        <f>DSL!AA21</f>
        <v>499.3</v>
      </c>
      <c r="S21" s="68">
        <f>DSL!AB21</f>
        <v>0.99</v>
      </c>
      <c r="T21" s="48">
        <f t="shared" si="2"/>
        <v>0.43212497496495089</v>
      </c>
      <c r="U21" s="49">
        <f t="shared" si="3"/>
        <v>6.3692398004109186E-3</v>
      </c>
      <c r="V21" s="49">
        <f t="shared" si="4"/>
        <v>8.755760368663594E-2</v>
      </c>
      <c r="W21" s="50">
        <f t="shared" si="5"/>
        <v>11.35578947368421</v>
      </c>
    </row>
    <row r="22" spans="1:23" ht="29.1" customHeight="1" x14ac:dyDescent="0.15">
      <c r="A22" s="38" t="s">
        <v>154</v>
      </c>
      <c r="B22" s="66" t="s">
        <v>155</v>
      </c>
      <c r="C22" s="67">
        <f>DSL!C22</f>
        <v>25</v>
      </c>
      <c r="D22" s="68">
        <f>DSL!D22</f>
        <v>25</v>
      </c>
      <c r="E22" s="41">
        <f>DSL!E22</f>
        <v>663.03</v>
      </c>
      <c r="F22" s="42">
        <v>113</v>
      </c>
      <c r="G22" s="43">
        <v>396</v>
      </c>
      <c r="H22" s="44">
        <v>509</v>
      </c>
      <c r="I22" s="43">
        <v>135</v>
      </c>
      <c r="J22" s="43">
        <v>533</v>
      </c>
      <c r="K22" s="45">
        <v>668</v>
      </c>
      <c r="L22" s="46">
        <f t="shared" ref="L22:L62" si="6">D22/H22</f>
        <v>4.9115913555992138E-2</v>
      </c>
      <c r="M22" s="47">
        <f t="shared" si="1"/>
        <v>0.22961253638598558</v>
      </c>
      <c r="N22" s="68">
        <f>DSL!W22</f>
        <v>25098</v>
      </c>
      <c r="O22" s="68">
        <f>DSL!X22</f>
        <v>151</v>
      </c>
      <c r="P22" s="68">
        <f>DSL!Y22</f>
        <v>17</v>
      </c>
      <c r="Q22" s="68">
        <f>DSL!Z22</f>
        <v>152.24</v>
      </c>
      <c r="R22" s="69">
        <f>DSL!AA22</f>
        <v>439.19</v>
      </c>
      <c r="S22" s="68">
        <f>DSL!AB22</f>
        <v>1.01</v>
      </c>
      <c r="T22" s="48">
        <f t="shared" si="2"/>
        <v>0.34663812928345367</v>
      </c>
      <c r="U22" s="49">
        <f t="shared" si="3"/>
        <v>6.0164156506494542E-3</v>
      </c>
      <c r="V22" s="49">
        <f t="shared" si="4"/>
        <v>0.11258278145695365</v>
      </c>
      <c r="W22" s="50">
        <f t="shared" si="5"/>
        <v>8.9552941176470586</v>
      </c>
    </row>
    <row r="23" spans="1:23" ht="29.1" customHeight="1" x14ac:dyDescent="0.15">
      <c r="A23" s="38" t="s">
        <v>156</v>
      </c>
      <c r="B23" s="66" t="s">
        <v>157</v>
      </c>
      <c r="C23" s="67">
        <f>DSL!C23</f>
        <v>23</v>
      </c>
      <c r="D23" s="68">
        <f>DSL!D23</f>
        <v>22</v>
      </c>
      <c r="E23" s="41">
        <f>DSL!E23</f>
        <v>582.25</v>
      </c>
      <c r="F23" s="42">
        <v>84</v>
      </c>
      <c r="G23" s="43">
        <v>321</v>
      </c>
      <c r="H23" s="44">
        <v>405</v>
      </c>
      <c r="I23" s="43">
        <v>118</v>
      </c>
      <c r="J23" s="43">
        <v>412</v>
      </c>
      <c r="K23" s="45">
        <v>530</v>
      </c>
      <c r="L23" s="46">
        <f t="shared" si="6"/>
        <v>5.4320987654320987E-2</v>
      </c>
      <c r="M23" s="47">
        <f t="shared" si="1"/>
        <v>0.2903563761270932</v>
      </c>
      <c r="N23" s="68">
        <f>DSL!W23</f>
        <v>26932</v>
      </c>
      <c r="O23" s="68">
        <f>DSL!X23</f>
        <v>171</v>
      </c>
      <c r="P23" s="68">
        <f>DSL!Y23</f>
        <v>14</v>
      </c>
      <c r="Q23" s="68">
        <f>DSL!Z23</f>
        <v>169.06</v>
      </c>
      <c r="R23" s="69">
        <f>DSL!AA23</f>
        <v>371.73</v>
      </c>
      <c r="S23" s="68">
        <f>DSL!AB23</f>
        <v>0.99</v>
      </c>
      <c r="T23" s="48">
        <f t="shared" si="2"/>
        <v>0.45479245689075404</v>
      </c>
      <c r="U23" s="49">
        <f t="shared" si="3"/>
        <v>6.3493242239714837E-3</v>
      </c>
      <c r="V23" s="49">
        <f t="shared" si="4"/>
        <v>8.1871345029239762E-2</v>
      </c>
      <c r="W23" s="50">
        <f t="shared" si="5"/>
        <v>12.075714285714286</v>
      </c>
    </row>
    <row r="24" spans="1:23" ht="29.1" customHeight="1" x14ac:dyDescent="0.15">
      <c r="A24" s="38" t="s">
        <v>158</v>
      </c>
      <c r="B24" s="66" t="s">
        <v>159</v>
      </c>
      <c r="C24" s="67">
        <f>DSL!C24</f>
        <v>19</v>
      </c>
      <c r="D24" s="68">
        <f>DSL!D24</f>
        <v>19</v>
      </c>
      <c r="E24" s="41">
        <f>DSL!E24</f>
        <v>482.35</v>
      </c>
      <c r="F24" s="42">
        <v>119</v>
      </c>
      <c r="G24" s="43">
        <v>346</v>
      </c>
      <c r="H24" s="44">
        <v>465</v>
      </c>
      <c r="I24" s="43">
        <v>145</v>
      </c>
      <c r="J24" s="43">
        <v>447</v>
      </c>
      <c r="K24" s="45">
        <v>592</v>
      </c>
      <c r="L24" s="46">
        <f t="shared" si="6"/>
        <v>4.0860215053763443E-2</v>
      </c>
      <c r="M24" s="47">
        <f t="shared" si="1"/>
        <v>0.3544936249611278</v>
      </c>
      <c r="N24" s="68">
        <f>DSL!W24</f>
        <v>28948</v>
      </c>
      <c r="O24" s="68">
        <f>DSL!X24</f>
        <v>173</v>
      </c>
      <c r="P24" s="68">
        <f>DSL!Y24</f>
        <v>21</v>
      </c>
      <c r="Q24" s="68">
        <f>DSL!Z24</f>
        <v>170.99</v>
      </c>
      <c r="R24" s="69">
        <f>DSL!AA24</f>
        <v>528.29</v>
      </c>
      <c r="S24" s="68">
        <f>DSL!AB24</f>
        <v>0.99</v>
      </c>
      <c r="T24" s="48">
        <f t="shared" si="2"/>
        <v>0.32366692536296354</v>
      </c>
      <c r="U24" s="49">
        <f t="shared" si="3"/>
        <v>5.9762332458200909E-3</v>
      </c>
      <c r="V24" s="49">
        <f t="shared" si="4"/>
        <v>0.12138728323699421</v>
      </c>
      <c r="W24" s="50">
        <f t="shared" si="5"/>
        <v>8.1423809523809521</v>
      </c>
    </row>
    <row r="25" spans="1:23" ht="29.1" customHeight="1" x14ac:dyDescent="0.15">
      <c r="A25" s="38" t="s">
        <v>160</v>
      </c>
      <c r="B25" s="66" t="s">
        <v>161</v>
      </c>
      <c r="C25" s="67">
        <f>DSL!C25</f>
        <v>27</v>
      </c>
      <c r="D25" s="68">
        <f>DSL!D25</f>
        <v>27</v>
      </c>
      <c r="E25" s="41">
        <f>DSL!E25</f>
        <v>682.35</v>
      </c>
      <c r="F25" s="42">
        <v>118</v>
      </c>
      <c r="G25" s="43">
        <v>394</v>
      </c>
      <c r="H25" s="44">
        <v>512</v>
      </c>
      <c r="I25" s="43">
        <v>161</v>
      </c>
      <c r="J25" s="43">
        <v>496</v>
      </c>
      <c r="K25" s="45">
        <v>657</v>
      </c>
      <c r="L25" s="46">
        <f t="shared" si="6"/>
        <v>5.2734375E-2</v>
      </c>
      <c r="M25" s="47">
        <f t="shared" si="1"/>
        <v>0.28806331061771817</v>
      </c>
      <c r="N25" s="68">
        <f>DSL!W25</f>
        <v>30187</v>
      </c>
      <c r="O25" s="68">
        <f>DSL!X25</f>
        <v>194</v>
      </c>
      <c r="P25" s="68">
        <f>DSL!Y25</f>
        <v>18</v>
      </c>
      <c r="Q25" s="68">
        <f>DSL!Z25</f>
        <v>196.56</v>
      </c>
      <c r="R25" s="69">
        <f>DSL!AA25</f>
        <v>451.68</v>
      </c>
      <c r="S25" s="68">
        <f>DSL!AB25</f>
        <v>1.01</v>
      </c>
      <c r="T25" s="48">
        <f t="shared" si="2"/>
        <v>0.43517534537725822</v>
      </c>
      <c r="U25" s="49">
        <f t="shared" si="3"/>
        <v>6.4266074800410772E-3</v>
      </c>
      <c r="V25" s="49">
        <f t="shared" si="4"/>
        <v>9.2783505154639179E-2</v>
      </c>
      <c r="W25" s="50">
        <f t="shared" si="5"/>
        <v>10.92</v>
      </c>
    </row>
    <row r="26" spans="1:23" ht="29.1" customHeight="1" x14ac:dyDescent="0.15">
      <c r="A26" s="38" t="s">
        <v>162</v>
      </c>
      <c r="B26" s="66" t="s">
        <v>163</v>
      </c>
      <c r="C26" s="67">
        <f>DSL!C26</f>
        <v>20</v>
      </c>
      <c r="D26" s="68">
        <f>DSL!D26</f>
        <v>20</v>
      </c>
      <c r="E26" s="41">
        <f>DSL!E26</f>
        <v>530.48</v>
      </c>
      <c r="F26" s="42">
        <v>111</v>
      </c>
      <c r="G26" s="43">
        <v>319</v>
      </c>
      <c r="H26" s="44">
        <v>430</v>
      </c>
      <c r="I26" s="43">
        <v>149</v>
      </c>
      <c r="J26" s="43">
        <v>433</v>
      </c>
      <c r="K26" s="45">
        <v>582</v>
      </c>
      <c r="L26" s="46">
        <f t="shared" si="6"/>
        <v>4.6511627906976744E-2</v>
      </c>
      <c r="M26" s="47">
        <f t="shared" si="1"/>
        <v>0.28911551802141455</v>
      </c>
      <c r="N26" s="68">
        <f>DSL!W26</f>
        <v>21073</v>
      </c>
      <c r="O26" s="68">
        <f>DSL!X26</f>
        <v>151</v>
      </c>
      <c r="P26" s="68">
        <f>DSL!Y26</f>
        <v>11</v>
      </c>
      <c r="Q26" s="68">
        <f>DSL!Z26</f>
        <v>153.37</v>
      </c>
      <c r="R26" s="69">
        <f>DSL!AA26</f>
        <v>269.89</v>
      </c>
      <c r="S26" s="68">
        <f>DSL!AB26</f>
        <v>1.02</v>
      </c>
      <c r="T26" s="48">
        <f t="shared" si="2"/>
        <v>0.56826855385527442</v>
      </c>
      <c r="U26" s="49">
        <f t="shared" si="3"/>
        <v>7.1655673136240688E-3</v>
      </c>
      <c r="V26" s="49">
        <f t="shared" si="4"/>
        <v>7.2847682119205295E-2</v>
      </c>
      <c r="W26" s="50">
        <f t="shared" si="5"/>
        <v>13.942727272727273</v>
      </c>
    </row>
    <row r="27" spans="1:23" ht="29.1" customHeight="1" x14ac:dyDescent="0.15">
      <c r="A27" s="38" t="s">
        <v>165</v>
      </c>
      <c r="B27" s="38" t="s">
        <v>166</v>
      </c>
      <c r="C27" s="67">
        <f>DSL!C27</f>
        <v>33</v>
      </c>
      <c r="D27" s="68">
        <f>DSL!D27</f>
        <v>33</v>
      </c>
      <c r="E27" s="41">
        <f>DSL!E27</f>
        <v>787.99</v>
      </c>
      <c r="F27" s="42">
        <v>147</v>
      </c>
      <c r="G27" s="43">
        <v>410</v>
      </c>
      <c r="H27" s="44">
        <v>557</v>
      </c>
      <c r="I27" s="43">
        <v>196</v>
      </c>
      <c r="J27" s="43">
        <v>562</v>
      </c>
      <c r="K27" s="45">
        <v>758</v>
      </c>
      <c r="L27" s="46">
        <f t="shared" si="6"/>
        <v>5.9245960502692999E-2</v>
      </c>
      <c r="M27" s="47">
        <f t="shared" si="1"/>
        <v>0.27309991243543696</v>
      </c>
      <c r="N27" s="68">
        <f>DSL!W27</f>
        <v>39032</v>
      </c>
      <c r="O27" s="68">
        <f>DSL!X27</f>
        <v>224</v>
      </c>
      <c r="P27" s="68">
        <f>DSL!Y27</f>
        <v>15</v>
      </c>
      <c r="Q27" s="68">
        <f>DSL!Z27</f>
        <v>215.2</v>
      </c>
      <c r="R27" s="69">
        <f>DSL!AA27</f>
        <v>343.35</v>
      </c>
      <c r="S27" s="68">
        <f>DSL!AB27</f>
        <v>0.96</v>
      </c>
      <c r="T27" s="48">
        <f t="shared" si="2"/>
        <v>0.62676569098587442</v>
      </c>
      <c r="U27" s="49">
        <f t="shared" si="3"/>
        <v>5.7388809182209472E-3</v>
      </c>
      <c r="V27" s="49">
        <f t="shared" si="4"/>
        <v>6.6964285714285712E-2</v>
      </c>
      <c r="W27" s="50">
        <f t="shared" si="5"/>
        <v>14.346666666666666</v>
      </c>
    </row>
    <row r="28" spans="1:23" ht="29.1" customHeight="1" x14ac:dyDescent="0.15">
      <c r="A28" s="38" t="s">
        <v>167</v>
      </c>
      <c r="B28" s="38" t="s">
        <v>168</v>
      </c>
      <c r="C28" s="67">
        <f>DSL!C28</f>
        <v>44</v>
      </c>
      <c r="D28" s="68">
        <f>DSL!D28</f>
        <v>44</v>
      </c>
      <c r="E28" s="41">
        <f>DSL!E28</f>
        <v>1113.28</v>
      </c>
      <c r="F28" s="42">
        <v>201</v>
      </c>
      <c r="G28" s="43">
        <v>579</v>
      </c>
      <c r="H28" s="44">
        <v>780</v>
      </c>
      <c r="I28" s="43">
        <v>264</v>
      </c>
      <c r="J28" s="43">
        <v>782</v>
      </c>
      <c r="K28" s="45">
        <v>1046</v>
      </c>
      <c r="L28" s="46">
        <f t="shared" si="6"/>
        <v>5.6410256410256411E-2</v>
      </c>
      <c r="M28" s="47">
        <f t="shared" si="1"/>
        <v>0.26513545559068702</v>
      </c>
      <c r="N28" s="68">
        <f>DSL!W28</f>
        <v>51434</v>
      </c>
      <c r="O28" s="68">
        <f>DSL!X28</f>
        <v>311</v>
      </c>
      <c r="P28" s="68">
        <f>DSL!Y28</f>
        <v>22</v>
      </c>
      <c r="Q28" s="68">
        <f>DSL!Z28</f>
        <v>295.17</v>
      </c>
      <c r="R28" s="69">
        <f>DSL!AA28</f>
        <v>532.26</v>
      </c>
      <c r="S28" s="68">
        <f>DSL!AB28</f>
        <v>0.95</v>
      </c>
      <c r="T28" s="48">
        <f t="shared" si="2"/>
        <v>0.55455980160072149</v>
      </c>
      <c r="U28" s="49">
        <f t="shared" si="3"/>
        <v>6.0465839716918766E-3</v>
      </c>
      <c r="V28" s="49">
        <f t="shared" si="4"/>
        <v>7.0739549839228297E-2</v>
      </c>
      <c r="W28" s="50">
        <f t="shared" si="5"/>
        <v>13.416818181818183</v>
      </c>
    </row>
    <row r="29" spans="1:23" ht="29.1" customHeight="1" x14ac:dyDescent="0.15">
      <c r="A29" s="38" t="s">
        <v>169</v>
      </c>
      <c r="B29" s="38" t="s">
        <v>170</v>
      </c>
      <c r="C29" s="67">
        <f>DSL!C29</f>
        <v>19</v>
      </c>
      <c r="D29" s="68">
        <f>DSL!D29</f>
        <v>19</v>
      </c>
      <c r="E29" s="41">
        <f>DSL!E29</f>
        <v>518.61</v>
      </c>
      <c r="F29" s="42">
        <v>125</v>
      </c>
      <c r="G29" s="43">
        <v>447</v>
      </c>
      <c r="H29" s="44">
        <v>572</v>
      </c>
      <c r="I29" s="43">
        <v>154</v>
      </c>
      <c r="J29" s="43">
        <v>602</v>
      </c>
      <c r="K29" s="45">
        <v>756</v>
      </c>
      <c r="L29" s="46">
        <f t="shared" si="6"/>
        <v>3.3216783216783216E-2</v>
      </c>
      <c r="M29" s="47">
        <f t="shared" si="1"/>
        <v>0.41291143633944577</v>
      </c>
      <c r="N29" s="68">
        <f>DSL!W29</f>
        <v>36029</v>
      </c>
      <c r="O29" s="68">
        <f>DSL!X29</f>
        <v>233</v>
      </c>
      <c r="P29" s="68">
        <f>DSL!Y29</f>
        <v>20</v>
      </c>
      <c r="Q29" s="68">
        <f>DSL!Z29</f>
        <v>214.14</v>
      </c>
      <c r="R29" s="69">
        <f>DSL!AA29</f>
        <v>528.66999999999996</v>
      </c>
      <c r="S29" s="68">
        <f>DSL!AB29</f>
        <v>0.92</v>
      </c>
      <c r="T29" s="48">
        <f t="shared" si="2"/>
        <v>0.40505419259651582</v>
      </c>
      <c r="U29" s="49">
        <f t="shared" si="3"/>
        <v>6.4670126842265949E-3</v>
      </c>
      <c r="V29" s="49">
        <f t="shared" si="4"/>
        <v>8.5836909871244635E-2</v>
      </c>
      <c r="W29" s="50">
        <f t="shared" si="5"/>
        <v>10.706999999999999</v>
      </c>
    </row>
    <row r="30" spans="1:23" ht="29.1" customHeight="1" x14ac:dyDescent="0.15">
      <c r="A30" s="38" t="s">
        <v>172</v>
      </c>
      <c r="B30" s="38" t="s">
        <v>173</v>
      </c>
      <c r="C30" s="67">
        <f>DSL!C30</f>
        <v>35</v>
      </c>
      <c r="D30" s="68">
        <f>DSL!D30</f>
        <v>35</v>
      </c>
      <c r="E30" s="41">
        <f>DSL!E30</f>
        <v>830</v>
      </c>
      <c r="F30" s="42">
        <v>165</v>
      </c>
      <c r="G30" s="43">
        <v>557</v>
      </c>
      <c r="H30" s="44">
        <v>722</v>
      </c>
      <c r="I30" s="43">
        <v>212</v>
      </c>
      <c r="J30" s="43">
        <v>740</v>
      </c>
      <c r="K30" s="45">
        <v>952</v>
      </c>
      <c r="L30" s="46">
        <f t="shared" si="6"/>
        <v>4.8476454293628811E-2</v>
      </c>
      <c r="M30" s="47">
        <f t="shared" si="1"/>
        <v>0.34975903614457832</v>
      </c>
      <c r="N30" s="68">
        <f>DSL!W30</f>
        <v>47466</v>
      </c>
      <c r="O30" s="68">
        <f>DSL!X30</f>
        <v>313</v>
      </c>
      <c r="P30" s="68">
        <f>DSL!Y30</f>
        <v>31</v>
      </c>
      <c r="Q30" s="68">
        <f>DSL!Z30</f>
        <v>290.3</v>
      </c>
      <c r="R30" s="69">
        <f>DSL!AA30</f>
        <v>765.9</v>
      </c>
      <c r="S30" s="68">
        <f>DSL!AB30</f>
        <v>0.93</v>
      </c>
      <c r="T30" s="48">
        <f t="shared" si="2"/>
        <v>0.37903120511816168</v>
      </c>
      <c r="U30" s="49">
        <f t="shared" si="3"/>
        <v>6.5941937386761046E-3</v>
      </c>
      <c r="V30" s="49">
        <f t="shared" si="4"/>
        <v>9.9041533546325874E-2</v>
      </c>
      <c r="W30" s="50">
        <f t="shared" si="5"/>
        <v>9.3645161290322587</v>
      </c>
    </row>
    <row r="31" spans="1:23" ht="29.1" customHeight="1" x14ac:dyDescent="0.15">
      <c r="A31" s="38" t="s">
        <v>175</v>
      </c>
      <c r="B31" s="38" t="s">
        <v>176</v>
      </c>
      <c r="C31" s="67">
        <f>DSL!C31</f>
        <v>40</v>
      </c>
      <c r="D31" s="68">
        <f>DSL!D31</f>
        <v>39</v>
      </c>
      <c r="E31" s="41">
        <f>DSL!E31</f>
        <v>1185.8</v>
      </c>
      <c r="F31" s="42">
        <v>131</v>
      </c>
      <c r="G31" s="43">
        <v>504</v>
      </c>
      <c r="H31" s="44">
        <v>635</v>
      </c>
      <c r="I31" s="43">
        <v>161</v>
      </c>
      <c r="J31" s="43">
        <v>654</v>
      </c>
      <c r="K31" s="45">
        <v>815</v>
      </c>
      <c r="L31" s="46">
        <f t="shared" si="6"/>
        <v>6.1417322834645668E-2</v>
      </c>
      <c r="M31" s="47">
        <f t="shared" si="1"/>
        <v>0.26208466857817508</v>
      </c>
      <c r="N31" s="68">
        <f>DSL!W31</f>
        <v>48084</v>
      </c>
      <c r="O31" s="68">
        <f>DSL!X31</f>
        <v>336</v>
      </c>
      <c r="P31" s="68">
        <f>DSL!Y31</f>
        <v>37</v>
      </c>
      <c r="Q31" s="68">
        <f>DSL!Z31</f>
        <v>310.77999999999997</v>
      </c>
      <c r="R31" s="69">
        <f>DSL!AA31</f>
        <v>1188.27</v>
      </c>
      <c r="S31" s="68">
        <f>DSL!AB31</f>
        <v>0.92</v>
      </c>
      <c r="T31" s="48">
        <f t="shared" si="2"/>
        <v>0.26153988571620929</v>
      </c>
      <c r="U31" s="49">
        <f t="shared" si="3"/>
        <v>6.9877714000499127E-3</v>
      </c>
      <c r="V31" s="49">
        <f t="shared" si="4"/>
        <v>0.11011904761904762</v>
      </c>
      <c r="W31" s="50">
        <f t="shared" si="5"/>
        <v>8.3994594594594592</v>
      </c>
    </row>
    <row r="32" spans="1:23" ht="29.1" customHeight="1" x14ac:dyDescent="0.15">
      <c r="A32" s="38" t="s">
        <v>177</v>
      </c>
      <c r="B32" s="38" t="s">
        <v>178</v>
      </c>
      <c r="C32" s="67">
        <f>DSL!C32</f>
        <v>41</v>
      </c>
      <c r="D32" s="68">
        <f>DSL!D32</f>
        <v>40</v>
      </c>
      <c r="E32" s="41">
        <f>DSL!E32</f>
        <v>992.41</v>
      </c>
      <c r="F32" s="42">
        <v>120</v>
      </c>
      <c r="G32" s="43">
        <v>514</v>
      </c>
      <c r="H32" s="44">
        <v>634</v>
      </c>
      <c r="I32" s="43">
        <v>153</v>
      </c>
      <c r="J32" s="43">
        <v>653</v>
      </c>
      <c r="K32" s="45">
        <v>806</v>
      </c>
      <c r="L32" s="46">
        <f t="shared" si="6"/>
        <v>6.3091482649842268E-2</v>
      </c>
      <c r="M32" s="47">
        <f t="shared" si="1"/>
        <v>0.30983162201106401</v>
      </c>
      <c r="N32" s="68">
        <f>DSL!W32</f>
        <v>43710</v>
      </c>
      <c r="O32" s="68">
        <f>DSL!X32</f>
        <v>324</v>
      </c>
      <c r="P32" s="68">
        <f>DSL!Y32</f>
        <v>21</v>
      </c>
      <c r="Q32" s="68">
        <f>DSL!Z32</f>
        <v>307.48</v>
      </c>
      <c r="R32" s="69">
        <f>DSL!AA32</f>
        <v>526</v>
      </c>
      <c r="S32" s="68">
        <f>DSL!AB32</f>
        <v>0.95</v>
      </c>
      <c r="T32" s="48">
        <f t="shared" si="2"/>
        <v>0.58456273764258559</v>
      </c>
      <c r="U32" s="49">
        <f t="shared" si="3"/>
        <v>7.4124914207275225E-3</v>
      </c>
      <c r="V32" s="49">
        <f t="shared" si="4"/>
        <v>6.4814814814814811E-2</v>
      </c>
      <c r="W32" s="50">
        <f t="shared" si="5"/>
        <v>14.641904761904764</v>
      </c>
    </row>
    <row r="33" spans="1:23" ht="29.1" customHeight="1" x14ac:dyDescent="0.15">
      <c r="A33" s="38" t="s">
        <v>179</v>
      </c>
      <c r="B33" s="38" t="s">
        <v>180</v>
      </c>
      <c r="C33" s="67">
        <f>DSL!C33</f>
        <v>33</v>
      </c>
      <c r="D33" s="68">
        <f>DSL!D33</f>
        <v>33</v>
      </c>
      <c r="E33" s="41">
        <f>DSL!E33</f>
        <v>784.31</v>
      </c>
      <c r="F33" s="42">
        <v>130</v>
      </c>
      <c r="G33" s="43">
        <v>526</v>
      </c>
      <c r="H33" s="44">
        <v>656</v>
      </c>
      <c r="I33" s="43">
        <v>176</v>
      </c>
      <c r="J33" s="43">
        <v>641</v>
      </c>
      <c r="K33" s="45">
        <v>817</v>
      </c>
      <c r="L33" s="46">
        <f t="shared" si="6"/>
        <v>5.0304878048780491E-2</v>
      </c>
      <c r="M33" s="47">
        <f t="shared" si="1"/>
        <v>0.38152006222029561</v>
      </c>
      <c r="N33" s="68">
        <f>DSL!W33</f>
        <v>54254</v>
      </c>
      <c r="O33" s="68">
        <f>DSL!X33</f>
        <v>320</v>
      </c>
      <c r="P33" s="68">
        <f>DSL!Y33</f>
        <v>22</v>
      </c>
      <c r="Q33" s="68">
        <f>DSL!Z33</f>
        <v>299.23</v>
      </c>
      <c r="R33" s="69">
        <f>DSL!AA33</f>
        <v>514.88</v>
      </c>
      <c r="S33" s="68">
        <f>DSL!AB33</f>
        <v>0.94</v>
      </c>
      <c r="T33" s="48">
        <f t="shared" si="2"/>
        <v>0.58116454319453081</v>
      </c>
      <c r="U33" s="49">
        <f t="shared" si="3"/>
        <v>5.8981826224794483E-3</v>
      </c>
      <c r="V33" s="49">
        <f t="shared" si="4"/>
        <v>6.8750000000000006E-2</v>
      </c>
      <c r="W33" s="50">
        <f t="shared" si="5"/>
        <v>13.601363636363637</v>
      </c>
    </row>
    <row r="34" spans="1:23" ht="29.1" customHeight="1" x14ac:dyDescent="0.15">
      <c r="A34" s="38" t="s">
        <v>181</v>
      </c>
      <c r="B34" s="38" t="s">
        <v>182</v>
      </c>
      <c r="C34" s="67">
        <f>DSL!C34</f>
        <v>31</v>
      </c>
      <c r="D34" s="68">
        <f>DSL!D34</f>
        <v>31</v>
      </c>
      <c r="E34" s="41">
        <f>DSL!E34</f>
        <v>736.33</v>
      </c>
      <c r="F34" s="42">
        <v>144</v>
      </c>
      <c r="G34" s="43">
        <v>494</v>
      </c>
      <c r="H34" s="44">
        <v>638</v>
      </c>
      <c r="I34" s="43">
        <v>212</v>
      </c>
      <c r="J34" s="43">
        <v>643</v>
      </c>
      <c r="K34" s="45">
        <v>855</v>
      </c>
      <c r="L34" s="46">
        <f t="shared" si="6"/>
        <v>4.8589341692789965E-2</v>
      </c>
      <c r="M34" s="47">
        <f t="shared" si="1"/>
        <v>0.43729034536145478</v>
      </c>
      <c r="N34" s="68">
        <f>DSL!W34</f>
        <v>47762</v>
      </c>
      <c r="O34" s="68">
        <f>DSL!X34</f>
        <v>349</v>
      </c>
      <c r="P34" s="68">
        <f>DSL!Y34</f>
        <v>24</v>
      </c>
      <c r="Q34" s="68">
        <f>DSL!Z34</f>
        <v>321.99</v>
      </c>
      <c r="R34" s="69">
        <f>DSL!AA34</f>
        <v>588.47</v>
      </c>
      <c r="S34" s="68">
        <f>DSL!AB34</f>
        <v>0.92</v>
      </c>
      <c r="T34" s="48">
        <f t="shared" si="2"/>
        <v>0.54716468129216445</v>
      </c>
      <c r="U34" s="49">
        <f t="shared" si="3"/>
        <v>7.3070641932917379E-3</v>
      </c>
      <c r="V34" s="49">
        <f t="shared" si="4"/>
        <v>6.8767908309455589E-2</v>
      </c>
      <c r="W34" s="50">
        <f t="shared" si="5"/>
        <v>13.41625</v>
      </c>
    </row>
    <row r="35" spans="1:23" ht="29.1" customHeight="1" x14ac:dyDescent="0.15">
      <c r="A35" s="38" t="s">
        <v>183</v>
      </c>
      <c r="B35" s="38" t="s">
        <v>184</v>
      </c>
      <c r="C35" s="67">
        <f>DSL!C35</f>
        <v>44</v>
      </c>
      <c r="D35" s="68">
        <f>DSL!D35</f>
        <v>42</v>
      </c>
      <c r="E35" s="41">
        <f>DSL!E35</f>
        <v>1016.85</v>
      </c>
      <c r="F35" s="42">
        <v>193</v>
      </c>
      <c r="G35" s="43">
        <v>670</v>
      </c>
      <c r="H35" s="44">
        <v>863</v>
      </c>
      <c r="I35" s="43">
        <v>248</v>
      </c>
      <c r="J35" s="43">
        <v>938</v>
      </c>
      <c r="K35" s="45">
        <v>1186</v>
      </c>
      <c r="L35" s="46">
        <f t="shared" si="6"/>
        <v>4.8667439165701043E-2</v>
      </c>
      <c r="M35" s="47">
        <f t="shared" si="1"/>
        <v>0.33479864286767957</v>
      </c>
      <c r="N35" s="68">
        <f>DSL!W35</f>
        <v>52810</v>
      </c>
      <c r="O35" s="68">
        <f>DSL!X35</f>
        <v>369</v>
      </c>
      <c r="P35" s="68">
        <f>DSL!Y35</f>
        <v>34</v>
      </c>
      <c r="Q35" s="68">
        <f>DSL!Z35</f>
        <v>340.44</v>
      </c>
      <c r="R35" s="69">
        <f>DSL!AA35</f>
        <v>822.97</v>
      </c>
      <c r="S35" s="68">
        <f>DSL!AB35</f>
        <v>0.92</v>
      </c>
      <c r="T35" s="48">
        <f t="shared" si="2"/>
        <v>0.41367243034375489</v>
      </c>
      <c r="U35" s="49">
        <f t="shared" si="3"/>
        <v>6.9873130088998299E-3</v>
      </c>
      <c r="V35" s="49">
        <f t="shared" si="4"/>
        <v>9.2140921409214094E-2</v>
      </c>
      <c r="W35" s="50">
        <f t="shared" si="5"/>
        <v>10.012941176470589</v>
      </c>
    </row>
    <row r="36" spans="1:23" ht="29.1" customHeight="1" x14ac:dyDescent="0.15">
      <c r="A36" s="38" t="s">
        <v>185</v>
      </c>
      <c r="B36" s="38" t="s">
        <v>186</v>
      </c>
      <c r="C36" s="67">
        <f>DSL!C36</f>
        <v>19</v>
      </c>
      <c r="D36" s="68">
        <f>DSL!D36</f>
        <v>19</v>
      </c>
      <c r="E36" s="41">
        <f>DSL!E36</f>
        <v>446.61</v>
      </c>
      <c r="F36" s="42">
        <v>130</v>
      </c>
      <c r="G36" s="43">
        <v>431</v>
      </c>
      <c r="H36" s="44">
        <v>561</v>
      </c>
      <c r="I36" s="43">
        <v>171</v>
      </c>
      <c r="J36" s="43">
        <v>566</v>
      </c>
      <c r="K36" s="45">
        <v>737</v>
      </c>
      <c r="L36" s="46">
        <f t="shared" si="6"/>
        <v>3.3868092691622102E-2</v>
      </c>
      <c r="M36" s="47">
        <f t="shared" si="1"/>
        <v>0.63948411365621016</v>
      </c>
      <c r="N36" s="68">
        <f>DSL!W36</f>
        <v>48824</v>
      </c>
      <c r="O36" s="68">
        <f>DSL!X36</f>
        <v>308</v>
      </c>
      <c r="P36" s="68">
        <f>DSL!Y36</f>
        <v>17</v>
      </c>
      <c r="Q36" s="68">
        <f>DSL!Z36</f>
        <v>285.60000000000002</v>
      </c>
      <c r="R36" s="69">
        <f>DSL!AA36</f>
        <v>399.31</v>
      </c>
      <c r="S36" s="68">
        <f>DSL!AB36</f>
        <v>0.93</v>
      </c>
      <c r="T36" s="48">
        <f t="shared" ref="T36:T63" si="7">Q36/R36</f>
        <v>0.71523377826751156</v>
      </c>
      <c r="U36" s="49">
        <f t="shared" ref="U36:U62" si="8">O36/N36</f>
        <v>6.3083729313452401E-3</v>
      </c>
      <c r="V36" s="49">
        <f t="shared" ref="V36:V62" si="9">P36/O36</f>
        <v>5.5194805194805192E-2</v>
      </c>
      <c r="W36" s="50">
        <f t="shared" ref="W36:W62" si="10">Q36/P36</f>
        <v>16.8</v>
      </c>
    </row>
    <row r="37" spans="1:23" ht="29.1" customHeight="1" x14ac:dyDescent="0.15">
      <c r="A37" s="38" t="s">
        <v>187</v>
      </c>
      <c r="B37" s="38" t="s">
        <v>188</v>
      </c>
      <c r="C37" s="67">
        <f>DSL!C37</f>
        <v>40</v>
      </c>
      <c r="D37" s="68">
        <f>DSL!D37</f>
        <v>38</v>
      </c>
      <c r="E37" s="41">
        <f>DSL!E37</f>
        <v>941.2</v>
      </c>
      <c r="F37" s="42">
        <v>157</v>
      </c>
      <c r="G37" s="43">
        <v>407</v>
      </c>
      <c r="H37" s="44">
        <v>564</v>
      </c>
      <c r="I37" s="43">
        <v>217</v>
      </c>
      <c r="J37" s="43">
        <v>546</v>
      </c>
      <c r="K37" s="45">
        <v>763</v>
      </c>
      <c r="L37" s="46">
        <f t="shared" si="6"/>
        <v>6.7375886524822695E-2</v>
      </c>
      <c r="M37" s="47">
        <f t="shared" si="1"/>
        <v>0.33269230769230768</v>
      </c>
      <c r="N37" s="68">
        <f>DSL!W37</f>
        <v>43274</v>
      </c>
      <c r="O37" s="68">
        <f>DSL!X37</f>
        <v>328</v>
      </c>
      <c r="P37" s="68">
        <f>DSL!Y37</f>
        <v>27</v>
      </c>
      <c r="Q37" s="68">
        <f>DSL!Z37</f>
        <v>313.13</v>
      </c>
      <c r="R37" s="69">
        <f>DSL!AA37</f>
        <v>673.11</v>
      </c>
      <c r="S37" s="68">
        <f>DSL!AB37</f>
        <v>0.95</v>
      </c>
      <c r="T37" s="48">
        <f t="shared" si="7"/>
        <v>0.46519885308493408</v>
      </c>
      <c r="U37" s="49">
        <f t="shared" si="8"/>
        <v>7.5796090030965475E-3</v>
      </c>
      <c r="V37" s="49">
        <f t="shared" si="9"/>
        <v>8.2317073170731711E-2</v>
      </c>
      <c r="W37" s="50">
        <f t="shared" si="10"/>
        <v>11.597407407407408</v>
      </c>
    </row>
    <row r="38" spans="1:23" ht="29.1" customHeight="1" x14ac:dyDescent="0.15">
      <c r="A38" s="38" t="s">
        <v>189</v>
      </c>
      <c r="B38" s="38" t="s">
        <v>190</v>
      </c>
      <c r="C38" s="67">
        <f>DSL!C38</f>
        <v>47</v>
      </c>
      <c r="D38" s="68">
        <f>DSL!D38</f>
        <v>47</v>
      </c>
      <c r="E38" s="41">
        <f>DSL!E38</f>
        <v>1094.3399999999999</v>
      </c>
      <c r="F38" s="42">
        <v>151</v>
      </c>
      <c r="G38" s="43">
        <v>518</v>
      </c>
      <c r="H38" s="44">
        <v>669</v>
      </c>
      <c r="I38" s="43">
        <v>201</v>
      </c>
      <c r="J38" s="43">
        <v>631</v>
      </c>
      <c r="K38" s="45">
        <v>832</v>
      </c>
      <c r="L38" s="46">
        <f t="shared" si="6"/>
        <v>7.0254110612855011E-2</v>
      </c>
      <c r="M38" s="47">
        <f t="shared" si="1"/>
        <v>0.2729316300235759</v>
      </c>
      <c r="N38" s="68">
        <f>DSL!W38</f>
        <v>45715</v>
      </c>
      <c r="O38" s="68">
        <f>DSL!X38</f>
        <v>320</v>
      </c>
      <c r="P38" s="68">
        <f>DSL!Y38</f>
        <v>34</v>
      </c>
      <c r="Q38" s="68">
        <f>DSL!Z38</f>
        <v>298.68</v>
      </c>
      <c r="R38" s="69">
        <f>DSL!AA38</f>
        <v>768.09</v>
      </c>
      <c r="S38" s="68">
        <f>DSL!AB38</f>
        <v>0.93</v>
      </c>
      <c r="T38" s="48">
        <f t="shared" si="7"/>
        <v>0.38886068038901689</v>
      </c>
      <c r="U38" s="49">
        <f t="shared" si="8"/>
        <v>6.9998906267089581E-3</v>
      </c>
      <c r="V38" s="49">
        <f t="shared" si="9"/>
        <v>0.10625</v>
      </c>
      <c r="W38" s="50">
        <f t="shared" si="10"/>
        <v>8.7847058823529416</v>
      </c>
    </row>
    <row r="39" spans="1:23" ht="29.1" customHeight="1" x14ac:dyDescent="0.15">
      <c r="A39" s="38" t="s">
        <v>191</v>
      </c>
      <c r="B39" s="38" t="s">
        <v>192</v>
      </c>
      <c r="C39" s="67">
        <f>DSL!C39</f>
        <v>38</v>
      </c>
      <c r="D39" s="68">
        <f>DSL!D39</f>
        <v>38</v>
      </c>
      <c r="E39" s="41">
        <f>DSL!E39</f>
        <v>891.38</v>
      </c>
      <c r="F39" s="42">
        <v>156</v>
      </c>
      <c r="G39" s="43">
        <v>450</v>
      </c>
      <c r="H39" s="44">
        <v>606</v>
      </c>
      <c r="I39" s="43">
        <v>199</v>
      </c>
      <c r="J39" s="43">
        <v>580</v>
      </c>
      <c r="K39" s="45">
        <v>779</v>
      </c>
      <c r="L39" s="46">
        <f t="shared" si="6"/>
        <v>6.2706270627062702E-2</v>
      </c>
      <c r="M39" s="47">
        <f t="shared" si="1"/>
        <v>0.3674190580897036</v>
      </c>
      <c r="N39" s="68">
        <f>DSL!W39</f>
        <v>43400</v>
      </c>
      <c r="O39" s="68">
        <f>DSL!X39</f>
        <v>337</v>
      </c>
      <c r="P39" s="68">
        <f>DSL!Y39</f>
        <v>33</v>
      </c>
      <c r="Q39" s="68">
        <f>DSL!Z39</f>
        <v>327.51</v>
      </c>
      <c r="R39" s="69">
        <f>DSL!AA39</f>
        <v>769.1</v>
      </c>
      <c r="S39" s="68">
        <f>DSL!AB39</f>
        <v>0.97</v>
      </c>
      <c r="T39" s="48">
        <f t="shared" si="7"/>
        <v>0.42583539201664278</v>
      </c>
      <c r="U39" s="49">
        <f t="shared" si="8"/>
        <v>7.7649769585253457E-3</v>
      </c>
      <c r="V39" s="49">
        <f t="shared" si="9"/>
        <v>9.7922848664688422E-2</v>
      </c>
      <c r="W39" s="50">
        <f t="shared" si="10"/>
        <v>9.9245454545454539</v>
      </c>
    </row>
    <row r="40" spans="1:23" ht="29.1" customHeight="1" x14ac:dyDescent="0.15">
      <c r="A40" s="38" t="s">
        <v>193</v>
      </c>
      <c r="B40" s="38" t="s">
        <v>194</v>
      </c>
      <c r="C40" s="67">
        <f>DSL!C40</f>
        <v>31</v>
      </c>
      <c r="D40" s="68">
        <f>DSL!D40</f>
        <v>30</v>
      </c>
      <c r="E40" s="41">
        <f>DSL!E40</f>
        <v>892.79</v>
      </c>
      <c r="F40" s="42">
        <v>122</v>
      </c>
      <c r="G40" s="43">
        <v>553</v>
      </c>
      <c r="H40" s="44">
        <v>675</v>
      </c>
      <c r="I40" s="43">
        <v>152</v>
      </c>
      <c r="J40" s="43">
        <v>716</v>
      </c>
      <c r="K40" s="45">
        <v>868</v>
      </c>
      <c r="L40" s="46">
        <f t="shared" si="6"/>
        <v>4.4444444444444446E-2</v>
      </c>
      <c r="M40" s="47">
        <f t="shared" si="1"/>
        <v>0.36670437616908791</v>
      </c>
      <c r="N40" s="68">
        <f>DSL!W40</f>
        <v>59702</v>
      </c>
      <c r="O40" s="68">
        <f>DSL!X40</f>
        <v>341</v>
      </c>
      <c r="P40" s="68">
        <f>DSL!Y40</f>
        <v>38</v>
      </c>
      <c r="Q40" s="68">
        <f>DSL!Z40</f>
        <v>327.39</v>
      </c>
      <c r="R40" s="69">
        <f>DSL!AA40</f>
        <v>969.02</v>
      </c>
      <c r="S40" s="68">
        <f>DSL!AB40</f>
        <v>0.96</v>
      </c>
      <c r="T40" s="48">
        <f t="shared" si="7"/>
        <v>0.33785680378113969</v>
      </c>
      <c r="U40" s="49">
        <f t="shared" si="8"/>
        <v>5.7117014505376701E-3</v>
      </c>
      <c r="V40" s="49">
        <f t="shared" si="9"/>
        <v>0.11143695014662756</v>
      </c>
      <c r="W40" s="50">
        <f t="shared" si="10"/>
        <v>8.6155263157894737</v>
      </c>
    </row>
    <row r="41" spans="1:23" ht="29.1" customHeight="1" x14ac:dyDescent="0.15">
      <c r="A41" s="38" t="s">
        <v>195</v>
      </c>
      <c r="B41" s="38" t="s">
        <v>196</v>
      </c>
      <c r="C41" s="67">
        <f>DSL!C41</f>
        <v>49</v>
      </c>
      <c r="D41" s="68">
        <f>DSL!D41</f>
        <v>46</v>
      </c>
      <c r="E41" s="41">
        <f>DSL!E41</f>
        <v>1184.3499999999999</v>
      </c>
      <c r="F41" s="42">
        <v>142</v>
      </c>
      <c r="G41" s="43">
        <v>556</v>
      </c>
      <c r="H41" s="44">
        <v>698</v>
      </c>
      <c r="I41" s="43">
        <v>193</v>
      </c>
      <c r="J41" s="43">
        <v>697</v>
      </c>
      <c r="K41" s="45">
        <v>890</v>
      </c>
      <c r="L41" s="46">
        <f t="shared" si="6"/>
        <v>6.5902578796561598E-2</v>
      </c>
      <c r="M41" s="47">
        <f t="shared" si="1"/>
        <v>0.26326677080254995</v>
      </c>
      <c r="N41" s="68">
        <f>DSL!W41</f>
        <v>47428</v>
      </c>
      <c r="O41" s="68">
        <f>DSL!X41</f>
        <v>331</v>
      </c>
      <c r="P41" s="68">
        <f>DSL!Y41</f>
        <v>29</v>
      </c>
      <c r="Q41" s="68">
        <f>DSL!Z41</f>
        <v>311.8</v>
      </c>
      <c r="R41" s="69">
        <f>DSL!AA41</f>
        <v>758.64</v>
      </c>
      <c r="S41" s="68">
        <f>DSL!AB41</f>
        <v>0.94</v>
      </c>
      <c r="T41" s="48">
        <f t="shared" si="7"/>
        <v>0.41099862912580409</v>
      </c>
      <c r="U41" s="49">
        <f t="shared" si="8"/>
        <v>6.9789997469849032E-3</v>
      </c>
      <c r="V41" s="49">
        <f t="shared" si="9"/>
        <v>8.7613293051359523E-2</v>
      </c>
      <c r="W41" s="50">
        <f t="shared" si="10"/>
        <v>10.751724137931035</v>
      </c>
    </row>
    <row r="42" spans="1:23" ht="29.1" customHeight="1" x14ac:dyDescent="0.15">
      <c r="A42" s="38" t="s">
        <v>198</v>
      </c>
      <c r="B42" s="38" t="s">
        <v>199</v>
      </c>
      <c r="C42" s="67">
        <f>DSL!C42</f>
        <v>31</v>
      </c>
      <c r="D42" s="68">
        <f>DSL!D42</f>
        <v>30</v>
      </c>
      <c r="E42" s="41">
        <f>DSL!E42</f>
        <v>809.09</v>
      </c>
      <c r="F42" s="42">
        <v>96</v>
      </c>
      <c r="G42" s="43">
        <v>453</v>
      </c>
      <c r="H42" s="44">
        <v>549</v>
      </c>
      <c r="I42" s="43">
        <v>118</v>
      </c>
      <c r="J42" s="43">
        <v>558</v>
      </c>
      <c r="K42" s="45">
        <v>676</v>
      </c>
      <c r="L42" s="46">
        <f t="shared" si="6"/>
        <v>5.4644808743169397E-2</v>
      </c>
      <c r="M42" s="47">
        <f t="shared" si="1"/>
        <v>0.35543635442287008</v>
      </c>
      <c r="N42" s="68">
        <f>DSL!W42</f>
        <v>61367</v>
      </c>
      <c r="O42" s="68">
        <f>DSL!X42</f>
        <v>301</v>
      </c>
      <c r="P42" s="68">
        <f>DSL!Y42</f>
        <v>23</v>
      </c>
      <c r="Q42" s="68">
        <f>DSL!Z42</f>
        <v>287.58</v>
      </c>
      <c r="R42" s="69">
        <f>DSL!AA42</f>
        <v>592.86</v>
      </c>
      <c r="S42" s="68">
        <f>DSL!AB42</f>
        <v>0.96</v>
      </c>
      <c r="T42" s="48">
        <f t="shared" si="7"/>
        <v>0.48507236109705493</v>
      </c>
      <c r="U42" s="49">
        <f t="shared" si="8"/>
        <v>4.9049163231052522E-3</v>
      </c>
      <c r="V42" s="49">
        <f t="shared" si="9"/>
        <v>7.6411960132890366E-2</v>
      </c>
      <c r="W42" s="50">
        <f t="shared" si="10"/>
        <v>12.503478260869565</v>
      </c>
    </row>
    <row r="43" spans="1:23" ht="29.1" customHeight="1" x14ac:dyDescent="0.15">
      <c r="A43" s="38" t="s">
        <v>200</v>
      </c>
      <c r="B43" s="38" t="s">
        <v>201</v>
      </c>
      <c r="C43" s="67">
        <f>DSL!C43</f>
        <v>19</v>
      </c>
      <c r="D43" s="68">
        <f>DSL!D43</f>
        <v>19</v>
      </c>
      <c r="E43" s="41">
        <f>DSL!E43</f>
        <v>469.61</v>
      </c>
      <c r="F43" s="42">
        <v>116</v>
      </c>
      <c r="G43" s="43">
        <v>332</v>
      </c>
      <c r="H43" s="44">
        <v>448</v>
      </c>
      <c r="I43" s="43">
        <v>152</v>
      </c>
      <c r="J43" s="43">
        <v>432</v>
      </c>
      <c r="K43" s="45">
        <v>584</v>
      </c>
      <c r="L43" s="46">
        <f t="shared" si="6"/>
        <v>4.2410714285714288E-2</v>
      </c>
      <c r="M43" s="47">
        <f t="shared" si="1"/>
        <v>0.48248546666382747</v>
      </c>
      <c r="N43" s="68">
        <f>DSL!W43</f>
        <v>35381</v>
      </c>
      <c r="O43" s="68">
        <f>DSL!X43</f>
        <v>239</v>
      </c>
      <c r="P43" s="68">
        <f>DSL!Y43</f>
        <v>15</v>
      </c>
      <c r="Q43" s="68">
        <f>DSL!Z43</f>
        <v>226.58</v>
      </c>
      <c r="R43" s="69">
        <f>DSL!AA43</f>
        <v>355.55</v>
      </c>
      <c r="S43" s="68">
        <f>DSL!AB43</f>
        <v>0.95</v>
      </c>
      <c r="T43" s="48">
        <f t="shared" si="7"/>
        <v>0.63726620728448879</v>
      </c>
      <c r="U43" s="49">
        <f t="shared" si="8"/>
        <v>6.7550380147536815E-3</v>
      </c>
      <c r="V43" s="49">
        <f t="shared" si="9"/>
        <v>6.2761506276150625E-2</v>
      </c>
      <c r="W43" s="50">
        <f t="shared" si="10"/>
        <v>15.105333333333334</v>
      </c>
    </row>
    <row r="44" spans="1:23" ht="29.1" customHeight="1" x14ac:dyDescent="0.15">
      <c r="A44" s="38" t="s">
        <v>202</v>
      </c>
      <c r="B44" s="38" t="s">
        <v>203</v>
      </c>
      <c r="C44" s="67">
        <f>DSL!C44</f>
        <v>23</v>
      </c>
      <c r="D44" s="68">
        <f>DSL!D44</f>
        <v>23</v>
      </c>
      <c r="E44" s="41">
        <f>DSL!E44</f>
        <v>603.27</v>
      </c>
      <c r="F44" s="42">
        <v>142</v>
      </c>
      <c r="G44" s="43">
        <v>447</v>
      </c>
      <c r="H44" s="44">
        <v>589</v>
      </c>
      <c r="I44" s="43">
        <v>191</v>
      </c>
      <c r="J44" s="43">
        <v>582</v>
      </c>
      <c r="K44" s="45">
        <v>773</v>
      </c>
      <c r="L44" s="46">
        <f t="shared" si="6"/>
        <v>3.9049235993208829E-2</v>
      </c>
      <c r="M44" s="47">
        <f t="shared" si="1"/>
        <v>0.35990518341704381</v>
      </c>
      <c r="N44" s="68">
        <f>DSL!W44</f>
        <v>54050</v>
      </c>
      <c r="O44" s="68">
        <f>DSL!X44</f>
        <v>229</v>
      </c>
      <c r="P44" s="68">
        <f>DSL!Y44</f>
        <v>17</v>
      </c>
      <c r="Q44" s="68">
        <f>DSL!Z44</f>
        <v>217.12</v>
      </c>
      <c r="R44" s="69">
        <f>DSL!AA44</f>
        <v>435.83</v>
      </c>
      <c r="S44" s="68">
        <f>DSL!AB44</f>
        <v>0.95</v>
      </c>
      <c r="T44" s="48">
        <f t="shared" si="7"/>
        <v>0.49817589427070191</v>
      </c>
      <c r="U44" s="49">
        <f t="shared" si="8"/>
        <v>4.2368177613321002E-3</v>
      </c>
      <c r="V44" s="49">
        <f t="shared" si="9"/>
        <v>7.4235807860262015E-2</v>
      </c>
      <c r="W44" s="50">
        <f t="shared" si="10"/>
        <v>12.771764705882353</v>
      </c>
    </row>
    <row r="45" spans="1:23" ht="29.1" customHeight="1" x14ac:dyDescent="0.15">
      <c r="A45" s="38" t="s">
        <v>205</v>
      </c>
      <c r="B45" s="38" t="s">
        <v>206</v>
      </c>
      <c r="C45" s="67">
        <f>DSL!C45</f>
        <v>26</v>
      </c>
      <c r="D45" s="68">
        <f>DSL!D45</f>
        <v>26</v>
      </c>
      <c r="E45" s="41">
        <f>DSL!E45</f>
        <v>699.56</v>
      </c>
      <c r="F45" s="42">
        <v>136</v>
      </c>
      <c r="G45" s="43">
        <v>379</v>
      </c>
      <c r="H45" s="44">
        <v>515</v>
      </c>
      <c r="I45" s="43">
        <v>171</v>
      </c>
      <c r="J45" s="43">
        <v>493</v>
      </c>
      <c r="K45" s="45">
        <v>664</v>
      </c>
      <c r="L45" s="46">
        <f t="shared" si="6"/>
        <v>5.0485436893203881E-2</v>
      </c>
      <c r="M45" s="47">
        <f t="shared" si="1"/>
        <v>0.36883183715478302</v>
      </c>
      <c r="N45" s="68">
        <f>DSL!W45</f>
        <v>52390</v>
      </c>
      <c r="O45" s="68">
        <f>DSL!X45</f>
        <v>271</v>
      </c>
      <c r="P45" s="68">
        <f>DSL!Y45</f>
        <v>16</v>
      </c>
      <c r="Q45" s="68">
        <f>DSL!Z45</f>
        <v>258.02</v>
      </c>
      <c r="R45" s="69">
        <f>DSL!AA45</f>
        <v>422.2</v>
      </c>
      <c r="S45" s="68">
        <f>DSL!AB45</f>
        <v>0.95</v>
      </c>
      <c r="T45" s="48">
        <f t="shared" si="7"/>
        <v>0.61113216485078159</v>
      </c>
      <c r="U45" s="49">
        <f t="shared" si="8"/>
        <v>5.1727428898644782E-3</v>
      </c>
      <c r="V45" s="49">
        <f t="shared" si="9"/>
        <v>5.9040590405904057E-2</v>
      </c>
      <c r="W45" s="50">
        <f t="shared" si="10"/>
        <v>16.126249999999999</v>
      </c>
    </row>
    <row r="46" spans="1:23" ht="29.1" customHeight="1" x14ac:dyDescent="0.15">
      <c r="A46" s="38" t="s">
        <v>208</v>
      </c>
      <c r="B46" s="38" t="s">
        <v>209</v>
      </c>
      <c r="C46" s="67">
        <f>DSL!C46</f>
        <v>22</v>
      </c>
      <c r="D46" s="68">
        <f>DSL!D46</f>
        <v>22</v>
      </c>
      <c r="E46" s="41">
        <f>DSL!E46</f>
        <v>498.04</v>
      </c>
      <c r="F46" s="42">
        <v>86</v>
      </c>
      <c r="G46" s="43">
        <v>339</v>
      </c>
      <c r="H46" s="44">
        <v>425</v>
      </c>
      <c r="I46" s="43">
        <v>108</v>
      </c>
      <c r="J46" s="43">
        <v>476</v>
      </c>
      <c r="K46" s="45">
        <v>584</v>
      </c>
      <c r="L46" s="46">
        <f t="shared" si="6"/>
        <v>5.1764705882352942E-2</v>
      </c>
      <c r="M46" s="47">
        <f t="shared" si="1"/>
        <v>0.44942173319412099</v>
      </c>
      <c r="N46" s="68">
        <f>DSL!W46</f>
        <v>50661</v>
      </c>
      <c r="O46" s="68">
        <f>DSL!X46</f>
        <v>233</v>
      </c>
      <c r="P46" s="68">
        <f>DSL!Y46</f>
        <v>16</v>
      </c>
      <c r="Q46" s="68">
        <f>DSL!Z46</f>
        <v>223.83</v>
      </c>
      <c r="R46" s="69">
        <f>DSL!AA46</f>
        <v>383.9</v>
      </c>
      <c r="S46" s="68">
        <f>DSL!AB46</f>
        <v>0.96</v>
      </c>
      <c r="T46" s="48">
        <f t="shared" si="7"/>
        <v>0.58304245897369111</v>
      </c>
      <c r="U46" s="49">
        <f t="shared" si="8"/>
        <v>4.5991985945796569E-3</v>
      </c>
      <c r="V46" s="49">
        <f t="shared" si="9"/>
        <v>6.8669527896995708E-2</v>
      </c>
      <c r="W46" s="50">
        <f t="shared" si="10"/>
        <v>13.989375000000001</v>
      </c>
    </row>
    <row r="47" spans="1:23" ht="29.1" customHeight="1" x14ac:dyDescent="0.15">
      <c r="A47" s="38" t="s">
        <v>210</v>
      </c>
      <c r="B47" s="38" t="s">
        <v>211</v>
      </c>
      <c r="C47" s="67">
        <f>DSL!C47</f>
        <v>31</v>
      </c>
      <c r="D47" s="68">
        <f>DSL!D47</f>
        <v>31</v>
      </c>
      <c r="E47" s="41">
        <f>DSL!E47</f>
        <v>657.27</v>
      </c>
      <c r="F47" s="42">
        <v>89</v>
      </c>
      <c r="G47" s="43">
        <v>406</v>
      </c>
      <c r="H47" s="44">
        <v>495</v>
      </c>
      <c r="I47" s="43">
        <v>118</v>
      </c>
      <c r="J47" s="43">
        <v>535</v>
      </c>
      <c r="K47" s="45">
        <v>653</v>
      </c>
      <c r="L47" s="46">
        <f t="shared" si="6"/>
        <v>6.2626262626262627E-2</v>
      </c>
      <c r="M47" s="47">
        <f t="shared" si="1"/>
        <v>0.35798073850928841</v>
      </c>
      <c r="N47" s="68">
        <f>DSL!W47</f>
        <v>50492</v>
      </c>
      <c r="O47" s="68">
        <f>DSL!X47</f>
        <v>241</v>
      </c>
      <c r="P47" s="68">
        <f>DSL!Y47</f>
        <v>21</v>
      </c>
      <c r="Q47" s="68">
        <f>DSL!Z47</f>
        <v>235.29</v>
      </c>
      <c r="R47" s="69">
        <f>DSL!AA47</f>
        <v>429.04</v>
      </c>
      <c r="S47" s="68">
        <f>DSL!AB47</f>
        <v>0.98</v>
      </c>
      <c r="T47" s="48">
        <f t="shared" si="7"/>
        <v>0.54841040462427737</v>
      </c>
      <c r="U47" s="49">
        <f t="shared" si="8"/>
        <v>4.7730333518181097E-3</v>
      </c>
      <c r="V47" s="49">
        <f t="shared" si="9"/>
        <v>8.7136929460580909E-2</v>
      </c>
      <c r="W47" s="50">
        <f t="shared" si="10"/>
        <v>11.204285714285714</v>
      </c>
    </row>
    <row r="48" spans="1:23" ht="29.1" customHeight="1" x14ac:dyDescent="0.15">
      <c r="A48" s="38" t="s">
        <v>213</v>
      </c>
      <c r="B48" s="38" t="s">
        <v>214</v>
      </c>
      <c r="C48" s="67">
        <f>DSL!C48</f>
        <v>42</v>
      </c>
      <c r="D48" s="68">
        <f>DSL!D48</f>
        <v>42</v>
      </c>
      <c r="E48" s="41">
        <f>DSL!E48</f>
        <v>830.58</v>
      </c>
      <c r="F48" s="42">
        <v>165</v>
      </c>
      <c r="G48" s="43">
        <v>445</v>
      </c>
      <c r="H48" s="44">
        <v>610</v>
      </c>
      <c r="I48" s="43">
        <v>213</v>
      </c>
      <c r="J48" s="43">
        <v>588</v>
      </c>
      <c r="K48" s="45">
        <v>801</v>
      </c>
      <c r="L48" s="46">
        <f t="shared" si="6"/>
        <v>6.8852459016393447E-2</v>
      </c>
      <c r="M48" s="47">
        <f t="shared" si="1"/>
        <v>0.26917334874425097</v>
      </c>
      <c r="N48" s="68">
        <f>DSL!W48</f>
        <v>35167</v>
      </c>
      <c r="O48" s="68">
        <f>DSL!X48</f>
        <v>231</v>
      </c>
      <c r="P48" s="68">
        <f>DSL!Y48</f>
        <v>33</v>
      </c>
      <c r="Q48" s="68">
        <f>DSL!Z48</f>
        <v>223.57</v>
      </c>
      <c r="R48" s="69">
        <f>DSL!AA48</f>
        <v>636.94000000000005</v>
      </c>
      <c r="S48" s="68">
        <f>DSL!AB48</f>
        <v>0.97</v>
      </c>
      <c r="T48" s="48">
        <f t="shared" si="7"/>
        <v>0.35100637422677172</v>
      </c>
      <c r="U48" s="49">
        <f t="shared" si="8"/>
        <v>6.5686581169846735E-3</v>
      </c>
      <c r="V48" s="49">
        <f t="shared" si="9"/>
        <v>0.14285714285714285</v>
      </c>
      <c r="W48" s="50">
        <f t="shared" si="10"/>
        <v>6.7748484848484845</v>
      </c>
    </row>
    <row r="49" spans="1:23" ht="29.1" customHeight="1" x14ac:dyDescent="0.15">
      <c r="A49" s="38" t="s">
        <v>216</v>
      </c>
      <c r="B49" s="38" t="s">
        <v>217</v>
      </c>
      <c r="C49" s="67">
        <f>DSL!C49</f>
        <v>24</v>
      </c>
      <c r="D49" s="68">
        <f>DSL!D49</f>
        <v>24</v>
      </c>
      <c r="E49" s="41">
        <f>DSL!E49</f>
        <v>631.16</v>
      </c>
      <c r="F49" s="42">
        <v>89</v>
      </c>
      <c r="G49" s="43">
        <v>453</v>
      </c>
      <c r="H49" s="44">
        <v>542</v>
      </c>
      <c r="I49" s="43">
        <v>102</v>
      </c>
      <c r="J49" s="43">
        <v>592</v>
      </c>
      <c r="K49" s="45">
        <v>694</v>
      </c>
      <c r="L49" s="46">
        <f t="shared" si="6"/>
        <v>4.4280442804428041E-2</v>
      </c>
      <c r="M49" s="47">
        <f t="shared" si="1"/>
        <v>0.38917231763736615</v>
      </c>
      <c r="N49" s="68">
        <f>DSL!W49</f>
        <v>42936</v>
      </c>
      <c r="O49" s="68">
        <f>DSL!X49</f>
        <v>257</v>
      </c>
      <c r="P49" s="68">
        <f>DSL!Y49</f>
        <v>25</v>
      </c>
      <c r="Q49" s="68">
        <f>DSL!Z49</f>
        <v>245.63</v>
      </c>
      <c r="R49" s="69">
        <f>DSL!AA49</f>
        <v>635.57000000000005</v>
      </c>
      <c r="S49" s="68">
        <f>DSL!AB49</f>
        <v>0.96</v>
      </c>
      <c r="T49" s="48">
        <f t="shared" si="7"/>
        <v>0.38647198577654701</v>
      </c>
      <c r="U49" s="49">
        <f t="shared" si="8"/>
        <v>5.9856530650270173E-3</v>
      </c>
      <c r="V49" s="49">
        <f t="shared" si="9"/>
        <v>9.727626459143969E-2</v>
      </c>
      <c r="W49" s="50">
        <f t="shared" si="10"/>
        <v>9.8252000000000006</v>
      </c>
    </row>
    <row r="50" spans="1:23" ht="29.1" customHeight="1" x14ac:dyDescent="0.15">
      <c r="A50" s="38" t="s">
        <v>219</v>
      </c>
      <c r="B50" s="38" t="s">
        <v>220</v>
      </c>
      <c r="C50" s="67">
        <f>DSL!C50</f>
        <v>20</v>
      </c>
      <c r="D50" s="68">
        <f>DSL!D50</f>
        <v>20</v>
      </c>
      <c r="E50" s="41">
        <f>DSL!E50</f>
        <v>555.04</v>
      </c>
      <c r="F50" s="42">
        <v>83</v>
      </c>
      <c r="G50" s="43">
        <v>424</v>
      </c>
      <c r="H50" s="44">
        <v>507</v>
      </c>
      <c r="I50" s="43">
        <v>104</v>
      </c>
      <c r="J50" s="43">
        <v>560</v>
      </c>
      <c r="K50" s="45">
        <v>664</v>
      </c>
      <c r="L50" s="46">
        <f t="shared" si="6"/>
        <v>3.9447731755424063E-2</v>
      </c>
      <c r="M50" s="47">
        <f t="shared" si="1"/>
        <v>0.33599380224848663</v>
      </c>
      <c r="N50" s="68">
        <f>DSL!W50</f>
        <v>31813</v>
      </c>
      <c r="O50" s="68">
        <f>DSL!X50</f>
        <v>192</v>
      </c>
      <c r="P50" s="68">
        <f>DSL!Y50</f>
        <v>10</v>
      </c>
      <c r="Q50" s="68">
        <f>DSL!Z50</f>
        <v>186.49</v>
      </c>
      <c r="R50" s="69">
        <f>DSL!AA50</f>
        <v>283.10000000000002</v>
      </c>
      <c r="S50" s="68">
        <f>DSL!AB50</f>
        <v>0.97</v>
      </c>
      <c r="T50" s="48">
        <f t="shared" si="7"/>
        <v>0.65874249381843875</v>
      </c>
      <c r="U50" s="49">
        <f t="shared" si="8"/>
        <v>6.0352686008864299E-3</v>
      </c>
      <c r="V50" s="49">
        <f t="shared" si="9"/>
        <v>5.2083333333333336E-2</v>
      </c>
      <c r="W50" s="50">
        <f t="shared" si="10"/>
        <v>18.649000000000001</v>
      </c>
    </row>
    <row r="51" spans="1:23" ht="29.1" customHeight="1" x14ac:dyDescent="0.15">
      <c r="A51" s="38" t="s">
        <v>221</v>
      </c>
      <c r="B51" s="38" t="s">
        <v>222</v>
      </c>
      <c r="C51" s="67">
        <f>DSL!C51</f>
        <v>29</v>
      </c>
      <c r="D51" s="68">
        <f>DSL!D51</f>
        <v>28</v>
      </c>
      <c r="E51" s="41">
        <f>DSL!E51</f>
        <v>762.74</v>
      </c>
      <c r="F51" s="42">
        <v>78</v>
      </c>
      <c r="G51" s="43">
        <v>284</v>
      </c>
      <c r="H51" s="44">
        <v>362</v>
      </c>
      <c r="I51" s="43">
        <v>99</v>
      </c>
      <c r="J51" s="43">
        <v>359</v>
      </c>
      <c r="K51" s="45">
        <v>458</v>
      </c>
      <c r="L51" s="46">
        <f t="shared" si="6"/>
        <v>7.7348066298342538E-2</v>
      </c>
      <c r="M51" s="47">
        <f t="shared" si="1"/>
        <v>0.18062511471799042</v>
      </c>
      <c r="N51" s="68">
        <f>DSL!W51</f>
        <v>24990</v>
      </c>
      <c r="O51" s="68">
        <f>DSL!X51</f>
        <v>145</v>
      </c>
      <c r="P51" s="68">
        <f>DSL!Y51</f>
        <v>9</v>
      </c>
      <c r="Q51" s="68">
        <f>DSL!Z51</f>
        <v>137.77000000000001</v>
      </c>
      <c r="R51" s="69">
        <f>DSL!AA51</f>
        <v>237.77</v>
      </c>
      <c r="S51" s="68">
        <f>DSL!AB51</f>
        <v>0.95</v>
      </c>
      <c r="T51" s="48">
        <f t="shared" si="7"/>
        <v>0.57942549522647935</v>
      </c>
      <c r="U51" s="49">
        <f t="shared" si="8"/>
        <v>5.8023209283713482E-3</v>
      </c>
      <c r="V51" s="49">
        <f t="shared" si="9"/>
        <v>6.2068965517241378E-2</v>
      </c>
      <c r="W51" s="50">
        <f t="shared" si="10"/>
        <v>15.30777777777778</v>
      </c>
    </row>
    <row r="52" spans="1:23" ht="29.1" customHeight="1" x14ac:dyDescent="0.15">
      <c r="A52" s="38" t="s">
        <v>223</v>
      </c>
      <c r="B52" s="38" t="s">
        <v>224</v>
      </c>
      <c r="C52" s="67">
        <f>DSL!C52</f>
        <v>10</v>
      </c>
      <c r="D52" s="68">
        <f>DSL!D52</f>
        <v>10</v>
      </c>
      <c r="E52" s="41">
        <f>DSL!E52</f>
        <v>262.04000000000002</v>
      </c>
      <c r="F52" s="42">
        <v>74</v>
      </c>
      <c r="G52" s="43">
        <v>251</v>
      </c>
      <c r="H52" s="44">
        <v>325</v>
      </c>
      <c r="I52" s="43">
        <v>91</v>
      </c>
      <c r="J52" s="43">
        <v>334</v>
      </c>
      <c r="K52" s="45">
        <v>425</v>
      </c>
      <c r="L52" s="46">
        <f t="shared" si="6"/>
        <v>3.0769230769230771E-2</v>
      </c>
      <c r="M52" s="47">
        <f t="shared" si="1"/>
        <v>0.61089909937414133</v>
      </c>
      <c r="N52" s="68">
        <f>DSL!W52</f>
        <v>20267</v>
      </c>
      <c r="O52" s="68">
        <f>DSL!X52</f>
        <v>164</v>
      </c>
      <c r="P52" s="68">
        <f>DSL!Y52</f>
        <v>5</v>
      </c>
      <c r="Q52" s="68">
        <f>DSL!Z52</f>
        <v>160.08000000000001</v>
      </c>
      <c r="R52" s="69">
        <f>DSL!AA52</f>
        <v>122.79</v>
      </c>
      <c r="S52" s="68">
        <f>DSL!AB52</f>
        <v>0.98</v>
      </c>
      <c r="T52" s="48">
        <f t="shared" si="7"/>
        <v>1.3036892255069632</v>
      </c>
      <c r="U52" s="49">
        <f t="shared" si="8"/>
        <v>8.0919721715103365E-3</v>
      </c>
      <c r="V52" s="49">
        <f t="shared" si="9"/>
        <v>3.048780487804878E-2</v>
      </c>
      <c r="W52" s="50">
        <f t="shared" si="10"/>
        <v>32.016000000000005</v>
      </c>
    </row>
    <row r="53" spans="1:23" ht="29.1" customHeight="1" x14ac:dyDescent="0.15">
      <c r="A53" s="56" t="s">
        <v>226</v>
      </c>
      <c r="B53" s="57" t="s">
        <v>227</v>
      </c>
      <c r="C53" s="67">
        <f>DSL!C53</f>
        <v>26</v>
      </c>
      <c r="D53" s="68">
        <f>DSL!D53</f>
        <v>26</v>
      </c>
      <c r="E53" s="41">
        <f>DSL!E53</f>
        <v>724.96</v>
      </c>
      <c r="F53" s="42">
        <v>125</v>
      </c>
      <c r="G53" s="43">
        <v>360</v>
      </c>
      <c r="H53" s="44">
        <v>485</v>
      </c>
      <c r="I53" s="43">
        <v>160</v>
      </c>
      <c r="J53" s="43">
        <v>453</v>
      </c>
      <c r="K53" s="45">
        <v>613</v>
      </c>
      <c r="L53" s="46">
        <f t="shared" si="6"/>
        <v>5.3608247422680409E-2</v>
      </c>
      <c r="M53" s="47">
        <f t="shared" si="1"/>
        <v>0.27121496358419772</v>
      </c>
      <c r="N53" s="68">
        <f>DSL!W53</f>
        <v>36030</v>
      </c>
      <c r="O53" s="68">
        <f>DSL!X53</f>
        <v>201</v>
      </c>
      <c r="P53" s="68">
        <f>DSL!Y53</f>
        <v>17</v>
      </c>
      <c r="Q53" s="68">
        <f>DSL!Z53</f>
        <v>196.62</v>
      </c>
      <c r="R53" s="69">
        <f>DSL!AA53</f>
        <v>410.69</v>
      </c>
      <c r="S53" s="68">
        <f>DSL!AB53</f>
        <v>0.98</v>
      </c>
      <c r="T53" s="48">
        <f t="shared" si="7"/>
        <v>0.47875526552874431</v>
      </c>
      <c r="U53" s="49">
        <f t="shared" si="8"/>
        <v>5.5786844296419648E-3</v>
      </c>
      <c r="V53" s="49">
        <f t="shared" si="9"/>
        <v>8.45771144278607E-2</v>
      </c>
      <c r="W53" s="50">
        <f t="shared" si="10"/>
        <v>11.565882352941177</v>
      </c>
    </row>
    <row r="54" spans="1:23" ht="29.1" customHeight="1" x14ac:dyDescent="0.15">
      <c r="A54" s="38" t="s">
        <v>228</v>
      </c>
      <c r="B54" s="58" t="s">
        <v>229</v>
      </c>
      <c r="C54" s="67">
        <f>DSL!C54</f>
        <v>29</v>
      </c>
      <c r="D54" s="68">
        <f>DSL!D54</f>
        <v>29</v>
      </c>
      <c r="E54" s="41">
        <f>DSL!E54</f>
        <v>755.59</v>
      </c>
      <c r="F54" s="42">
        <v>133</v>
      </c>
      <c r="G54" s="43">
        <v>425</v>
      </c>
      <c r="H54" s="44">
        <v>558</v>
      </c>
      <c r="I54" s="43">
        <v>192</v>
      </c>
      <c r="J54" s="43">
        <v>550</v>
      </c>
      <c r="K54" s="45">
        <v>742</v>
      </c>
      <c r="L54" s="46">
        <f t="shared" si="6"/>
        <v>5.197132616487455E-2</v>
      </c>
      <c r="M54" s="47">
        <f t="shared" si="1"/>
        <v>0.27184054844558558</v>
      </c>
      <c r="N54" s="68">
        <f>DSL!W54</f>
        <v>36589</v>
      </c>
      <c r="O54" s="68">
        <f>DSL!X54</f>
        <v>211</v>
      </c>
      <c r="P54" s="68">
        <f>DSL!Y54</f>
        <v>14</v>
      </c>
      <c r="Q54" s="68">
        <f>DSL!Z54</f>
        <v>205.4</v>
      </c>
      <c r="R54" s="69">
        <f>DSL!AA54</f>
        <v>353.58</v>
      </c>
      <c r="S54" s="68">
        <f>DSL!AB54</f>
        <v>0.97</v>
      </c>
      <c r="T54" s="48">
        <f t="shared" si="7"/>
        <v>0.58091521013631997</v>
      </c>
      <c r="U54" s="49">
        <f t="shared" si="8"/>
        <v>5.7667605017901555E-3</v>
      </c>
      <c r="V54" s="49">
        <f t="shared" si="9"/>
        <v>6.6350710900473939E-2</v>
      </c>
      <c r="W54" s="50">
        <f t="shared" si="10"/>
        <v>14.671428571428573</v>
      </c>
    </row>
    <row r="55" spans="1:23" ht="29.1" customHeight="1" x14ac:dyDescent="0.15">
      <c r="A55" s="38" t="s">
        <v>230</v>
      </c>
      <c r="B55" s="58" t="s">
        <v>231</v>
      </c>
      <c r="C55" s="67">
        <f>DSL!C55</f>
        <v>25</v>
      </c>
      <c r="D55" s="68">
        <f>DSL!D55</f>
        <v>24</v>
      </c>
      <c r="E55" s="41">
        <f>DSL!E55</f>
        <v>644.85</v>
      </c>
      <c r="F55" s="42">
        <v>149</v>
      </c>
      <c r="G55" s="43">
        <v>436</v>
      </c>
      <c r="H55" s="44">
        <v>585</v>
      </c>
      <c r="I55" s="43">
        <v>193</v>
      </c>
      <c r="J55" s="43">
        <v>554</v>
      </c>
      <c r="K55" s="45">
        <v>747</v>
      </c>
      <c r="L55" s="46">
        <f t="shared" si="6"/>
        <v>4.1025641025641026E-2</v>
      </c>
      <c r="M55" s="47">
        <f t="shared" si="1"/>
        <v>0.33843529502985192</v>
      </c>
      <c r="N55" s="68">
        <f>DSL!W55</f>
        <v>37422</v>
      </c>
      <c r="O55" s="68">
        <f>DSL!X55</f>
        <v>237</v>
      </c>
      <c r="P55" s="68">
        <f>DSL!Y55</f>
        <v>23</v>
      </c>
      <c r="Q55" s="68">
        <f>DSL!Z55</f>
        <v>218.24</v>
      </c>
      <c r="R55" s="69">
        <f>DSL!AA55</f>
        <v>564.26</v>
      </c>
      <c r="S55" s="68">
        <f>DSL!AB55</f>
        <v>0.92</v>
      </c>
      <c r="T55" s="48">
        <f t="shared" si="7"/>
        <v>0.38677205543543758</v>
      </c>
      <c r="U55" s="49">
        <f t="shared" si="8"/>
        <v>6.3331729998396665E-3</v>
      </c>
      <c r="V55" s="49">
        <f t="shared" si="9"/>
        <v>9.7046413502109699E-2</v>
      </c>
      <c r="W55" s="50">
        <f t="shared" si="10"/>
        <v>9.488695652173913</v>
      </c>
    </row>
    <row r="56" spans="1:23" ht="29.1" customHeight="1" x14ac:dyDescent="0.15">
      <c r="A56" s="38" t="s">
        <v>232</v>
      </c>
      <c r="B56" s="58" t="s">
        <v>233</v>
      </c>
      <c r="C56" s="67">
        <f>DSL!C56</f>
        <v>15</v>
      </c>
      <c r="D56" s="68">
        <f>DSL!D56</f>
        <v>14</v>
      </c>
      <c r="E56" s="41">
        <f>DSL!E56</f>
        <v>397.45</v>
      </c>
      <c r="F56" s="42">
        <v>80</v>
      </c>
      <c r="G56" s="43">
        <v>312</v>
      </c>
      <c r="H56" s="44">
        <v>392</v>
      </c>
      <c r="I56" s="43">
        <v>98</v>
      </c>
      <c r="J56" s="43">
        <v>388</v>
      </c>
      <c r="K56" s="45">
        <v>486</v>
      </c>
      <c r="L56" s="46">
        <f t="shared" si="6"/>
        <v>3.5714285714285712E-2</v>
      </c>
      <c r="M56" s="47">
        <f t="shared" si="1"/>
        <v>0.47193357655050949</v>
      </c>
      <c r="N56" s="68">
        <f>DSL!W56</f>
        <v>34385</v>
      </c>
      <c r="O56" s="68">
        <f>DSL!X56</f>
        <v>200</v>
      </c>
      <c r="P56" s="68">
        <f>DSL!Y56</f>
        <v>9</v>
      </c>
      <c r="Q56" s="68">
        <f>DSL!Z56</f>
        <v>187.57</v>
      </c>
      <c r="R56" s="69">
        <f>DSL!AA56</f>
        <v>232.57</v>
      </c>
      <c r="S56" s="68">
        <f>DSL!AB56</f>
        <v>0.94</v>
      </c>
      <c r="T56" s="48">
        <f t="shared" si="7"/>
        <v>0.80650986799673219</v>
      </c>
      <c r="U56" s="49">
        <f t="shared" si="8"/>
        <v>5.8164897484368188E-3</v>
      </c>
      <c r="V56" s="49">
        <f t="shared" si="9"/>
        <v>4.4999999999999998E-2</v>
      </c>
      <c r="W56" s="50">
        <f t="shared" si="10"/>
        <v>20.841111111111111</v>
      </c>
    </row>
    <row r="57" spans="1:23" ht="29.1" customHeight="1" x14ac:dyDescent="0.15">
      <c r="A57" s="38" t="s">
        <v>236</v>
      </c>
      <c r="B57" s="58" t="s">
        <v>237</v>
      </c>
      <c r="C57" s="67">
        <f>DSL!C57</f>
        <v>23</v>
      </c>
      <c r="D57" s="68">
        <f>DSL!D57</f>
        <v>23</v>
      </c>
      <c r="E57" s="41">
        <f>DSL!E57</f>
        <v>618.92999999999995</v>
      </c>
      <c r="F57" s="42">
        <v>84</v>
      </c>
      <c r="G57" s="43">
        <v>336</v>
      </c>
      <c r="H57" s="44">
        <v>420</v>
      </c>
      <c r="I57" s="43">
        <v>108</v>
      </c>
      <c r="J57" s="43">
        <v>426</v>
      </c>
      <c r="K57" s="45">
        <v>534</v>
      </c>
      <c r="L57" s="46">
        <f t="shared" si="6"/>
        <v>5.4761904761904762E-2</v>
      </c>
      <c r="M57" s="47">
        <f t="shared" si="1"/>
        <v>0.25624868725057764</v>
      </c>
      <c r="N57" s="68">
        <f>DSL!W57</f>
        <v>36379</v>
      </c>
      <c r="O57" s="68">
        <f>DSL!X57</f>
        <v>158</v>
      </c>
      <c r="P57" s="68">
        <f>DSL!Y57</f>
        <v>18</v>
      </c>
      <c r="Q57" s="68">
        <f>DSL!Z57</f>
        <v>158.6</v>
      </c>
      <c r="R57" s="69">
        <f>DSL!AA57</f>
        <v>440.06</v>
      </c>
      <c r="S57" s="68">
        <f>DSL!AB57</f>
        <v>1</v>
      </c>
      <c r="T57" s="48">
        <f t="shared" si="7"/>
        <v>0.36040539926373677</v>
      </c>
      <c r="U57" s="49">
        <f t="shared" si="8"/>
        <v>4.3431650127820996E-3</v>
      </c>
      <c r="V57" s="49">
        <f t="shared" si="9"/>
        <v>0.11392405063291139</v>
      </c>
      <c r="W57" s="50">
        <f t="shared" si="10"/>
        <v>8.81111111111111</v>
      </c>
    </row>
    <row r="58" spans="1:23" ht="29.1" customHeight="1" x14ac:dyDescent="0.15">
      <c r="A58" s="38" t="s">
        <v>240</v>
      </c>
      <c r="B58" s="58" t="s">
        <v>241</v>
      </c>
      <c r="C58" s="67">
        <f>DSL!C58</f>
        <v>17</v>
      </c>
      <c r="D58" s="68">
        <f>DSL!D58</f>
        <v>17</v>
      </c>
      <c r="E58" s="41">
        <f>DSL!E58</f>
        <v>448.17</v>
      </c>
      <c r="F58" s="42">
        <v>117</v>
      </c>
      <c r="G58" s="43">
        <v>459</v>
      </c>
      <c r="H58" s="44">
        <v>576</v>
      </c>
      <c r="I58" s="43">
        <v>179</v>
      </c>
      <c r="J58" s="43">
        <v>554</v>
      </c>
      <c r="K58" s="45">
        <v>733</v>
      </c>
      <c r="L58" s="46">
        <f t="shared" si="6"/>
        <v>2.9513888888888888E-2</v>
      </c>
      <c r="M58" s="47">
        <f t="shared" si="1"/>
        <v>0.49726666220407434</v>
      </c>
      <c r="N58" s="68">
        <f>DSL!W58</f>
        <v>43353</v>
      </c>
      <c r="O58" s="68">
        <f>DSL!X58</f>
        <v>215</v>
      </c>
      <c r="P58" s="68">
        <f>DSL!Y58</f>
        <v>13</v>
      </c>
      <c r="Q58" s="68">
        <f>DSL!Z58</f>
        <v>222.86</v>
      </c>
      <c r="R58" s="69">
        <f>DSL!AA58</f>
        <v>312.87</v>
      </c>
      <c r="S58" s="68">
        <f>DSL!AB58</f>
        <v>1.04</v>
      </c>
      <c r="T58" s="48">
        <f t="shared" si="7"/>
        <v>0.71230862658612204</v>
      </c>
      <c r="U58" s="49">
        <f t="shared" si="8"/>
        <v>4.9592877078864211E-3</v>
      </c>
      <c r="V58" s="49">
        <f t="shared" si="9"/>
        <v>6.0465116279069767E-2</v>
      </c>
      <c r="W58" s="50">
        <f t="shared" si="10"/>
        <v>17.143076923076926</v>
      </c>
    </row>
    <row r="59" spans="1:23" ht="29.1" customHeight="1" x14ac:dyDescent="0.15">
      <c r="A59" s="38" t="s">
        <v>244</v>
      </c>
      <c r="B59" s="58" t="s">
        <v>245</v>
      </c>
      <c r="C59" s="67">
        <f>DSL!C59</f>
        <v>27</v>
      </c>
      <c r="D59" s="68">
        <f>DSL!D59</f>
        <v>27</v>
      </c>
      <c r="E59" s="41">
        <f>DSL!E59</f>
        <v>717.26</v>
      </c>
      <c r="F59" s="42">
        <v>120</v>
      </c>
      <c r="G59" s="43">
        <v>381</v>
      </c>
      <c r="H59" s="44">
        <v>501</v>
      </c>
      <c r="I59" s="43">
        <v>170</v>
      </c>
      <c r="J59" s="43">
        <v>472</v>
      </c>
      <c r="K59" s="45">
        <v>642</v>
      </c>
      <c r="L59" s="46">
        <f t="shared" si="6"/>
        <v>5.3892215568862277E-2</v>
      </c>
      <c r="M59" s="47">
        <f t="shared" si="1"/>
        <v>0.33124668878788727</v>
      </c>
      <c r="N59" s="68">
        <f>DSL!W59</f>
        <v>46892</v>
      </c>
      <c r="O59" s="68">
        <f>DSL!X59</f>
        <v>237</v>
      </c>
      <c r="P59" s="68">
        <f>DSL!Y59</f>
        <v>23</v>
      </c>
      <c r="Q59" s="68">
        <f>DSL!Z59</f>
        <v>237.59</v>
      </c>
      <c r="R59" s="69">
        <f>DSL!AA59</f>
        <v>580.32000000000005</v>
      </c>
      <c r="S59" s="68">
        <f>DSL!AB59</f>
        <v>1</v>
      </c>
      <c r="T59" s="48">
        <f t="shared" si="7"/>
        <v>0.40941204852495172</v>
      </c>
      <c r="U59" s="49">
        <f t="shared" si="8"/>
        <v>5.0541670220933211E-3</v>
      </c>
      <c r="V59" s="49">
        <f t="shared" si="9"/>
        <v>9.7046413502109699E-2</v>
      </c>
      <c r="W59" s="50">
        <f t="shared" si="10"/>
        <v>10.33</v>
      </c>
    </row>
    <row r="60" spans="1:23" ht="29.1" customHeight="1" x14ac:dyDescent="0.15">
      <c r="A60" s="38" t="s">
        <v>247</v>
      </c>
      <c r="B60" s="58" t="s">
        <v>248</v>
      </c>
      <c r="C60" s="67">
        <f>DSL!C60</f>
        <v>35</v>
      </c>
      <c r="D60" s="68">
        <f>DSL!D60</f>
        <v>33</v>
      </c>
      <c r="E60" s="41">
        <f>DSL!E60</f>
        <v>926.35</v>
      </c>
      <c r="F60" s="42">
        <v>85</v>
      </c>
      <c r="G60" s="43">
        <v>447</v>
      </c>
      <c r="H60" s="44">
        <v>532</v>
      </c>
      <c r="I60" s="43">
        <v>110</v>
      </c>
      <c r="J60" s="43">
        <v>590</v>
      </c>
      <c r="K60" s="45">
        <v>700</v>
      </c>
      <c r="L60" s="46">
        <f t="shared" si="6"/>
        <v>6.2030075187969921E-2</v>
      </c>
      <c r="M60" s="47">
        <f t="shared" si="1"/>
        <v>0.28919954660765368</v>
      </c>
      <c r="N60" s="68">
        <f>DSL!W60</f>
        <v>45785</v>
      </c>
      <c r="O60" s="68">
        <f>DSL!X60</f>
        <v>273</v>
      </c>
      <c r="P60" s="68">
        <f>DSL!Y60</f>
        <v>33</v>
      </c>
      <c r="Q60" s="68">
        <f>DSL!Z60</f>
        <v>267.89999999999998</v>
      </c>
      <c r="R60" s="69">
        <f>DSL!AA60</f>
        <v>882.72</v>
      </c>
      <c r="S60" s="68">
        <f>DSL!AB60</f>
        <v>0.98</v>
      </c>
      <c r="T60" s="48">
        <f t="shared" si="7"/>
        <v>0.30349374660141376</v>
      </c>
      <c r="U60" s="49">
        <f t="shared" si="8"/>
        <v>5.9626515234247023E-3</v>
      </c>
      <c r="V60" s="49">
        <f t="shared" si="9"/>
        <v>0.12087912087912088</v>
      </c>
      <c r="W60" s="50">
        <f t="shared" si="10"/>
        <v>8.1181818181818173</v>
      </c>
    </row>
    <row r="61" spans="1:23" ht="29.1" customHeight="1" x14ac:dyDescent="0.15">
      <c r="A61" s="38" t="s">
        <v>250</v>
      </c>
      <c r="B61" s="58" t="s">
        <v>251</v>
      </c>
      <c r="C61" s="67">
        <f>DSL!C61</f>
        <v>27</v>
      </c>
      <c r="D61" s="68">
        <f>DSL!D61</f>
        <v>27</v>
      </c>
      <c r="E61" s="41">
        <f>DSL!E61</f>
        <v>741.97</v>
      </c>
      <c r="F61" s="42">
        <v>85</v>
      </c>
      <c r="G61" s="43">
        <v>447</v>
      </c>
      <c r="H61" s="44">
        <v>532</v>
      </c>
      <c r="I61" s="43">
        <v>110</v>
      </c>
      <c r="J61" s="43">
        <v>590</v>
      </c>
      <c r="K61" s="45">
        <v>700</v>
      </c>
      <c r="L61" s="46">
        <f t="shared" si="6"/>
        <v>5.0751879699248117E-2</v>
      </c>
      <c r="M61" s="47">
        <f t="shared" si="1"/>
        <v>0.35355876922247526</v>
      </c>
      <c r="N61" s="68">
        <f>DSL!W61</f>
        <v>45223</v>
      </c>
      <c r="O61" s="68">
        <f>DSL!X61</f>
        <v>258</v>
      </c>
      <c r="P61" s="68">
        <f>DSL!Y61</f>
        <v>23</v>
      </c>
      <c r="Q61" s="68">
        <f>DSL!Z61</f>
        <v>262.33</v>
      </c>
      <c r="R61" s="69">
        <f>DSL!AA61</f>
        <v>607.28</v>
      </c>
      <c r="S61" s="68">
        <f>DSL!AB61</f>
        <v>1.02</v>
      </c>
      <c r="T61" s="48">
        <f t="shared" si="7"/>
        <v>0.43197536556448424</v>
      </c>
      <c r="U61" s="49">
        <f t="shared" si="8"/>
        <v>5.7050615837074053E-3</v>
      </c>
      <c r="V61" s="49">
        <f t="shared" si="9"/>
        <v>8.9147286821705432E-2</v>
      </c>
      <c r="W61" s="50">
        <f t="shared" si="10"/>
        <v>11.405652173913042</v>
      </c>
    </row>
    <row r="62" spans="1:23" ht="29.1" customHeight="1" x14ac:dyDescent="0.15">
      <c r="A62" s="38" t="s">
        <v>254</v>
      </c>
      <c r="B62" s="58" t="s">
        <v>255</v>
      </c>
      <c r="C62" s="67">
        <f>DSL!C62</f>
        <v>31</v>
      </c>
      <c r="D62" s="68">
        <f>DSL!D62</f>
        <v>31</v>
      </c>
      <c r="E62" s="41">
        <f>DSL!E62</f>
        <v>870.37</v>
      </c>
      <c r="F62" s="42">
        <v>85</v>
      </c>
      <c r="G62" s="43">
        <v>447</v>
      </c>
      <c r="H62" s="44">
        <v>532</v>
      </c>
      <c r="I62" s="43">
        <v>110</v>
      </c>
      <c r="J62" s="43">
        <v>590</v>
      </c>
      <c r="K62" s="45">
        <v>700</v>
      </c>
      <c r="L62" s="46">
        <f t="shared" si="6"/>
        <v>5.827067669172932E-2</v>
      </c>
      <c r="M62" s="47">
        <f t="shared" si="1"/>
        <v>0.35186185185610719</v>
      </c>
      <c r="N62" s="68">
        <f>DSL!W62</f>
        <v>58473</v>
      </c>
      <c r="O62" s="68">
        <f>DSL!X62</f>
        <v>304</v>
      </c>
      <c r="P62" s="68">
        <f>DSL!Y62</f>
        <v>24</v>
      </c>
      <c r="Q62" s="68">
        <f>DSL!Z62</f>
        <v>306.25</v>
      </c>
      <c r="R62" s="69">
        <f>DSL!AA62</f>
        <v>690.14</v>
      </c>
      <c r="S62" s="68">
        <f>DSL!AB62</f>
        <v>1.01</v>
      </c>
      <c r="T62" s="48">
        <f t="shared" si="7"/>
        <v>0.44375054336801228</v>
      </c>
      <c r="U62" s="49">
        <f t="shared" si="8"/>
        <v>5.1989807261471109E-3</v>
      </c>
      <c r="V62" s="49">
        <f t="shared" si="9"/>
        <v>7.8947368421052627E-2</v>
      </c>
      <c r="W62" s="50">
        <f t="shared" si="10"/>
        <v>12.760416666666666</v>
      </c>
    </row>
    <row r="63" spans="1:23" ht="29.1" customHeight="1" x14ac:dyDescent="0.15">
      <c r="A63" t="s">
        <v>266</v>
      </c>
      <c r="B63" s="1"/>
      <c r="C63" s="1">
        <f>SUBTOTAL(109,表3_3254615[销量])</f>
        <v>1471</v>
      </c>
      <c r="D63" s="1">
        <f>SUBTOTAL(109,表3_3254615[订单量])</f>
        <v>1452</v>
      </c>
      <c r="E63" s="59">
        <f>SUBTOTAL(109,表3_3254615[销售额])</f>
        <v>37606.100000000013</v>
      </c>
      <c r="F63" s="1">
        <f>SUBTOTAL(101,表3_3254615[Sessions-Browser])</f>
        <v>107.745762711864</v>
      </c>
      <c r="G63" s="60">
        <f>SUBTOTAL(101,表3_3254615[Sessions-Mobile])</f>
        <v>370.59322033898297</v>
      </c>
      <c r="H63" s="60">
        <f>SUBTOTAL(101,表3_3254615[Sessions-Total])</f>
        <v>478.33898305084699</v>
      </c>
      <c r="I63" s="60">
        <f>SUBTOTAL(101,表3_3254615[PV-Browser])</f>
        <v>141.66101694915301</v>
      </c>
      <c r="J63" s="61">
        <f>SUBTOTAL(101,表3_3254615[PV-Mobile])</f>
        <v>486.84745762711901</v>
      </c>
      <c r="K63" s="61">
        <f>SUBTOTAL(101,表3_3254615[PV-Total])</f>
        <v>628.50847457627106</v>
      </c>
      <c r="L63" s="62">
        <f>SUBTOTAL(101,表3_3254615[CVR])</f>
        <v>5.3943065244101904E-2</v>
      </c>
      <c r="M63" s="62">
        <f t="shared" si="1"/>
        <v>0.32200042014460412</v>
      </c>
      <c r="N63" s="1">
        <f>SUBTOTAL(109,表3_3254615[展示])</f>
        <v>2019600</v>
      </c>
      <c r="O63" s="1">
        <f>SUBTOTAL(109,表3_3254615[点击])</f>
        <v>12670</v>
      </c>
      <c r="P63" s="1">
        <f>SUBTOTAL(109,表3_3254615[广告订单量])</f>
        <v>1054</v>
      </c>
      <c r="Q63" s="1">
        <f>SUBTOTAL(109,表3_3254615[广告花费])</f>
        <v>12109.18</v>
      </c>
      <c r="R63" s="1">
        <f>SUBTOTAL(109,表3_3254615[广告销售额])</f>
        <v>26777.879999999997</v>
      </c>
      <c r="S63" s="16">
        <f>SUBTOTAL(101,表3_3254615[CPC])</f>
        <v>0.92644067796610174</v>
      </c>
      <c r="T63" s="63">
        <f t="shared" si="7"/>
        <v>0.45220831522136934</v>
      </c>
      <c r="U63" s="64">
        <f t="shared" ref="U63:W63" si="11">O63/N63</f>
        <v>6.2735195088136266E-3</v>
      </c>
      <c r="V63" s="64">
        <f t="shared" si="11"/>
        <v>8.318863456985004E-2</v>
      </c>
      <c r="W63" s="65">
        <f t="shared" si="11"/>
        <v>11.488785578747628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4"/>
  <sheetViews>
    <sheetView workbookViewId="0">
      <pane xSplit="2" ySplit="3" topLeftCell="C41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128</v>
      </c>
      <c r="B4" s="66" t="s">
        <v>129</v>
      </c>
      <c r="C4" s="39">
        <f>MFL!C4</f>
        <v>1</v>
      </c>
      <c r="D4" s="40">
        <f>MFL!D4</f>
        <v>1</v>
      </c>
      <c r="E4" s="41">
        <f>MFL!E4</f>
        <v>25.89</v>
      </c>
      <c r="F4" s="42">
        <v>20</v>
      </c>
      <c r="G4" s="43">
        <v>28</v>
      </c>
      <c r="H4" s="44">
        <v>48</v>
      </c>
      <c r="I4" s="43">
        <v>26</v>
      </c>
      <c r="J4" s="43">
        <v>34</v>
      </c>
      <c r="K4" s="45">
        <v>60</v>
      </c>
      <c r="L4" s="46">
        <f t="shared" ref="L4:L12" si="0">D4/H4</f>
        <v>2.0833333333333332E-2</v>
      </c>
      <c r="M4" s="47">
        <f t="shared" ref="M4:M54" si="1">Q4/E4</f>
        <v>0.88644264194669753</v>
      </c>
      <c r="N4" s="40">
        <f>MFL!W4</f>
        <v>3623</v>
      </c>
      <c r="O4" s="40">
        <f>MFL!X4</f>
        <v>23</v>
      </c>
      <c r="P4" s="40">
        <f>MFL!Y4</f>
        <v>3</v>
      </c>
      <c r="Q4" s="40">
        <f>MFL!Z4</f>
        <v>22.95</v>
      </c>
      <c r="R4" s="40">
        <f>MFL!AA4</f>
        <v>67.47</v>
      </c>
      <c r="S4" s="40">
        <f>MFL!AB4</f>
        <v>1</v>
      </c>
      <c r="T4" s="48">
        <f t="shared" ref="T4:T35" si="2">Q4/R4</f>
        <v>0.34015117830146729</v>
      </c>
      <c r="U4" s="49">
        <f t="shared" ref="U4:U35" si="3">O4/N4</f>
        <v>6.3483301131658848E-3</v>
      </c>
      <c r="V4" s="49">
        <f t="shared" ref="V4:V35" si="4">P4/O4</f>
        <v>0.13043478260869565</v>
      </c>
      <c r="W4" s="50">
        <f t="shared" ref="W4:W35" si="5">Q4/P4</f>
        <v>7.6499999999999995</v>
      </c>
    </row>
    <row r="5" spans="1:23" ht="29.1" customHeight="1" x14ac:dyDescent="0.15">
      <c r="A5" s="38" t="s">
        <v>130</v>
      </c>
      <c r="B5" s="66" t="s">
        <v>131</v>
      </c>
      <c r="C5" s="39">
        <f>MFL!C5</f>
        <v>9</v>
      </c>
      <c r="D5" s="40">
        <f>MFL!D5</f>
        <v>9</v>
      </c>
      <c r="E5" s="41">
        <f>MFL!E5</f>
        <v>233.01</v>
      </c>
      <c r="F5" s="42">
        <v>51</v>
      </c>
      <c r="G5" s="43">
        <v>204</v>
      </c>
      <c r="H5" s="44">
        <v>255</v>
      </c>
      <c r="I5" s="43">
        <v>73</v>
      </c>
      <c r="J5" s="43">
        <v>286</v>
      </c>
      <c r="K5" s="45">
        <v>359</v>
      </c>
      <c r="L5" s="46">
        <f t="shared" si="0"/>
        <v>3.5294117647058823E-2</v>
      </c>
      <c r="M5" s="47">
        <f t="shared" si="1"/>
        <v>0.90365220376807864</v>
      </c>
      <c r="N5" s="40">
        <f>MFL!W5</f>
        <v>23992</v>
      </c>
      <c r="O5" s="40">
        <f>MFL!X5</f>
        <v>187</v>
      </c>
      <c r="P5" s="40">
        <f>MFL!Y5</f>
        <v>8</v>
      </c>
      <c r="Q5" s="40">
        <f>MFL!Z5</f>
        <v>210.56</v>
      </c>
      <c r="R5" s="40">
        <f>MFL!AA5</f>
        <v>207.12</v>
      </c>
      <c r="S5" s="40">
        <f>MFL!AB5</f>
        <v>1.1299999999999999</v>
      </c>
      <c r="T5" s="48">
        <f t="shared" si="2"/>
        <v>1.0166087292390884</v>
      </c>
      <c r="U5" s="49">
        <f t="shared" si="3"/>
        <v>7.7942647549183062E-3</v>
      </c>
      <c r="V5" s="49">
        <f t="shared" si="4"/>
        <v>4.2780748663101602E-2</v>
      </c>
      <c r="W5" s="50">
        <f t="shared" si="5"/>
        <v>26.32</v>
      </c>
    </row>
    <row r="6" spans="1:23" ht="29.1" customHeight="1" x14ac:dyDescent="0.15">
      <c r="A6" s="38" t="s">
        <v>133</v>
      </c>
      <c r="B6" s="66" t="s">
        <v>134</v>
      </c>
      <c r="C6" s="39">
        <f>MFL!C6</f>
        <v>13</v>
      </c>
      <c r="D6" s="40">
        <f>MFL!D6</f>
        <v>13</v>
      </c>
      <c r="E6" s="41">
        <f>MFL!E6</f>
        <v>336.57</v>
      </c>
      <c r="F6" s="42">
        <v>91</v>
      </c>
      <c r="G6" s="43">
        <v>117</v>
      </c>
      <c r="H6" s="44">
        <v>208</v>
      </c>
      <c r="I6" s="43">
        <v>109</v>
      </c>
      <c r="J6" s="43">
        <v>160</v>
      </c>
      <c r="K6" s="45">
        <v>269</v>
      </c>
      <c r="L6" s="46">
        <f t="shared" si="0"/>
        <v>6.25E-2</v>
      </c>
      <c r="M6" s="47">
        <f t="shared" si="1"/>
        <v>0.24093056422141013</v>
      </c>
      <c r="N6" s="40">
        <f>MFL!W6</f>
        <v>5571</v>
      </c>
      <c r="O6" s="40">
        <f>MFL!X6</f>
        <v>94</v>
      </c>
      <c r="P6" s="40">
        <f>MFL!Y6</f>
        <v>4</v>
      </c>
      <c r="Q6" s="40">
        <f>MFL!Z6</f>
        <v>81.09</v>
      </c>
      <c r="R6" s="40" t="str">
        <f>MFL!AA6</f>
        <v>‎103.56</v>
      </c>
      <c r="S6" s="40">
        <f>MFL!AB6</f>
        <v>0.86</v>
      </c>
      <c r="T6" s="48" t="e">
        <f t="shared" si="2"/>
        <v>#VALUE!</v>
      </c>
      <c r="U6" s="49">
        <f t="shared" si="3"/>
        <v>1.6873092802010412E-2</v>
      </c>
      <c r="V6" s="49">
        <f t="shared" si="4"/>
        <v>4.2553191489361701E-2</v>
      </c>
      <c r="W6" s="50">
        <f t="shared" si="5"/>
        <v>20.272500000000001</v>
      </c>
    </row>
    <row r="7" spans="1:23" ht="29.1" customHeight="1" x14ac:dyDescent="0.15">
      <c r="A7" s="38" t="s">
        <v>136</v>
      </c>
      <c r="B7" s="66" t="s">
        <v>137</v>
      </c>
      <c r="C7" s="39">
        <f>MFL!C7</f>
        <v>25</v>
      </c>
      <c r="D7" s="40">
        <f>MFL!D7</f>
        <v>23</v>
      </c>
      <c r="E7" s="41">
        <f>MFL!E7</f>
        <v>587.67999999999995</v>
      </c>
      <c r="F7" s="42">
        <v>134</v>
      </c>
      <c r="G7" s="43">
        <v>354</v>
      </c>
      <c r="H7" s="44">
        <v>488</v>
      </c>
      <c r="I7" s="43">
        <v>176</v>
      </c>
      <c r="J7" s="43">
        <v>462</v>
      </c>
      <c r="K7" s="45">
        <v>638</v>
      </c>
      <c r="L7" s="46">
        <f t="shared" si="0"/>
        <v>4.7131147540983603E-2</v>
      </c>
      <c r="M7" s="47">
        <f t="shared" si="1"/>
        <v>0.42193030220528183</v>
      </c>
      <c r="N7" s="40">
        <f>MFL!W7</f>
        <v>13993</v>
      </c>
      <c r="O7" s="40">
        <f>MFL!X7</f>
        <v>268</v>
      </c>
      <c r="P7" s="40">
        <f>MFL!Y7</f>
        <v>19</v>
      </c>
      <c r="Q7" s="40">
        <f>MFL!Z7</f>
        <v>247.96</v>
      </c>
      <c r="R7" s="40">
        <f>MFL!AA7</f>
        <v>494.48</v>
      </c>
      <c r="S7" s="40">
        <f>MFL!AB7</f>
        <v>0.93</v>
      </c>
      <c r="T7" s="48">
        <f t="shared" si="2"/>
        <v>0.50145607506875911</v>
      </c>
      <c r="U7" s="49">
        <f t="shared" si="3"/>
        <v>1.9152433359536911E-2</v>
      </c>
      <c r="V7" s="49">
        <f t="shared" si="4"/>
        <v>7.0895522388059698E-2</v>
      </c>
      <c r="W7" s="50">
        <f t="shared" si="5"/>
        <v>13.050526315789474</v>
      </c>
    </row>
    <row r="8" spans="1:23" ht="29.1" customHeight="1" x14ac:dyDescent="0.15">
      <c r="A8" s="38" t="s">
        <v>139</v>
      </c>
      <c r="B8" s="66" t="s">
        <v>140</v>
      </c>
      <c r="C8" s="39">
        <f>MFL!C8</f>
        <v>17</v>
      </c>
      <c r="D8" s="40">
        <f>MFL!D8</f>
        <v>17</v>
      </c>
      <c r="E8" s="41">
        <f>MFL!E8</f>
        <v>446.36</v>
      </c>
      <c r="F8" s="42">
        <v>114</v>
      </c>
      <c r="G8" s="43">
        <v>465</v>
      </c>
      <c r="H8" s="44">
        <v>579</v>
      </c>
      <c r="I8" s="43">
        <v>145</v>
      </c>
      <c r="J8" s="43">
        <v>641</v>
      </c>
      <c r="K8" s="45">
        <v>786</v>
      </c>
      <c r="L8" s="46">
        <f t="shared" si="0"/>
        <v>2.9360967184801381E-2</v>
      </c>
      <c r="M8" s="47">
        <f t="shared" si="1"/>
        <v>0.81449950712429431</v>
      </c>
      <c r="N8" s="40">
        <f>MFL!W8</f>
        <v>14788</v>
      </c>
      <c r="O8" s="40">
        <f>MFL!X8</f>
        <v>386</v>
      </c>
      <c r="P8" s="40">
        <f>MFL!Y8</f>
        <v>20</v>
      </c>
      <c r="Q8" s="40">
        <f>MFL!Z8</f>
        <v>363.56</v>
      </c>
      <c r="R8" s="40">
        <f>MFL!AA8</f>
        <v>535.22</v>
      </c>
      <c r="S8" s="40">
        <f>MFL!AB8</f>
        <v>0.94</v>
      </c>
      <c r="T8" s="48">
        <f t="shared" si="2"/>
        <v>0.67927207503456521</v>
      </c>
      <c r="U8" s="49">
        <f t="shared" si="3"/>
        <v>2.6102245063565052E-2</v>
      </c>
      <c r="V8" s="49">
        <f t="shared" si="4"/>
        <v>5.181347150259067E-2</v>
      </c>
      <c r="W8" s="50">
        <f t="shared" si="5"/>
        <v>18.178000000000001</v>
      </c>
    </row>
    <row r="9" spans="1:23" ht="29.1" customHeight="1" x14ac:dyDescent="0.15">
      <c r="A9" s="38" t="s">
        <v>142</v>
      </c>
      <c r="B9" s="66" t="s">
        <v>143</v>
      </c>
      <c r="C9" s="39">
        <f>MFL!C9</f>
        <v>15</v>
      </c>
      <c r="D9" s="40">
        <f>MFL!D9</f>
        <v>14</v>
      </c>
      <c r="E9" s="41">
        <f>MFL!E9</f>
        <v>397.99</v>
      </c>
      <c r="F9" s="42">
        <v>144</v>
      </c>
      <c r="G9" s="43">
        <v>650</v>
      </c>
      <c r="H9" s="44">
        <v>794</v>
      </c>
      <c r="I9" s="43">
        <v>171</v>
      </c>
      <c r="J9" s="43">
        <v>822</v>
      </c>
      <c r="K9" s="45">
        <v>993</v>
      </c>
      <c r="L9" s="46">
        <f t="shared" si="0"/>
        <v>1.7632241813602016E-2</v>
      </c>
      <c r="M9" s="47">
        <f t="shared" si="1"/>
        <v>0.93514912434985809</v>
      </c>
      <c r="N9" s="40">
        <f>MFL!W9</f>
        <v>21556</v>
      </c>
      <c r="O9" s="40">
        <f>MFL!X9</f>
        <v>421</v>
      </c>
      <c r="P9" s="40">
        <f>MFL!Y9</f>
        <v>10</v>
      </c>
      <c r="Q9" s="40">
        <f>MFL!Z9</f>
        <v>372.18</v>
      </c>
      <c r="R9" s="40">
        <f>MFL!AA9</f>
        <v>293.11</v>
      </c>
      <c r="S9" s="40">
        <f>MFL!AB9</f>
        <v>0.89</v>
      </c>
      <c r="T9" s="48">
        <f t="shared" si="2"/>
        <v>1.2697622053154105</v>
      </c>
      <c r="U9" s="49">
        <f t="shared" si="3"/>
        <v>1.9530525143811466E-2</v>
      </c>
      <c r="V9" s="49">
        <f t="shared" si="4"/>
        <v>2.3752969121140142E-2</v>
      </c>
      <c r="W9" s="50">
        <f t="shared" si="5"/>
        <v>37.218000000000004</v>
      </c>
    </row>
    <row r="10" spans="1:23" ht="29.1" customHeight="1" x14ac:dyDescent="0.15">
      <c r="A10" s="38" t="s">
        <v>144</v>
      </c>
      <c r="B10" s="66" t="s">
        <v>145</v>
      </c>
      <c r="C10" s="39">
        <f>MFL!C10</f>
        <v>24</v>
      </c>
      <c r="D10" s="40">
        <f>MFL!D10</f>
        <v>24</v>
      </c>
      <c r="E10" s="41">
        <f>MFL!E10</f>
        <v>580.82400000000007</v>
      </c>
      <c r="F10" s="42">
        <v>115</v>
      </c>
      <c r="G10" s="43">
        <v>495</v>
      </c>
      <c r="H10" s="44">
        <v>610</v>
      </c>
      <c r="I10" s="43">
        <v>137</v>
      </c>
      <c r="J10" s="43">
        <v>667</v>
      </c>
      <c r="K10" s="45">
        <v>804</v>
      </c>
      <c r="L10" s="46">
        <f t="shared" si="0"/>
        <v>3.9344262295081971E-2</v>
      </c>
      <c r="M10" s="47">
        <f t="shared" si="1"/>
        <v>0.61915485585995067</v>
      </c>
      <c r="N10" s="40">
        <f>MFL!W10</f>
        <v>25003</v>
      </c>
      <c r="O10" s="40">
        <f>MFL!X10</f>
        <v>432</v>
      </c>
      <c r="P10" s="40">
        <f>MFL!Y10</f>
        <v>18</v>
      </c>
      <c r="Q10" s="40">
        <f>MFL!Z10</f>
        <v>359.62</v>
      </c>
      <c r="R10" s="40">
        <f>MFL!AA10</f>
        <v>484.02</v>
      </c>
      <c r="S10" s="40">
        <f>MFL!AB10</f>
        <v>0.83</v>
      </c>
      <c r="T10" s="48">
        <f t="shared" si="2"/>
        <v>0.74298582703194083</v>
      </c>
      <c r="U10" s="49">
        <f t="shared" si="3"/>
        <v>1.7277926648802143E-2</v>
      </c>
      <c r="V10" s="49">
        <f t="shared" si="4"/>
        <v>4.1666666666666664E-2</v>
      </c>
      <c r="W10" s="50">
        <f t="shared" si="5"/>
        <v>19.978888888888889</v>
      </c>
    </row>
    <row r="11" spans="1:23" ht="29.1" customHeight="1" x14ac:dyDescent="0.15">
      <c r="A11" s="38" t="s">
        <v>147</v>
      </c>
      <c r="B11" s="66" t="s">
        <v>148</v>
      </c>
      <c r="C11" s="39">
        <f>MFL!C11</f>
        <v>17</v>
      </c>
      <c r="D11" s="40">
        <f>MFL!D11</f>
        <v>17</v>
      </c>
      <c r="E11" s="41">
        <f>MFL!E11</f>
        <v>411.4</v>
      </c>
      <c r="F11" s="42">
        <v>149</v>
      </c>
      <c r="G11" s="43">
        <v>507</v>
      </c>
      <c r="H11" s="44">
        <v>656</v>
      </c>
      <c r="I11" s="43">
        <v>188</v>
      </c>
      <c r="J11" s="43">
        <v>657</v>
      </c>
      <c r="K11" s="45">
        <v>845</v>
      </c>
      <c r="L11" s="46">
        <f t="shared" si="0"/>
        <v>2.5914634146341462E-2</v>
      </c>
      <c r="M11" s="47">
        <f t="shared" si="1"/>
        <v>1.1737724842002917</v>
      </c>
      <c r="N11" s="40">
        <f>MFL!W11</f>
        <v>22037</v>
      </c>
      <c r="O11" s="40">
        <f>MFL!X11</f>
        <v>436</v>
      </c>
      <c r="P11" s="40">
        <f>MFL!Y11</f>
        <v>13</v>
      </c>
      <c r="Q11" s="40">
        <f>MFL!Z11</f>
        <v>482.89</v>
      </c>
      <c r="R11" s="40">
        <f>MFL!AA11</f>
        <v>314.60000000000002</v>
      </c>
      <c r="S11" s="40">
        <f>MFL!AB11</f>
        <v>1.1100000000000001</v>
      </c>
      <c r="T11" s="48">
        <f t="shared" si="2"/>
        <v>1.5349332485696121</v>
      </c>
      <c r="U11" s="49">
        <f t="shared" si="3"/>
        <v>1.9784907201524708E-2</v>
      </c>
      <c r="V11" s="49">
        <f t="shared" si="4"/>
        <v>2.9816513761467892E-2</v>
      </c>
      <c r="W11" s="50">
        <f t="shared" si="5"/>
        <v>37.145384615384614</v>
      </c>
    </row>
    <row r="12" spans="1:23" ht="29.1" customHeight="1" x14ac:dyDescent="0.15">
      <c r="A12" s="38" t="s">
        <v>150</v>
      </c>
      <c r="B12" s="66" t="s">
        <v>151</v>
      </c>
      <c r="C12" s="39">
        <f>MFL!C12</f>
        <v>5</v>
      </c>
      <c r="D12" s="40">
        <f>MFL!D12</f>
        <v>5</v>
      </c>
      <c r="E12" s="41">
        <f>MFL!E12</f>
        <v>126.38</v>
      </c>
      <c r="F12" s="42">
        <v>74</v>
      </c>
      <c r="G12" s="43">
        <v>222</v>
      </c>
      <c r="H12" s="44">
        <v>296</v>
      </c>
      <c r="I12" s="43">
        <v>100</v>
      </c>
      <c r="J12" s="43">
        <v>283</v>
      </c>
      <c r="K12" s="45">
        <v>383</v>
      </c>
      <c r="L12" s="46">
        <f t="shared" si="0"/>
        <v>1.6891891891891893E-2</v>
      </c>
      <c r="M12" s="47">
        <f t="shared" si="1"/>
        <v>1.1044469061560376</v>
      </c>
      <c r="N12" s="40">
        <f>MFL!W12</f>
        <v>8091</v>
      </c>
      <c r="O12" s="40">
        <f>MFL!X12</f>
        <v>135</v>
      </c>
      <c r="P12" s="40">
        <f>MFL!Y12</f>
        <v>4</v>
      </c>
      <c r="Q12" s="40">
        <f>MFL!Z12</f>
        <v>139.58000000000001</v>
      </c>
      <c r="R12" s="40">
        <f>MFL!AA12</f>
        <v>104.87</v>
      </c>
      <c r="S12" s="40">
        <f>MFL!AB12</f>
        <v>1.03</v>
      </c>
      <c r="T12" s="48">
        <f t="shared" si="2"/>
        <v>1.3309812148374178</v>
      </c>
      <c r="U12" s="49">
        <f t="shared" si="3"/>
        <v>1.6685205784204672E-2</v>
      </c>
      <c r="V12" s="49">
        <f t="shared" si="4"/>
        <v>2.9629629629629631E-2</v>
      </c>
      <c r="W12" s="50">
        <f t="shared" si="5"/>
        <v>34.895000000000003</v>
      </c>
    </row>
    <row r="13" spans="1:23" ht="29.1" customHeight="1" x14ac:dyDescent="0.15">
      <c r="A13" s="38" t="s">
        <v>154</v>
      </c>
      <c r="B13" s="66" t="s">
        <v>155</v>
      </c>
      <c r="C13" s="39">
        <f>MFL!C13</f>
        <v>30</v>
      </c>
      <c r="D13" s="40">
        <f>MFL!D13</f>
        <v>30</v>
      </c>
      <c r="E13" s="41">
        <f>MFL!E13</f>
        <v>806.7</v>
      </c>
      <c r="F13" s="42">
        <v>170</v>
      </c>
      <c r="G13" s="43">
        <v>745</v>
      </c>
      <c r="H13" s="44">
        <v>915</v>
      </c>
      <c r="I13" s="43">
        <v>215</v>
      </c>
      <c r="J13" s="43">
        <v>1022</v>
      </c>
      <c r="K13" s="45">
        <v>1237</v>
      </c>
      <c r="L13" s="46">
        <f t="shared" ref="L13:L53" si="6">D13/H13</f>
        <v>3.2786885245901641E-2</v>
      </c>
      <c r="M13" s="47">
        <f t="shared" si="1"/>
        <v>0.71942481715631579</v>
      </c>
      <c r="N13" s="40">
        <f>MFL!W13</f>
        <v>23919</v>
      </c>
      <c r="O13" s="40">
        <f>MFL!X13</f>
        <v>569</v>
      </c>
      <c r="P13" s="40">
        <f>MFL!Y13</f>
        <v>24</v>
      </c>
      <c r="Q13" s="40">
        <f>MFL!Z13</f>
        <v>580.36</v>
      </c>
      <c r="R13" s="40">
        <f>MFL!AA13</f>
        <v>633.46</v>
      </c>
      <c r="S13" s="40">
        <f>MFL!AB13</f>
        <v>1.03</v>
      </c>
      <c r="T13" s="48">
        <f t="shared" si="2"/>
        <v>0.91617465980488111</v>
      </c>
      <c r="U13" s="49">
        <f t="shared" si="3"/>
        <v>2.3788619925582174E-2</v>
      </c>
      <c r="V13" s="49">
        <f t="shared" si="4"/>
        <v>4.21792618629174E-2</v>
      </c>
      <c r="W13" s="50">
        <f t="shared" si="5"/>
        <v>24.181666666666668</v>
      </c>
    </row>
    <row r="14" spans="1:23" ht="29.1" customHeight="1" x14ac:dyDescent="0.15">
      <c r="A14" s="38" t="s">
        <v>156</v>
      </c>
      <c r="B14" s="66" t="s">
        <v>157</v>
      </c>
      <c r="C14" s="39">
        <f>MFL!C14</f>
        <v>34</v>
      </c>
      <c r="D14" s="40">
        <f>MFL!D14</f>
        <v>34</v>
      </c>
      <c r="E14" s="41">
        <f>MFL!E14</f>
        <v>813.26</v>
      </c>
      <c r="F14" s="42">
        <v>212</v>
      </c>
      <c r="G14" s="43">
        <v>930</v>
      </c>
      <c r="H14" s="44">
        <v>1142</v>
      </c>
      <c r="I14" s="43">
        <v>311</v>
      </c>
      <c r="J14" s="43">
        <v>1247</v>
      </c>
      <c r="K14" s="45">
        <v>1558</v>
      </c>
      <c r="L14" s="46">
        <f t="shared" si="6"/>
        <v>2.9772329246935202E-2</v>
      </c>
      <c r="M14" s="47">
        <f t="shared" si="1"/>
        <v>0.81817622900425446</v>
      </c>
      <c r="N14" s="40">
        <f>MFL!W14</f>
        <v>30778</v>
      </c>
      <c r="O14" s="40">
        <f>MFL!X14</f>
        <v>645</v>
      </c>
      <c r="P14" s="40">
        <f>MFL!Y14</f>
        <v>29</v>
      </c>
      <c r="Q14" s="40">
        <f>MFL!Z14</f>
        <v>665.39</v>
      </c>
      <c r="R14" s="40">
        <f>MFL!AA14</f>
        <v>688.29</v>
      </c>
      <c r="S14" s="40">
        <f>MFL!AB14</f>
        <v>1.03</v>
      </c>
      <c r="T14" s="48">
        <f t="shared" si="2"/>
        <v>0.96672914033328983</v>
      </c>
      <c r="U14" s="49">
        <f t="shared" si="3"/>
        <v>2.0956527389693936E-2</v>
      </c>
      <c r="V14" s="49">
        <f t="shared" si="4"/>
        <v>4.4961240310077519E-2</v>
      </c>
      <c r="W14" s="50">
        <f t="shared" si="5"/>
        <v>22.944482758620691</v>
      </c>
    </row>
    <row r="15" spans="1:23" ht="29.1" customHeight="1" x14ac:dyDescent="0.15">
      <c r="A15" s="38" t="s">
        <v>158</v>
      </c>
      <c r="B15" s="66" t="s">
        <v>159</v>
      </c>
      <c r="C15" s="39">
        <f>MFL!C15</f>
        <v>22</v>
      </c>
      <c r="D15" s="40">
        <f>MFL!D15</f>
        <v>21</v>
      </c>
      <c r="E15" s="41">
        <f>MFL!E15</f>
        <v>586.17999999999995</v>
      </c>
      <c r="F15" s="42">
        <v>98</v>
      </c>
      <c r="G15" s="43">
        <v>333</v>
      </c>
      <c r="H15" s="44">
        <v>431</v>
      </c>
      <c r="I15" s="43">
        <v>116</v>
      </c>
      <c r="J15" s="43">
        <v>444</v>
      </c>
      <c r="K15" s="45">
        <v>560</v>
      </c>
      <c r="L15" s="46">
        <f t="shared" si="6"/>
        <v>4.8723897911832945E-2</v>
      </c>
      <c r="M15" s="47">
        <f t="shared" si="1"/>
        <v>0.27274898495342731</v>
      </c>
      <c r="N15" s="40">
        <f>MFL!W15</f>
        <v>7341</v>
      </c>
      <c r="O15" s="40">
        <f>MFL!X15</f>
        <v>198</v>
      </c>
      <c r="P15" s="40">
        <f>MFL!Y15</f>
        <v>7</v>
      </c>
      <c r="Q15" s="40">
        <f>MFL!Z15</f>
        <v>159.88</v>
      </c>
      <c r="R15" s="40">
        <f>MFL!AA15</f>
        <v>188.23</v>
      </c>
      <c r="S15" s="40">
        <f>MFL!AB15</f>
        <v>0.81</v>
      </c>
      <c r="T15" s="48">
        <f t="shared" si="2"/>
        <v>0.84938638899219043</v>
      </c>
      <c r="U15" s="49">
        <f t="shared" si="3"/>
        <v>2.6971802206783815E-2</v>
      </c>
      <c r="V15" s="49">
        <f t="shared" si="4"/>
        <v>3.5353535353535352E-2</v>
      </c>
      <c r="W15" s="50">
        <f t="shared" si="5"/>
        <v>22.84</v>
      </c>
    </row>
    <row r="16" spans="1:23" ht="29.1" customHeight="1" x14ac:dyDescent="0.15">
      <c r="A16" s="38" t="s">
        <v>160</v>
      </c>
      <c r="B16" s="66" t="s">
        <v>161</v>
      </c>
      <c r="C16" s="39">
        <f>MFL!C16</f>
        <v>8</v>
      </c>
      <c r="D16" s="40">
        <f>MFL!D16</f>
        <v>8</v>
      </c>
      <c r="E16" s="41">
        <f>MFL!E16</f>
        <v>209.72</v>
      </c>
      <c r="F16" s="42">
        <v>57</v>
      </c>
      <c r="G16" s="43">
        <v>194</v>
      </c>
      <c r="H16" s="44">
        <v>251</v>
      </c>
      <c r="I16" s="43">
        <v>77</v>
      </c>
      <c r="J16" s="43">
        <v>240</v>
      </c>
      <c r="K16" s="45">
        <v>317</v>
      </c>
      <c r="L16" s="46">
        <f t="shared" si="6"/>
        <v>3.1872509960159362E-2</v>
      </c>
      <c r="M16" s="47">
        <f t="shared" si="1"/>
        <v>0.27355521647911502</v>
      </c>
      <c r="N16" s="40">
        <f>MFL!W16</f>
        <v>3852</v>
      </c>
      <c r="O16" s="40">
        <f>MFL!X16</f>
        <v>71</v>
      </c>
      <c r="P16" s="40">
        <f>MFL!Y16</f>
        <v>2</v>
      </c>
      <c r="Q16" s="40">
        <f>MFL!Z16</f>
        <v>57.37</v>
      </c>
      <c r="R16" s="40">
        <f>MFL!AA16</f>
        <v>53.78</v>
      </c>
      <c r="S16" s="40">
        <f>MFL!AB16</f>
        <v>0.81</v>
      </c>
      <c r="T16" s="48">
        <f t="shared" si="2"/>
        <v>1.0667534399404983</v>
      </c>
      <c r="U16" s="49">
        <f t="shared" si="3"/>
        <v>1.8431983385254414E-2</v>
      </c>
      <c r="V16" s="49">
        <f t="shared" si="4"/>
        <v>2.8169014084507043E-2</v>
      </c>
      <c r="W16" s="50">
        <f t="shared" si="5"/>
        <v>28.684999999999999</v>
      </c>
    </row>
    <row r="17" spans="1:23" ht="29.1" customHeight="1" x14ac:dyDescent="0.15">
      <c r="A17" s="38" t="s">
        <v>162</v>
      </c>
      <c r="B17" s="66" t="s">
        <v>163</v>
      </c>
      <c r="C17" s="39">
        <f>MFL!C17</f>
        <v>10</v>
      </c>
      <c r="D17" s="40">
        <f>MFL!D17</f>
        <v>10</v>
      </c>
      <c r="E17" s="41">
        <f>MFL!E17</f>
        <v>268.89999999999998</v>
      </c>
      <c r="F17" s="42">
        <v>50</v>
      </c>
      <c r="G17" s="43">
        <v>136</v>
      </c>
      <c r="H17" s="44">
        <v>186</v>
      </c>
      <c r="I17" s="43">
        <v>64</v>
      </c>
      <c r="J17" s="43">
        <v>185</v>
      </c>
      <c r="K17" s="45">
        <v>249</v>
      </c>
      <c r="L17" s="46">
        <f t="shared" si="6"/>
        <v>5.3763440860215055E-2</v>
      </c>
      <c r="M17" s="47">
        <f t="shared" si="1"/>
        <v>0.35879509111193758</v>
      </c>
      <c r="N17" s="40">
        <f>MFL!W17</f>
        <v>4447</v>
      </c>
      <c r="O17" s="40">
        <f>MFL!X17</f>
        <v>120</v>
      </c>
      <c r="P17" s="40">
        <f>MFL!Y17</f>
        <v>7</v>
      </c>
      <c r="Q17" s="40">
        <f>MFL!Z17</f>
        <v>96.48</v>
      </c>
      <c r="R17" s="40">
        <f>MFL!AA17</f>
        <v>188.23</v>
      </c>
      <c r="S17" s="40">
        <f>MFL!AB17</f>
        <v>0.8</v>
      </c>
      <c r="T17" s="48">
        <f t="shared" si="2"/>
        <v>0.51256441587419654</v>
      </c>
      <c r="U17" s="49">
        <f t="shared" si="3"/>
        <v>2.6984483921744996E-2</v>
      </c>
      <c r="V17" s="49">
        <f t="shared" si="4"/>
        <v>5.8333333333333334E-2</v>
      </c>
      <c r="W17" s="50">
        <f t="shared" si="5"/>
        <v>13.782857142857143</v>
      </c>
    </row>
    <row r="18" spans="1:23" ht="29.1" customHeight="1" x14ac:dyDescent="0.15">
      <c r="A18" s="38" t="s">
        <v>165</v>
      </c>
      <c r="B18" s="38" t="s">
        <v>166</v>
      </c>
      <c r="C18" s="39">
        <f>MFL!C18</f>
        <v>43</v>
      </c>
      <c r="D18" s="40">
        <f>MFL!D18</f>
        <v>42</v>
      </c>
      <c r="E18" s="41">
        <f>MFL!E18</f>
        <v>891.61</v>
      </c>
      <c r="F18" s="42">
        <v>122</v>
      </c>
      <c r="G18" s="43">
        <v>575</v>
      </c>
      <c r="H18" s="44">
        <v>697</v>
      </c>
      <c r="I18" s="43">
        <v>154</v>
      </c>
      <c r="J18" s="43">
        <v>832</v>
      </c>
      <c r="K18" s="45">
        <v>986</v>
      </c>
      <c r="L18" s="46">
        <f t="shared" si="6"/>
        <v>6.0258249641319941E-2</v>
      </c>
      <c r="M18" s="47">
        <f t="shared" si="1"/>
        <v>0.43921669788360385</v>
      </c>
      <c r="N18" s="40">
        <f>MFL!W18</f>
        <v>22491</v>
      </c>
      <c r="O18" s="40">
        <f>MFL!X18</f>
        <v>426</v>
      </c>
      <c r="P18" s="40">
        <f>MFL!Y18</f>
        <v>31</v>
      </c>
      <c r="Q18" s="40">
        <f>MFL!Z18</f>
        <v>391.61</v>
      </c>
      <c r="R18" s="40">
        <f>MFL!AA18</f>
        <v>662.8</v>
      </c>
      <c r="S18" s="40">
        <f>MFL!AB18</f>
        <v>0.92</v>
      </c>
      <c r="T18" s="48">
        <f t="shared" si="2"/>
        <v>0.59084188292094153</v>
      </c>
      <c r="U18" s="49">
        <f t="shared" si="3"/>
        <v>1.8940909697212217E-2</v>
      </c>
      <c r="V18" s="49">
        <f t="shared" si="4"/>
        <v>7.2769953051643188E-2</v>
      </c>
      <c r="W18" s="50">
        <f t="shared" si="5"/>
        <v>12.632580645161291</v>
      </c>
    </row>
    <row r="19" spans="1:23" ht="29.1" customHeight="1" x14ac:dyDescent="0.15">
      <c r="A19" s="38" t="s">
        <v>167</v>
      </c>
      <c r="B19" s="38" t="s">
        <v>168</v>
      </c>
      <c r="C19" s="39">
        <f>MFL!C19</f>
        <v>52</v>
      </c>
      <c r="D19" s="40">
        <f>MFL!D19</f>
        <v>51</v>
      </c>
      <c r="E19" s="41">
        <f>MFL!E19</f>
        <v>1141.1500000000001</v>
      </c>
      <c r="F19" s="42">
        <v>192</v>
      </c>
      <c r="G19" s="43">
        <v>941</v>
      </c>
      <c r="H19" s="44">
        <v>1133</v>
      </c>
      <c r="I19" s="43">
        <v>238</v>
      </c>
      <c r="J19" s="43">
        <v>1320</v>
      </c>
      <c r="K19" s="45">
        <v>1558</v>
      </c>
      <c r="L19" s="46">
        <f t="shared" si="6"/>
        <v>4.5013239187996469E-2</v>
      </c>
      <c r="M19" s="47">
        <f t="shared" si="1"/>
        <v>0.5484467423213425</v>
      </c>
      <c r="N19" s="40">
        <f>MFL!W19</f>
        <v>36970</v>
      </c>
      <c r="O19" s="40">
        <f>MFL!X19</f>
        <v>694</v>
      </c>
      <c r="P19" s="40">
        <f>MFL!Y19</f>
        <v>45</v>
      </c>
      <c r="Q19" s="40">
        <f>MFL!Z19</f>
        <v>625.86</v>
      </c>
      <c r="R19" s="40">
        <f>MFL!AA19</f>
        <v>1038.5899999999999</v>
      </c>
      <c r="S19" s="40">
        <f>MFL!AB19</f>
        <v>0.9</v>
      </c>
      <c r="T19" s="48">
        <f t="shared" si="2"/>
        <v>0.60260545547328592</v>
      </c>
      <c r="U19" s="49">
        <f t="shared" si="3"/>
        <v>1.8771977278874762E-2</v>
      </c>
      <c r="V19" s="49">
        <f t="shared" si="4"/>
        <v>6.4841498559077809E-2</v>
      </c>
      <c r="W19" s="50">
        <f t="shared" si="5"/>
        <v>13.907999999999999</v>
      </c>
    </row>
    <row r="20" spans="1:23" ht="29.1" customHeight="1" x14ac:dyDescent="0.15">
      <c r="A20" s="38" t="s">
        <v>169</v>
      </c>
      <c r="B20" s="38" t="s">
        <v>170</v>
      </c>
      <c r="C20" s="39">
        <f>MFL!C20</f>
        <v>36</v>
      </c>
      <c r="D20" s="40">
        <f>MFL!D20</f>
        <v>34</v>
      </c>
      <c r="E20" s="41">
        <f>MFL!E20</f>
        <v>899.53</v>
      </c>
      <c r="F20" s="42">
        <v>212</v>
      </c>
      <c r="G20" s="43">
        <v>718</v>
      </c>
      <c r="H20" s="44">
        <v>930</v>
      </c>
      <c r="I20" s="43">
        <v>283</v>
      </c>
      <c r="J20" s="43">
        <v>1032</v>
      </c>
      <c r="K20" s="45">
        <v>1315</v>
      </c>
      <c r="L20" s="46">
        <f t="shared" si="6"/>
        <v>3.6559139784946237E-2</v>
      </c>
      <c r="M20" s="47">
        <f t="shared" si="1"/>
        <v>0.58432737096039045</v>
      </c>
      <c r="N20" s="40">
        <f>MFL!W20</f>
        <v>40483</v>
      </c>
      <c r="O20" s="40">
        <f>MFL!X20</f>
        <v>615</v>
      </c>
      <c r="P20" s="40">
        <f>MFL!Y20</f>
        <v>28</v>
      </c>
      <c r="Q20" s="40">
        <f>MFL!Z20</f>
        <v>525.62</v>
      </c>
      <c r="R20" s="40">
        <f>MFL!AA20</f>
        <v>725.42</v>
      </c>
      <c r="S20" s="40">
        <f>MFL!AB20</f>
        <v>0.85</v>
      </c>
      <c r="T20" s="48">
        <f t="shared" si="2"/>
        <v>0.72457335061068073</v>
      </c>
      <c r="U20" s="49">
        <f t="shared" si="3"/>
        <v>1.5191561890176123E-2</v>
      </c>
      <c r="V20" s="49">
        <f t="shared" si="4"/>
        <v>4.5528455284552849E-2</v>
      </c>
      <c r="W20" s="50">
        <f t="shared" si="5"/>
        <v>18.772142857142857</v>
      </c>
    </row>
    <row r="21" spans="1:23" ht="29.1" customHeight="1" x14ac:dyDescent="0.15">
      <c r="A21" s="38" t="s">
        <v>172</v>
      </c>
      <c r="B21" s="38" t="s">
        <v>173</v>
      </c>
      <c r="C21" s="39">
        <f>MFL!C21</f>
        <v>28</v>
      </c>
      <c r="D21" s="40">
        <f>MFL!D21</f>
        <v>28</v>
      </c>
      <c r="E21" s="41">
        <f>MFL!E21</f>
        <v>640.08000000000004</v>
      </c>
      <c r="F21" s="42">
        <v>181</v>
      </c>
      <c r="G21" s="43">
        <v>720</v>
      </c>
      <c r="H21" s="44">
        <v>901</v>
      </c>
      <c r="I21" s="43">
        <v>225</v>
      </c>
      <c r="J21" s="43">
        <v>1038</v>
      </c>
      <c r="K21" s="45">
        <v>1263</v>
      </c>
      <c r="L21" s="46">
        <f t="shared" si="6"/>
        <v>3.1076581576026639E-2</v>
      </c>
      <c r="M21" s="47">
        <f t="shared" si="1"/>
        <v>0.73672040994875632</v>
      </c>
      <c r="N21" s="40">
        <f>MFL!W21</f>
        <v>27854</v>
      </c>
      <c r="O21" s="40">
        <f>MFL!X21</f>
        <v>548</v>
      </c>
      <c r="P21" s="40">
        <f>MFL!Y21</f>
        <v>23</v>
      </c>
      <c r="Q21" s="40">
        <f>MFL!Z21</f>
        <v>471.56</v>
      </c>
      <c r="R21" s="40">
        <f>MFL!AA21</f>
        <v>529.84</v>
      </c>
      <c r="S21" s="40">
        <f>MFL!AB21</f>
        <v>0.86</v>
      </c>
      <c r="T21" s="48">
        <f t="shared" si="2"/>
        <v>0.89000452966933408</v>
      </c>
      <c r="U21" s="49">
        <f t="shared" si="3"/>
        <v>1.9674014504200473E-2</v>
      </c>
      <c r="V21" s="49">
        <f t="shared" si="4"/>
        <v>4.1970802919708027E-2</v>
      </c>
      <c r="W21" s="50">
        <f t="shared" si="5"/>
        <v>20.502608695652174</v>
      </c>
    </row>
    <row r="22" spans="1:23" ht="29.1" customHeight="1" x14ac:dyDescent="0.15">
      <c r="A22" s="38" t="s">
        <v>175</v>
      </c>
      <c r="B22" s="38" t="s">
        <v>176</v>
      </c>
      <c r="C22" s="39">
        <f>MFL!C22</f>
        <v>27</v>
      </c>
      <c r="D22" s="40">
        <f>MFL!D22</f>
        <v>26</v>
      </c>
      <c r="E22" s="41">
        <f>MFL!E22</f>
        <v>720.63</v>
      </c>
      <c r="F22" s="42">
        <v>168</v>
      </c>
      <c r="G22" s="43">
        <v>699</v>
      </c>
      <c r="H22" s="44">
        <v>867</v>
      </c>
      <c r="I22" s="43">
        <v>216</v>
      </c>
      <c r="J22" s="43">
        <v>1000</v>
      </c>
      <c r="K22" s="45">
        <v>1216</v>
      </c>
      <c r="L22" s="46">
        <f t="shared" si="6"/>
        <v>2.9988465974625143E-2</v>
      </c>
      <c r="M22" s="47">
        <f t="shared" si="1"/>
        <v>0.56385385010338174</v>
      </c>
      <c r="N22" s="40">
        <f>MFL!W22</f>
        <v>32749</v>
      </c>
      <c r="O22" s="40">
        <f>MFL!X22</f>
        <v>555</v>
      </c>
      <c r="P22" s="40">
        <f>MFL!Y22</f>
        <v>16</v>
      </c>
      <c r="Q22" s="40">
        <f>MFL!Z22</f>
        <v>406.33</v>
      </c>
      <c r="R22" s="40">
        <f>MFL!AA22</f>
        <v>424.44</v>
      </c>
      <c r="S22" s="40">
        <f>MFL!AB22</f>
        <v>0.73</v>
      </c>
      <c r="T22" s="48">
        <f t="shared" si="2"/>
        <v>0.95733201394778999</v>
      </c>
      <c r="U22" s="49">
        <f t="shared" si="3"/>
        <v>1.6947082353659652E-2</v>
      </c>
      <c r="V22" s="49">
        <f t="shared" si="4"/>
        <v>2.8828828828828829E-2</v>
      </c>
      <c r="W22" s="50">
        <f t="shared" si="5"/>
        <v>25.395624999999999</v>
      </c>
    </row>
    <row r="23" spans="1:23" ht="29.1" customHeight="1" x14ac:dyDescent="0.15">
      <c r="A23" s="38" t="s">
        <v>177</v>
      </c>
      <c r="B23" s="38" t="s">
        <v>178</v>
      </c>
      <c r="C23" s="39">
        <f>MFL!C23</f>
        <v>23</v>
      </c>
      <c r="D23" s="40">
        <f>MFL!D23</f>
        <v>23</v>
      </c>
      <c r="E23" s="41">
        <f>MFL!E23</f>
        <v>529.59</v>
      </c>
      <c r="F23" s="42">
        <v>115</v>
      </c>
      <c r="G23" s="43">
        <v>373</v>
      </c>
      <c r="H23" s="44">
        <v>488</v>
      </c>
      <c r="I23" s="43">
        <v>139</v>
      </c>
      <c r="J23" s="43">
        <v>561</v>
      </c>
      <c r="K23" s="45">
        <v>700</v>
      </c>
      <c r="L23" s="46">
        <f t="shared" si="6"/>
        <v>4.7131147540983603E-2</v>
      </c>
      <c r="M23" s="47">
        <f t="shared" si="1"/>
        <v>0.36207254668705979</v>
      </c>
      <c r="N23" s="40">
        <f>MFL!W23</f>
        <v>16030</v>
      </c>
      <c r="O23" s="40">
        <f>MFL!X23</f>
        <v>284</v>
      </c>
      <c r="P23" s="40">
        <f>MFL!Y23</f>
        <v>16</v>
      </c>
      <c r="Q23" s="40">
        <f>MFL!Z23</f>
        <v>191.75</v>
      </c>
      <c r="R23" s="40">
        <f>MFL!AA23</f>
        <v>373.76</v>
      </c>
      <c r="S23" s="40">
        <f>MFL!AB23</f>
        <v>0.68</v>
      </c>
      <c r="T23" s="48">
        <f t="shared" si="2"/>
        <v>0.51302975171232879</v>
      </c>
      <c r="U23" s="49">
        <f t="shared" si="3"/>
        <v>1.7716781035558328E-2</v>
      </c>
      <c r="V23" s="49">
        <f t="shared" si="4"/>
        <v>5.6338028169014086E-2</v>
      </c>
      <c r="W23" s="50">
        <f t="shared" si="5"/>
        <v>11.984375</v>
      </c>
    </row>
    <row r="24" spans="1:23" ht="29.1" customHeight="1" x14ac:dyDescent="0.15">
      <c r="A24" s="38" t="s">
        <v>179</v>
      </c>
      <c r="B24" s="38" t="s">
        <v>180</v>
      </c>
      <c r="C24" s="39">
        <f>MFL!C24</f>
        <v>28</v>
      </c>
      <c r="D24" s="40">
        <f>MFL!D24</f>
        <v>28</v>
      </c>
      <c r="E24" s="41">
        <f>MFL!E24</f>
        <v>639.79999999999995</v>
      </c>
      <c r="F24" s="42">
        <v>124</v>
      </c>
      <c r="G24" s="43">
        <v>520</v>
      </c>
      <c r="H24" s="44">
        <v>644</v>
      </c>
      <c r="I24" s="43">
        <v>175</v>
      </c>
      <c r="J24" s="43">
        <v>699</v>
      </c>
      <c r="K24" s="45">
        <v>874</v>
      </c>
      <c r="L24" s="46">
        <f t="shared" si="6"/>
        <v>4.3478260869565216E-2</v>
      </c>
      <c r="M24" s="47">
        <f t="shared" si="1"/>
        <v>0.36558299468583938</v>
      </c>
      <c r="N24" s="40">
        <f>MFL!W24</f>
        <v>18360</v>
      </c>
      <c r="O24" s="40">
        <f>MFL!X24</f>
        <v>356</v>
      </c>
      <c r="P24" s="40">
        <f>MFL!Y24</f>
        <v>20</v>
      </c>
      <c r="Q24" s="40">
        <f>MFL!Z24</f>
        <v>233.9</v>
      </c>
      <c r="R24" s="40">
        <f>MFL!AA24</f>
        <v>458.18</v>
      </c>
      <c r="S24" s="40">
        <f>MFL!AB24</f>
        <v>0.66</v>
      </c>
      <c r="T24" s="48">
        <f t="shared" si="2"/>
        <v>0.5104980575319743</v>
      </c>
      <c r="U24" s="49">
        <f t="shared" si="3"/>
        <v>1.9389978213507627E-2</v>
      </c>
      <c r="V24" s="49">
        <f t="shared" si="4"/>
        <v>5.6179775280898875E-2</v>
      </c>
      <c r="W24" s="50">
        <f t="shared" si="5"/>
        <v>11.695</v>
      </c>
    </row>
    <row r="25" spans="1:23" ht="29.1" customHeight="1" x14ac:dyDescent="0.15">
      <c r="A25" s="38" t="s">
        <v>181</v>
      </c>
      <c r="B25" s="38" t="s">
        <v>182</v>
      </c>
      <c r="C25" s="39">
        <f>MFL!C25</f>
        <v>31</v>
      </c>
      <c r="D25" s="40">
        <f>MFL!D25</f>
        <v>30</v>
      </c>
      <c r="E25" s="41">
        <f>MFL!E25</f>
        <v>708.35</v>
      </c>
      <c r="F25" s="42">
        <v>135</v>
      </c>
      <c r="G25" s="43">
        <v>474</v>
      </c>
      <c r="H25" s="44">
        <v>609</v>
      </c>
      <c r="I25" s="43">
        <v>186</v>
      </c>
      <c r="J25" s="43">
        <v>666</v>
      </c>
      <c r="K25" s="45">
        <v>852</v>
      </c>
      <c r="L25" s="46">
        <f t="shared" si="6"/>
        <v>4.9261083743842367E-2</v>
      </c>
      <c r="M25" s="47">
        <f t="shared" si="1"/>
        <v>0.34669301898778854</v>
      </c>
      <c r="N25" s="40">
        <f>MFL!W25</f>
        <v>18025</v>
      </c>
      <c r="O25" s="40">
        <f>MFL!X25</f>
        <v>373</v>
      </c>
      <c r="P25" s="40">
        <f>MFL!Y25</f>
        <v>23</v>
      </c>
      <c r="Q25" s="40">
        <f>MFL!Z25</f>
        <v>245.58</v>
      </c>
      <c r="R25" s="40">
        <f>MFL!AA25</f>
        <v>531.85</v>
      </c>
      <c r="S25" s="40">
        <f>MFL!AB25</f>
        <v>0.66</v>
      </c>
      <c r="T25" s="48">
        <f t="shared" si="2"/>
        <v>0.46174673310143838</v>
      </c>
      <c r="U25" s="49">
        <f t="shared" si="3"/>
        <v>2.0693481276005548E-2</v>
      </c>
      <c r="V25" s="49">
        <f t="shared" si="4"/>
        <v>6.1662198391420911E-2</v>
      </c>
      <c r="W25" s="50">
        <f t="shared" si="5"/>
        <v>10.677391304347827</v>
      </c>
    </row>
    <row r="26" spans="1:23" ht="29.1" customHeight="1" x14ac:dyDescent="0.15">
      <c r="A26" s="38" t="s">
        <v>183</v>
      </c>
      <c r="B26" s="38" t="s">
        <v>184</v>
      </c>
      <c r="C26" s="39">
        <f>MFL!C26</f>
        <v>35</v>
      </c>
      <c r="D26" s="40">
        <f>MFL!D26</f>
        <v>35</v>
      </c>
      <c r="E26" s="41">
        <f>MFL!E26</f>
        <v>796.81</v>
      </c>
      <c r="F26" s="42">
        <v>137</v>
      </c>
      <c r="G26" s="43">
        <v>579</v>
      </c>
      <c r="H26" s="44">
        <v>716</v>
      </c>
      <c r="I26" s="43">
        <v>180</v>
      </c>
      <c r="J26" s="43">
        <v>781</v>
      </c>
      <c r="K26" s="45">
        <v>961</v>
      </c>
      <c r="L26" s="46">
        <f t="shared" si="6"/>
        <v>4.8882681564245807E-2</v>
      </c>
      <c r="M26" s="47">
        <f t="shared" si="1"/>
        <v>0.26971298050978276</v>
      </c>
      <c r="N26" s="40">
        <f>MFL!W26</f>
        <v>19249</v>
      </c>
      <c r="O26" s="40">
        <f>MFL!X26</f>
        <v>339</v>
      </c>
      <c r="P26" s="40">
        <f>MFL!Y26</f>
        <v>18</v>
      </c>
      <c r="Q26" s="40">
        <f>MFL!Z26</f>
        <v>214.91</v>
      </c>
      <c r="R26" s="40">
        <f>MFL!AA26</f>
        <v>413.34</v>
      </c>
      <c r="S26" s="40">
        <f>MFL!AB26</f>
        <v>0.63</v>
      </c>
      <c r="T26" s="48">
        <f t="shared" si="2"/>
        <v>0.51993516233609138</v>
      </c>
      <c r="U26" s="49">
        <f t="shared" si="3"/>
        <v>1.7611304483349785E-2</v>
      </c>
      <c r="V26" s="49">
        <f t="shared" si="4"/>
        <v>5.3097345132743362E-2</v>
      </c>
      <c r="W26" s="50">
        <f t="shared" si="5"/>
        <v>11.939444444444444</v>
      </c>
    </row>
    <row r="27" spans="1:23" ht="29.1" customHeight="1" x14ac:dyDescent="0.15">
      <c r="A27" s="38" t="s">
        <v>185</v>
      </c>
      <c r="B27" s="38" t="s">
        <v>186</v>
      </c>
      <c r="C27" s="39">
        <f>MFL!C27</f>
        <v>39</v>
      </c>
      <c r="D27" s="40">
        <f>MFL!D27</f>
        <v>37</v>
      </c>
      <c r="E27" s="41">
        <f>MFL!E27</f>
        <v>891.15</v>
      </c>
      <c r="F27" s="42">
        <v>88</v>
      </c>
      <c r="G27" s="43">
        <v>533</v>
      </c>
      <c r="H27" s="44">
        <v>621</v>
      </c>
      <c r="I27" s="43">
        <v>114</v>
      </c>
      <c r="J27" s="43">
        <v>681</v>
      </c>
      <c r="K27" s="45">
        <v>795</v>
      </c>
      <c r="L27" s="46">
        <f t="shared" si="6"/>
        <v>5.9581320450885669E-2</v>
      </c>
      <c r="M27" s="47">
        <f t="shared" si="1"/>
        <v>0.23657072322280201</v>
      </c>
      <c r="N27" s="40">
        <f>MFL!W27</f>
        <v>14860</v>
      </c>
      <c r="O27" s="40">
        <f>MFL!X27</f>
        <v>326</v>
      </c>
      <c r="P27" s="40">
        <f>MFL!Y27</f>
        <v>24</v>
      </c>
      <c r="Q27" s="40">
        <f>MFL!Z27</f>
        <v>210.82</v>
      </c>
      <c r="R27" s="40">
        <f>MFL!AA27</f>
        <v>593.24</v>
      </c>
      <c r="S27" s="40">
        <f>MFL!AB27</f>
        <v>0.65</v>
      </c>
      <c r="T27" s="48">
        <f t="shared" si="2"/>
        <v>0.35537050772031553</v>
      </c>
      <c r="U27" s="49">
        <f t="shared" si="3"/>
        <v>2.1938088829071334E-2</v>
      </c>
      <c r="V27" s="49">
        <f t="shared" si="4"/>
        <v>7.3619631901840496E-2</v>
      </c>
      <c r="W27" s="50">
        <f t="shared" si="5"/>
        <v>8.7841666666666658</v>
      </c>
    </row>
    <row r="28" spans="1:23" ht="29.1" customHeight="1" x14ac:dyDescent="0.15">
      <c r="A28" s="38" t="s">
        <v>187</v>
      </c>
      <c r="B28" s="38" t="s">
        <v>188</v>
      </c>
      <c r="C28" s="39">
        <f>MFL!C28</f>
        <v>28</v>
      </c>
      <c r="D28" s="40">
        <f>MFL!D28</f>
        <v>28</v>
      </c>
      <c r="E28" s="41">
        <f>MFL!E28</f>
        <v>639.79999999999995</v>
      </c>
      <c r="F28" s="42">
        <v>86</v>
      </c>
      <c r="G28" s="43">
        <v>373</v>
      </c>
      <c r="H28" s="44">
        <v>459</v>
      </c>
      <c r="I28" s="43">
        <v>110</v>
      </c>
      <c r="J28" s="43">
        <v>464</v>
      </c>
      <c r="K28" s="45">
        <v>574</v>
      </c>
      <c r="L28" s="46">
        <f t="shared" si="6"/>
        <v>6.1002178649237473E-2</v>
      </c>
      <c r="M28" s="47">
        <f t="shared" si="1"/>
        <v>0.28499531103469838</v>
      </c>
      <c r="N28" s="40">
        <f>MFL!W28</f>
        <v>14641</v>
      </c>
      <c r="O28" s="40">
        <f>MFL!X28</f>
        <v>257</v>
      </c>
      <c r="P28" s="40">
        <f>MFL!Y28</f>
        <v>16</v>
      </c>
      <c r="Q28" s="40">
        <f>MFL!Z28</f>
        <v>182.34</v>
      </c>
      <c r="R28" s="40">
        <f>MFL!AA28</f>
        <v>364.9</v>
      </c>
      <c r="S28" s="40">
        <f>MFL!AB28</f>
        <v>0.71</v>
      </c>
      <c r="T28" s="48">
        <f t="shared" si="2"/>
        <v>0.49969854754727328</v>
      </c>
      <c r="U28" s="49">
        <f t="shared" si="3"/>
        <v>1.7553445802882317E-2</v>
      </c>
      <c r="V28" s="49">
        <f t="shared" si="4"/>
        <v>6.2256809338521402E-2</v>
      </c>
      <c r="W28" s="50">
        <f t="shared" si="5"/>
        <v>11.39625</v>
      </c>
    </row>
    <row r="29" spans="1:23" ht="29.1" customHeight="1" x14ac:dyDescent="0.15">
      <c r="A29" s="38" t="s">
        <v>189</v>
      </c>
      <c r="B29" s="38" t="s">
        <v>190</v>
      </c>
      <c r="C29" s="39">
        <f>MFL!C29</f>
        <v>27</v>
      </c>
      <c r="D29" s="40">
        <f>MFL!D29</f>
        <v>26</v>
      </c>
      <c r="E29" s="41">
        <f>MFL!E29</f>
        <v>616.95000000000005</v>
      </c>
      <c r="F29" s="42">
        <v>132</v>
      </c>
      <c r="G29" s="43">
        <v>434</v>
      </c>
      <c r="H29" s="44">
        <v>566</v>
      </c>
      <c r="I29" s="43">
        <v>195</v>
      </c>
      <c r="J29" s="43">
        <v>562</v>
      </c>
      <c r="K29" s="45">
        <v>757</v>
      </c>
      <c r="L29" s="46">
        <f t="shared" si="6"/>
        <v>4.5936395759717315E-2</v>
      </c>
      <c r="M29" s="47">
        <f t="shared" si="1"/>
        <v>0.37116460004862628</v>
      </c>
      <c r="N29" s="40">
        <f>MFL!W29</f>
        <v>19525</v>
      </c>
      <c r="O29" s="40">
        <f>MFL!X29</f>
        <v>324</v>
      </c>
      <c r="P29" s="40">
        <f>MFL!Y29</f>
        <v>21</v>
      </c>
      <c r="Q29" s="40">
        <f>MFL!Z29</f>
        <v>228.99</v>
      </c>
      <c r="R29" s="40">
        <f>MFL!AA29</f>
        <v>478.1</v>
      </c>
      <c r="S29" s="40">
        <f>MFL!AB29</f>
        <v>0.71</v>
      </c>
      <c r="T29" s="48">
        <f t="shared" si="2"/>
        <v>0.47895837690859655</v>
      </c>
      <c r="U29" s="49">
        <f t="shared" si="3"/>
        <v>1.6594110115236874E-2</v>
      </c>
      <c r="V29" s="49">
        <f t="shared" si="4"/>
        <v>6.4814814814814811E-2</v>
      </c>
      <c r="W29" s="50">
        <f t="shared" si="5"/>
        <v>10.904285714285715</v>
      </c>
    </row>
    <row r="30" spans="1:23" ht="29.1" customHeight="1" x14ac:dyDescent="0.15">
      <c r="A30" s="38" t="s">
        <v>191</v>
      </c>
      <c r="B30" s="38" t="s">
        <v>192</v>
      </c>
      <c r="C30" s="39">
        <f>MFL!C30</f>
        <v>17</v>
      </c>
      <c r="D30" s="40">
        <f>MFL!D30</f>
        <v>17</v>
      </c>
      <c r="E30" s="41">
        <f>MFL!E30</f>
        <v>388.45</v>
      </c>
      <c r="F30" s="42">
        <v>113</v>
      </c>
      <c r="G30" s="43">
        <v>385</v>
      </c>
      <c r="H30" s="44">
        <v>498</v>
      </c>
      <c r="I30" s="43">
        <v>143</v>
      </c>
      <c r="J30" s="43">
        <v>474</v>
      </c>
      <c r="K30" s="45">
        <v>617</v>
      </c>
      <c r="L30" s="46">
        <f t="shared" si="6"/>
        <v>3.4136546184738957E-2</v>
      </c>
      <c r="M30" s="47">
        <f t="shared" si="1"/>
        <v>0.5178272621959068</v>
      </c>
      <c r="N30" s="40">
        <f>MFL!W30</f>
        <v>14590</v>
      </c>
      <c r="O30" s="40">
        <f>MFL!X30</f>
        <v>286</v>
      </c>
      <c r="P30" s="40">
        <f>MFL!Y30</f>
        <v>12</v>
      </c>
      <c r="Q30" s="40">
        <f>MFL!Z30</f>
        <v>201.15</v>
      </c>
      <c r="R30" s="40">
        <f>MFL!AA30</f>
        <v>267.33999999999997</v>
      </c>
      <c r="S30" s="40">
        <f>MFL!AB30</f>
        <v>0.7</v>
      </c>
      <c r="T30" s="48">
        <f t="shared" si="2"/>
        <v>0.75241265803845303</v>
      </c>
      <c r="U30" s="49">
        <f t="shared" si="3"/>
        <v>1.9602467443454421E-2</v>
      </c>
      <c r="V30" s="49">
        <f t="shared" si="4"/>
        <v>4.195804195804196E-2</v>
      </c>
      <c r="W30" s="50">
        <f t="shared" si="5"/>
        <v>16.762499999999999</v>
      </c>
    </row>
    <row r="31" spans="1:23" ht="29.1" customHeight="1" x14ac:dyDescent="0.15">
      <c r="A31" s="38" t="s">
        <v>193</v>
      </c>
      <c r="B31" s="38" t="s">
        <v>194</v>
      </c>
      <c r="C31" s="39">
        <f>MFL!C31</f>
        <v>25</v>
      </c>
      <c r="D31" s="40">
        <f>MFL!D31</f>
        <v>25</v>
      </c>
      <c r="E31" s="41">
        <f>MFL!E31</f>
        <v>637.28</v>
      </c>
      <c r="F31" s="42">
        <v>108</v>
      </c>
      <c r="G31" s="43">
        <v>425</v>
      </c>
      <c r="H31" s="44">
        <v>533</v>
      </c>
      <c r="I31" s="43">
        <v>147</v>
      </c>
      <c r="J31" s="43">
        <v>542</v>
      </c>
      <c r="K31" s="45">
        <v>689</v>
      </c>
      <c r="L31" s="46">
        <f t="shared" si="6"/>
        <v>4.6904315196998121E-2</v>
      </c>
      <c r="M31" s="47">
        <f t="shared" si="1"/>
        <v>0.29983680642731614</v>
      </c>
      <c r="N31" s="40">
        <f>MFL!W31</f>
        <v>14836</v>
      </c>
      <c r="O31" s="40">
        <f>MFL!X31</f>
        <v>283</v>
      </c>
      <c r="P31" s="40">
        <f>MFL!Y31</f>
        <v>22</v>
      </c>
      <c r="Q31" s="40">
        <f>MFL!Z31</f>
        <v>191.08</v>
      </c>
      <c r="R31" s="40">
        <f>MFL!AA31</f>
        <v>554.86</v>
      </c>
      <c r="S31" s="40">
        <f>MFL!AB31</f>
        <v>0.68</v>
      </c>
      <c r="T31" s="48">
        <f t="shared" si="2"/>
        <v>0.34437515769743721</v>
      </c>
      <c r="U31" s="49">
        <f t="shared" si="3"/>
        <v>1.9075222431922351E-2</v>
      </c>
      <c r="V31" s="49">
        <f t="shared" si="4"/>
        <v>7.7738515901060068E-2</v>
      </c>
      <c r="W31" s="50">
        <f t="shared" si="5"/>
        <v>8.6854545454545455</v>
      </c>
    </row>
    <row r="32" spans="1:23" ht="29.1" customHeight="1" x14ac:dyDescent="0.15">
      <c r="A32" s="38" t="s">
        <v>195</v>
      </c>
      <c r="B32" s="38" t="s">
        <v>196</v>
      </c>
      <c r="C32" s="39">
        <f>MFL!C32</f>
        <v>25</v>
      </c>
      <c r="D32" s="40">
        <f>MFL!D32</f>
        <v>24</v>
      </c>
      <c r="E32" s="41">
        <f>MFL!E32</f>
        <v>541.71</v>
      </c>
      <c r="F32" s="42">
        <v>107</v>
      </c>
      <c r="G32" s="43">
        <v>402</v>
      </c>
      <c r="H32" s="44">
        <v>509</v>
      </c>
      <c r="I32" s="43">
        <v>133</v>
      </c>
      <c r="J32" s="43">
        <v>512</v>
      </c>
      <c r="K32" s="45">
        <v>645</v>
      </c>
      <c r="L32" s="46">
        <f t="shared" si="6"/>
        <v>4.7151277013752456E-2</v>
      </c>
      <c r="M32" s="47">
        <f t="shared" si="1"/>
        <v>0.35806981595318527</v>
      </c>
      <c r="N32" s="40">
        <f>MFL!W32</f>
        <v>18576</v>
      </c>
      <c r="O32" s="40">
        <f>MFL!X32</f>
        <v>282</v>
      </c>
      <c r="P32" s="40">
        <f>MFL!Y32</f>
        <v>12</v>
      </c>
      <c r="Q32" s="40">
        <f>MFL!Z32</f>
        <v>193.97</v>
      </c>
      <c r="R32" s="40">
        <f>MFL!AA32</f>
        <v>262.74</v>
      </c>
      <c r="S32" s="40">
        <f>MFL!AB32</f>
        <v>0.69</v>
      </c>
      <c r="T32" s="48">
        <f t="shared" si="2"/>
        <v>0.73825835426657527</v>
      </c>
      <c r="U32" s="49">
        <f t="shared" si="3"/>
        <v>1.5180878552971577E-2</v>
      </c>
      <c r="V32" s="49">
        <f t="shared" si="4"/>
        <v>4.2553191489361701E-2</v>
      </c>
      <c r="W32" s="50">
        <f t="shared" si="5"/>
        <v>16.164166666666667</v>
      </c>
    </row>
    <row r="33" spans="1:23" ht="29.1" customHeight="1" x14ac:dyDescent="0.15">
      <c r="A33" s="38" t="s">
        <v>198</v>
      </c>
      <c r="B33" s="38" t="s">
        <v>199</v>
      </c>
      <c r="C33" s="39">
        <f>MFL!C33</f>
        <v>7</v>
      </c>
      <c r="D33" s="40">
        <f>MFL!D33</f>
        <v>7</v>
      </c>
      <c r="E33" s="41">
        <f>MFL!E33</f>
        <v>173.23</v>
      </c>
      <c r="F33" s="42">
        <v>67</v>
      </c>
      <c r="G33" s="43">
        <v>282</v>
      </c>
      <c r="H33" s="44">
        <v>349</v>
      </c>
      <c r="I33" s="43">
        <v>84</v>
      </c>
      <c r="J33" s="43">
        <v>357</v>
      </c>
      <c r="K33" s="45">
        <v>441</v>
      </c>
      <c r="L33" s="46">
        <f t="shared" si="6"/>
        <v>2.0057306590257881E-2</v>
      </c>
      <c r="M33" s="47">
        <f t="shared" si="1"/>
        <v>0.77815620850891887</v>
      </c>
      <c r="N33" s="40">
        <f>MFL!W33</f>
        <v>14341</v>
      </c>
      <c r="O33" s="40">
        <f>MFL!X33</f>
        <v>189</v>
      </c>
      <c r="P33" s="40">
        <f>MFL!Y33</f>
        <v>5</v>
      </c>
      <c r="Q33" s="40">
        <f>MFL!Z33</f>
        <v>134.80000000000001</v>
      </c>
      <c r="R33" s="40">
        <f>MFL!AA33</f>
        <v>125.84</v>
      </c>
      <c r="S33" s="40">
        <f>MFL!AB33</f>
        <v>0.71</v>
      </c>
      <c r="T33" s="48">
        <f t="shared" si="2"/>
        <v>1.0712015257469802</v>
      </c>
      <c r="U33" s="49">
        <f t="shared" si="3"/>
        <v>1.3178997280524371E-2</v>
      </c>
      <c r="V33" s="49">
        <f t="shared" si="4"/>
        <v>2.6455026455026454E-2</v>
      </c>
      <c r="W33" s="50">
        <f t="shared" si="5"/>
        <v>26.96</v>
      </c>
    </row>
    <row r="34" spans="1:23" ht="29.1" customHeight="1" x14ac:dyDescent="0.15">
      <c r="A34" s="38" t="s">
        <v>200</v>
      </c>
      <c r="B34" s="38" t="s">
        <v>201</v>
      </c>
      <c r="C34" s="39">
        <f>MFL!C34</f>
        <v>21</v>
      </c>
      <c r="D34" s="40">
        <f>MFL!D34</f>
        <v>21</v>
      </c>
      <c r="E34" s="41">
        <f>MFL!E34</f>
        <v>434.69</v>
      </c>
      <c r="F34" s="42">
        <v>116</v>
      </c>
      <c r="G34" s="43">
        <v>355</v>
      </c>
      <c r="H34" s="44">
        <v>471</v>
      </c>
      <c r="I34" s="43">
        <v>133</v>
      </c>
      <c r="J34" s="43">
        <v>455</v>
      </c>
      <c r="K34" s="45">
        <v>588</v>
      </c>
      <c r="L34" s="46">
        <f t="shared" si="6"/>
        <v>4.4585987261146494E-2</v>
      </c>
      <c r="M34" s="47">
        <f t="shared" si="1"/>
        <v>0.5451011065356921</v>
      </c>
      <c r="N34" s="40">
        <f>MFL!W34</f>
        <v>23004</v>
      </c>
      <c r="O34" s="40">
        <f>MFL!X34</f>
        <v>329</v>
      </c>
      <c r="P34" s="40">
        <f>MFL!Y34</f>
        <v>12</v>
      </c>
      <c r="Q34" s="40">
        <f>MFL!Z34</f>
        <v>236.95</v>
      </c>
      <c r="R34" s="40">
        <f>MFL!AA34</f>
        <v>244.98</v>
      </c>
      <c r="S34" s="40">
        <f>MFL!AB34</f>
        <v>0.72</v>
      </c>
      <c r="T34" s="48">
        <f t="shared" si="2"/>
        <v>0.96722181402563479</v>
      </c>
      <c r="U34" s="49">
        <f t="shared" si="3"/>
        <v>1.4301860545992001E-2</v>
      </c>
      <c r="V34" s="49">
        <f t="shared" si="4"/>
        <v>3.64741641337386E-2</v>
      </c>
      <c r="W34" s="50">
        <f t="shared" si="5"/>
        <v>19.745833333333334</v>
      </c>
    </row>
    <row r="35" spans="1:23" ht="29.1" customHeight="1" x14ac:dyDescent="0.15">
      <c r="A35" s="38" t="s">
        <v>202</v>
      </c>
      <c r="B35" s="38" t="s">
        <v>203</v>
      </c>
      <c r="C35" s="39">
        <f>MFL!C35</f>
        <v>22</v>
      </c>
      <c r="D35" s="40">
        <f>MFL!D35</f>
        <v>22</v>
      </c>
      <c r="E35" s="41">
        <f>MFL!E35</f>
        <v>448.38</v>
      </c>
      <c r="F35" s="42">
        <v>149</v>
      </c>
      <c r="G35" s="43">
        <v>541</v>
      </c>
      <c r="H35" s="44">
        <v>690</v>
      </c>
      <c r="I35" s="43">
        <v>178</v>
      </c>
      <c r="J35" s="43">
        <v>682</v>
      </c>
      <c r="K35" s="45">
        <v>860</v>
      </c>
      <c r="L35" s="46">
        <f t="shared" si="6"/>
        <v>3.1884057971014491E-2</v>
      </c>
      <c r="M35" s="47">
        <f t="shared" si="1"/>
        <v>0.6756991837280879</v>
      </c>
      <c r="N35" s="40">
        <f>MFL!W35</f>
        <v>28160</v>
      </c>
      <c r="O35" s="40">
        <f>MFL!X35</f>
        <v>393</v>
      </c>
      <c r="P35" s="40">
        <f>MFL!Y35</f>
        <v>17</v>
      </c>
      <c r="Q35" s="40">
        <f>MFL!Z35</f>
        <v>302.97000000000003</v>
      </c>
      <c r="R35" s="40">
        <f>MFL!AA35</f>
        <v>351.09</v>
      </c>
      <c r="S35" s="40">
        <f>MFL!AB35</f>
        <v>0.77</v>
      </c>
      <c r="T35" s="48">
        <f t="shared" si="2"/>
        <v>0.86294112620695562</v>
      </c>
      <c r="U35" s="49">
        <f t="shared" si="3"/>
        <v>1.3955965909090909E-2</v>
      </c>
      <c r="V35" s="49">
        <f t="shared" si="4"/>
        <v>4.3256997455470736E-2</v>
      </c>
      <c r="W35" s="50">
        <f t="shared" si="5"/>
        <v>17.821764705882355</v>
      </c>
    </row>
    <row r="36" spans="1:23" ht="29.1" customHeight="1" x14ac:dyDescent="0.15">
      <c r="A36" s="38" t="s">
        <v>205</v>
      </c>
      <c r="B36" s="38" t="s">
        <v>206</v>
      </c>
      <c r="C36" s="39">
        <f>MFL!C36</f>
        <v>27</v>
      </c>
      <c r="D36" s="40">
        <f>MFL!D36</f>
        <v>27</v>
      </c>
      <c r="E36" s="41">
        <f>MFL!E36</f>
        <v>638.63</v>
      </c>
      <c r="F36" s="42">
        <v>212</v>
      </c>
      <c r="G36" s="43">
        <v>590</v>
      </c>
      <c r="H36" s="44">
        <v>802</v>
      </c>
      <c r="I36" s="43">
        <v>328</v>
      </c>
      <c r="J36" s="43">
        <v>763</v>
      </c>
      <c r="K36" s="45">
        <v>1091</v>
      </c>
      <c r="L36" s="46">
        <f t="shared" si="6"/>
        <v>3.366583541147132E-2</v>
      </c>
      <c r="M36" s="47">
        <f t="shared" si="1"/>
        <v>0.41147456273585642</v>
      </c>
      <c r="N36" s="40">
        <f>MFL!W36</f>
        <v>24031</v>
      </c>
      <c r="O36" s="40">
        <f>MFL!X36</f>
        <v>347</v>
      </c>
      <c r="P36" s="40">
        <f>MFL!Y36</f>
        <v>13</v>
      </c>
      <c r="Q36" s="40">
        <f>MFL!Z36</f>
        <v>262.77999999999997</v>
      </c>
      <c r="R36" s="40">
        <f>MFL!AA36</f>
        <v>298.17</v>
      </c>
      <c r="S36" s="40">
        <f>MFL!AB36</f>
        <v>0.76</v>
      </c>
      <c r="T36" s="48">
        <f t="shared" ref="T36:T54" si="7">Q36/R36</f>
        <v>0.88130932018647068</v>
      </c>
      <c r="U36" s="49">
        <f t="shared" ref="U36:U53" si="8">O36/N36</f>
        <v>1.4439682077316799E-2</v>
      </c>
      <c r="V36" s="49">
        <f t="shared" ref="V36:V53" si="9">P36/O36</f>
        <v>3.7463976945244955E-2</v>
      </c>
      <c r="W36" s="50">
        <f t="shared" ref="W36:W53" si="10">Q36/P36</f>
        <v>20.213846153846152</v>
      </c>
    </row>
    <row r="37" spans="1:23" ht="29.1" customHeight="1" x14ac:dyDescent="0.15">
      <c r="A37" s="38" t="s">
        <v>208</v>
      </c>
      <c r="B37" s="38" t="s">
        <v>209</v>
      </c>
      <c r="C37" s="39">
        <f>MFL!C37</f>
        <v>22</v>
      </c>
      <c r="D37" s="40">
        <f>MFL!D37</f>
        <v>22</v>
      </c>
      <c r="E37" s="41">
        <f>MFL!E37</f>
        <v>492.68</v>
      </c>
      <c r="F37" s="42">
        <v>131</v>
      </c>
      <c r="G37" s="43">
        <v>408</v>
      </c>
      <c r="H37" s="44">
        <v>539</v>
      </c>
      <c r="I37" s="43">
        <v>171</v>
      </c>
      <c r="J37" s="43">
        <v>532</v>
      </c>
      <c r="K37" s="45">
        <v>703</v>
      </c>
      <c r="L37" s="46">
        <f t="shared" si="6"/>
        <v>4.0816326530612242E-2</v>
      </c>
      <c r="M37" s="47">
        <f t="shared" si="1"/>
        <v>0.48514248599496634</v>
      </c>
      <c r="N37" s="40">
        <f>MFL!W37</f>
        <v>22463</v>
      </c>
      <c r="O37" s="40">
        <f>MFL!X37</f>
        <v>316</v>
      </c>
      <c r="P37" s="40">
        <f>MFL!Y37</f>
        <v>14</v>
      </c>
      <c r="Q37" s="40">
        <f>MFL!Z37</f>
        <v>239.02</v>
      </c>
      <c r="R37" s="40">
        <f>MFL!AA37</f>
        <v>322.44</v>
      </c>
      <c r="S37" s="40">
        <f>MFL!AB37</f>
        <v>0.76</v>
      </c>
      <c r="T37" s="48">
        <f t="shared" si="7"/>
        <v>0.74128520034735146</v>
      </c>
      <c r="U37" s="49">
        <f t="shared" si="8"/>
        <v>1.4067577794595557E-2</v>
      </c>
      <c r="V37" s="49">
        <f t="shared" si="9"/>
        <v>4.4303797468354431E-2</v>
      </c>
      <c r="W37" s="50">
        <f t="shared" si="10"/>
        <v>17.072857142857142</v>
      </c>
    </row>
    <row r="38" spans="1:23" ht="29.1" customHeight="1" x14ac:dyDescent="0.15">
      <c r="A38" s="38" t="s">
        <v>210</v>
      </c>
      <c r="B38" s="38" t="s">
        <v>211</v>
      </c>
      <c r="C38" s="39">
        <f>MFL!C38</f>
        <v>17</v>
      </c>
      <c r="D38" s="40">
        <f>MFL!D38</f>
        <v>17</v>
      </c>
      <c r="E38" s="41">
        <f>MFL!E38</f>
        <v>319.33</v>
      </c>
      <c r="F38" s="42">
        <v>126</v>
      </c>
      <c r="G38" s="43">
        <v>307</v>
      </c>
      <c r="H38" s="44">
        <v>433</v>
      </c>
      <c r="I38" s="43">
        <v>154</v>
      </c>
      <c r="J38" s="43">
        <v>440</v>
      </c>
      <c r="K38" s="45">
        <v>594</v>
      </c>
      <c r="L38" s="46">
        <f t="shared" si="6"/>
        <v>3.9260969976905313E-2</v>
      </c>
      <c r="M38" s="47">
        <f t="shared" si="1"/>
        <v>0.38677856762596691</v>
      </c>
      <c r="N38" s="40">
        <f>MFL!W38</f>
        <v>12980</v>
      </c>
      <c r="O38" s="40">
        <f>MFL!X38</f>
        <v>176</v>
      </c>
      <c r="P38" s="40">
        <f>MFL!Y38</f>
        <v>5</v>
      </c>
      <c r="Q38" s="40">
        <f>MFL!Z38</f>
        <v>123.51</v>
      </c>
      <c r="R38" s="40">
        <f>MFL!AA38</f>
        <v>75.47</v>
      </c>
      <c r="S38" s="40">
        <f>MFL!AB38</f>
        <v>0.7</v>
      </c>
      <c r="T38" s="48">
        <f t="shared" si="7"/>
        <v>1.6365443222472507</v>
      </c>
      <c r="U38" s="49">
        <f t="shared" si="8"/>
        <v>1.3559322033898305E-2</v>
      </c>
      <c r="V38" s="49">
        <f t="shared" si="9"/>
        <v>2.8409090909090908E-2</v>
      </c>
      <c r="W38" s="50">
        <f t="shared" si="10"/>
        <v>24.702000000000002</v>
      </c>
    </row>
    <row r="39" spans="1:23" ht="29.1" customHeight="1" x14ac:dyDescent="0.15">
      <c r="A39" s="38" t="s">
        <v>213</v>
      </c>
      <c r="B39" s="38" t="s">
        <v>214</v>
      </c>
      <c r="C39" s="39">
        <f>MFL!C39</f>
        <v>22</v>
      </c>
      <c r="D39" s="40">
        <f>MFL!D39</f>
        <v>22</v>
      </c>
      <c r="E39" s="41">
        <f>MFL!E39</f>
        <v>383.41</v>
      </c>
      <c r="F39" s="42">
        <v>172</v>
      </c>
      <c r="G39" s="43">
        <v>437</v>
      </c>
      <c r="H39" s="44">
        <v>609</v>
      </c>
      <c r="I39" s="43">
        <v>214</v>
      </c>
      <c r="J39" s="43">
        <v>543</v>
      </c>
      <c r="K39" s="45">
        <v>757</v>
      </c>
      <c r="L39" s="46">
        <f t="shared" si="6"/>
        <v>3.6124794745484398E-2</v>
      </c>
      <c r="M39" s="47">
        <f t="shared" si="1"/>
        <v>0.39732922980621266</v>
      </c>
      <c r="N39" s="40">
        <f>MFL!W39</f>
        <v>19968</v>
      </c>
      <c r="O39" s="40">
        <f>MFL!X39</f>
        <v>221</v>
      </c>
      <c r="P39" s="40">
        <f>MFL!Y39</f>
        <v>19</v>
      </c>
      <c r="Q39" s="40">
        <f>MFL!Z39</f>
        <v>152.34</v>
      </c>
      <c r="R39" s="40">
        <f>MFL!AA39</f>
        <v>331.58</v>
      </c>
      <c r="S39" s="40">
        <f>MFL!AB39</f>
        <v>0.69</v>
      </c>
      <c r="T39" s="48">
        <f t="shared" si="7"/>
        <v>0.45943663670908985</v>
      </c>
      <c r="U39" s="49">
        <f t="shared" si="8"/>
        <v>1.1067708333333334E-2</v>
      </c>
      <c r="V39" s="49">
        <f t="shared" si="9"/>
        <v>8.5972850678733032E-2</v>
      </c>
      <c r="W39" s="50">
        <f t="shared" si="10"/>
        <v>8.0178947368421056</v>
      </c>
    </row>
    <row r="40" spans="1:23" ht="29.1" customHeight="1" x14ac:dyDescent="0.15">
      <c r="A40" s="38" t="s">
        <v>216</v>
      </c>
      <c r="B40" s="38" t="s">
        <v>217</v>
      </c>
      <c r="C40" s="39">
        <f>MFL!C40</f>
        <v>10</v>
      </c>
      <c r="D40" s="40">
        <f>MFL!D40</f>
        <v>10</v>
      </c>
      <c r="E40" s="41">
        <f>MFL!E40</f>
        <v>178.26</v>
      </c>
      <c r="F40" s="42">
        <v>129</v>
      </c>
      <c r="G40" s="43">
        <v>293</v>
      </c>
      <c r="H40" s="44">
        <v>422</v>
      </c>
      <c r="I40" s="43">
        <v>154</v>
      </c>
      <c r="J40" s="43">
        <v>352</v>
      </c>
      <c r="K40" s="45">
        <v>506</v>
      </c>
      <c r="L40" s="46">
        <f t="shared" si="6"/>
        <v>2.3696682464454975E-2</v>
      </c>
      <c r="M40" s="47">
        <f t="shared" si="1"/>
        <v>0.60069561314933251</v>
      </c>
      <c r="N40" s="40">
        <f>MFL!W40</f>
        <v>19681</v>
      </c>
      <c r="O40" s="40">
        <f>MFL!X40</f>
        <v>156</v>
      </c>
      <c r="P40" s="40">
        <f>MFL!Y40</f>
        <v>9</v>
      </c>
      <c r="Q40" s="40">
        <f>MFL!Z40</f>
        <v>107.08</v>
      </c>
      <c r="R40" s="40">
        <f>MFL!AA40</f>
        <v>162.62</v>
      </c>
      <c r="S40" s="40">
        <f>MFL!AB40</f>
        <v>0.69</v>
      </c>
      <c r="T40" s="48">
        <f t="shared" si="7"/>
        <v>0.65846759316197268</v>
      </c>
      <c r="U40" s="49">
        <f t="shared" si="8"/>
        <v>7.9264265027183586E-3</v>
      </c>
      <c r="V40" s="49">
        <f t="shared" si="9"/>
        <v>5.7692307692307696E-2</v>
      </c>
      <c r="W40" s="50">
        <f t="shared" si="10"/>
        <v>11.897777777777778</v>
      </c>
    </row>
    <row r="41" spans="1:23" ht="29.1" customHeight="1" x14ac:dyDescent="0.15">
      <c r="A41" s="38" t="s">
        <v>219</v>
      </c>
      <c r="B41" s="38" t="s">
        <v>220</v>
      </c>
      <c r="C41" s="39">
        <f>MFL!C41</f>
        <v>7</v>
      </c>
      <c r="D41" s="40">
        <f>MFL!D41</f>
        <v>7</v>
      </c>
      <c r="E41" s="41">
        <f>MFL!E41</f>
        <v>176.61</v>
      </c>
      <c r="F41" s="42">
        <v>90</v>
      </c>
      <c r="G41" s="43">
        <v>182</v>
      </c>
      <c r="H41" s="44">
        <v>272</v>
      </c>
      <c r="I41" s="43">
        <v>112</v>
      </c>
      <c r="J41" s="43">
        <v>221</v>
      </c>
      <c r="K41" s="45">
        <v>333</v>
      </c>
      <c r="L41" s="46">
        <f t="shared" si="6"/>
        <v>2.5735294117647058E-2</v>
      </c>
      <c r="M41" s="47">
        <f t="shared" si="1"/>
        <v>0.23583036068172808</v>
      </c>
      <c r="N41" s="40">
        <f>MFL!W41</f>
        <v>6404</v>
      </c>
      <c r="O41" s="40">
        <f>MFL!X41</f>
        <v>61</v>
      </c>
      <c r="P41" s="40">
        <f>MFL!Y41</f>
        <v>5</v>
      </c>
      <c r="Q41" s="40">
        <f>MFL!Z41</f>
        <v>41.65</v>
      </c>
      <c r="R41" s="40">
        <f>MFL!AA41</f>
        <v>122.83</v>
      </c>
      <c r="S41" s="40">
        <f>MFL!AB41</f>
        <v>0.68</v>
      </c>
      <c r="T41" s="48">
        <f t="shared" si="7"/>
        <v>0.33908654237564112</v>
      </c>
      <c r="U41" s="49">
        <f t="shared" si="8"/>
        <v>9.525296689569019E-3</v>
      </c>
      <c r="V41" s="49">
        <f t="shared" si="9"/>
        <v>8.1967213114754092E-2</v>
      </c>
      <c r="W41" s="50">
        <f t="shared" si="10"/>
        <v>8.33</v>
      </c>
    </row>
    <row r="42" spans="1:23" ht="29.1" customHeight="1" x14ac:dyDescent="0.15">
      <c r="A42" s="38" t="s">
        <v>221</v>
      </c>
      <c r="B42" s="38" t="s">
        <v>222</v>
      </c>
      <c r="C42" s="39">
        <f>MFL!C42</f>
        <v>9</v>
      </c>
      <c r="D42" s="40">
        <f>MFL!D42</f>
        <v>9</v>
      </c>
      <c r="E42" s="41">
        <f>MFL!E42</f>
        <v>195.25</v>
      </c>
      <c r="F42" s="42">
        <v>65</v>
      </c>
      <c r="G42" s="43">
        <v>182</v>
      </c>
      <c r="H42" s="44">
        <v>247</v>
      </c>
      <c r="I42" s="43">
        <v>80</v>
      </c>
      <c r="J42" s="43">
        <v>230</v>
      </c>
      <c r="K42" s="45">
        <v>310</v>
      </c>
      <c r="L42" s="46">
        <f t="shared" si="6"/>
        <v>3.643724696356275E-2</v>
      </c>
      <c r="M42" s="47">
        <f t="shared" si="1"/>
        <v>0.25418693982074264</v>
      </c>
      <c r="N42" s="40">
        <f>MFL!W42</f>
        <v>7112</v>
      </c>
      <c r="O42" s="40">
        <f>MFL!X42</f>
        <v>73</v>
      </c>
      <c r="P42" s="40">
        <f>MFL!Y42</f>
        <v>3</v>
      </c>
      <c r="Q42" s="40">
        <f>MFL!Z42</f>
        <v>49.63</v>
      </c>
      <c r="R42" s="40">
        <f>MFL!AA42</f>
        <v>57.27</v>
      </c>
      <c r="S42" s="40">
        <f>MFL!AB42</f>
        <v>0.68</v>
      </c>
      <c r="T42" s="48">
        <f t="shared" si="7"/>
        <v>0.86659682207089228</v>
      </c>
      <c r="U42" s="49">
        <f t="shared" si="8"/>
        <v>1.0264341957255342E-2</v>
      </c>
      <c r="V42" s="49">
        <f t="shared" si="9"/>
        <v>4.1095890410958902E-2</v>
      </c>
      <c r="W42" s="50">
        <f t="shared" si="10"/>
        <v>16.543333333333333</v>
      </c>
    </row>
    <row r="43" spans="1:23" ht="29.1" customHeight="1" x14ac:dyDescent="0.15">
      <c r="A43" s="38" t="s">
        <v>223</v>
      </c>
      <c r="B43" s="38" t="s">
        <v>224</v>
      </c>
      <c r="C43" s="39">
        <f>MFL!C43</f>
        <v>11</v>
      </c>
      <c r="D43" s="40">
        <f>MFL!D43</f>
        <v>11</v>
      </c>
      <c r="E43" s="41">
        <f>MFL!E43</f>
        <v>248.16</v>
      </c>
      <c r="F43" s="42">
        <v>59</v>
      </c>
      <c r="G43" s="43">
        <v>162</v>
      </c>
      <c r="H43" s="44">
        <v>221</v>
      </c>
      <c r="I43" s="43">
        <v>68</v>
      </c>
      <c r="J43" s="43">
        <v>208</v>
      </c>
      <c r="K43" s="45">
        <v>276</v>
      </c>
      <c r="L43" s="46">
        <f t="shared" si="6"/>
        <v>4.9773755656108594E-2</v>
      </c>
      <c r="M43" s="47">
        <f t="shared" si="1"/>
        <v>0.24987911025145068</v>
      </c>
      <c r="N43" s="40">
        <f>MFL!W43</f>
        <v>6307</v>
      </c>
      <c r="O43" s="40">
        <f>MFL!X43</f>
        <v>93</v>
      </c>
      <c r="P43" s="40">
        <f>MFL!Y43</f>
        <v>6</v>
      </c>
      <c r="Q43" s="40">
        <f>MFL!Z43</f>
        <v>62.01</v>
      </c>
      <c r="R43" s="40">
        <f>MFL!AA43</f>
        <v>143.30000000000001</v>
      </c>
      <c r="S43" s="40">
        <f>MFL!AB43</f>
        <v>0.67</v>
      </c>
      <c r="T43" s="48">
        <f t="shared" si="7"/>
        <v>0.43272854152128398</v>
      </c>
      <c r="U43" s="49">
        <f t="shared" si="8"/>
        <v>1.4745520849849373E-2</v>
      </c>
      <c r="V43" s="49">
        <f t="shared" si="9"/>
        <v>6.4516129032258063E-2</v>
      </c>
      <c r="W43" s="50">
        <f t="shared" si="10"/>
        <v>10.334999999999999</v>
      </c>
    </row>
    <row r="44" spans="1:23" ht="29.1" customHeight="1" x14ac:dyDescent="0.15">
      <c r="A44" s="56" t="s">
        <v>226</v>
      </c>
      <c r="B44" s="57" t="s">
        <v>227</v>
      </c>
      <c r="C44" s="39">
        <f>MFL!C44</f>
        <v>14</v>
      </c>
      <c r="D44" s="40">
        <f>MFL!D44</f>
        <v>14</v>
      </c>
      <c r="E44" s="41">
        <f>MFL!E44</f>
        <v>300.79000000000002</v>
      </c>
      <c r="F44" s="42">
        <v>99</v>
      </c>
      <c r="G44" s="43">
        <v>308</v>
      </c>
      <c r="H44" s="44">
        <v>407</v>
      </c>
      <c r="I44" s="43">
        <v>118</v>
      </c>
      <c r="J44" s="43">
        <v>381</v>
      </c>
      <c r="K44" s="45">
        <v>499</v>
      </c>
      <c r="L44" s="46">
        <f t="shared" si="6"/>
        <v>3.4398034398034398E-2</v>
      </c>
      <c r="M44" s="47">
        <f t="shared" si="1"/>
        <v>0.30379999335084273</v>
      </c>
      <c r="N44" s="40">
        <f>MFL!W44</f>
        <v>10011</v>
      </c>
      <c r="O44" s="40">
        <f>MFL!X44</f>
        <v>144</v>
      </c>
      <c r="P44" s="40">
        <f>MFL!Y44</f>
        <v>10</v>
      </c>
      <c r="Q44" s="40">
        <f>MFL!Z44</f>
        <v>91.38</v>
      </c>
      <c r="R44" s="40">
        <f>MFL!AA44</f>
        <v>211.46</v>
      </c>
      <c r="S44" s="40">
        <f>MFL!AB44</f>
        <v>0.63</v>
      </c>
      <c r="T44" s="48">
        <f t="shared" si="7"/>
        <v>0.43213846590371696</v>
      </c>
      <c r="U44" s="49">
        <f t="shared" si="8"/>
        <v>1.438417740485466E-2</v>
      </c>
      <c r="V44" s="49">
        <f t="shared" si="9"/>
        <v>6.9444444444444448E-2</v>
      </c>
      <c r="W44" s="50">
        <f t="shared" si="10"/>
        <v>9.1379999999999999</v>
      </c>
    </row>
    <row r="45" spans="1:23" ht="29.1" customHeight="1" x14ac:dyDescent="0.15">
      <c r="A45" s="38" t="s">
        <v>228</v>
      </c>
      <c r="B45" s="58" t="s">
        <v>229</v>
      </c>
      <c r="C45" s="39">
        <f>MFL!C45</f>
        <v>17</v>
      </c>
      <c r="D45" s="40">
        <f>MFL!D45</f>
        <v>17</v>
      </c>
      <c r="E45" s="41">
        <f>MFL!E45</f>
        <v>388.85</v>
      </c>
      <c r="F45" s="42">
        <v>143</v>
      </c>
      <c r="G45" s="43">
        <v>411</v>
      </c>
      <c r="H45" s="44">
        <v>554</v>
      </c>
      <c r="I45" s="43">
        <v>208</v>
      </c>
      <c r="J45" s="43">
        <v>498</v>
      </c>
      <c r="K45" s="45">
        <v>706</v>
      </c>
      <c r="L45" s="46">
        <f t="shared" si="6"/>
        <v>3.0685920577617327E-2</v>
      </c>
      <c r="M45" s="47">
        <f t="shared" si="1"/>
        <v>0.38030088723158029</v>
      </c>
      <c r="N45" s="40">
        <f>MFL!W45</f>
        <v>11926</v>
      </c>
      <c r="O45" s="40">
        <f>MFL!X45</f>
        <v>232</v>
      </c>
      <c r="P45" s="40">
        <f>MFL!Y45</f>
        <v>19</v>
      </c>
      <c r="Q45" s="40">
        <f>MFL!Z45</f>
        <v>147.88</v>
      </c>
      <c r="R45" s="40">
        <f>MFL!AA45</f>
        <v>437.36</v>
      </c>
      <c r="S45" s="40">
        <f>MFL!AB45</f>
        <v>0.64</v>
      </c>
      <c r="T45" s="48">
        <f t="shared" si="7"/>
        <v>0.33811962685202118</v>
      </c>
      <c r="U45" s="49">
        <f t="shared" si="8"/>
        <v>1.9453295321147073E-2</v>
      </c>
      <c r="V45" s="49">
        <f t="shared" si="9"/>
        <v>8.1896551724137928E-2</v>
      </c>
      <c r="W45" s="50">
        <f t="shared" si="10"/>
        <v>7.7831578947368421</v>
      </c>
    </row>
    <row r="46" spans="1:23" ht="29.1" customHeight="1" x14ac:dyDescent="0.15">
      <c r="A46" s="38" t="s">
        <v>230</v>
      </c>
      <c r="B46" s="58" t="s">
        <v>231</v>
      </c>
      <c r="C46" s="39">
        <f>MFL!C46</f>
        <v>23</v>
      </c>
      <c r="D46" s="40">
        <f>MFL!D46</f>
        <v>23</v>
      </c>
      <c r="E46" s="41">
        <f>MFL!E46</f>
        <v>516.01</v>
      </c>
      <c r="F46" s="42">
        <v>121</v>
      </c>
      <c r="G46" s="43">
        <v>504</v>
      </c>
      <c r="H46" s="44">
        <v>625</v>
      </c>
      <c r="I46" s="43">
        <v>148</v>
      </c>
      <c r="J46" s="43">
        <v>614</v>
      </c>
      <c r="K46" s="45">
        <v>762</v>
      </c>
      <c r="L46" s="46">
        <f t="shared" si="6"/>
        <v>3.6799999999999999E-2</v>
      </c>
      <c r="M46" s="47">
        <f t="shared" si="1"/>
        <v>0.32127284354954361</v>
      </c>
      <c r="N46" s="40">
        <f>MFL!W46</f>
        <v>13119</v>
      </c>
      <c r="O46" s="40">
        <f>MFL!X46</f>
        <v>262</v>
      </c>
      <c r="P46" s="40">
        <f>MFL!Y46</f>
        <v>16</v>
      </c>
      <c r="Q46" s="40">
        <f>MFL!Z46</f>
        <v>165.78</v>
      </c>
      <c r="R46" s="40">
        <f>MFL!AA46</f>
        <v>351.07</v>
      </c>
      <c r="S46" s="40">
        <f>MFL!AB46</f>
        <v>0.63</v>
      </c>
      <c r="T46" s="48">
        <f t="shared" si="7"/>
        <v>0.47221351867149003</v>
      </c>
      <c r="U46" s="49">
        <f t="shared" si="8"/>
        <v>1.9971034377620246E-2</v>
      </c>
      <c r="V46" s="49">
        <f t="shared" si="9"/>
        <v>6.1068702290076333E-2</v>
      </c>
      <c r="W46" s="50">
        <f t="shared" si="10"/>
        <v>10.36125</v>
      </c>
    </row>
    <row r="47" spans="1:23" ht="29.1" customHeight="1" x14ac:dyDescent="0.15">
      <c r="A47" s="38" t="s">
        <v>232</v>
      </c>
      <c r="B47" s="58" t="s">
        <v>233</v>
      </c>
      <c r="C47" s="39">
        <f>MFL!C47</f>
        <v>25</v>
      </c>
      <c r="D47" s="40">
        <f>MFL!D47</f>
        <v>25</v>
      </c>
      <c r="E47" s="41">
        <f>MFL!E47</f>
        <v>550.88</v>
      </c>
      <c r="F47" s="42">
        <v>109</v>
      </c>
      <c r="G47" s="43">
        <v>425</v>
      </c>
      <c r="H47" s="44">
        <v>534</v>
      </c>
      <c r="I47" s="43">
        <v>135</v>
      </c>
      <c r="J47" s="43">
        <v>553</v>
      </c>
      <c r="K47" s="45">
        <v>688</v>
      </c>
      <c r="L47" s="46">
        <f t="shared" si="6"/>
        <v>4.6816479400749067E-2</v>
      </c>
      <c r="M47" s="47">
        <f t="shared" si="1"/>
        <v>0.26270694162067965</v>
      </c>
      <c r="N47" s="40">
        <f>MFL!W47</f>
        <v>10177</v>
      </c>
      <c r="O47" s="40">
        <f>MFL!X47</f>
        <v>231</v>
      </c>
      <c r="P47" s="40">
        <f>MFL!Y47</f>
        <v>18</v>
      </c>
      <c r="Q47" s="40">
        <f>MFL!Z47</f>
        <v>144.72</v>
      </c>
      <c r="R47" s="40">
        <f>MFL!AA47</f>
        <v>390.87</v>
      </c>
      <c r="S47" s="40">
        <f>MFL!AB47</f>
        <v>0.63</v>
      </c>
      <c r="T47" s="48">
        <f t="shared" si="7"/>
        <v>0.37025097858623068</v>
      </c>
      <c r="U47" s="49">
        <f t="shared" si="8"/>
        <v>2.2698241131964232E-2</v>
      </c>
      <c r="V47" s="49">
        <f t="shared" si="9"/>
        <v>7.792207792207792E-2</v>
      </c>
      <c r="W47" s="50">
        <f t="shared" si="10"/>
        <v>8.0399999999999991</v>
      </c>
    </row>
    <row r="48" spans="1:23" ht="29.1" customHeight="1" x14ac:dyDescent="0.15">
      <c r="A48" s="38" t="s">
        <v>236</v>
      </c>
      <c r="B48" s="58" t="s">
        <v>237</v>
      </c>
      <c r="C48" s="39">
        <f>MFL!C48</f>
        <v>15</v>
      </c>
      <c r="D48" s="40">
        <f>MFL!D48</f>
        <v>15</v>
      </c>
      <c r="E48" s="41">
        <f>MFL!E48</f>
        <v>340.45</v>
      </c>
      <c r="F48" s="42">
        <v>120</v>
      </c>
      <c r="G48" s="43">
        <v>387</v>
      </c>
      <c r="H48" s="44">
        <v>507</v>
      </c>
      <c r="I48" s="43">
        <v>153</v>
      </c>
      <c r="J48" s="43">
        <v>509</v>
      </c>
      <c r="K48" s="45">
        <v>662</v>
      </c>
      <c r="L48" s="46">
        <f t="shared" si="6"/>
        <v>2.9585798816568046E-2</v>
      </c>
      <c r="M48" s="47">
        <f t="shared" si="1"/>
        <v>0.48873549713614334</v>
      </c>
      <c r="N48" s="40">
        <f>MFL!W48</f>
        <v>13578</v>
      </c>
      <c r="O48" s="40">
        <f>MFL!X48</f>
        <v>255</v>
      </c>
      <c r="P48" s="40">
        <f>MFL!Y48</f>
        <v>10</v>
      </c>
      <c r="Q48" s="40">
        <f>MFL!Z48</f>
        <v>166.39</v>
      </c>
      <c r="R48" s="40">
        <f>MFL!AA48</f>
        <v>221.89</v>
      </c>
      <c r="S48" s="40">
        <f>MFL!AB48</f>
        <v>0.65</v>
      </c>
      <c r="T48" s="48">
        <f t="shared" si="7"/>
        <v>0.7498760647167515</v>
      </c>
      <c r="U48" s="49">
        <f t="shared" si="8"/>
        <v>1.8780380026513478E-2</v>
      </c>
      <c r="V48" s="49">
        <f t="shared" si="9"/>
        <v>3.9215686274509803E-2</v>
      </c>
      <c r="W48" s="50">
        <f t="shared" si="10"/>
        <v>16.638999999999999</v>
      </c>
    </row>
    <row r="49" spans="1:23" ht="29.1" customHeight="1" x14ac:dyDescent="0.15">
      <c r="A49" s="38" t="s">
        <v>240</v>
      </c>
      <c r="B49" s="58" t="s">
        <v>241</v>
      </c>
      <c r="C49" s="39">
        <f>MFL!C49</f>
        <v>18</v>
      </c>
      <c r="D49" s="40">
        <f>MFL!D49</f>
        <v>17</v>
      </c>
      <c r="E49" s="41">
        <f>MFL!E49</f>
        <v>399.52</v>
      </c>
      <c r="F49" s="42">
        <v>79</v>
      </c>
      <c r="G49" s="43">
        <v>492</v>
      </c>
      <c r="H49" s="44">
        <v>571</v>
      </c>
      <c r="I49" s="43">
        <v>104</v>
      </c>
      <c r="J49" s="43">
        <v>615</v>
      </c>
      <c r="K49" s="45">
        <v>719</v>
      </c>
      <c r="L49" s="46">
        <f t="shared" si="6"/>
        <v>2.9772329246935202E-2</v>
      </c>
      <c r="M49" s="47">
        <f t="shared" si="1"/>
        <v>0.40388466159391273</v>
      </c>
      <c r="N49" s="40">
        <f>MFL!W49</f>
        <v>6431</v>
      </c>
      <c r="O49" s="40">
        <f>MFL!X49</f>
        <v>237</v>
      </c>
      <c r="P49" s="40">
        <f>MFL!Y49</f>
        <v>14</v>
      </c>
      <c r="Q49" s="40">
        <f>MFL!Z49</f>
        <v>161.36000000000001</v>
      </c>
      <c r="R49" s="40">
        <f>MFL!AA49</f>
        <v>320.45</v>
      </c>
      <c r="S49" s="40">
        <f>MFL!AB49</f>
        <v>0.68</v>
      </c>
      <c r="T49" s="48">
        <f t="shared" si="7"/>
        <v>0.50354189421126549</v>
      </c>
      <c r="U49" s="49">
        <f t="shared" si="8"/>
        <v>3.6852744518737365E-2</v>
      </c>
      <c r="V49" s="49">
        <f t="shared" si="9"/>
        <v>5.9071729957805907E-2</v>
      </c>
      <c r="W49" s="50">
        <f t="shared" si="10"/>
        <v>11.525714285714287</v>
      </c>
    </row>
    <row r="50" spans="1:23" ht="29.1" customHeight="1" x14ac:dyDescent="0.15">
      <c r="A50" s="38" t="s">
        <v>244</v>
      </c>
      <c r="B50" s="58" t="s">
        <v>245</v>
      </c>
      <c r="C50" s="39">
        <f>MFL!C50</f>
        <v>32</v>
      </c>
      <c r="D50" s="40">
        <f>MFL!D50</f>
        <v>32</v>
      </c>
      <c r="E50" s="41">
        <f>MFL!E50</f>
        <v>724.79</v>
      </c>
      <c r="F50" s="42">
        <v>96</v>
      </c>
      <c r="G50" s="43">
        <v>517</v>
      </c>
      <c r="H50" s="44">
        <v>613</v>
      </c>
      <c r="I50" s="43">
        <v>123</v>
      </c>
      <c r="J50" s="43">
        <v>652</v>
      </c>
      <c r="K50" s="45">
        <v>775</v>
      </c>
      <c r="L50" s="46">
        <f t="shared" si="6"/>
        <v>5.2202283849918436E-2</v>
      </c>
      <c r="M50" s="47">
        <f t="shared" si="1"/>
        <v>0.29020819823673066</v>
      </c>
      <c r="N50" s="40">
        <f>MFL!W50</f>
        <v>13696</v>
      </c>
      <c r="O50" s="40">
        <f>MFL!X50</f>
        <v>288</v>
      </c>
      <c r="P50" s="40">
        <f>MFL!Y50</f>
        <v>26</v>
      </c>
      <c r="Q50" s="40">
        <f>MFL!Z50</f>
        <v>210.34</v>
      </c>
      <c r="R50" s="40">
        <f>MFL!AA50</f>
        <v>592.39</v>
      </c>
      <c r="S50" s="40">
        <f>MFL!AB50</f>
        <v>0.73</v>
      </c>
      <c r="T50" s="48">
        <f t="shared" si="7"/>
        <v>0.3550701396039771</v>
      </c>
      <c r="U50" s="49">
        <f t="shared" si="8"/>
        <v>2.1028037383177569E-2</v>
      </c>
      <c r="V50" s="49">
        <f t="shared" si="9"/>
        <v>9.0277777777777776E-2</v>
      </c>
      <c r="W50" s="50">
        <f t="shared" si="10"/>
        <v>8.09</v>
      </c>
    </row>
    <row r="51" spans="1:23" ht="29.1" customHeight="1" x14ac:dyDescent="0.15">
      <c r="A51" s="38" t="s">
        <v>247</v>
      </c>
      <c r="B51" s="58" t="s">
        <v>248</v>
      </c>
      <c r="C51" s="39">
        <f>MFL!C51</f>
        <v>23</v>
      </c>
      <c r="D51" s="40">
        <f>MFL!D51</f>
        <v>22</v>
      </c>
      <c r="E51" s="41">
        <f>MFL!E51</f>
        <v>487.3</v>
      </c>
      <c r="F51" s="42">
        <v>122</v>
      </c>
      <c r="G51" s="43">
        <v>496</v>
      </c>
      <c r="H51" s="44">
        <v>618</v>
      </c>
      <c r="I51" s="43">
        <v>165</v>
      </c>
      <c r="J51" s="43">
        <v>599</v>
      </c>
      <c r="K51" s="45">
        <v>764</v>
      </c>
      <c r="L51" s="46">
        <f t="shared" si="6"/>
        <v>3.5598705501618123E-2</v>
      </c>
      <c r="M51" s="47">
        <f t="shared" si="1"/>
        <v>0.48183870305766469</v>
      </c>
      <c r="N51" s="40">
        <f>MFL!W51</f>
        <v>20063</v>
      </c>
      <c r="O51" s="40">
        <f>MFL!X51</f>
        <v>315</v>
      </c>
      <c r="P51" s="40">
        <f>MFL!Y51</f>
        <v>14</v>
      </c>
      <c r="Q51" s="40">
        <f>MFL!Z51</f>
        <v>234.8</v>
      </c>
      <c r="R51" s="40">
        <f>MFL!AA51</f>
        <v>269.23</v>
      </c>
      <c r="S51" s="40">
        <f>MFL!AB51</f>
        <v>0.75</v>
      </c>
      <c r="T51" s="48">
        <f t="shared" si="7"/>
        <v>0.87211677747650707</v>
      </c>
      <c r="U51" s="49">
        <f t="shared" si="8"/>
        <v>1.5700543288640782E-2</v>
      </c>
      <c r="V51" s="49">
        <f t="shared" si="9"/>
        <v>4.4444444444444446E-2</v>
      </c>
      <c r="W51" s="50">
        <f t="shared" si="10"/>
        <v>16.771428571428572</v>
      </c>
    </row>
    <row r="52" spans="1:23" ht="29.1" customHeight="1" x14ac:dyDescent="0.15">
      <c r="A52" s="38" t="s">
        <v>250</v>
      </c>
      <c r="B52" s="58" t="s">
        <v>251</v>
      </c>
      <c r="C52" s="39">
        <f>MFL!C52</f>
        <v>25</v>
      </c>
      <c r="D52" s="40">
        <f>MFL!D52</f>
        <v>25</v>
      </c>
      <c r="E52" s="41">
        <f>MFL!E52</f>
        <v>566.04</v>
      </c>
      <c r="F52" s="42">
        <v>122</v>
      </c>
      <c r="G52" s="43">
        <v>496</v>
      </c>
      <c r="H52" s="44">
        <v>618</v>
      </c>
      <c r="I52" s="43">
        <v>165</v>
      </c>
      <c r="J52" s="43">
        <v>599</v>
      </c>
      <c r="K52" s="45">
        <v>764</v>
      </c>
      <c r="L52" s="46">
        <f t="shared" si="6"/>
        <v>4.0453074433656956E-2</v>
      </c>
      <c r="M52" s="47">
        <f t="shared" si="1"/>
        <v>0.36458554165783341</v>
      </c>
      <c r="N52" s="40">
        <f>MFL!W52</f>
        <v>17409</v>
      </c>
      <c r="O52" s="40">
        <f>MFL!X52</f>
        <v>286</v>
      </c>
      <c r="P52" s="40">
        <f>MFL!Y52</f>
        <v>25</v>
      </c>
      <c r="Q52" s="40">
        <f>MFL!Z52</f>
        <v>206.37</v>
      </c>
      <c r="R52" s="40">
        <f>MFL!AA52</f>
        <v>517.94000000000005</v>
      </c>
      <c r="S52" s="40">
        <f>MFL!AB52</f>
        <v>0.72</v>
      </c>
      <c r="T52" s="48">
        <f t="shared" si="7"/>
        <v>0.39844383519326559</v>
      </c>
      <c r="U52" s="49">
        <f t="shared" si="8"/>
        <v>1.642828422080533E-2</v>
      </c>
      <c r="V52" s="49">
        <f t="shared" si="9"/>
        <v>8.7412587412587409E-2</v>
      </c>
      <c r="W52" s="50">
        <f t="shared" si="10"/>
        <v>8.2547999999999995</v>
      </c>
    </row>
    <row r="53" spans="1:23" ht="29.1" customHeight="1" x14ac:dyDescent="0.15">
      <c r="A53" s="38" t="s">
        <v>254</v>
      </c>
      <c r="B53" s="58" t="s">
        <v>255</v>
      </c>
      <c r="C53" s="39">
        <f>MFL!C53</f>
        <v>23</v>
      </c>
      <c r="D53" s="40">
        <f>MFL!D53</f>
        <v>23</v>
      </c>
      <c r="E53" s="41">
        <f>MFL!E53</f>
        <v>516.01</v>
      </c>
      <c r="F53" s="42">
        <v>122</v>
      </c>
      <c r="G53" s="43">
        <v>496</v>
      </c>
      <c r="H53" s="44">
        <v>618</v>
      </c>
      <c r="I53" s="43">
        <v>165</v>
      </c>
      <c r="J53" s="43">
        <v>599</v>
      </c>
      <c r="K53" s="45">
        <v>764</v>
      </c>
      <c r="L53" s="46">
        <f t="shared" si="6"/>
        <v>3.7216828478964403E-2</v>
      </c>
      <c r="M53" s="47">
        <f t="shared" si="1"/>
        <v>0.40499215131489696</v>
      </c>
      <c r="N53" s="40">
        <f>MFL!W53</f>
        <v>16338</v>
      </c>
      <c r="O53" s="40">
        <f>MFL!X53</f>
        <v>284</v>
      </c>
      <c r="P53" s="40">
        <f>MFL!Y53</f>
        <v>18</v>
      </c>
      <c r="Q53" s="40">
        <f>MFL!Z53</f>
        <v>208.98</v>
      </c>
      <c r="R53" s="40">
        <f>MFL!AA53</f>
        <v>418.57</v>
      </c>
      <c r="S53" s="40">
        <f>MFL!AB53</f>
        <v>0.74</v>
      </c>
      <c r="T53" s="48">
        <f t="shared" si="7"/>
        <v>0.49927132857108725</v>
      </c>
      <c r="U53" s="49">
        <f t="shared" si="8"/>
        <v>1.7382788591014813E-2</v>
      </c>
      <c r="V53" s="49">
        <f t="shared" si="9"/>
        <v>6.3380281690140844E-2</v>
      </c>
      <c r="W53" s="50">
        <f t="shared" si="10"/>
        <v>11.61</v>
      </c>
    </row>
    <row r="54" spans="1:23" ht="29.1" customHeight="1" x14ac:dyDescent="0.15">
      <c r="A54" t="s">
        <v>266</v>
      </c>
      <c r="B54" s="1"/>
      <c r="C54" s="1">
        <f>SUBTOTAL(109,表3_325461513[销量])</f>
        <v>1084</v>
      </c>
      <c r="D54" s="1">
        <f>SUBTOTAL(109,表3_325461513[订单量])</f>
        <v>1068</v>
      </c>
      <c r="E54" s="59">
        <f>SUBTOTAL(109,表3_325461513[销售额])</f>
        <v>24993.024000000001</v>
      </c>
      <c r="F54" s="1">
        <f>SUBTOTAL(101,表3_325461513[Sessions-Browser])</f>
        <v>118.96</v>
      </c>
      <c r="G54" s="60">
        <f>SUBTOTAL(101,表3_325461513[Sessions-Mobile])</f>
        <v>436.04</v>
      </c>
      <c r="H54" s="60">
        <f>SUBTOTAL(101,表3_325461513[Sessions-Total])</f>
        <v>555</v>
      </c>
      <c r="I54" s="60">
        <f>SUBTOTAL(101,表3_325461513[PV-Browser])</f>
        <v>154.12</v>
      </c>
      <c r="J54" s="61">
        <f>SUBTOTAL(101,表3_325461513[PV-Mobile])</f>
        <v>574.32000000000005</v>
      </c>
      <c r="K54" s="61">
        <f>SUBTOTAL(101,表3_325461513[PV-Total])</f>
        <v>728.44</v>
      </c>
      <c r="L54" s="62">
        <f>SUBTOTAL(101,表3_325461513[CVR])</f>
        <v>3.8675005092194945E-2</v>
      </c>
      <c r="M54" s="62">
        <f t="shared" si="1"/>
        <v>0.47237501152321526</v>
      </c>
      <c r="N54" s="1">
        <f>SUBTOTAL(109,表3_325461513[展示])</f>
        <v>855429</v>
      </c>
      <c r="O54" s="1">
        <f>SUBTOTAL(109,表3_325461513[点击])</f>
        <v>14821</v>
      </c>
      <c r="P54" s="1">
        <f>SUBTOTAL(109,表3_325461513[广告订单量])</f>
        <v>773</v>
      </c>
      <c r="Q54" s="1">
        <f>SUBTOTAL(109,表3_325461513[广告花费])</f>
        <v>11806.079999999996</v>
      </c>
      <c r="R54" s="1">
        <f>SUBTOTAL(109,表3_325461513[广告销售额])</f>
        <v>17899.099999999999</v>
      </c>
      <c r="S54" s="16">
        <f>SUBTOTAL(101,表3_325461513[CPC])</f>
        <v>0.77720000000000011</v>
      </c>
      <c r="T54" s="63">
        <f t="shared" si="7"/>
        <v>0.65959070567793898</v>
      </c>
      <c r="U54" s="64">
        <f t="shared" ref="U54:W54" si="11">O54/N54</f>
        <v>1.7325809623007872E-2</v>
      </c>
      <c r="V54" s="64">
        <f t="shared" si="11"/>
        <v>5.2155724984818838E-2</v>
      </c>
      <c r="W54" s="65">
        <f t="shared" si="11"/>
        <v>15.273065976714095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1"/>
  <sheetViews>
    <sheetView workbookViewId="0">
      <pane xSplit="2" ySplit="3" topLeftCell="C27" activePane="bottomRight" state="frozen"/>
      <selection pane="topRight"/>
      <selection pane="bottomLeft"/>
      <selection pane="bottomRight" activeCell="D3" sqref="D3"/>
    </sheetView>
  </sheetViews>
  <sheetFormatPr defaultColWidth="9" defaultRowHeight="29.1" customHeight="1" x14ac:dyDescent="0.15"/>
  <cols>
    <col min="1" max="1" width="10.375" customWidth="1"/>
    <col min="2" max="2" width="8.375" customWidth="1"/>
    <col min="3" max="3" width="5.375" customWidth="1"/>
    <col min="4" max="4" width="7.375" customWidth="1"/>
    <col min="5" max="5" width="11.625" customWidth="1"/>
    <col min="6" max="6" width="10.25" customWidth="1"/>
    <col min="7" max="7" width="10.375" customWidth="1"/>
    <col min="8" max="8" width="10.5" customWidth="1"/>
    <col min="9" max="9" width="10.125" customWidth="1"/>
    <col min="10" max="10" width="7.75" customWidth="1"/>
    <col min="11" max="11" width="8.5" customWidth="1"/>
    <col min="12" max="12" width="7" customWidth="1"/>
    <col min="13" max="13" width="9.375" customWidth="1"/>
    <col min="14" max="14" width="9.25" customWidth="1"/>
    <col min="15" max="15" width="7.375" customWidth="1"/>
    <col min="16" max="16" width="9.375" customWidth="1"/>
    <col min="17" max="17" width="8.375" customWidth="1"/>
    <col min="18" max="18" width="11.5" customWidth="1"/>
    <col min="19" max="19" width="8.125" customWidth="1"/>
    <col min="20" max="20" width="9.25" customWidth="1"/>
    <col min="21" max="23" width="8.125" customWidth="1"/>
  </cols>
  <sheetData>
    <row r="1" spans="1:23" ht="29.1" customHeight="1" x14ac:dyDescent="0.15">
      <c r="A1" s="265" t="s">
        <v>0</v>
      </c>
      <c r="B1" s="266"/>
      <c r="C1" s="306" t="s">
        <v>409</v>
      </c>
      <c r="D1" s="307"/>
      <c r="E1" s="308"/>
      <c r="F1" s="309" t="s">
        <v>420</v>
      </c>
      <c r="G1" s="310"/>
      <c r="H1" s="310"/>
      <c r="I1" s="310"/>
      <c r="J1" s="310"/>
      <c r="K1" s="310"/>
      <c r="L1" s="310"/>
      <c r="M1" s="311"/>
      <c r="N1" s="275" t="s">
        <v>2</v>
      </c>
      <c r="O1" s="276"/>
      <c r="P1" s="276"/>
      <c r="Q1" s="276"/>
      <c r="R1" s="276"/>
      <c r="S1" s="276"/>
      <c r="T1" s="277"/>
      <c r="U1" s="277"/>
      <c r="V1" s="277"/>
      <c r="W1" s="312"/>
    </row>
    <row r="2" spans="1:23" ht="12.95" customHeight="1" x14ac:dyDescent="0.15">
      <c r="A2" s="267"/>
      <c r="B2" s="268"/>
      <c r="C2" s="283" t="s">
        <v>6</v>
      </c>
      <c r="D2" s="284"/>
      <c r="E2" s="284"/>
      <c r="F2" s="313" t="s">
        <v>6</v>
      </c>
      <c r="G2" s="314"/>
      <c r="H2" s="314"/>
      <c r="I2" s="314"/>
      <c r="J2" s="314"/>
      <c r="K2" s="314"/>
      <c r="L2" s="315" t="s">
        <v>7</v>
      </c>
      <c r="M2" s="316"/>
      <c r="N2" s="289" t="s">
        <v>6</v>
      </c>
      <c r="O2" s="290"/>
      <c r="P2" s="290"/>
      <c r="Q2" s="290"/>
      <c r="R2" s="290"/>
      <c r="S2" s="291"/>
      <c r="T2" s="292" t="s">
        <v>7</v>
      </c>
      <c r="U2" s="292"/>
      <c r="V2" s="292"/>
      <c r="W2" s="317"/>
    </row>
    <row r="3" spans="1:23" ht="29.1" customHeight="1" x14ac:dyDescent="0.15">
      <c r="A3" s="25" t="s">
        <v>8</v>
      </c>
      <c r="B3" s="25" t="s">
        <v>9</v>
      </c>
      <c r="C3" s="26" t="s">
        <v>10</v>
      </c>
      <c r="D3" s="27" t="s">
        <v>11</v>
      </c>
      <c r="E3" s="27" t="s">
        <v>12</v>
      </c>
      <c r="F3" s="28" t="s">
        <v>411</v>
      </c>
      <c r="G3" s="29" t="s">
        <v>412</v>
      </c>
      <c r="H3" s="30" t="s">
        <v>413</v>
      </c>
      <c r="I3" s="29" t="s">
        <v>414</v>
      </c>
      <c r="J3" s="29" t="s">
        <v>415</v>
      </c>
      <c r="K3" s="31" t="s">
        <v>416</v>
      </c>
      <c r="L3" s="32" t="s">
        <v>417</v>
      </c>
      <c r="M3" s="33" t="s">
        <v>418</v>
      </c>
      <c r="N3" s="34" t="s">
        <v>30</v>
      </c>
      <c r="O3" s="35" t="s">
        <v>31</v>
      </c>
      <c r="P3" s="35" t="s">
        <v>32</v>
      </c>
      <c r="Q3" s="35" t="s">
        <v>33</v>
      </c>
      <c r="R3" s="36" t="s">
        <v>34</v>
      </c>
      <c r="S3" s="35" t="s">
        <v>35</v>
      </c>
      <c r="T3" s="37" t="s">
        <v>36</v>
      </c>
      <c r="U3" s="23" t="s">
        <v>37</v>
      </c>
      <c r="V3" s="23" t="s">
        <v>38</v>
      </c>
      <c r="W3" s="24" t="s">
        <v>39</v>
      </c>
    </row>
    <row r="4" spans="1:23" ht="29.1" customHeight="1" x14ac:dyDescent="0.15">
      <c r="A4" s="38" t="s">
        <v>160</v>
      </c>
      <c r="B4" s="38" t="s">
        <v>161</v>
      </c>
      <c r="C4" s="39">
        <f>SFM!C4</f>
        <v>16</v>
      </c>
      <c r="D4" s="40">
        <f>SFM!D4</f>
        <v>16</v>
      </c>
      <c r="E4" s="41">
        <f>SFM!E4</f>
        <v>726.99</v>
      </c>
      <c r="F4" s="42">
        <v>152</v>
      </c>
      <c r="G4" s="43">
        <v>167</v>
      </c>
      <c r="H4" s="44">
        <v>319</v>
      </c>
      <c r="I4" s="43">
        <v>179</v>
      </c>
      <c r="J4" s="43">
        <v>192</v>
      </c>
      <c r="K4" s="45">
        <v>371</v>
      </c>
      <c r="L4" s="46">
        <f>D4/H4</f>
        <v>5.0156739811912224E-2</v>
      </c>
      <c r="M4" s="47">
        <f>Q4/E4</f>
        <v>0.25646845211075803</v>
      </c>
      <c r="N4" s="40">
        <f>SFM!W4</f>
        <v>32589</v>
      </c>
      <c r="O4" s="40">
        <f>SFM!X4</f>
        <v>131</v>
      </c>
      <c r="P4" s="40">
        <f>SFM!Y4</f>
        <v>2</v>
      </c>
      <c r="Q4" s="40">
        <f>SFM!Z4</f>
        <v>186.45</v>
      </c>
      <c r="R4" s="40">
        <f>SFM!AA4</f>
        <v>46.4</v>
      </c>
      <c r="S4" s="40">
        <f>SFM!AB4</f>
        <v>1.42</v>
      </c>
      <c r="T4" s="48">
        <f t="shared" ref="T4:T41" si="0">Q4/R4</f>
        <v>4.0183189655172411</v>
      </c>
      <c r="U4" s="49">
        <f t="shared" ref="U4:U40" si="1">O4/N4</f>
        <v>4.0197612691398937E-3</v>
      </c>
      <c r="V4" s="49">
        <f t="shared" ref="V4:V40" si="2">P4/O4</f>
        <v>1.5267175572519083E-2</v>
      </c>
      <c r="W4" s="50">
        <f t="shared" ref="W4:W40" si="3">Q4/P4</f>
        <v>93.224999999999994</v>
      </c>
    </row>
    <row r="5" spans="1:23" ht="29.1" customHeight="1" x14ac:dyDescent="0.15">
      <c r="A5" s="38" t="s">
        <v>162</v>
      </c>
      <c r="B5" s="38" t="s">
        <v>163</v>
      </c>
      <c r="C5" s="39">
        <f>SFM!C5</f>
        <v>6</v>
      </c>
      <c r="D5" s="40">
        <f>SFM!D5</f>
        <v>6</v>
      </c>
      <c r="E5" s="41">
        <f>SFM!E5</f>
        <v>224.34</v>
      </c>
      <c r="F5" s="42">
        <v>181</v>
      </c>
      <c r="G5" s="43">
        <v>205</v>
      </c>
      <c r="H5" s="44">
        <v>386</v>
      </c>
      <c r="I5" s="43">
        <v>258</v>
      </c>
      <c r="J5" s="43">
        <v>252</v>
      </c>
      <c r="K5" s="45">
        <v>510</v>
      </c>
      <c r="L5" s="46">
        <f>D5/H5</f>
        <v>1.5544041450777202E-2</v>
      </c>
      <c r="M5" s="47">
        <f>Q5/E5</f>
        <v>1.8721583311045733</v>
      </c>
      <c r="N5" s="40">
        <f>SFM!W5</f>
        <v>77002</v>
      </c>
      <c r="O5" s="40">
        <f>SFM!X5</f>
        <v>356</v>
      </c>
      <c r="P5" s="40">
        <f>SFM!Y5</f>
        <v>4</v>
      </c>
      <c r="Q5" s="40">
        <f>SFM!Z5</f>
        <v>420</v>
      </c>
      <c r="R5" s="40">
        <f>SFM!AA5</f>
        <v>129.56</v>
      </c>
      <c r="S5" s="40">
        <f>SFM!AB5</f>
        <v>1.18</v>
      </c>
      <c r="T5" s="48">
        <f t="shared" si="0"/>
        <v>3.2417412781722752</v>
      </c>
      <c r="U5" s="49">
        <f t="shared" si="1"/>
        <v>4.6232565387912001E-3</v>
      </c>
      <c r="V5" s="49">
        <f t="shared" si="2"/>
        <v>1.1235955056179775E-2</v>
      </c>
      <c r="W5" s="50">
        <f t="shared" si="3"/>
        <v>105</v>
      </c>
    </row>
    <row r="6" spans="1:23" ht="29.1" customHeight="1" x14ac:dyDescent="0.15">
      <c r="A6" s="38" t="s">
        <v>167</v>
      </c>
      <c r="B6" s="38" t="s">
        <v>168</v>
      </c>
      <c r="C6" s="39">
        <f>SFM!C6</f>
        <v>25</v>
      </c>
      <c r="D6" s="40">
        <f>SFM!D6</f>
        <v>25</v>
      </c>
      <c r="E6" s="41">
        <f>SFM!E6</f>
        <v>957.23</v>
      </c>
      <c r="F6" s="42">
        <v>183</v>
      </c>
      <c r="G6" s="43">
        <v>233</v>
      </c>
      <c r="H6" s="44">
        <v>416</v>
      </c>
      <c r="I6" s="43">
        <v>252</v>
      </c>
      <c r="J6" s="43">
        <v>293</v>
      </c>
      <c r="K6" s="45">
        <v>545</v>
      </c>
      <c r="L6" s="46">
        <f>D6/H6</f>
        <v>6.0096153846153848E-2</v>
      </c>
      <c r="M6" s="47">
        <f>Q6/E6</f>
        <v>0.34942490310583663</v>
      </c>
      <c r="N6" s="40">
        <f>SFM!W6</f>
        <v>49932</v>
      </c>
      <c r="O6" s="40">
        <f>SFM!X6</f>
        <v>257</v>
      </c>
      <c r="P6" s="40">
        <f>SFM!Y6</f>
        <v>10</v>
      </c>
      <c r="Q6" s="40">
        <f>SFM!Z6</f>
        <v>334.48</v>
      </c>
      <c r="R6" s="40">
        <f>SFM!AA6</f>
        <v>259.97000000000003</v>
      </c>
      <c r="S6" s="40">
        <f>SFM!AB6</f>
        <v>1.3</v>
      </c>
      <c r="T6" s="48">
        <f t="shared" si="0"/>
        <v>1.286609993460784</v>
      </c>
      <c r="U6" s="49">
        <f t="shared" si="1"/>
        <v>5.1469999198910515E-3</v>
      </c>
      <c r="V6" s="49">
        <f t="shared" si="2"/>
        <v>3.8910505836575876E-2</v>
      </c>
      <c r="W6" s="50">
        <f t="shared" si="3"/>
        <v>33.448</v>
      </c>
    </row>
    <row r="7" spans="1:23" ht="29.1" customHeight="1" x14ac:dyDescent="0.15">
      <c r="A7" s="38" t="s">
        <v>169</v>
      </c>
      <c r="B7" s="38" t="s">
        <v>170</v>
      </c>
      <c r="C7" s="39">
        <f>SFM!C7</f>
        <v>9</v>
      </c>
      <c r="D7" s="40">
        <f>SFM!D7</f>
        <v>9</v>
      </c>
      <c r="E7" s="41">
        <f>SFM!E7</f>
        <v>307.01</v>
      </c>
      <c r="F7" s="42">
        <v>162</v>
      </c>
      <c r="G7" s="43">
        <v>234</v>
      </c>
      <c r="H7" s="44">
        <v>396</v>
      </c>
      <c r="I7" s="43">
        <v>226</v>
      </c>
      <c r="J7" s="43">
        <v>346</v>
      </c>
      <c r="K7" s="45">
        <v>572</v>
      </c>
      <c r="L7" s="46">
        <f t="shared" ref="L7:L40" si="4">D7/H7</f>
        <v>2.2727272727272728E-2</v>
      </c>
      <c r="M7" s="47">
        <f t="shared" ref="M7:M41" si="5">Q7/E7</f>
        <v>1.1189212077782482</v>
      </c>
      <c r="N7" s="40">
        <f>SFM!W7</f>
        <v>57977</v>
      </c>
      <c r="O7" s="40">
        <f>SFM!X7</f>
        <v>246</v>
      </c>
      <c r="P7" s="40">
        <f>SFM!Y7</f>
        <v>9</v>
      </c>
      <c r="Q7" s="40">
        <f>SFM!Z7</f>
        <v>343.52</v>
      </c>
      <c r="R7" s="40">
        <f>SFM!AA7</f>
        <v>307.01</v>
      </c>
      <c r="S7" s="40">
        <f>SFM!AB7</f>
        <v>1.4</v>
      </c>
      <c r="T7" s="48">
        <f t="shared" si="0"/>
        <v>1.1189212077782482</v>
      </c>
      <c r="U7" s="49">
        <f t="shared" si="1"/>
        <v>4.2430619038584267E-3</v>
      </c>
      <c r="V7" s="49">
        <f t="shared" si="2"/>
        <v>3.6585365853658534E-2</v>
      </c>
      <c r="W7" s="50">
        <f t="shared" si="3"/>
        <v>38.168888888888887</v>
      </c>
    </row>
    <row r="8" spans="1:23" ht="29.1" customHeight="1" x14ac:dyDescent="0.15">
      <c r="A8" s="38" t="s">
        <v>172</v>
      </c>
      <c r="B8" s="38" t="s">
        <v>173</v>
      </c>
      <c r="C8" s="39">
        <f>SFM!C8</f>
        <v>8</v>
      </c>
      <c r="D8" s="40">
        <f>SFM!D8</f>
        <v>8</v>
      </c>
      <c r="E8" s="41">
        <f>SFM!E8</f>
        <v>213.32</v>
      </c>
      <c r="F8" s="42">
        <v>134</v>
      </c>
      <c r="G8" s="43">
        <v>283</v>
      </c>
      <c r="H8" s="44">
        <v>417</v>
      </c>
      <c r="I8" s="43">
        <v>199</v>
      </c>
      <c r="J8" s="43">
        <v>373</v>
      </c>
      <c r="K8" s="45">
        <v>572</v>
      </c>
      <c r="L8" s="46">
        <f t="shared" si="4"/>
        <v>1.9184652278177457E-2</v>
      </c>
      <c r="M8" s="47">
        <f t="shared" si="5"/>
        <v>1.9005719107444217</v>
      </c>
      <c r="N8" s="40">
        <f>SFM!W8</f>
        <v>72272</v>
      </c>
      <c r="O8" s="40">
        <f>SFM!X8</f>
        <v>280</v>
      </c>
      <c r="P8" s="40">
        <f>SFM!Y8</f>
        <v>9</v>
      </c>
      <c r="Q8" s="40">
        <f>SFM!Z8</f>
        <v>405.43</v>
      </c>
      <c r="R8" s="40">
        <f>SFM!AA8</f>
        <v>213.33</v>
      </c>
      <c r="S8" s="40">
        <f>SFM!AB8</f>
        <v>1.45</v>
      </c>
      <c r="T8" s="48">
        <f t="shared" si="0"/>
        <v>1.9004828200440631</v>
      </c>
      <c r="U8" s="49">
        <f t="shared" si="1"/>
        <v>3.8742528226699139E-3</v>
      </c>
      <c r="V8" s="49">
        <f t="shared" si="2"/>
        <v>3.214285714285714E-2</v>
      </c>
      <c r="W8" s="50">
        <f t="shared" si="3"/>
        <v>45.047777777777782</v>
      </c>
    </row>
    <row r="9" spans="1:23" ht="29.1" customHeight="1" x14ac:dyDescent="0.15">
      <c r="A9" s="38" t="s">
        <v>175</v>
      </c>
      <c r="B9" s="38" t="s">
        <v>176</v>
      </c>
      <c r="C9" s="39">
        <f>SFM!C9</f>
        <v>16</v>
      </c>
      <c r="D9" s="40">
        <f>SFM!D9</f>
        <v>14</v>
      </c>
      <c r="E9" s="41">
        <f>SFM!E9</f>
        <v>578.34</v>
      </c>
      <c r="F9" s="42">
        <v>131</v>
      </c>
      <c r="G9" s="43">
        <v>340</v>
      </c>
      <c r="H9" s="44">
        <v>471</v>
      </c>
      <c r="I9" s="43">
        <v>176</v>
      </c>
      <c r="J9" s="43">
        <v>442</v>
      </c>
      <c r="K9" s="45">
        <v>618</v>
      </c>
      <c r="L9" s="46">
        <f t="shared" si="4"/>
        <v>2.9723991507430998E-2</v>
      </c>
      <c r="M9" s="47">
        <f t="shared" si="5"/>
        <v>0.62511671335200736</v>
      </c>
      <c r="N9" s="40">
        <f>SFM!W9</f>
        <v>47691</v>
      </c>
      <c r="O9" s="40">
        <f>SFM!X9</f>
        <v>283</v>
      </c>
      <c r="P9" s="40">
        <f>SFM!Y9</f>
        <v>11</v>
      </c>
      <c r="Q9" s="40">
        <f>SFM!Z9</f>
        <v>361.53</v>
      </c>
      <c r="R9" s="40">
        <f>SFM!AA9</f>
        <v>385.04</v>
      </c>
      <c r="S9" s="40">
        <f>SFM!AB9</f>
        <v>1.28</v>
      </c>
      <c r="T9" s="48">
        <f t="shared" si="0"/>
        <v>0.9389414086848118</v>
      </c>
      <c r="U9" s="49">
        <f t="shared" si="1"/>
        <v>5.9340336751168982E-3</v>
      </c>
      <c r="V9" s="49">
        <f t="shared" si="2"/>
        <v>3.8869257950530034E-2</v>
      </c>
      <c r="W9" s="50">
        <f t="shared" si="3"/>
        <v>32.866363636363637</v>
      </c>
    </row>
    <row r="10" spans="1:23" ht="29.1" customHeight="1" x14ac:dyDescent="0.15">
      <c r="A10" s="38" t="s">
        <v>177</v>
      </c>
      <c r="B10" s="38" t="s">
        <v>178</v>
      </c>
      <c r="C10" s="39">
        <f>SFM!C10</f>
        <v>38</v>
      </c>
      <c r="D10" s="40">
        <f>SFM!D10</f>
        <v>36</v>
      </c>
      <c r="E10" s="41">
        <f>SFM!E10</f>
        <v>923.5</v>
      </c>
      <c r="F10" s="42">
        <v>146</v>
      </c>
      <c r="G10" s="43">
        <v>534</v>
      </c>
      <c r="H10" s="44">
        <v>680</v>
      </c>
      <c r="I10" s="43">
        <v>195</v>
      </c>
      <c r="J10" s="43">
        <v>718</v>
      </c>
      <c r="K10" s="45">
        <v>913</v>
      </c>
      <c r="L10" s="46">
        <f t="shared" si="4"/>
        <v>5.2941176470588235E-2</v>
      </c>
      <c r="M10" s="47">
        <f t="shared" si="5"/>
        <v>0.65285327558202488</v>
      </c>
      <c r="N10" s="40">
        <f>SFM!W10</f>
        <v>65793</v>
      </c>
      <c r="O10" s="40">
        <f>SFM!X10</f>
        <v>479</v>
      </c>
      <c r="P10" s="40">
        <f>SFM!Y10</f>
        <v>34</v>
      </c>
      <c r="Q10" s="40">
        <f>SFM!Z10</f>
        <v>602.91</v>
      </c>
      <c r="R10" s="40">
        <f>SFM!AA10</f>
        <v>866.68</v>
      </c>
      <c r="S10" s="40">
        <f>SFM!AB10</f>
        <v>1.26</v>
      </c>
      <c r="T10" s="48">
        <f t="shared" si="0"/>
        <v>0.69565468223565796</v>
      </c>
      <c r="U10" s="49">
        <f t="shared" si="1"/>
        <v>7.2804097700363262E-3</v>
      </c>
      <c r="V10" s="49">
        <f t="shared" si="2"/>
        <v>7.0981210855949897E-2</v>
      </c>
      <c r="W10" s="50">
        <f t="shared" si="3"/>
        <v>17.732647058823527</v>
      </c>
    </row>
    <row r="11" spans="1:23" ht="29.1" customHeight="1" x14ac:dyDescent="0.15">
      <c r="A11" s="51" t="s">
        <v>179</v>
      </c>
      <c r="B11" s="51" t="s">
        <v>180</v>
      </c>
      <c r="C11" s="39">
        <f>SFM!C11</f>
        <v>33</v>
      </c>
      <c r="D11" s="40">
        <f>SFM!D11</f>
        <v>33</v>
      </c>
      <c r="E11" s="41">
        <f>SFM!E11</f>
        <v>766.41</v>
      </c>
      <c r="F11" s="42">
        <v>241</v>
      </c>
      <c r="G11" s="43">
        <v>635</v>
      </c>
      <c r="H11" s="44">
        <v>876</v>
      </c>
      <c r="I11" s="43">
        <v>307</v>
      </c>
      <c r="J11" s="43">
        <v>820</v>
      </c>
      <c r="K11" s="45">
        <v>1127</v>
      </c>
      <c r="L11" s="46">
        <f t="shared" si="4"/>
        <v>3.7671232876712327E-2</v>
      </c>
      <c r="M11" s="47">
        <f t="shared" si="5"/>
        <v>0.93542620790438535</v>
      </c>
      <c r="N11" s="40">
        <f>SFM!W11</f>
        <v>107156</v>
      </c>
      <c r="O11" s="40">
        <f>SFM!X11</f>
        <v>591</v>
      </c>
      <c r="P11" s="40">
        <f>SFM!Y11</f>
        <v>29</v>
      </c>
      <c r="Q11" s="40">
        <f>SFM!Z11</f>
        <v>716.92</v>
      </c>
      <c r="R11" s="40">
        <f>SFM!AA11</f>
        <v>669.91</v>
      </c>
      <c r="S11" s="40">
        <f>SFM!AB11</f>
        <v>1.22</v>
      </c>
      <c r="T11" s="48">
        <f t="shared" si="0"/>
        <v>1.070173605409682</v>
      </c>
      <c r="U11" s="49">
        <f t="shared" si="1"/>
        <v>5.5153234536563511E-3</v>
      </c>
      <c r="V11" s="49">
        <f t="shared" si="2"/>
        <v>4.9069373942470386E-2</v>
      </c>
      <c r="W11" s="50">
        <f t="shared" si="3"/>
        <v>24.721379310344826</v>
      </c>
    </row>
    <row r="12" spans="1:23" ht="29.1" customHeight="1" x14ac:dyDescent="0.15">
      <c r="A12" s="52" t="s">
        <v>181</v>
      </c>
      <c r="B12" s="53" t="s">
        <v>182</v>
      </c>
      <c r="C12" s="39">
        <f>SFM!C12</f>
        <v>11</v>
      </c>
      <c r="D12" s="40">
        <f>SFM!D12</f>
        <v>11</v>
      </c>
      <c r="E12" s="41">
        <f>SFM!E12</f>
        <v>283.01</v>
      </c>
      <c r="F12" s="42">
        <v>119</v>
      </c>
      <c r="G12" s="43">
        <v>279</v>
      </c>
      <c r="H12" s="44">
        <v>398</v>
      </c>
      <c r="I12" s="43">
        <v>189</v>
      </c>
      <c r="J12" s="43">
        <v>391</v>
      </c>
      <c r="K12" s="45">
        <v>580</v>
      </c>
      <c r="L12" s="46">
        <f t="shared" si="4"/>
        <v>2.7638190954773871E-2</v>
      </c>
      <c r="M12" s="47">
        <f t="shared" si="5"/>
        <v>0.85512879403554642</v>
      </c>
      <c r="N12" s="40">
        <f>SFM!W12</f>
        <v>36941</v>
      </c>
      <c r="O12" s="40">
        <f>SFM!X12</f>
        <v>193</v>
      </c>
      <c r="P12" s="40">
        <f>SFM!Y12</f>
        <v>9</v>
      </c>
      <c r="Q12" s="40">
        <f>SFM!Z12</f>
        <v>242.01</v>
      </c>
      <c r="R12" s="40">
        <f>SFM!AA12</f>
        <v>188</v>
      </c>
      <c r="S12" s="40">
        <f>SFM!AB12</f>
        <v>1.17</v>
      </c>
      <c r="T12" s="48">
        <f t="shared" si="0"/>
        <v>1.2872872340425532</v>
      </c>
      <c r="U12" s="49">
        <f t="shared" si="1"/>
        <v>5.2245472510218998E-3</v>
      </c>
      <c r="V12" s="49">
        <f t="shared" si="2"/>
        <v>4.6632124352331605E-2</v>
      </c>
      <c r="W12" s="50">
        <f t="shared" si="3"/>
        <v>26.89</v>
      </c>
    </row>
    <row r="13" spans="1:23" ht="29.1" customHeight="1" x14ac:dyDescent="0.15">
      <c r="A13" s="52" t="s">
        <v>183</v>
      </c>
      <c r="B13" s="53" t="s">
        <v>184</v>
      </c>
      <c r="C13" s="39">
        <f>SFM!C13</f>
        <v>66</v>
      </c>
      <c r="D13" s="40">
        <f>SFM!D13</f>
        <v>63</v>
      </c>
      <c r="E13" s="41">
        <f>SFM!E13</f>
        <v>1645.68</v>
      </c>
      <c r="F13" s="42">
        <v>315</v>
      </c>
      <c r="G13" s="43">
        <v>836</v>
      </c>
      <c r="H13" s="44">
        <v>1151</v>
      </c>
      <c r="I13" s="43">
        <v>611</v>
      </c>
      <c r="J13" s="43">
        <v>1107</v>
      </c>
      <c r="K13" s="45">
        <v>1718</v>
      </c>
      <c r="L13" s="46">
        <f t="shared" si="4"/>
        <v>5.4735013032145959E-2</v>
      </c>
      <c r="M13" s="47">
        <f t="shared" si="5"/>
        <v>0.44012809294638078</v>
      </c>
      <c r="N13" s="40">
        <f>SFM!W13</f>
        <v>75565</v>
      </c>
      <c r="O13" s="40">
        <f>SFM!X13</f>
        <v>516</v>
      </c>
      <c r="P13" s="40">
        <f>SFM!Y13</f>
        <v>36</v>
      </c>
      <c r="Q13" s="40">
        <f>SFM!Z13</f>
        <v>724.31</v>
      </c>
      <c r="R13" s="40">
        <f>SFM!AA13</f>
        <v>1067.8900000000001</v>
      </c>
      <c r="S13" s="40">
        <f>SFM!AB13</f>
        <v>1.55</v>
      </c>
      <c r="T13" s="48">
        <f t="shared" si="0"/>
        <v>0.67826274241729001</v>
      </c>
      <c r="U13" s="49">
        <f t="shared" si="1"/>
        <v>6.8285581949315156E-3</v>
      </c>
      <c r="V13" s="49">
        <f t="shared" si="2"/>
        <v>6.9767441860465115E-2</v>
      </c>
      <c r="W13" s="50">
        <f t="shared" si="3"/>
        <v>20.119722222222222</v>
      </c>
    </row>
    <row r="14" spans="1:23" ht="29.1" customHeight="1" x14ac:dyDescent="0.15">
      <c r="A14" s="54" t="s">
        <v>185</v>
      </c>
      <c r="B14" s="55" t="s">
        <v>186</v>
      </c>
      <c r="C14" s="39">
        <f>SFM!C14</f>
        <v>28</v>
      </c>
      <c r="D14" s="40">
        <f>SFM!D14</f>
        <v>26</v>
      </c>
      <c r="E14" s="41">
        <f>SFM!E14</f>
        <v>721.13</v>
      </c>
      <c r="F14" s="42">
        <v>206</v>
      </c>
      <c r="G14" s="43">
        <v>346</v>
      </c>
      <c r="H14" s="44">
        <v>552</v>
      </c>
      <c r="I14" s="43">
        <v>933</v>
      </c>
      <c r="J14" s="43">
        <v>446</v>
      </c>
      <c r="K14" s="45">
        <v>1379</v>
      </c>
      <c r="L14" s="46">
        <f t="shared" si="4"/>
        <v>4.710144927536232E-2</v>
      </c>
      <c r="M14" s="47">
        <f t="shared" si="5"/>
        <v>0.6567609168943187</v>
      </c>
      <c r="N14" s="40">
        <f>SFM!W14</f>
        <v>39471</v>
      </c>
      <c r="O14" s="40">
        <f>SFM!X14</f>
        <v>341</v>
      </c>
      <c r="P14" s="40">
        <f>SFM!Y14</f>
        <v>20</v>
      </c>
      <c r="Q14" s="40">
        <f>SFM!Z14</f>
        <v>473.61</v>
      </c>
      <c r="R14" s="40">
        <f>SFM!AA14</f>
        <v>571.55999999999995</v>
      </c>
      <c r="S14" s="40">
        <f>SFM!AB14</f>
        <v>1.39</v>
      </c>
      <c r="T14" s="48">
        <f t="shared" si="0"/>
        <v>0.82862691580936398</v>
      </c>
      <c r="U14" s="49">
        <f t="shared" si="1"/>
        <v>8.6392541359479116E-3</v>
      </c>
      <c r="V14" s="49">
        <f t="shared" si="2"/>
        <v>5.865102639296188E-2</v>
      </c>
      <c r="W14" s="50">
        <f t="shared" si="3"/>
        <v>23.680500000000002</v>
      </c>
    </row>
    <row r="15" spans="1:23" ht="29.1" customHeight="1" x14ac:dyDescent="0.15">
      <c r="A15" s="54" t="s">
        <v>187</v>
      </c>
      <c r="B15" s="55" t="s">
        <v>188</v>
      </c>
      <c r="C15" s="39">
        <f>SFM!C15</f>
        <v>20</v>
      </c>
      <c r="D15" s="40">
        <f>SFM!D15</f>
        <v>20</v>
      </c>
      <c r="E15" s="41">
        <f>SFM!E15</f>
        <v>461.5</v>
      </c>
      <c r="F15" s="42">
        <v>70</v>
      </c>
      <c r="G15" s="43">
        <v>227</v>
      </c>
      <c r="H15" s="44">
        <v>297</v>
      </c>
      <c r="I15" s="43">
        <v>191</v>
      </c>
      <c r="J15" s="43">
        <v>281</v>
      </c>
      <c r="K15" s="45">
        <v>472</v>
      </c>
      <c r="L15" s="46">
        <f t="shared" si="4"/>
        <v>6.7340067340067339E-2</v>
      </c>
      <c r="M15" s="47">
        <f t="shared" si="5"/>
        <v>0.54873239436619725</v>
      </c>
      <c r="N15" s="40">
        <f>SFM!W15</f>
        <v>19193</v>
      </c>
      <c r="O15" s="40">
        <f>SFM!X15</f>
        <v>205</v>
      </c>
      <c r="P15" s="40">
        <f>SFM!Y15</f>
        <v>12</v>
      </c>
      <c r="Q15" s="40">
        <f>SFM!Z15</f>
        <v>253.24</v>
      </c>
      <c r="R15" s="40">
        <f>SFM!AA15</f>
        <v>255.48</v>
      </c>
      <c r="S15" s="40">
        <f>SFM!AB15</f>
        <v>1.24</v>
      </c>
      <c r="T15" s="48">
        <f t="shared" si="0"/>
        <v>0.99123219038672306</v>
      </c>
      <c r="U15" s="49">
        <f t="shared" si="1"/>
        <v>1.0680977439691553E-2</v>
      </c>
      <c r="V15" s="49">
        <f t="shared" si="2"/>
        <v>5.8536585365853662E-2</v>
      </c>
      <c r="W15" s="50">
        <f t="shared" si="3"/>
        <v>21.103333333333335</v>
      </c>
    </row>
    <row r="16" spans="1:23" ht="29.1" customHeight="1" x14ac:dyDescent="0.15">
      <c r="A16" s="52" t="s">
        <v>189</v>
      </c>
      <c r="B16" s="53" t="s">
        <v>190</v>
      </c>
      <c r="C16" s="39">
        <f>SFM!C16</f>
        <v>1</v>
      </c>
      <c r="D16" s="40">
        <f>SFM!D16</f>
        <v>1</v>
      </c>
      <c r="E16" s="41">
        <f>SFM!E16</f>
        <v>36.69</v>
      </c>
      <c r="F16" s="42">
        <v>111</v>
      </c>
      <c r="G16" s="43">
        <v>296</v>
      </c>
      <c r="H16" s="44">
        <v>407</v>
      </c>
      <c r="I16" s="43">
        <v>187</v>
      </c>
      <c r="J16" s="43">
        <v>365</v>
      </c>
      <c r="K16" s="45">
        <v>552</v>
      </c>
      <c r="L16" s="46">
        <f t="shared" si="4"/>
        <v>2.4570024570024569E-3</v>
      </c>
      <c r="M16" s="47">
        <f t="shared" si="5"/>
        <v>10.431452711910604</v>
      </c>
      <c r="N16" s="40">
        <f>SFM!W16</f>
        <v>26307</v>
      </c>
      <c r="O16" s="40">
        <f>SFM!X16</f>
        <v>250</v>
      </c>
      <c r="P16" s="40">
        <f>SFM!Y16</f>
        <v>23</v>
      </c>
      <c r="Q16" s="40">
        <f>SFM!Z16</f>
        <v>382.73</v>
      </c>
      <c r="R16" s="40">
        <f>SFM!AA16</f>
        <v>556.34</v>
      </c>
      <c r="S16" s="40">
        <f>SFM!AB16</f>
        <v>1.53</v>
      </c>
      <c r="T16" s="48">
        <f t="shared" si="0"/>
        <v>0.68794262501348091</v>
      </c>
      <c r="U16" s="49">
        <f t="shared" si="1"/>
        <v>9.503174060136085E-3</v>
      </c>
      <c r="V16" s="49">
        <f t="shared" si="2"/>
        <v>9.1999999999999998E-2</v>
      </c>
      <c r="W16" s="50">
        <f t="shared" si="3"/>
        <v>16.640434782608697</v>
      </c>
    </row>
    <row r="17" spans="1:23" ht="29.1" customHeight="1" x14ac:dyDescent="0.15">
      <c r="A17" s="52" t="s">
        <v>191</v>
      </c>
      <c r="B17" s="53" t="s">
        <v>192</v>
      </c>
      <c r="C17" s="39">
        <f>SFM!C17</f>
        <v>0</v>
      </c>
      <c r="D17" s="40">
        <f>SFM!D17</f>
        <v>0</v>
      </c>
      <c r="E17" s="41">
        <f>SFM!E17</f>
        <v>0</v>
      </c>
      <c r="F17" s="42">
        <v>141</v>
      </c>
      <c r="G17" s="43">
        <v>426</v>
      </c>
      <c r="H17" s="44">
        <v>567</v>
      </c>
      <c r="I17" s="43">
        <v>207</v>
      </c>
      <c r="J17" s="43">
        <v>511</v>
      </c>
      <c r="K17" s="45">
        <v>718</v>
      </c>
      <c r="L17" s="46">
        <f t="shared" si="4"/>
        <v>0</v>
      </c>
      <c r="M17" s="47" t="e">
        <f t="shared" si="5"/>
        <v>#DIV/0!</v>
      </c>
      <c r="N17" s="40">
        <f>SFM!W17</f>
        <v>20619</v>
      </c>
      <c r="O17" s="40">
        <f>SFM!X17</f>
        <v>227</v>
      </c>
      <c r="P17" s="40">
        <f>SFM!Y17</f>
        <v>19</v>
      </c>
      <c r="Q17" s="40">
        <f>SFM!Z17</f>
        <v>351.93</v>
      </c>
      <c r="R17" s="40">
        <f>SFM!AA17</f>
        <v>405.22</v>
      </c>
      <c r="S17" s="40">
        <f>SFM!AB17</f>
        <v>1.55</v>
      </c>
      <c r="T17" s="48">
        <f t="shared" si="0"/>
        <v>0.86849118997087993</v>
      </c>
      <c r="U17" s="49">
        <f t="shared" si="1"/>
        <v>1.1009263300839033E-2</v>
      </c>
      <c r="V17" s="49">
        <f t="shared" si="2"/>
        <v>8.3700440528634359E-2</v>
      </c>
      <c r="W17" s="50">
        <f t="shared" si="3"/>
        <v>18.522631578947369</v>
      </c>
    </row>
    <row r="18" spans="1:23" ht="29.1" customHeight="1" x14ac:dyDescent="0.15">
      <c r="A18" s="54" t="s">
        <v>193</v>
      </c>
      <c r="B18" s="55" t="s">
        <v>194</v>
      </c>
      <c r="C18" s="39">
        <f>SFM!C18</f>
        <v>10</v>
      </c>
      <c r="D18" s="40">
        <f>SFM!D18</f>
        <v>10</v>
      </c>
      <c r="E18" s="41">
        <f>SFM!E18</f>
        <v>347.93</v>
      </c>
      <c r="F18" s="42">
        <v>101</v>
      </c>
      <c r="G18" s="43">
        <v>212</v>
      </c>
      <c r="H18" s="44">
        <v>313</v>
      </c>
      <c r="I18" s="43">
        <v>154</v>
      </c>
      <c r="J18" s="43">
        <v>258</v>
      </c>
      <c r="K18" s="45">
        <v>412</v>
      </c>
      <c r="L18" s="46">
        <f t="shared" si="4"/>
        <v>3.1948881789137379E-2</v>
      </c>
      <c r="M18" s="47">
        <f t="shared" si="5"/>
        <v>0.73997643204092767</v>
      </c>
      <c r="N18" s="40">
        <f>SFM!W18</f>
        <v>26629</v>
      </c>
      <c r="O18" s="40">
        <f>SFM!X18</f>
        <v>186</v>
      </c>
      <c r="P18" s="40">
        <f>SFM!Y18</f>
        <v>9</v>
      </c>
      <c r="Q18" s="40">
        <f>SFM!Z18</f>
        <v>257.45999999999998</v>
      </c>
      <c r="R18" s="40">
        <f>SFM!AA18</f>
        <v>264.43</v>
      </c>
      <c r="S18" s="40">
        <f>SFM!AB18</f>
        <v>1.38</v>
      </c>
      <c r="T18" s="48">
        <f t="shared" si="0"/>
        <v>0.97364141738834464</v>
      </c>
      <c r="U18" s="49">
        <f t="shared" si="1"/>
        <v>6.9848661233993014E-3</v>
      </c>
      <c r="V18" s="49">
        <f t="shared" si="2"/>
        <v>4.8387096774193547E-2</v>
      </c>
      <c r="W18" s="50">
        <f t="shared" si="3"/>
        <v>28.606666666666666</v>
      </c>
    </row>
    <row r="19" spans="1:23" ht="29.1" customHeight="1" x14ac:dyDescent="0.15">
      <c r="A19" s="38" t="s">
        <v>195</v>
      </c>
      <c r="B19" s="38" t="s">
        <v>196</v>
      </c>
      <c r="C19" s="39">
        <f>SFM!C19</f>
        <v>17</v>
      </c>
      <c r="D19" s="40">
        <f>SFM!D19</f>
        <v>16</v>
      </c>
      <c r="E19" s="41">
        <f>SFM!E19</f>
        <v>470.26</v>
      </c>
      <c r="F19" s="42">
        <v>100</v>
      </c>
      <c r="G19" s="43">
        <v>293</v>
      </c>
      <c r="H19" s="44">
        <v>393</v>
      </c>
      <c r="I19" s="43">
        <v>120</v>
      </c>
      <c r="J19" s="43">
        <v>400</v>
      </c>
      <c r="K19" s="45">
        <v>520</v>
      </c>
      <c r="L19" s="46">
        <f t="shared" si="4"/>
        <v>4.0712468193384227E-2</v>
      </c>
      <c r="M19" s="47">
        <f t="shared" si="5"/>
        <v>0.96040488240547783</v>
      </c>
      <c r="N19" s="40">
        <f>SFM!W19</f>
        <v>43105</v>
      </c>
      <c r="O19" s="40">
        <f>SFM!X19</f>
        <v>323</v>
      </c>
      <c r="P19" s="40">
        <f>SFM!Y19</f>
        <v>15</v>
      </c>
      <c r="Q19" s="40">
        <f>SFM!Z19</f>
        <v>451.64</v>
      </c>
      <c r="R19" s="40">
        <f>SFM!AA19</f>
        <v>425.96</v>
      </c>
      <c r="S19" s="40">
        <f>SFM!AB19</f>
        <v>1.4</v>
      </c>
      <c r="T19" s="48">
        <f t="shared" si="0"/>
        <v>1.0602873509249695</v>
      </c>
      <c r="U19" s="49">
        <f t="shared" si="1"/>
        <v>7.4933302401113556E-3</v>
      </c>
      <c r="V19" s="49">
        <f t="shared" si="2"/>
        <v>4.6439628482972138E-2</v>
      </c>
      <c r="W19" s="50">
        <f t="shared" si="3"/>
        <v>30.109333333333332</v>
      </c>
    </row>
    <row r="20" spans="1:23" ht="29.1" customHeight="1" x14ac:dyDescent="0.15">
      <c r="A20" s="38" t="s">
        <v>198</v>
      </c>
      <c r="B20" s="38" t="s">
        <v>199</v>
      </c>
      <c r="C20" s="39">
        <f>SFM!C20</f>
        <v>10</v>
      </c>
      <c r="D20" s="40">
        <f>SFM!D20</f>
        <v>10</v>
      </c>
      <c r="E20" s="41">
        <f>SFM!E20</f>
        <v>280.39999999999998</v>
      </c>
      <c r="F20" s="42">
        <v>38</v>
      </c>
      <c r="G20" s="43">
        <v>141</v>
      </c>
      <c r="H20" s="44">
        <v>179</v>
      </c>
      <c r="I20" s="43">
        <v>50</v>
      </c>
      <c r="J20" s="43">
        <v>166</v>
      </c>
      <c r="K20" s="45">
        <v>216</v>
      </c>
      <c r="L20" s="46">
        <f t="shared" si="4"/>
        <v>5.5865921787709494E-2</v>
      </c>
      <c r="M20" s="47">
        <f t="shared" si="5"/>
        <v>0.47952924393723262</v>
      </c>
      <c r="N20" s="40">
        <f>SFM!W20</f>
        <v>14215</v>
      </c>
      <c r="O20" s="40">
        <f>SFM!X20</f>
        <v>111</v>
      </c>
      <c r="P20" s="40">
        <f>SFM!Y20</f>
        <v>9</v>
      </c>
      <c r="Q20" s="40">
        <f>SFM!Z20</f>
        <v>134.46</v>
      </c>
      <c r="R20" s="40">
        <f>SFM!AA20</f>
        <v>260.51</v>
      </c>
      <c r="S20" s="40">
        <f>SFM!AB20</f>
        <v>1.21</v>
      </c>
      <c r="T20" s="48">
        <f t="shared" si="0"/>
        <v>0.5161414149168938</v>
      </c>
      <c r="U20" s="49">
        <f t="shared" si="1"/>
        <v>7.8086528315160046E-3</v>
      </c>
      <c r="V20" s="49">
        <f t="shared" si="2"/>
        <v>8.1081081081081086E-2</v>
      </c>
      <c r="W20" s="50">
        <f t="shared" si="3"/>
        <v>14.940000000000001</v>
      </c>
    </row>
    <row r="21" spans="1:23" ht="29.1" customHeight="1" x14ac:dyDescent="0.15">
      <c r="A21" s="38" t="s">
        <v>200</v>
      </c>
      <c r="B21" s="38" t="s">
        <v>201</v>
      </c>
      <c r="C21" s="39">
        <f>SFM!C21</f>
        <v>8</v>
      </c>
      <c r="D21" s="40">
        <f>SFM!D21</f>
        <v>8</v>
      </c>
      <c r="E21" s="41">
        <f>SFM!E21</f>
        <v>179.98</v>
      </c>
      <c r="F21" s="42">
        <v>47</v>
      </c>
      <c r="G21" s="43">
        <v>97</v>
      </c>
      <c r="H21" s="44">
        <v>144</v>
      </c>
      <c r="I21" s="43">
        <v>52</v>
      </c>
      <c r="J21" s="43">
        <v>117</v>
      </c>
      <c r="K21" s="45">
        <v>169</v>
      </c>
      <c r="L21" s="46">
        <f t="shared" si="4"/>
        <v>5.5555555555555552E-2</v>
      </c>
      <c r="M21" s="47">
        <f t="shared" si="5"/>
        <v>0.73030336704078236</v>
      </c>
      <c r="N21" s="40">
        <f>SFM!W21</f>
        <v>15171</v>
      </c>
      <c r="O21" s="40">
        <f>SFM!X21</f>
        <v>100</v>
      </c>
      <c r="P21" s="40">
        <f>SFM!Y21</f>
        <v>6</v>
      </c>
      <c r="Q21" s="40">
        <f>SFM!Z21</f>
        <v>131.44</v>
      </c>
      <c r="R21" s="40">
        <f>SFM!AA21</f>
        <v>135.63</v>
      </c>
      <c r="S21" s="40">
        <f>SFM!AB21</f>
        <v>1.29</v>
      </c>
      <c r="T21" s="48">
        <f t="shared" si="0"/>
        <v>0.96910712969107127</v>
      </c>
      <c r="U21" s="49">
        <f t="shared" si="1"/>
        <v>6.5915233010348691E-3</v>
      </c>
      <c r="V21" s="49">
        <f t="shared" si="2"/>
        <v>0.06</v>
      </c>
      <c r="W21" s="50">
        <f t="shared" si="3"/>
        <v>21.906666666666666</v>
      </c>
    </row>
    <row r="22" spans="1:23" ht="29.1" customHeight="1" x14ac:dyDescent="0.15">
      <c r="A22" s="38" t="s">
        <v>202</v>
      </c>
      <c r="B22" s="38" t="s">
        <v>203</v>
      </c>
      <c r="C22" s="39">
        <f>SFM!C22</f>
        <v>6</v>
      </c>
      <c r="D22" s="40">
        <f>SFM!D22</f>
        <v>6</v>
      </c>
      <c r="E22" s="41">
        <f>SFM!E22</f>
        <v>137.33000000000001</v>
      </c>
      <c r="F22" s="42">
        <v>55</v>
      </c>
      <c r="G22" s="43">
        <v>116</v>
      </c>
      <c r="H22" s="44">
        <v>171</v>
      </c>
      <c r="I22" s="43">
        <v>62</v>
      </c>
      <c r="J22" s="43">
        <v>140</v>
      </c>
      <c r="K22" s="45">
        <v>202</v>
      </c>
      <c r="L22" s="46">
        <f t="shared" si="4"/>
        <v>3.5087719298245612E-2</v>
      </c>
      <c r="M22" s="47">
        <f t="shared" si="5"/>
        <v>0.92041068957984418</v>
      </c>
      <c r="N22" s="40">
        <f>SFM!W22</f>
        <v>19126</v>
      </c>
      <c r="O22" s="40">
        <f>SFM!X22</f>
        <v>103</v>
      </c>
      <c r="P22" s="40">
        <f>SFM!Y22</f>
        <v>6</v>
      </c>
      <c r="Q22" s="40">
        <f>SFM!Z22</f>
        <v>126.4</v>
      </c>
      <c r="R22" s="40">
        <f>SFM!AA22</f>
        <v>100.38</v>
      </c>
      <c r="S22" s="40">
        <f>SFM!AB22</f>
        <v>1.22</v>
      </c>
      <c r="T22" s="48">
        <f t="shared" si="0"/>
        <v>1.2592149830643555</v>
      </c>
      <c r="U22" s="49">
        <f t="shared" si="1"/>
        <v>5.3853393286625532E-3</v>
      </c>
      <c r="V22" s="49">
        <f t="shared" si="2"/>
        <v>5.8252427184466021E-2</v>
      </c>
      <c r="W22" s="50">
        <f t="shared" si="3"/>
        <v>21.066666666666666</v>
      </c>
    </row>
    <row r="23" spans="1:23" ht="29.1" customHeight="1" x14ac:dyDescent="0.15">
      <c r="A23" s="38" t="s">
        <v>205</v>
      </c>
      <c r="B23" s="38" t="s">
        <v>206</v>
      </c>
      <c r="C23" s="39">
        <f>SFM!C23</f>
        <v>1</v>
      </c>
      <c r="D23" s="40">
        <f>SFM!D23</f>
        <v>1</v>
      </c>
      <c r="E23" s="41">
        <f>SFM!E23</f>
        <v>26.89</v>
      </c>
      <c r="F23" s="42">
        <v>26</v>
      </c>
      <c r="G23" s="43">
        <v>62</v>
      </c>
      <c r="H23" s="44">
        <v>88</v>
      </c>
      <c r="I23" s="43">
        <v>28</v>
      </c>
      <c r="J23" s="43">
        <v>75</v>
      </c>
      <c r="K23" s="45">
        <v>103</v>
      </c>
      <c r="L23" s="46">
        <f t="shared" si="4"/>
        <v>1.1363636363636364E-2</v>
      </c>
      <c r="M23" s="47">
        <f t="shared" si="5"/>
        <v>1.8917813313499441</v>
      </c>
      <c r="N23" s="40">
        <f>SFM!W23</f>
        <v>9502</v>
      </c>
      <c r="O23" s="40">
        <f>SFM!X23</f>
        <v>51</v>
      </c>
      <c r="P23" s="40">
        <f>SFM!Y23</f>
        <v>1</v>
      </c>
      <c r="Q23" s="40">
        <f>SFM!Z23</f>
        <v>50.87</v>
      </c>
      <c r="R23" s="40">
        <f>SFM!AA23</f>
        <v>26.89</v>
      </c>
      <c r="S23" s="40">
        <f>SFM!AB23</f>
        <v>1</v>
      </c>
      <c r="T23" s="48">
        <f t="shared" si="0"/>
        <v>1.8917813313499441</v>
      </c>
      <c r="U23" s="49">
        <f t="shared" si="1"/>
        <v>5.3672910966112396E-3</v>
      </c>
      <c r="V23" s="49">
        <f t="shared" si="2"/>
        <v>1.9607843137254902E-2</v>
      </c>
      <c r="W23" s="50">
        <f t="shared" si="3"/>
        <v>50.87</v>
      </c>
    </row>
    <row r="24" spans="1:23" ht="29.1" customHeight="1" x14ac:dyDescent="0.15">
      <c r="A24" s="38" t="s">
        <v>208</v>
      </c>
      <c r="B24" s="38" t="s">
        <v>209</v>
      </c>
      <c r="C24" s="39">
        <f>SFM!C24</f>
        <v>4</v>
      </c>
      <c r="D24" s="40">
        <f>SFM!D24</f>
        <v>4</v>
      </c>
      <c r="E24" s="41">
        <f>SFM!E24</f>
        <v>158.25</v>
      </c>
      <c r="F24" s="42">
        <v>24</v>
      </c>
      <c r="G24" s="43">
        <v>25</v>
      </c>
      <c r="H24" s="44">
        <v>49</v>
      </c>
      <c r="I24" s="43">
        <v>36</v>
      </c>
      <c r="J24" s="43">
        <v>30</v>
      </c>
      <c r="K24" s="45">
        <v>66</v>
      </c>
      <c r="L24" s="46">
        <f t="shared" si="4"/>
        <v>8.1632653061224483E-2</v>
      </c>
      <c r="M24" s="47">
        <f t="shared" si="5"/>
        <v>0.22338072669826226</v>
      </c>
      <c r="N24" s="40">
        <f>SFM!W24</f>
        <v>5013</v>
      </c>
      <c r="O24" s="40">
        <f>SFM!X24</f>
        <v>34</v>
      </c>
      <c r="P24" s="40">
        <f>SFM!Y24</f>
        <v>3</v>
      </c>
      <c r="Q24" s="40">
        <f>SFM!Z24</f>
        <v>35.35</v>
      </c>
      <c r="R24" s="40">
        <f>SFM!AA24</f>
        <v>112.13</v>
      </c>
      <c r="S24" s="40">
        <f>SFM!AB24</f>
        <v>1.04</v>
      </c>
      <c r="T24" s="48">
        <f t="shared" si="0"/>
        <v>0.31525907428877198</v>
      </c>
      <c r="U24" s="49">
        <f t="shared" si="1"/>
        <v>6.7823658487931376E-3</v>
      </c>
      <c r="V24" s="49">
        <f t="shared" si="2"/>
        <v>8.8235294117647065E-2</v>
      </c>
      <c r="W24" s="50">
        <f t="shared" si="3"/>
        <v>11.783333333333333</v>
      </c>
    </row>
    <row r="25" spans="1:23" ht="29.1" customHeight="1" x14ac:dyDescent="0.15">
      <c r="A25" s="38" t="s">
        <v>210</v>
      </c>
      <c r="B25" s="38" t="s">
        <v>211</v>
      </c>
      <c r="C25" s="39">
        <f>SFM!C25</f>
        <v>2</v>
      </c>
      <c r="D25" s="40">
        <f>SFM!D25</f>
        <v>2</v>
      </c>
      <c r="E25" s="41">
        <f>SFM!E25</f>
        <v>52.8</v>
      </c>
      <c r="F25" s="42">
        <v>32</v>
      </c>
      <c r="G25" s="43">
        <v>58</v>
      </c>
      <c r="H25" s="44">
        <v>90</v>
      </c>
      <c r="I25" s="43">
        <v>42</v>
      </c>
      <c r="J25" s="43">
        <v>71</v>
      </c>
      <c r="K25" s="45">
        <v>113</v>
      </c>
      <c r="L25" s="46">
        <f t="shared" si="4"/>
        <v>2.2222222222222223E-2</v>
      </c>
      <c r="M25" s="47">
        <f t="shared" si="5"/>
        <v>1.0049242424242426</v>
      </c>
      <c r="N25" s="40">
        <f>SFM!W25</f>
        <v>7166</v>
      </c>
      <c r="O25" s="40">
        <f>SFM!X25</f>
        <v>50</v>
      </c>
      <c r="P25" s="40">
        <f>SFM!Y25</f>
        <v>1</v>
      </c>
      <c r="Q25" s="40">
        <f>SFM!Z25</f>
        <v>53.06</v>
      </c>
      <c r="R25" s="40">
        <f>SFM!AA25</f>
        <v>15.91</v>
      </c>
      <c r="S25" s="40">
        <f>SFM!AB25</f>
        <v>1.06</v>
      </c>
      <c r="T25" s="48">
        <f t="shared" si="0"/>
        <v>3.3350094280326839</v>
      </c>
      <c r="U25" s="49">
        <f t="shared" si="1"/>
        <v>6.9773932458833381E-3</v>
      </c>
      <c r="V25" s="49">
        <f t="shared" si="2"/>
        <v>0.02</v>
      </c>
      <c r="W25" s="50">
        <f t="shared" si="3"/>
        <v>53.06</v>
      </c>
    </row>
    <row r="26" spans="1:23" ht="29.1" customHeight="1" x14ac:dyDescent="0.15">
      <c r="A26" s="38" t="s">
        <v>213</v>
      </c>
      <c r="B26" s="38" t="s">
        <v>214</v>
      </c>
      <c r="C26" s="39">
        <f>SFM!C26</f>
        <v>11</v>
      </c>
      <c r="D26" s="40">
        <f>SFM!D26</f>
        <v>11</v>
      </c>
      <c r="E26" s="41">
        <f>SFM!E26</f>
        <v>268.35000000000002</v>
      </c>
      <c r="F26" s="42">
        <v>36</v>
      </c>
      <c r="G26" s="43">
        <v>85</v>
      </c>
      <c r="H26" s="44">
        <v>121</v>
      </c>
      <c r="I26" s="43">
        <v>45</v>
      </c>
      <c r="J26" s="43">
        <v>111</v>
      </c>
      <c r="K26" s="45">
        <v>156</v>
      </c>
      <c r="L26" s="46">
        <f t="shared" si="4"/>
        <v>9.0909090909090912E-2</v>
      </c>
      <c r="M26" s="47">
        <f t="shared" si="5"/>
        <v>0.25060555245015836</v>
      </c>
      <c r="N26" s="40">
        <f>SFM!W26</f>
        <v>9723</v>
      </c>
      <c r="O26" s="40">
        <f>SFM!X26</f>
        <v>67</v>
      </c>
      <c r="P26" s="40">
        <f>SFM!Y26</f>
        <v>7</v>
      </c>
      <c r="Q26" s="40">
        <f>SFM!Z26</f>
        <v>67.25</v>
      </c>
      <c r="R26" s="40">
        <f>SFM!AA26</f>
        <v>129.1</v>
      </c>
      <c r="S26" s="40">
        <f>SFM!AB26</f>
        <v>1</v>
      </c>
      <c r="T26" s="48">
        <f t="shared" si="0"/>
        <v>0.52091402013942678</v>
      </c>
      <c r="U26" s="49">
        <f t="shared" si="1"/>
        <v>6.8908773012444722E-3</v>
      </c>
      <c r="V26" s="49">
        <f t="shared" si="2"/>
        <v>0.1044776119402985</v>
      </c>
      <c r="W26" s="50">
        <f t="shared" si="3"/>
        <v>9.6071428571428577</v>
      </c>
    </row>
    <row r="27" spans="1:23" ht="29.1" customHeight="1" x14ac:dyDescent="0.15">
      <c r="A27" s="38" t="s">
        <v>216</v>
      </c>
      <c r="B27" s="38" t="s">
        <v>217</v>
      </c>
      <c r="C27" s="39">
        <f>SFM!C27</f>
        <v>5</v>
      </c>
      <c r="D27" s="40">
        <f>SFM!D27</f>
        <v>5</v>
      </c>
      <c r="E27" s="41">
        <f>SFM!E27</f>
        <v>101.51</v>
      </c>
      <c r="F27" s="42">
        <v>30</v>
      </c>
      <c r="G27" s="43">
        <v>62</v>
      </c>
      <c r="H27" s="44">
        <v>92</v>
      </c>
      <c r="I27" s="43">
        <v>40</v>
      </c>
      <c r="J27" s="43">
        <v>74</v>
      </c>
      <c r="K27" s="45">
        <v>114</v>
      </c>
      <c r="L27" s="46">
        <f t="shared" si="4"/>
        <v>5.434782608695652E-2</v>
      </c>
      <c r="M27" s="47">
        <f t="shared" si="5"/>
        <v>0.47551965323613438</v>
      </c>
      <c r="N27" s="40">
        <f>SFM!W27</f>
        <v>9525</v>
      </c>
      <c r="O27" s="40">
        <f>SFM!X27</f>
        <v>46</v>
      </c>
      <c r="P27" s="40">
        <f>SFM!Y27</f>
        <v>1</v>
      </c>
      <c r="Q27" s="40">
        <f>SFM!Z27</f>
        <v>48.27</v>
      </c>
      <c r="R27" s="40">
        <f>SFM!AA27</f>
        <v>15.91</v>
      </c>
      <c r="S27" s="40">
        <f>SFM!AB27</f>
        <v>1.05</v>
      </c>
      <c r="T27" s="48">
        <f t="shared" si="0"/>
        <v>3.0339409176618481</v>
      </c>
      <c r="U27" s="49">
        <f t="shared" si="1"/>
        <v>4.8293963254593172E-3</v>
      </c>
      <c r="V27" s="49">
        <f t="shared" si="2"/>
        <v>2.1739130434782608E-2</v>
      </c>
      <c r="W27" s="50">
        <f t="shared" si="3"/>
        <v>48.27</v>
      </c>
    </row>
    <row r="28" spans="1:23" ht="29.1" customHeight="1" x14ac:dyDescent="0.15">
      <c r="A28" s="38" t="s">
        <v>219</v>
      </c>
      <c r="B28" s="38" t="s">
        <v>220</v>
      </c>
      <c r="C28" s="39">
        <f>SFM!C28</f>
        <v>2</v>
      </c>
      <c r="D28" s="40">
        <f>SFM!D28</f>
        <v>2</v>
      </c>
      <c r="E28" s="41">
        <f>SFM!E28</f>
        <v>53.78</v>
      </c>
      <c r="F28" s="42">
        <v>34</v>
      </c>
      <c r="G28" s="43">
        <v>66</v>
      </c>
      <c r="H28" s="44">
        <v>100</v>
      </c>
      <c r="I28" s="43">
        <v>43</v>
      </c>
      <c r="J28" s="43">
        <v>87</v>
      </c>
      <c r="K28" s="45">
        <v>130</v>
      </c>
      <c r="L28" s="46">
        <f t="shared" si="4"/>
        <v>0.02</v>
      </c>
      <c r="M28" s="47">
        <f t="shared" si="5"/>
        <v>0.79062848642618078</v>
      </c>
      <c r="N28" s="40">
        <f>SFM!W28</f>
        <v>6293</v>
      </c>
      <c r="O28" s="40">
        <f>SFM!X28</f>
        <v>44</v>
      </c>
      <c r="P28" s="40">
        <f>SFM!Y28</f>
        <v>2</v>
      </c>
      <c r="Q28" s="40">
        <f>SFM!Z28</f>
        <v>42.52</v>
      </c>
      <c r="R28" s="40">
        <f>SFM!AA28</f>
        <v>40.340000000000003</v>
      </c>
      <c r="S28" s="40">
        <f>SFM!AB28</f>
        <v>0.97</v>
      </c>
      <c r="T28" s="48">
        <f t="shared" si="0"/>
        <v>1.0540406544372831</v>
      </c>
      <c r="U28" s="49">
        <f t="shared" si="1"/>
        <v>6.9918957571905287E-3</v>
      </c>
      <c r="V28" s="49">
        <f t="shared" si="2"/>
        <v>4.5454545454545456E-2</v>
      </c>
      <c r="W28" s="50">
        <f t="shared" si="3"/>
        <v>21.26</v>
      </c>
    </row>
    <row r="29" spans="1:23" ht="29.1" customHeight="1" x14ac:dyDescent="0.15">
      <c r="A29" s="38" t="s">
        <v>221</v>
      </c>
      <c r="B29" s="38" t="s">
        <v>222</v>
      </c>
      <c r="C29" s="39">
        <f>SFM!C29</f>
        <v>1</v>
      </c>
      <c r="D29" s="40">
        <f>SFM!D29</f>
        <v>1</v>
      </c>
      <c r="E29" s="41">
        <f>SFM!E29</f>
        <v>26.89</v>
      </c>
      <c r="F29" s="42">
        <v>23</v>
      </c>
      <c r="G29" s="43">
        <v>61</v>
      </c>
      <c r="H29" s="44">
        <v>84</v>
      </c>
      <c r="I29" s="43">
        <v>30</v>
      </c>
      <c r="J29" s="43">
        <v>75</v>
      </c>
      <c r="K29" s="45">
        <v>105</v>
      </c>
      <c r="L29" s="46">
        <f t="shared" si="4"/>
        <v>1.1904761904761904E-2</v>
      </c>
      <c r="M29" s="47">
        <f t="shared" si="5"/>
        <v>1.5771662328002973</v>
      </c>
      <c r="N29" s="40">
        <f>SFM!W29</f>
        <v>7565</v>
      </c>
      <c r="O29" s="40">
        <f>SFM!X29</f>
        <v>45</v>
      </c>
      <c r="P29" s="40">
        <f>SFM!Y29</f>
        <v>1</v>
      </c>
      <c r="Q29" s="40">
        <f>SFM!Z29</f>
        <v>42.41</v>
      </c>
      <c r="R29" s="40">
        <f>SFM!AA29</f>
        <v>26.9</v>
      </c>
      <c r="S29" s="40">
        <f>SFM!AB29</f>
        <v>0.94</v>
      </c>
      <c r="T29" s="48">
        <f t="shared" si="0"/>
        <v>1.5765799256505575</v>
      </c>
      <c r="U29" s="49">
        <f t="shared" si="1"/>
        <v>5.9484467944481163E-3</v>
      </c>
      <c r="V29" s="49">
        <f t="shared" si="2"/>
        <v>2.2222222222222223E-2</v>
      </c>
      <c r="W29" s="50">
        <f t="shared" si="3"/>
        <v>42.41</v>
      </c>
    </row>
    <row r="30" spans="1:23" ht="29.1" customHeight="1" x14ac:dyDescent="0.15">
      <c r="A30" s="38" t="s">
        <v>223</v>
      </c>
      <c r="B30" s="38" t="s">
        <v>224</v>
      </c>
      <c r="C30" s="39">
        <f>SFM!C30</f>
        <v>4</v>
      </c>
      <c r="D30" s="40">
        <f>SFM!D30</f>
        <v>4</v>
      </c>
      <c r="E30" s="41">
        <f>SFM!E30</f>
        <v>121.31</v>
      </c>
      <c r="F30" s="42">
        <v>29</v>
      </c>
      <c r="G30" s="43">
        <v>35</v>
      </c>
      <c r="H30" s="44">
        <v>64</v>
      </c>
      <c r="I30" s="43">
        <v>34</v>
      </c>
      <c r="J30" s="43">
        <v>43</v>
      </c>
      <c r="K30" s="45">
        <v>77</v>
      </c>
      <c r="L30" s="46">
        <f t="shared" si="4"/>
        <v>6.25E-2</v>
      </c>
      <c r="M30" s="47">
        <f t="shared" si="5"/>
        <v>0.30162393866952436</v>
      </c>
      <c r="N30" s="40">
        <f>SFM!W30</f>
        <v>5577</v>
      </c>
      <c r="O30" s="40">
        <f>SFM!X30</f>
        <v>46</v>
      </c>
      <c r="P30" s="40">
        <f>SFM!Y30</f>
        <v>4</v>
      </c>
      <c r="Q30" s="40">
        <f>SFM!Z30</f>
        <v>36.590000000000003</v>
      </c>
      <c r="R30" s="40">
        <f>SFM!AA30</f>
        <v>121.31</v>
      </c>
      <c r="S30" s="40">
        <f>SFM!AB30</f>
        <v>0.8</v>
      </c>
      <c r="T30" s="48">
        <f t="shared" si="0"/>
        <v>0.30162393866952436</v>
      </c>
      <c r="U30" s="49">
        <f t="shared" si="1"/>
        <v>8.2481620943159403E-3</v>
      </c>
      <c r="V30" s="49">
        <f t="shared" si="2"/>
        <v>8.6956521739130432E-2</v>
      </c>
      <c r="W30" s="50">
        <f t="shared" si="3"/>
        <v>9.1475000000000009</v>
      </c>
    </row>
    <row r="31" spans="1:23" ht="29.1" customHeight="1" x14ac:dyDescent="0.15">
      <c r="A31" s="56" t="s">
        <v>226</v>
      </c>
      <c r="B31" s="57" t="s">
        <v>227</v>
      </c>
      <c r="C31" s="39">
        <f>SFM!C31</f>
        <v>2</v>
      </c>
      <c r="D31" s="40">
        <f>SFM!D31</f>
        <v>2</v>
      </c>
      <c r="E31" s="41">
        <f>SFM!E31</f>
        <v>48.65</v>
      </c>
      <c r="F31" s="42">
        <v>30</v>
      </c>
      <c r="G31" s="43">
        <v>79</v>
      </c>
      <c r="H31" s="44">
        <v>109</v>
      </c>
      <c r="I31" s="43">
        <v>37</v>
      </c>
      <c r="J31" s="43">
        <v>94</v>
      </c>
      <c r="K31" s="45">
        <v>131</v>
      </c>
      <c r="L31" s="46">
        <f t="shared" si="4"/>
        <v>1.834862385321101E-2</v>
      </c>
      <c r="M31" s="47">
        <f t="shared" si="5"/>
        <v>1.2807810894141831</v>
      </c>
      <c r="N31" s="40">
        <f>SFM!W31</f>
        <v>7479</v>
      </c>
      <c r="O31" s="40">
        <f>SFM!X31</f>
        <v>67</v>
      </c>
      <c r="P31" s="40">
        <f>SFM!Y31</f>
        <v>1</v>
      </c>
      <c r="Q31" s="40">
        <f>SFM!Z31</f>
        <v>62.31</v>
      </c>
      <c r="R31" s="40">
        <f>SFM!AA31</f>
        <v>29.83</v>
      </c>
      <c r="S31" s="40">
        <f>SFM!AB31</f>
        <v>0.93</v>
      </c>
      <c r="T31" s="48">
        <f t="shared" si="0"/>
        <v>2.0888367415353675</v>
      </c>
      <c r="U31" s="49">
        <f t="shared" si="1"/>
        <v>8.9584169006551671E-3</v>
      </c>
      <c r="V31" s="49">
        <f t="shared" si="2"/>
        <v>1.4925373134328358E-2</v>
      </c>
      <c r="W31" s="50">
        <f t="shared" si="3"/>
        <v>62.31</v>
      </c>
    </row>
    <row r="32" spans="1:23" ht="29.1" customHeight="1" x14ac:dyDescent="0.15">
      <c r="A32" s="38" t="s">
        <v>228</v>
      </c>
      <c r="B32" s="58" t="s">
        <v>229</v>
      </c>
      <c r="C32" s="39">
        <f>SFM!C32</f>
        <v>15</v>
      </c>
      <c r="D32" s="40">
        <f>SFM!D32</f>
        <v>14</v>
      </c>
      <c r="E32" s="41">
        <f>SFM!E32</f>
        <v>239.55</v>
      </c>
      <c r="F32" s="42">
        <v>38</v>
      </c>
      <c r="G32" s="43">
        <v>159</v>
      </c>
      <c r="H32" s="44">
        <v>197</v>
      </c>
      <c r="I32" s="43">
        <v>72</v>
      </c>
      <c r="J32" s="43">
        <v>199</v>
      </c>
      <c r="K32" s="45">
        <v>271</v>
      </c>
      <c r="L32" s="46">
        <f t="shared" si="4"/>
        <v>7.1065989847715741E-2</v>
      </c>
      <c r="M32" s="47">
        <f t="shared" si="5"/>
        <v>0.4593613024420789</v>
      </c>
      <c r="N32" s="40">
        <f>SFM!W32</f>
        <v>13319</v>
      </c>
      <c r="O32" s="40">
        <f>SFM!X32</f>
        <v>115</v>
      </c>
      <c r="P32" s="40">
        <f>SFM!Y32</f>
        <v>9</v>
      </c>
      <c r="Q32" s="40">
        <f>SFM!Z32</f>
        <v>110.04</v>
      </c>
      <c r="R32" s="40">
        <f>SFM!AA32</f>
        <v>161.97999999999999</v>
      </c>
      <c r="S32" s="40">
        <f>SFM!AB32</f>
        <v>0.96</v>
      </c>
      <c r="T32" s="48">
        <f t="shared" si="0"/>
        <v>0.67934312878133107</v>
      </c>
      <c r="U32" s="49">
        <f t="shared" si="1"/>
        <v>8.6342818529919658E-3</v>
      </c>
      <c r="V32" s="49">
        <f t="shared" si="2"/>
        <v>7.8260869565217397E-2</v>
      </c>
      <c r="W32" s="50">
        <f t="shared" si="3"/>
        <v>12.226666666666667</v>
      </c>
    </row>
    <row r="33" spans="1:23" ht="29.1" customHeight="1" x14ac:dyDescent="0.15">
      <c r="A33" s="38" t="s">
        <v>230</v>
      </c>
      <c r="B33" s="58" t="s">
        <v>231</v>
      </c>
      <c r="C33" s="39">
        <f>SFM!C33</f>
        <v>8</v>
      </c>
      <c r="D33" s="40">
        <f>SFM!D33</f>
        <v>8</v>
      </c>
      <c r="E33" s="41">
        <f>SFM!E33</f>
        <v>184.1</v>
      </c>
      <c r="F33" s="42">
        <v>54</v>
      </c>
      <c r="G33" s="43">
        <v>170</v>
      </c>
      <c r="H33" s="44">
        <v>224</v>
      </c>
      <c r="I33" s="43">
        <v>70</v>
      </c>
      <c r="J33" s="43">
        <v>216</v>
      </c>
      <c r="K33" s="45">
        <v>286</v>
      </c>
      <c r="L33" s="46">
        <f t="shared" si="4"/>
        <v>3.5714285714285712E-2</v>
      </c>
      <c r="M33" s="47">
        <f t="shared" si="5"/>
        <v>0.57338403041825103</v>
      </c>
      <c r="N33" s="40">
        <f>SFM!W33</f>
        <v>14747</v>
      </c>
      <c r="O33" s="40">
        <f>SFM!X33</f>
        <v>118</v>
      </c>
      <c r="P33" s="40">
        <f>SFM!Y33</f>
        <v>5</v>
      </c>
      <c r="Q33" s="40">
        <f>SFM!Z33</f>
        <v>105.56</v>
      </c>
      <c r="R33" s="40">
        <f>SFM!AA33</f>
        <v>122.73</v>
      </c>
      <c r="S33" s="40">
        <f>SFM!AB33</f>
        <v>0.89</v>
      </c>
      <c r="T33" s="48">
        <f t="shared" si="0"/>
        <v>0.860099405198403</v>
      </c>
      <c r="U33" s="49">
        <f t="shared" si="1"/>
        <v>8.0016274496507757E-3</v>
      </c>
      <c r="V33" s="49">
        <f t="shared" si="2"/>
        <v>4.2372881355932202E-2</v>
      </c>
      <c r="W33" s="50">
        <f t="shared" si="3"/>
        <v>21.112000000000002</v>
      </c>
    </row>
    <row r="34" spans="1:23" ht="29.1" customHeight="1" x14ac:dyDescent="0.15">
      <c r="A34" s="38" t="s">
        <v>232</v>
      </c>
      <c r="B34" s="58" t="s">
        <v>233</v>
      </c>
      <c r="C34" s="39">
        <f>SFM!C34</f>
        <v>10</v>
      </c>
      <c r="D34" s="40">
        <f>SFM!D34</f>
        <v>10</v>
      </c>
      <c r="E34" s="41">
        <f>SFM!E34</f>
        <v>157</v>
      </c>
      <c r="F34" s="42">
        <v>66</v>
      </c>
      <c r="G34" s="43">
        <v>221</v>
      </c>
      <c r="H34" s="44">
        <v>287</v>
      </c>
      <c r="I34" s="43">
        <v>86</v>
      </c>
      <c r="J34" s="43">
        <v>250</v>
      </c>
      <c r="K34" s="45">
        <v>336</v>
      </c>
      <c r="L34" s="46">
        <f t="shared" si="4"/>
        <v>3.484320557491289E-2</v>
      </c>
      <c r="M34" s="47">
        <f t="shared" si="5"/>
        <v>0.93229299363057327</v>
      </c>
      <c r="N34" s="40">
        <f>SFM!W34</f>
        <v>19044</v>
      </c>
      <c r="O34" s="40">
        <f>SFM!X34</f>
        <v>164</v>
      </c>
      <c r="P34" s="40">
        <f>SFM!Y34</f>
        <v>9</v>
      </c>
      <c r="Q34" s="40">
        <f>SFM!Z34</f>
        <v>146.37</v>
      </c>
      <c r="R34" s="40">
        <f>SFM!AA34</f>
        <v>143.55000000000001</v>
      </c>
      <c r="S34" s="40">
        <f>SFM!AB34</f>
        <v>0.89</v>
      </c>
      <c r="T34" s="48">
        <f t="shared" si="0"/>
        <v>1.0196447230929988</v>
      </c>
      <c r="U34" s="49">
        <f t="shared" si="1"/>
        <v>8.6116362108800675E-3</v>
      </c>
      <c r="V34" s="49">
        <f t="shared" si="2"/>
        <v>5.4878048780487805E-2</v>
      </c>
      <c r="W34" s="50">
        <f t="shared" si="3"/>
        <v>16.263333333333335</v>
      </c>
    </row>
    <row r="35" spans="1:23" ht="29.1" customHeight="1" x14ac:dyDescent="0.15">
      <c r="A35" s="38" t="s">
        <v>236</v>
      </c>
      <c r="B35" s="58" t="s">
        <v>237</v>
      </c>
      <c r="C35" s="39">
        <f>SFM!C35</f>
        <v>18</v>
      </c>
      <c r="D35" s="40">
        <f>SFM!D35</f>
        <v>17</v>
      </c>
      <c r="E35" s="41">
        <f>SFM!E35</f>
        <v>340.2</v>
      </c>
      <c r="F35" s="42">
        <v>55</v>
      </c>
      <c r="G35" s="43">
        <v>228</v>
      </c>
      <c r="H35" s="44">
        <v>283</v>
      </c>
      <c r="I35" s="43">
        <v>71</v>
      </c>
      <c r="J35" s="43">
        <v>268</v>
      </c>
      <c r="K35" s="45">
        <v>339</v>
      </c>
      <c r="L35" s="46">
        <f t="shared" si="4"/>
        <v>6.0070671378091869E-2</v>
      </c>
      <c r="M35" s="47">
        <f t="shared" si="5"/>
        <v>0.45514403292181072</v>
      </c>
      <c r="N35" s="40">
        <f>SFM!W35</f>
        <v>23652</v>
      </c>
      <c r="O35" s="40">
        <f>SFM!X35</f>
        <v>169</v>
      </c>
      <c r="P35" s="40">
        <f>SFM!Y35</f>
        <v>14</v>
      </c>
      <c r="Q35" s="40">
        <f>SFM!Z35</f>
        <v>154.84</v>
      </c>
      <c r="R35" s="40">
        <f>SFM!AA35</f>
        <v>278.83999999999997</v>
      </c>
      <c r="S35" s="40">
        <f>SFM!AB35</f>
        <v>0.92</v>
      </c>
      <c r="T35" s="48">
        <f t="shared" si="0"/>
        <v>0.55530053077033426</v>
      </c>
      <c r="U35" s="49">
        <f t="shared" si="1"/>
        <v>7.1452731270082864E-3</v>
      </c>
      <c r="V35" s="49">
        <f t="shared" si="2"/>
        <v>8.2840236686390539E-2</v>
      </c>
      <c r="W35" s="50">
        <f t="shared" si="3"/>
        <v>11.06</v>
      </c>
    </row>
    <row r="36" spans="1:23" ht="29.1" customHeight="1" x14ac:dyDescent="0.15">
      <c r="A36" s="38" t="s">
        <v>240</v>
      </c>
      <c r="B36" s="58" t="s">
        <v>241</v>
      </c>
      <c r="C36" s="39">
        <f>SFM!C36</f>
        <v>17</v>
      </c>
      <c r="D36" s="40">
        <f>SFM!D36</f>
        <v>9</v>
      </c>
      <c r="E36" s="41">
        <f>SFM!E36</f>
        <v>235.85</v>
      </c>
      <c r="F36" s="42">
        <v>55</v>
      </c>
      <c r="G36" s="43">
        <v>195</v>
      </c>
      <c r="H36" s="44">
        <v>250</v>
      </c>
      <c r="I36" s="43">
        <v>66</v>
      </c>
      <c r="J36" s="43">
        <v>239</v>
      </c>
      <c r="K36" s="45">
        <v>305</v>
      </c>
      <c r="L36" s="46">
        <f t="shared" si="4"/>
        <v>3.5999999999999997E-2</v>
      </c>
      <c r="M36" s="47">
        <f t="shared" si="5"/>
        <v>0.51553953784184869</v>
      </c>
      <c r="N36" s="40">
        <f>SFM!W36</f>
        <v>19003</v>
      </c>
      <c r="O36" s="40">
        <f>SFM!X36</f>
        <v>135</v>
      </c>
      <c r="P36" s="40">
        <f>SFM!Y36</f>
        <v>7</v>
      </c>
      <c r="Q36" s="40">
        <f>SFM!Z36</f>
        <v>121.59</v>
      </c>
      <c r="R36" s="40">
        <f>SFM!AA36</f>
        <v>208.95</v>
      </c>
      <c r="S36" s="40" t="str">
        <f>SFM!AB36</f>
        <v>‎0.90</v>
      </c>
      <c r="T36" s="48">
        <f t="shared" si="0"/>
        <v>0.58190954773869352</v>
      </c>
      <c r="U36" s="49">
        <f t="shared" si="1"/>
        <v>7.104141451349787E-3</v>
      </c>
      <c r="V36" s="49">
        <f t="shared" si="2"/>
        <v>5.185185185185185E-2</v>
      </c>
      <c r="W36" s="50">
        <f t="shared" si="3"/>
        <v>17.37</v>
      </c>
    </row>
    <row r="37" spans="1:23" ht="29.1" customHeight="1" x14ac:dyDescent="0.15">
      <c r="A37" s="38" t="s">
        <v>244</v>
      </c>
      <c r="B37" s="58" t="s">
        <v>245</v>
      </c>
      <c r="C37" s="39">
        <f>SFM!C37</f>
        <v>16</v>
      </c>
      <c r="D37" s="40">
        <f>SFM!D37</f>
        <v>15</v>
      </c>
      <c r="E37" s="41">
        <f>SFM!E37</f>
        <v>260.2</v>
      </c>
      <c r="F37" s="42">
        <v>64</v>
      </c>
      <c r="G37" s="43">
        <v>192</v>
      </c>
      <c r="H37" s="44">
        <v>256</v>
      </c>
      <c r="I37" s="43">
        <v>81</v>
      </c>
      <c r="J37" s="43">
        <v>244</v>
      </c>
      <c r="K37" s="45">
        <v>325</v>
      </c>
      <c r="L37" s="46">
        <f t="shared" si="4"/>
        <v>5.859375E-2</v>
      </c>
      <c r="M37" s="47">
        <f t="shared" si="5"/>
        <v>0.43670253651037666</v>
      </c>
      <c r="N37" s="40">
        <f>SFM!W37</f>
        <v>16830</v>
      </c>
      <c r="O37" s="40">
        <f>SFM!X37</f>
        <v>123</v>
      </c>
      <c r="P37" s="40">
        <f>SFM!Y37</f>
        <v>10</v>
      </c>
      <c r="Q37" s="40">
        <f>SFM!Z37</f>
        <v>113.63</v>
      </c>
      <c r="R37" s="40">
        <f>SFM!AA37</f>
        <v>165.21</v>
      </c>
      <c r="S37" s="40">
        <f>SFM!AB37</f>
        <v>0.92</v>
      </c>
      <c r="T37" s="48">
        <f t="shared" si="0"/>
        <v>0.68779129592639665</v>
      </c>
      <c r="U37" s="49">
        <f t="shared" si="1"/>
        <v>7.3083778966131904E-3</v>
      </c>
      <c r="V37" s="49">
        <f t="shared" si="2"/>
        <v>8.1300813008130079E-2</v>
      </c>
      <c r="W37" s="50">
        <f t="shared" si="3"/>
        <v>11.363</v>
      </c>
    </row>
    <row r="38" spans="1:23" ht="29.1" customHeight="1" x14ac:dyDescent="0.15">
      <c r="A38" s="38" t="s">
        <v>247</v>
      </c>
      <c r="B38" s="58" t="s">
        <v>248</v>
      </c>
      <c r="C38" s="39">
        <f>SFM!C38</f>
        <v>14</v>
      </c>
      <c r="D38" s="40">
        <f>SFM!D38</f>
        <v>13</v>
      </c>
      <c r="E38" s="41">
        <f>SFM!E38</f>
        <v>263.89999999999998</v>
      </c>
      <c r="F38" s="42">
        <v>52</v>
      </c>
      <c r="G38" s="43">
        <v>140</v>
      </c>
      <c r="H38" s="44">
        <v>192</v>
      </c>
      <c r="I38" s="43">
        <v>67</v>
      </c>
      <c r="J38" s="43">
        <v>155</v>
      </c>
      <c r="K38" s="45">
        <v>222</v>
      </c>
      <c r="L38" s="46">
        <f t="shared" si="4"/>
        <v>6.7708333333333329E-2</v>
      </c>
      <c r="M38" s="47">
        <f t="shared" si="5"/>
        <v>0.47605153467222433</v>
      </c>
      <c r="N38" s="40">
        <f>SFM!W38</f>
        <v>19550</v>
      </c>
      <c r="O38" s="40">
        <f>SFM!X38</f>
        <v>138</v>
      </c>
      <c r="P38" s="40">
        <f>SFM!Y38</f>
        <v>10</v>
      </c>
      <c r="Q38" s="40">
        <f>SFM!Z38</f>
        <v>125.63</v>
      </c>
      <c r="R38" s="40">
        <f>SFM!AA38</f>
        <v>194.8</v>
      </c>
      <c r="S38" s="40">
        <f>SFM!AB38</f>
        <v>0.91</v>
      </c>
      <c r="T38" s="48">
        <f t="shared" si="0"/>
        <v>0.64491786447638599</v>
      </c>
      <c r="U38" s="49">
        <f t="shared" si="1"/>
        <v>7.058823529411765E-3</v>
      </c>
      <c r="V38" s="49">
        <f t="shared" si="2"/>
        <v>7.2463768115942032E-2</v>
      </c>
      <c r="W38" s="50">
        <f t="shared" si="3"/>
        <v>12.562999999999999</v>
      </c>
    </row>
    <row r="39" spans="1:23" ht="29.1" customHeight="1" x14ac:dyDescent="0.15">
      <c r="A39" s="38" t="s">
        <v>250</v>
      </c>
      <c r="B39" s="58" t="s">
        <v>251</v>
      </c>
      <c r="C39" s="39">
        <f>SFM!C39</f>
        <v>8</v>
      </c>
      <c r="D39" s="40">
        <f>SFM!D39</f>
        <v>7</v>
      </c>
      <c r="E39" s="41">
        <f>SFM!E39</f>
        <v>167.9</v>
      </c>
      <c r="F39" s="42">
        <v>52</v>
      </c>
      <c r="G39" s="43">
        <v>140</v>
      </c>
      <c r="H39" s="44">
        <v>192</v>
      </c>
      <c r="I39" s="43">
        <v>67</v>
      </c>
      <c r="J39" s="43">
        <v>155</v>
      </c>
      <c r="K39" s="45">
        <v>222</v>
      </c>
      <c r="L39" s="46">
        <f t="shared" si="4"/>
        <v>3.6458333333333336E-2</v>
      </c>
      <c r="M39" s="47">
        <f t="shared" si="5"/>
        <v>0.50559857057772484</v>
      </c>
      <c r="N39" s="40">
        <f>SFM!W39</f>
        <v>14328</v>
      </c>
      <c r="O39" s="40">
        <f>SFM!X39</f>
        <v>91</v>
      </c>
      <c r="P39" s="40">
        <f>SFM!Y39</f>
        <v>4</v>
      </c>
      <c r="Q39" s="40">
        <f>SFM!Z39</f>
        <v>84.89</v>
      </c>
      <c r="R39" s="40">
        <f>SFM!AA39</f>
        <v>105.05</v>
      </c>
      <c r="S39" s="40">
        <f>SFM!AB39</f>
        <v>0.93</v>
      </c>
      <c r="T39" s="48">
        <f t="shared" si="0"/>
        <v>0.80809138505473588</v>
      </c>
      <c r="U39" s="49">
        <f t="shared" si="1"/>
        <v>6.351200446677834E-3</v>
      </c>
      <c r="V39" s="49">
        <f t="shared" si="2"/>
        <v>4.3956043956043959E-2</v>
      </c>
      <c r="W39" s="50">
        <f t="shared" si="3"/>
        <v>21.2225</v>
      </c>
    </row>
    <row r="40" spans="1:23" ht="29.1" customHeight="1" x14ac:dyDescent="0.15">
      <c r="A40" s="38" t="s">
        <v>254</v>
      </c>
      <c r="B40" s="58" t="s">
        <v>255</v>
      </c>
      <c r="C40" s="39">
        <f>SFM!C40</f>
        <v>3</v>
      </c>
      <c r="D40" s="40">
        <f>SFM!D40</f>
        <v>3</v>
      </c>
      <c r="E40" s="41">
        <f>SFM!E40</f>
        <v>82.53</v>
      </c>
      <c r="F40" s="42">
        <v>52</v>
      </c>
      <c r="G40" s="43">
        <v>140</v>
      </c>
      <c r="H40" s="44">
        <v>192</v>
      </c>
      <c r="I40" s="43">
        <v>67</v>
      </c>
      <c r="J40" s="43">
        <v>155</v>
      </c>
      <c r="K40" s="45">
        <v>222</v>
      </c>
      <c r="L40" s="46">
        <f t="shared" si="4"/>
        <v>1.5625E-2</v>
      </c>
      <c r="M40" s="47">
        <f t="shared" si="5"/>
        <v>0.34423845874227554</v>
      </c>
      <c r="N40" s="40">
        <f>SFM!W40</f>
        <v>9207</v>
      </c>
      <c r="O40" s="40">
        <f>SFM!X40</f>
        <v>28</v>
      </c>
      <c r="P40" s="40">
        <f>SFM!Y40</f>
        <v>0</v>
      </c>
      <c r="Q40" s="40">
        <f>SFM!Z40</f>
        <v>28.41</v>
      </c>
      <c r="R40" s="40">
        <f>SFM!AA40</f>
        <v>0</v>
      </c>
      <c r="S40" s="40">
        <f>SFM!AB40</f>
        <v>1.01</v>
      </c>
      <c r="T40" s="48" t="e">
        <f t="shared" si="0"/>
        <v>#DIV/0!</v>
      </c>
      <c r="U40" s="49">
        <f t="shared" si="1"/>
        <v>3.041164331486912E-3</v>
      </c>
      <c r="V40" s="49">
        <f t="shared" si="2"/>
        <v>0</v>
      </c>
      <c r="W40" s="50" t="e">
        <f t="shared" si="3"/>
        <v>#DIV/0!</v>
      </c>
    </row>
    <row r="41" spans="1:23" ht="29.1" customHeight="1" x14ac:dyDescent="0.15">
      <c r="A41" t="s">
        <v>266</v>
      </c>
      <c r="B41" s="1"/>
      <c r="C41" s="1">
        <f>SUBTOTAL(109,表3_32546151317[销量])</f>
        <v>469</v>
      </c>
      <c r="D41" s="1">
        <f>SUBTOTAL(109,表3_32546151317[订单量])</f>
        <v>446</v>
      </c>
      <c r="E41" s="59">
        <f>SUBTOTAL(109,表3_32546151317[销售额])</f>
        <v>12050.71</v>
      </c>
      <c r="F41" s="1">
        <f>SUBTOTAL(101,表3_32546151317[Sessions-Browser])</f>
        <v>91.486486486486498</v>
      </c>
      <c r="G41" s="60">
        <f>SUBTOTAL(101,表3_32546151317[Sessions-Mobile])</f>
        <v>216.70270270270299</v>
      </c>
      <c r="H41" s="60">
        <f>SUBTOTAL(101,表3_32546151317[Sessions-Total])</f>
        <v>308.18918918918899</v>
      </c>
      <c r="I41" s="60">
        <f>SUBTOTAL(101,表3_32546151317[PV-Browser])</f>
        <v>149.459459459459</v>
      </c>
      <c r="J41" s="61">
        <f>SUBTOTAL(101,表3_32546151317[PV-Mobile])</f>
        <v>274.56756756756801</v>
      </c>
      <c r="K41" s="61">
        <f>SUBTOTAL(101,表3_32546151317[PV-Total])</f>
        <v>424.02702702702697</v>
      </c>
      <c r="L41" s="62">
        <f>SUBTOTAL(101,表3_32546151317[CVR])</f>
        <v>4.0426916600950963E-2</v>
      </c>
      <c r="M41" s="62">
        <f t="shared" si="5"/>
        <v>0.6912505570211217</v>
      </c>
      <c r="N41" s="1">
        <f>SUBTOTAL(109,表3_32546151317[展示])</f>
        <v>1064277</v>
      </c>
      <c r="O41" s="1">
        <f>SUBTOTAL(109,表3_32546151317[点击])</f>
        <v>6709</v>
      </c>
      <c r="P41" s="1">
        <f>SUBTOTAL(109,表3_32546151317[广告订单量])</f>
        <v>361</v>
      </c>
      <c r="Q41" s="1">
        <f>SUBTOTAL(109,表3_32546151317[广告花费])</f>
        <v>8330.0600000000013</v>
      </c>
      <c r="R41" s="1">
        <f>SUBTOTAL(109,表3_32546151317[广告销售额])</f>
        <v>9008.73</v>
      </c>
      <c r="S41" s="16">
        <f>SUBTOTAL(101,表3_32546151317[CPC])</f>
        <v>1.1572222222222219</v>
      </c>
      <c r="T41" s="63">
        <f t="shared" si="0"/>
        <v>0.9246652968842447</v>
      </c>
      <c r="U41" s="64">
        <f t="shared" ref="U41:W41" si="6">O41/N41</f>
        <v>6.3038100043503716E-3</v>
      </c>
      <c r="V41" s="64">
        <f t="shared" si="6"/>
        <v>5.3808317185869731E-2</v>
      </c>
      <c r="W41" s="65">
        <f t="shared" si="6"/>
        <v>23.074958448753467</v>
      </c>
    </row>
  </sheetData>
  <mergeCells count="9">
    <mergeCell ref="A1:B2"/>
    <mergeCell ref="C1:E1"/>
    <mergeCell ref="F1:M1"/>
    <mergeCell ref="N1:W1"/>
    <mergeCell ref="C2:E2"/>
    <mergeCell ref="F2:K2"/>
    <mergeCell ref="L2:M2"/>
    <mergeCell ref="N2:S2"/>
    <mergeCell ref="T2:W2"/>
  </mergeCells>
  <phoneticPr fontId="36" type="noConversion"/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L21"/>
  <sheetViews>
    <sheetView topLeftCell="A11" zoomScale="115" zoomScaleNormal="115" workbookViewId="0">
      <selection activeCell="K4" sqref="K4"/>
    </sheetView>
  </sheetViews>
  <sheetFormatPr defaultColWidth="9" defaultRowHeight="36" customHeight="1" x14ac:dyDescent="0.15"/>
  <cols>
    <col min="2" max="3" width="9" style="1"/>
    <col min="4" max="4" width="9" style="2"/>
    <col min="5" max="5" width="9" style="2" customWidth="1"/>
    <col min="6" max="7" width="9" style="1"/>
    <col min="8" max="8" width="5.75" customWidth="1"/>
    <col min="10" max="11" width="12.625"/>
    <col min="12" max="12" width="12.625" style="2"/>
  </cols>
  <sheetData>
    <row r="1" spans="1:12" ht="18" customHeight="1" x14ac:dyDescent="0.15">
      <c r="A1" s="3" t="s">
        <v>421</v>
      </c>
      <c r="B1" s="3" t="s">
        <v>0</v>
      </c>
      <c r="C1" s="4" t="s">
        <v>422</v>
      </c>
      <c r="D1" s="5" t="s">
        <v>423</v>
      </c>
      <c r="E1" s="5" t="s">
        <v>44</v>
      </c>
      <c r="F1" s="4" t="s">
        <v>45</v>
      </c>
      <c r="G1" s="6" t="s">
        <v>424</v>
      </c>
      <c r="H1" s="1"/>
      <c r="I1" s="1" t="s">
        <v>425</v>
      </c>
      <c r="J1" s="1" t="s">
        <v>426</v>
      </c>
      <c r="K1" s="1" t="s">
        <v>425</v>
      </c>
      <c r="L1" s="2" t="s">
        <v>426</v>
      </c>
    </row>
    <row r="2" spans="1:12" ht="36" customHeight="1" x14ac:dyDescent="0.15">
      <c r="A2" s="7" t="s">
        <v>427</v>
      </c>
      <c r="B2" s="8" t="s">
        <v>428</v>
      </c>
      <c r="C2" s="1" t="s">
        <v>429</v>
      </c>
      <c r="D2" s="2">
        <v>2.1126760563380298</v>
      </c>
      <c r="E2" s="2">
        <v>0.173607042253521</v>
      </c>
      <c r="F2" s="1">
        <v>0.34</v>
      </c>
      <c r="G2" s="9">
        <v>3.69</v>
      </c>
      <c r="H2" s="1"/>
      <c r="I2" s="1">
        <v>15</v>
      </c>
      <c r="J2" s="2">
        <f t="shared" ref="J2:J16" si="0">I2/7.1</f>
        <v>2.1126760563380298</v>
      </c>
      <c r="K2" s="1">
        <v>1.23</v>
      </c>
      <c r="L2" s="2">
        <f t="shared" ref="L2:L8" si="1">K2/7.1</f>
        <v>0.173239436619718</v>
      </c>
    </row>
    <row r="3" spans="1:12" ht="36" customHeight="1" x14ac:dyDescent="0.15">
      <c r="A3" s="7" t="s">
        <v>427</v>
      </c>
      <c r="B3" s="8" t="s">
        <v>428</v>
      </c>
      <c r="C3" s="1" t="s">
        <v>430</v>
      </c>
      <c r="D3" s="2">
        <v>2.1126760563380298</v>
      </c>
      <c r="E3" s="2">
        <v>0.19279014084507001</v>
      </c>
      <c r="F3" s="1">
        <v>0.34</v>
      </c>
      <c r="G3" s="9">
        <v>3.9</v>
      </c>
      <c r="H3" s="1"/>
      <c r="I3" s="1">
        <v>15</v>
      </c>
      <c r="J3" s="2">
        <f t="shared" si="0"/>
        <v>2.1126760563380298</v>
      </c>
      <c r="K3" s="1">
        <v>1.37</v>
      </c>
      <c r="L3" s="2">
        <f t="shared" si="1"/>
        <v>0.19295774647887301</v>
      </c>
    </row>
    <row r="4" spans="1:12" ht="36" customHeight="1" x14ac:dyDescent="0.15">
      <c r="A4" s="7" t="s">
        <v>427</v>
      </c>
      <c r="B4" s="8" t="s">
        <v>431</v>
      </c>
      <c r="C4" s="1" t="s">
        <v>430</v>
      </c>
      <c r="D4" s="2">
        <v>3.3098591549295802</v>
      </c>
      <c r="E4" s="2">
        <v>0.21</v>
      </c>
      <c r="F4" s="1">
        <v>0.34</v>
      </c>
      <c r="G4" s="9">
        <v>3.9</v>
      </c>
      <c r="H4" s="1"/>
      <c r="I4" s="1">
        <v>23.5</v>
      </c>
      <c r="J4" s="2">
        <f t="shared" si="0"/>
        <v>3.3098591549295802</v>
      </c>
      <c r="K4" s="1">
        <v>1.46</v>
      </c>
      <c r="L4" s="2">
        <f t="shared" si="1"/>
        <v>0.205633802816901</v>
      </c>
    </row>
    <row r="5" spans="1:12" ht="36" customHeight="1" x14ac:dyDescent="0.15">
      <c r="A5" s="7" t="s">
        <v>432</v>
      </c>
      <c r="B5" s="8" t="s">
        <v>433</v>
      </c>
      <c r="C5" s="1" t="s">
        <v>434</v>
      </c>
      <c r="D5" s="2">
        <v>2.6760563380281699</v>
      </c>
      <c r="E5" s="2">
        <v>0.27</v>
      </c>
      <c r="F5" s="1">
        <v>0.41</v>
      </c>
      <c r="G5" s="9">
        <v>4.9000000000000004</v>
      </c>
      <c r="H5" s="1"/>
      <c r="I5" s="1">
        <v>19</v>
      </c>
      <c r="J5" s="2">
        <f t="shared" si="0"/>
        <v>2.6760563380281699</v>
      </c>
      <c r="L5" s="2">
        <f t="shared" si="1"/>
        <v>0</v>
      </c>
    </row>
    <row r="6" spans="1:12" ht="36" customHeight="1" x14ac:dyDescent="0.15">
      <c r="A6" s="7" t="s">
        <v>432</v>
      </c>
      <c r="B6" s="8" t="s">
        <v>433</v>
      </c>
      <c r="C6" s="1" t="s">
        <v>435</v>
      </c>
      <c r="D6" s="2">
        <v>2.8169014084507</v>
      </c>
      <c r="E6" s="2">
        <v>0.32</v>
      </c>
      <c r="F6" s="1">
        <v>0.34</v>
      </c>
      <c r="G6" s="9">
        <v>4.08</v>
      </c>
      <c r="H6" s="1"/>
      <c r="I6" s="1">
        <v>20</v>
      </c>
      <c r="J6" s="2">
        <f t="shared" si="0"/>
        <v>2.8169014084507</v>
      </c>
      <c r="L6" s="2">
        <f t="shared" si="1"/>
        <v>0</v>
      </c>
    </row>
    <row r="7" spans="1:12" ht="36" customHeight="1" x14ac:dyDescent="0.15">
      <c r="A7" s="7" t="s">
        <v>432</v>
      </c>
      <c r="B7" s="8" t="s">
        <v>433</v>
      </c>
      <c r="C7" s="1" t="s">
        <v>436</v>
      </c>
      <c r="D7" s="2">
        <v>3.6619718309859199</v>
      </c>
      <c r="E7" s="2">
        <v>0.4</v>
      </c>
      <c r="F7" s="1">
        <v>0.41</v>
      </c>
      <c r="G7" s="9">
        <v>5.28</v>
      </c>
      <c r="H7" s="1"/>
      <c r="I7" s="1">
        <v>26</v>
      </c>
      <c r="J7" s="2">
        <f t="shared" si="0"/>
        <v>3.6619718309859199</v>
      </c>
      <c r="L7" s="2">
        <f t="shared" si="1"/>
        <v>0</v>
      </c>
    </row>
    <row r="8" spans="1:12" ht="36" customHeight="1" x14ac:dyDescent="0.15">
      <c r="A8" s="7" t="s">
        <v>432</v>
      </c>
      <c r="B8" s="8" t="s">
        <v>433</v>
      </c>
      <c r="C8" s="1" t="s">
        <v>437</v>
      </c>
      <c r="D8" s="2">
        <v>5.6338028169014098</v>
      </c>
      <c r="E8" s="2">
        <v>0.8</v>
      </c>
      <c r="F8" s="1">
        <v>0.41</v>
      </c>
      <c r="G8" s="9">
        <v>5.52</v>
      </c>
      <c r="H8" s="1"/>
      <c r="I8" s="1">
        <v>40</v>
      </c>
      <c r="J8" s="2">
        <f t="shared" si="0"/>
        <v>5.6338028169014098</v>
      </c>
      <c r="L8" s="2">
        <f t="shared" si="1"/>
        <v>0</v>
      </c>
    </row>
    <row r="9" spans="1:12" ht="36" customHeight="1" x14ac:dyDescent="0.15">
      <c r="A9" s="7" t="s">
        <v>438</v>
      </c>
      <c r="B9" s="10" t="s">
        <v>439</v>
      </c>
      <c r="C9" s="1" t="s">
        <v>440</v>
      </c>
      <c r="D9" s="2">
        <v>2.2535211267605599</v>
      </c>
      <c r="E9" s="2">
        <v>0.28999999999999998</v>
      </c>
      <c r="F9" s="1">
        <v>0.34</v>
      </c>
      <c r="G9" s="9">
        <v>4.9000000000000004</v>
      </c>
      <c r="H9" s="1"/>
      <c r="I9" s="1">
        <v>16</v>
      </c>
      <c r="J9" s="2">
        <f t="shared" si="0"/>
        <v>2.2535211267605599</v>
      </c>
    </row>
    <row r="10" spans="1:12" ht="36" customHeight="1" x14ac:dyDescent="0.15">
      <c r="A10" s="7" t="s">
        <v>438</v>
      </c>
      <c r="B10" s="10" t="s">
        <v>439</v>
      </c>
      <c r="C10" s="1" t="s">
        <v>441</v>
      </c>
      <c r="D10" s="2">
        <v>4.5070422535211296</v>
      </c>
      <c r="E10" s="2">
        <v>0.57999999999999996</v>
      </c>
      <c r="F10" s="1">
        <v>0.34</v>
      </c>
      <c r="G10" s="9">
        <v>4.9000000000000004</v>
      </c>
      <c r="H10" s="1"/>
      <c r="I10" s="1">
        <v>32</v>
      </c>
      <c r="J10" s="2">
        <f t="shared" si="0"/>
        <v>4.5070422535211296</v>
      </c>
    </row>
    <row r="11" spans="1:12" ht="36" customHeight="1" x14ac:dyDescent="0.15">
      <c r="A11" s="7" t="s">
        <v>442</v>
      </c>
      <c r="B11" s="8" t="s">
        <v>443</v>
      </c>
      <c r="C11" s="1" t="s">
        <v>444</v>
      </c>
      <c r="D11" s="2">
        <v>5.2112676056338003</v>
      </c>
      <c r="E11" s="2">
        <v>0.35808450704225397</v>
      </c>
      <c r="F11" s="1">
        <v>0.34</v>
      </c>
      <c r="G11" s="9">
        <v>3.9</v>
      </c>
      <c r="H11" s="1"/>
      <c r="I11" s="1">
        <v>31</v>
      </c>
      <c r="J11" s="2">
        <f t="shared" si="0"/>
        <v>4.3661971830985902</v>
      </c>
      <c r="L11" s="2">
        <f t="shared" ref="L11:L17" si="2">K11/7.1</f>
        <v>0</v>
      </c>
    </row>
    <row r="12" spans="1:12" ht="36" customHeight="1" x14ac:dyDescent="0.15">
      <c r="A12" s="7" t="s">
        <v>442</v>
      </c>
      <c r="B12" s="8" t="s">
        <v>443</v>
      </c>
      <c r="C12" s="11" t="s">
        <v>445</v>
      </c>
      <c r="D12" s="2">
        <v>6.1971830985915499</v>
      </c>
      <c r="E12" s="2">
        <v>0.35808450704225397</v>
      </c>
      <c r="F12" s="1">
        <v>0.34</v>
      </c>
      <c r="G12" s="9">
        <v>3.9</v>
      </c>
      <c r="H12" s="1"/>
      <c r="I12" s="1">
        <v>37</v>
      </c>
      <c r="J12" s="2">
        <f t="shared" si="0"/>
        <v>5.2112676056338003</v>
      </c>
      <c r="L12" s="2">
        <f t="shared" si="2"/>
        <v>0</v>
      </c>
    </row>
    <row r="13" spans="1:12" ht="36" customHeight="1" x14ac:dyDescent="0.15">
      <c r="A13" s="7" t="s">
        <v>446</v>
      </c>
      <c r="B13" s="8" t="s">
        <v>443</v>
      </c>
      <c r="C13" s="1" t="s">
        <v>447</v>
      </c>
      <c r="D13" s="2">
        <v>2.96</v>
      </c>
      <c r="E13" s="2">
        <v>0.416901408450704</v>
      </c>
      <c r="F13" s="1">
        <v>0.34</v>
      </c>
      <c r="G13" s="9">
        <v>3.9</v>
      </c>
      <c r="H13" s="1"/>
      <c r="I13" s="1">
        <v>21</v>
      </c>
      <c r="J13" s="2">
        <f t="shared" si="0"/>
        <v>2.9577464788732399</v>
      </c>
      <c r="K13" s="1">
        <v>2.96</v>
      </c>
      <c r="L13" s="2">
        <f t="shared" si="2"/>
        <v>0.416901408450704</v>
      </c>
    </row>
    <row r="14" spans="1:12" ht="36" customHeight="1" x14ac:dyDescent="0.15">
      <c r="A14" s="7" t="s">
        <v>442</v>
      </c>
      <c r="B14" s="8" t="s">
        <v>443</v>
      </c>
      <c r="C14" s="11" t="s">
        <v>448</v>
      </c>
      <c r="D14" s="2">
        <v>3.8</v>
      </c>
      <c r="E14" s="2">
        <v>0.53521126760563398</v>
      </c>
      <c r="F14" s="1">
        <v>0.34</v>
      </c>
      <c r="G14" s="9">
        <v>3.9</v>
      </c>
      <c r="H14" s="1"/>
      <c r="I14" s="1">
        <v>27</v>
      </c>
      <c r="J14" s="2">
        <f t="shared" si="0"/>
        <v>3.8028169014084501</v>
      </c>
      <c r="K14" s="1">
        <v>3.8</v>
      </c>
      <c r="L14" s="2">
        <f t="shared" si="2"/>
        <v>0.53521126760563398</v>
      </c>
    </row>
    <row r="15" spans="1:12" ht="36" customHeight="1" x14ac:dyDescent="0.15">
      <c r="A15" s="7" t="s">
        <v>449</v>
      </c>
      <c r="B15" s="8" t="s">
        <v>450</v>
      </c>
      <c r="C15" s="11" t="s">
        <v>451</v>
      </c>
      <c r="D15" s="2">
        <v>4.2253521126760596</v>
      </c>
      <c r="E15" s="2">
        <v>0.24</v>
      </c>
      <c r="F15" s="1">
        <v>0.34</v>
      </c>
      <c r="G15" s="9">
        <v>3.9</v>
      </c>
      <c r="H15" s="1"/>
      <c r="I15" s="1">
        <v>30</v>
      </c>
      <c r="J15" s="2">
        <f t="shared" si="0"/>
        <v>4.2253521126760596</v>
      </c>
      <c r="L15" s="2">
        <f t="shared" si="2"/>
        <v>0</v>
      </c>
    </row>
    <row r="16" spans="1:12" ht="36" customHeight="1" x14ac:dyDescent="0.15">
      <c r="A16" s="7" t="s">
        <v>449</v>
      </c>
      <c r="B16" s="8" t="s">
        <v>450</v>
      </c>
      <c r="C16" s="11" t="s">
        <v>452</v>
      </c>
      <c r="D16" s="2">
        <v>5.3521126760563398</v>
      </c>
      <c r="E16" s="2">
        <v>0.32</v>
      </c>
      <c r="F16" s="1">
        <v>0.34</v>
      </c>
      <c r="G16" s="9">
        <v>3.9</v>
      </c>
      <c r="H16" s="1"/>
      <c r="I16" s="1">
        <v>38</v>
      </c>
      <c r="J16" s="2">
        <f t="shared" si="0"/>
        <v>5.3521126760563398</v>
      </c>
      <c r="L16" s="2">
        <f t="shared" si="2"/>
        <v>0</v>
      </c>
    </row>
    <row r="17" spans="1:12" ht="36" customHeight="1" x14ac:dyDescent="0.15">
      <c r="A17" s="7" t="s">
        <v>453</v>
      </c>
      <c r="B17" s="8" t="s">
        <v>450</v>
      </c>
      <c r="C17" s="12" t="s">
        <v>454</v>
      </c>
      <c r="D17" s="13">
        <v>5.63</v>
      </c>
      <c r="E17" s="13">
        <v>0.32</v>
      </c>
      <c r="F17" s="14">
        <v>0.34</v>
      </c>
      <c r="G17" s="9">
        <v>3.9</v>
      </c>
      <c r="H17" s="1"/>
      <c r="I17" s="1">
        <v>31</v>
      </c>
      <c r="J17" s="2">
        <v>5.63</v>
      </c>
      <c r="L17" s="2">
        <f t="shared" si="2"/>
        <v>0</v>
      </c>
    </row>
    <row r="18" spans="1:12" ht="36" customHeight="1" x14ac:dyDescent="0.15">
      <c r="A18" s="7" t="s">
        <v>453</v>
      </c>
      <c r="B18" s="8" t="s">
        <v>450</v>
      </c>
      <c r="C18" s="15" t="s">
        <v>455</v>
      </c>
      <c r="D18" s="2">
        <v>2.5878000000000001</v>
      </c>
      <c r="E18" s="2">
        <v>0.36447887323943701</v>
      </c>
      <c r="F18" s="14">
        <v>0.34</v>
      </c>
      <c r="G18" s="9">
        <v>3.9</v>
      </c>
      <c r="H18" s="1"/>
      <c r="I18" s="1">
        <v>27.5</v>
      </c>
      <c r="J18" s="2">
        <v>2.5878000000000001</v>
      </c>
      <c r="K18" s="2">
        <v>3.8732394366197198</v>
      </c>
      <c r="L18" s="2">
        <v>0.36447887323943701</v>
      </c>
    </row>
    <row r="19" spans="1:12" ht="36" customHeight="1" x14ac:dyDescent="0.15">
      <c r="A19" s="7" t="s">
        <v>456</v>
      </c>
      <c r="B19" s="8" t="s">
        <v>450</v>
      </c>
      <c r="C19" s="11" t="s">
        <v>440</v>
      </c>
      <c r="D19" s="2">
        <v>3.52112676056338</v>
      </c>
      <c r="E19" s="2">
        <v>0.98473239436619697</v>
      </c>
      <c r="F19" s="1">
        <v>0.49</v>
      </c>
      <c r="G19" s="9">
        <v>5.52</v>
      </c>
      <c r="H19" s="1"/>
      <c r="I19" s="1">
        <v>25</v>
      </c>
      <c r="J19" s="2">
        <v>3.52112676056338</v>
      </c>
      <c r="K19" s="16">
        <v>6.9916</v>
      </c>
      <c r="L19" s="2">
        <v>0.98473239436619697</v>
      </c>
    </row>
    <row r="20" spans="1:12" ht="36" customHeight="1" x14ac:dyDescent="0.15">
      <c r="A20" s="7" t="s">
        <v>456</v>
      </c>
      <c r="B20" s="8" t="s">
        <v>450</v>
      </c>
      <c r="C20" s="11" t="s">
        <v>441</v>
      </c>
      <c r="D20" s="2">
        <v>7.0422535211267601</v>
      </c>
      <c r="E20" s="2">
        <v>1.9694647887323899</v>
      </c>
      <c r="F20" s="1">
        <v>0.49</v>
      </c>
      <c r="G20" s="9">
        <v>6.21</v>
      </c>
      <c r="H20" s="1"/>
      <c r="I20" s="1">
        <v>50</v>
      </c>
      <c r="J20" s="2">
        <v>7.0422535211267601</v>
      </c>
      <c r="K20" s="16">
        <v>13.9832</v>
      </c>
      <c r="L20" s="2">
        <v>1.9694647887323899</v>
      </c>
    </row>
    <row r="21" spans="1:12" ht="36" customHeight="1" x14ac:dyDescent="0.15">
      <c r="A21" s="17" t="s">
        <v>456</v>
      </c>
      <c r="B21" s="18" t="s">
        <v>450</v>
      </c>
      <c r="C21" s="19" t="s">
        <v>457</v>
      </c>
      <c r="D21" s="20">
        <v>10.563380281690099</v>
      </c>
      <c r="E21" s="20">
        <v>2.9541971830985898</v>
      </c>
      <c r="F21" s="21">
        <v>0.68</v>
      </c>
      <c r="G21" s="22">
        <v>7.24</v>
      </c>
      <c r="H21" s="1"/>
      <c r="I21" s="1">
        <v>75</v>
      </c>
      <c r="J21" s="2">
        <v>10.563380281690099</v>
      </c>
      <c r="K21" s="16">
        <v>20.974799999999998</v>
      </c>
      <c r="L21" s="2">
        <v>2.9541971830985898</v>
      </c>
    </row>
  </sheetData>
  <phoneticPr fontId="3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SL</vt:lpstr>
      <vt:lpstr>Toy</vt:lpstr>
      <vt:lpstr>ToyDH</vt:lpstr>
      <vt:lpstr>DL</vt:lpstr>
      <vt:lpstr>DSL</vt:lpstr>
      <vt:lpstr>MFL</vt:lpstr>
      <vt:lpstr>SFM</vt:lpstr>
      <vt:lpstr>SL_访问量</vt:lpstr>
      <vt:lpstr>Toy_访问量 </vt:lpstr>
      <vt:lpstr>ToyDH_访问量</vt:lpstr>
      <vt:lpstr>DL_访问量</vt:lpstr>
      <vt:lpstr>DSL_访问量</vt:lpstr>
      <vt:lpstr>MFL_访问量</vt:lpstr>
      <vt:lpstr>SFM_访问量</vt:lpstr>
      <vt:lpstr>产品成本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2024-12-23T01:47:00Z</dcterms:created>
  <dcterms:modified xsi:type="dcterms:W3CDTF">2026-03-31T02:23:26Z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4F9765A97A9A47A6AAEEA6514C037428_13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