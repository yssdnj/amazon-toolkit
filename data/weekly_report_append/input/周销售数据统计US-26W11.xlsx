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activeTab="1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<sst xmlns="http://schemas.openxmlformats.org/spreadsheetml/2006/main" count="2557" uniqueCount="438">
  <si>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</si>
  <si>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</si>
  <si>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</si>
  <si>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</si>
  <si>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75585192419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</si>
  <si>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</si>
  <si>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</si>
  <si>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</si>
  <si>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</si>
  <si>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</si>
  <si>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</si>
  <si>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</si>
  <si>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</si>
  <si>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</si>
  <si>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</si>
  <si>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</si>
  <si>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</si>
  <si>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</si>
  <si>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</si>
  <si>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</si>
  <si>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</si>
  <si>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</si>
  <si>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</si>
  <si>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</si>
  <si>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</si>
  <si>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</si>
  <si>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</si>
  <si>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</si>
  <si>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</si>
  <si>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</si>
  <si>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</si>
  <si>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</si>
  <si>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</si>
  <si>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</si>
  <si>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</si>
  <si>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</si>
  <si>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</si>
  <si>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</si>
  <si>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</si>
  <si>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</si>
  <si>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</si>
  <si>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</si>
  <si>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</si>
  <si>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</si>
  <si>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</si>
  <si>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</si>
  <si>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</si>
  <si>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</si>
  <si>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</si>
  <si>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</si>
  <si>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</si>
  <si>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</si>
  <si>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</si>
  <si>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</si>
  <si>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</si>
  <si>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</si>
  <si>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</si>
  <si>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</si>
  <si>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</si>
  <si>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</si>
  <si>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</si>
  <si>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</si>
  <si>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</si>
  <si>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</si>
  <si>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</si>
  <si>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</si>
  <si>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</si>
  <si>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</si>
  <si>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</si>
  <si>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</si>
  <si>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</si>
  <si>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</si>
  <si>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</si>
  <si>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</si>
  <si>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</si>
  <si>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</si>
  <si>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</si>
  <si>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</si>
  <si>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</si>
  <si>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</si>
  <si>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</si>
  <si>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</si>
  <si>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</si>
  <si>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</si>
  <si>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</si>
  <si>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</si>
  <si>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</si>
  <si>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</si>
  <si>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</si>
  <si>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</si>
  <si>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</si>
  <si>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</si>
  <si>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</si>
  <si>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</si>
  <si>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</si>
  <si>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</si>
  <si>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</si>
  <si>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</si>
  <si>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</si>
  <si>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</si>
  <si>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</si>
  <si>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</si>
  <si>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</si>
  <si>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</si>
  <si>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</si>
  <si>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</si>
  <si>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</si>
  <si>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</si>
  <si>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</si>
  <si>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</si>
  <si>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</si>
  <si>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</si>
  <si>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</si>
  <si>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</si>
  <si>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</si>
  <si>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</si>
  <si>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</si>
  <si>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</si>
  <si>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</si>
  <si>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</si>
  <si>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</si>
  <si>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</si>
  <si>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</si>
  <si>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</si>
  <si>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</si>
  <si>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</si>
  <si>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</si>
  <si>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</si>
  <si>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</si>
  <si>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</si>
  <si>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</si>
  <si>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</si>
  <si>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</si>
  <si>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</si>
  <si>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</si>
  <si>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</si>
  <si>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</si>
  <si>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</si>
  <si>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</si>
  <si>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</si>
  <si>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</si>
  <si>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</si>
  <si>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</si>
  <si>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</si>
  <si>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</si>
  <si>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</si>
  <si>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</si>
  <si>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</si>
  <si>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</si>
  <si>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</si>
  <si>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</si>
  <si>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</si>
  <si>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</si>
  <si>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</si>
  <si>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</si>
  <si>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</si>
  <si>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</si>
  <si>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</si>
  <si>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</si>
  <si>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</si>
  <si>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</si>
  <si>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</si>
  <si>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</si>
  <si>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</si>
  <si>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</si>
  <si>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</si>
  <si>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</si>
  <si>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</si>
  <si>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</si>
  <si>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</si>
  <si>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</si>
  <si>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</si>
  <si>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</si>
  <si>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</si>
  <si>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</si>
  <si>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</si>
  <si>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</si>
  <si>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</si>
  <si>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</si>
  <si>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</si>
  <si>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</si>
  <si>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</si>
  <si>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</si>
  <si>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</si>
  <si>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</si>
  <si>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</si>
  <si>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</si>
  <si>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</si>
  <si>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</si>
  <si>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</si>
  <si>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</si>
  <si>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</si>
  <si>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</si>
  <si>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</si>
  <si>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</si>
  <si>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</si>
  <si>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</si>
  <si>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</si>
  <si>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</si>
  <si>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</si>
  <si>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</si>
  <si>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</si>
  <si>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</si>
  <si>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</si>
  <si>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</si>
  <si>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</si>
  <si>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</si>
  <si>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</si>
  <si>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</si>
  <si>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</si>
  <si>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</si>
  <si>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</si>
  <si>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</si>
  <si>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</si>
  <si>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</si>
  <si>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</si>
  <si>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</si>
  <si>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</si>
  <si>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</si>
  <si>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</si>
  <si>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</si>
  <si>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</si>
  <si>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</si>
  <si>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</si>
  <si>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</si>
  <si>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</si>
  <si>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</si>
  <si>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</si>
  <si>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</si>
  <si>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</si>
  <si>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</si>
  <si>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</si>
  <si>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</si>
  <si>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</si>
  <si>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</si>
  <si>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</si>
  <si>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</si>
  <si>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</si>
  <si>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</si>
  <si>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</si>
  <si>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</si>
  <si>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</si>
  <si>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</si>
  <si>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</si>
  <si>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</si>
  <si>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</si>
  <si>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</si>
  <si>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</si>
  <si>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</si>
  <si>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</si>
  <si>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</si>
  <si>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</si>
  <si>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</si>
  <si>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</t>
  </si>
  <si>
    <t>0302~0308</t>
  </si>
  <si>
    <t>2026W10</t>
  </si>
  <si>
    <t>4803,36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</si>
  <si>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</si>
  <si>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</si>
  <si>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</si>
  <si>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</si>
  <si>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</si>
  <si>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</si>
  <si>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</si>
  <si>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</si>
  <si>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</si>
  <si>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</si>
  <si>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</si>
  <si>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</si>
  <si>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</si>
  <si>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</si>
  <si>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</si>
  <si>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</si>
  <si>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</si>
  <si>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</si>
  <si>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</si>
  <si>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</si>
  <si>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</si>
  <si>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</si>
  <si>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</si>
  <si>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</si>
  <si>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</si>
  <si>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</si>
  <si>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</si>
  <si>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</si>
  <si>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</si>
  <si>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</si>
  <si>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</si>
  <si>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</si>
  <si>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</si>
  <si>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</si>
  <si>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</si>
  <si>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</si>
  <si>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</si>
  <si>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</si>
  <si>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</si>
  <si>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</si>
  <si>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</si>
  <si>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</si>
  <si>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</si>
  <si>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</si>
  <si>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</si>
  <si>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</si>
  <si>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</si>
  <si>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</si>
  <si>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</si>
  <si>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</si>
  <si>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</si>
  <si>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</si>
  <si>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</si>
  <si>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</si>
  <si>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</si>
  <si>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</si>
  <si>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</si>
  <si>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</si>
  <si>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</si>
  <si>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</si>
  <si>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</si>
  <si>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</si>
  <si>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</si>
  <si>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</si>
  <si>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</si>
  <si>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</si>
  <si>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</si>
  <si>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</si>
  <si>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</si>
  <si>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</si>
  <si>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</si>
  <si>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</si>
  <si>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</si>
  <si>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</si>
  <si>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</si>
  <si>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</si>
  <si>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</si>
  <si>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</si>
  <si>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</si>
  <si>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</si>
  <si>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</si>
  <si>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</si>
  <si>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3FT</t>
  </si>
  <si>
    <t>6FT</t>
  </si>
  <si>
    <t>退款3FT</t>
  </si>
  <si>
    <t>退款6FT</t>
  </si>
  <si>
    <t>列1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</si>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</sst>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975585192419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3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3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98168889431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98168889431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8168889431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8168889431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8168889431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8168889431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8168889431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8"/>
        </patternFill>
      </fill>
    </dxf>
    <dxf>
      <fill>
        <patternFill patternType="solid">
          <bgColor theme="6" tint="0.8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  <a:sp3d contourW="15875"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307975</xdr:rowOff>
    </xdr:from>
    <xdr:to>
      <xdr:col>24</xdr:col>
      <xdr:colOff>425450</xdr:colOff>
      <xdr:row>93</xdr:row>
      <xdr:rowOff>59690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727275"/>
        <a:ext cx="16832580" cy="6381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75" totalsRowCount="1">
  <autoFilter xmlns:etc="http://www.wps.cn/officeDocument/2017/etCustomData" ref="A3:BI74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J75/C75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C75/D75</totalsRowFormula>
    </tableColumn>
    <tableColumn id="17" name="客单&#10;价格($)" dataDxfId="16" totalsRowFunction="custom">
      <calculatedColumnFormula>E4/D4</calculatedColumnFormula>
      <totalsRowFormula>E75/D75</totalsRowFormula>
    </tableColumn>
    <tableColumn id="18" name="销售&#10;均价($)" dataDxfId="17" totalsRowFunction="custom">
      <calculatedColumnFormula>E4/C4</calculatedColumnFormula>
      <totalsRowFormula>E75/C75</totalsRowFormula>
    </tableColumn>
    <tableColumn id="19" name="日均&#10;销量" dataDxfId="18" totalsRowFunction="custom">
      <totalsRowFormula>C75/7</totalsRowFormula>
    </tableColumn>
    <tableColumn id="20" name="自然&#10;订单" dataDxfId="19" totalsRowFunction="custom">
      <calculatedColumnFormula>D4-Y4</calculatedColumnFormula>
      <totalsRowFormula>D75-Y75</totalsRowFormula>
    </tableColumn>
    <tableColumn id="21" name="自然单&#10;占比(%)" dataDxfId="20" totalsRowFunction="custom">
      <calculatedColumnFormula>T4/D4</calculatedColumnFormula>
      <totalsRowFormula>T75/D75</totalsRowFormula>
    </tableColumn>
    <tableColumn id="22" name="TAcos&#10;(%)" dataDxfId="21" totalsRowFunction="custom">
      <calculatedColumnFormula>Z4/(E4-I4)</calculatedColumnFormula>
      <totalsRowFormula>Z75/(E75-I75)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Z75/AA75</totalsRowFormula>
    </tableColumn>
    <tableColumn id="30" name="CTR(%)" dataDxfId="29" totalsRowFunction="custom">
      <calculatedColumnFormula>X4/W4</calculatedColumnFormula>
      <totalsRowFormula>X75/W75</totalsRowFormula>
    </tableColumn>
    <tableColumn id="31" name="CVR(%)" dataDxfId="30" totalsRowFunction="custom">
      <calculatedColumnFormula>Y4/X4</calculatedColumnFormula>
      <totalsRowFormula>Y75/X75</totalsRowFormula>
    </tableColumn>
    <tableColumn id="32" name="CPS(%)" dataDxfId="31" totalsRowFunction="custom">
      <calculatedColumnFormula>Z4/Y4</calculatedColumnFormula>
      <totalsRowFormula>Z75/Y75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BD75/BC75</totalsRowFormula>
    </tableColumn>
    <tableColumn id="58" name="BSR"/>
    <tableColumn id="59" name="备注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J75" totalsRowCount="1">
  <tableColumns count="62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J75/C75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T75/D75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Z75/AA75</totalsRowFormula>
    </tableColumn>
    <tableColumn id="25" name="CTR(%)" dataDxfId="81" totalsRowFunction="custom">
      <calculatedColumnFormula>X4/W4</calculatedColumnFormula>
      <totalsRowFormula>X75/W75</totalsRowFormula>
    </tableColumn>
    <tableColumn id="26" name="CVR(%)" dataDxfId="82" totalsRowFunction="custom">
      <calculatedColumnFormula>Y4/X4</calculatedColumnFormula>
      <totalsRowFormula>Y75/X75</totalsRowFormula>
    </tableColumn>
    <tableColumn id="27" name="CPS(%)" dataDxfId="83" totalsRowFunction="custom">
      <calculatedColumnFormula>Z4/Y4</calculatedColumnFormula>
      <totalsRowFormula>Z75/Y75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/>
    <tableColumn id="62" name="促销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F20" totalsRowCount="1">
  <tableColumns count="58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J20/C20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T20/D20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Z20/AA20</totalsRowFormula>
    </tableColumn>
    <tableColumn id="30" name="CTR(%)" totalsRowFunction="custom">
      <calculatedColumnFormula>#REF!/#REF!</calculatedColumnFormula>
      <totalsRowFormula>X20/W20</totalsRowFormula>
    </tableColumn>
    <tableColumn id="31" name="CVR(%)" totalsRowFunction="custom">
      <calculatedColumnFormula>#REF!/#REF!</calculatedColumnFormula>
      <totalsRowFormula>Y20/X20</totalsRowFormula>
    </tableColumn>
    <tableColumn id="32" name="CPS(%)" totalsRowFunction="custom">
      <calculatedColumnFormula>#REF!/#REF!</calculatedColumnFormula>
      <totalsRowFormula>Z20/Y20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2"/>
    <tableColumn id="57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75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J75/C75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T75/D75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Z75/AA75</totalsRowFormula>
    </tableColumn>
    <tableColumn id="25" name="CTR(%)" dataDxfId="133" totalsRowFunction="custom">
      <calculatedColumnFormula>X4/W4</calculatedColumnFormula>
      <totalsRowFormula>X75/W75</totalsRowFormula>
    </tableColumn>
    <tableColumn id="26" name="CVR(%)" dataDxfId="134" totalsRowFunction="custom">
      <calculatedColumnFormula>Y4/X4</calculatedColumnFormula>
      <totalsRowFormula>Y75/X75</totalsRowFormula>
    </tableColumn>
    <tableColumn id="27" name="CPS(%)" dataDxfId="135" totalsRowFunction="custom">
      <calculatedColumnFormula>Z4/Y4</calculatedColumnFormula>
      <totalsRowFormula>Z75/Y75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E63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J63/C63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T63/D63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Z63/AA63</totalsRowFormula>
    </tableColumn>
    <tableColumn id="25" name="CTR(%)" dataDxfId="167" totalsRowFunction="custom">
      <calculatedColumnFormula>X4/W4</calculatedColumnFormula>
      <totalsRowFormula>X63/W63</totalsRowFormula>
    </tableColumn>
    <tableColumn id="26" name="CVR(%)" dataDxfId="168" totalsRowFunction="custom">
      <calculatedColumnFormula>Y4/X4</calculatedColumnFormula>
      <totalsRowFormula>Y63/X63</totalsRowFormula>
    </tableColumn>
    <tableColumn id="27" name="CPS(%)" dataDxfId="169" totalsRowFunction="custom">
      <calculatedColumnFormula>Z4/Y4</calculatedColumnFormula>
      <totalsRowFormula>Z63/Y63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4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J54/C54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T54/D54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Z54/AA54</totalsRowFormula>
    </tableColumn>
    <tableColumn id="25" name="CTR(%)" dataDxfId="196" totalsRowFunction="custom">
      <calculatedColumnFormula>X4/W4</calculatedColumnFormula>
      <totalsRowFormula>X54/W54</totalsRowFormula>
    </tableColumn>
    <tableColumn id="26" name="CVR(%)" dataDxfId="197" totalsRowFunction="custom">
      <calculatedColumnFormula>Y4/X4</calculatedColumnFormula>
      <totalsRowFormula>Y54/X54</totalsRowFormula>
    </tableColumn>
    <tableColumn id="27" name="CPS(%)" dataDxfId="198" totalsRowFunction="custom">
      <calculatedColumnFormula>Z4/Y4</calculatedColumnFormula>
      <totalsRowFormula>Z54/Y54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1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J41/C41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T41/D41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Z41/AA41</totalsRowFormula>
    </tableColumn>
    <tableColumn id="30" name="CTR(%)" dataDxfId="215" totalsRowFunction="custom">
      <calculatedColumnFormula>X4/W4</calculatedColumnFormula>
      <totalsRowFormula>X41/W41</totalsRowFormula>
    </tableColumn>
    <tableColumn id="31" name="CVR(%)" dataDxfId="216" totalsRowFunction="custom">
      <calculatedColumnFormula>Y4/X4</calculatedColumnFormula>
      <totalsRowFormula>Y41/X41</totalsRowFormula>
    </tableColumn>
    <tableColumn id="32" name="CPS(%)" dataDxfId="217" totalsRowFunction="custom">
      <calculatedColumnFormula>Z4/Y4</calculatedColumnFormula>
      <totalsRowFormula>Z41/Y41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SL!C75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SL!E75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I75"/>
  <sheetViews>
    <sheetView topLeftCell="A56" workbookViewId="0">
      <selection activeCell="C3" sqref="C3:L3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8" t="s">
        <v>8</v>
      </c>
      <c r="B3" s="218" t="s">
        <v>9</v>
      </c>
      <c r="C3" s="219" t="s">
        <v>10</v>
      </c>
      <c r="D3" s="220" t="s">
        <v>11</v>
      </c>
      <c r="E3" s="220" t="s">
        <v>12</v>
      </c>
      <c r="F3" s="221" t="s">
        <v>13</v>
      </c>
      <c r="G3" s="221" t="s">
        <v>14</v>
      </c>
      <c r="H3" s="221" t="s">
        <v>15</v>
      </c>
      <c r="I3" s="221" t="s">
        <v>16</v>
      </c>
      <c r="J3" s="220" t="s">
        <v>17</v>
      </c>
      <c r="K3" s="220" t="s">
        <v>18</v>
      </c>
      <c r="L3" s="222" t="s">
        <v>19</v>
      </c>
      <c r="M3" s="223" t="s">
        <v>20</v>
      </c>
      <c r="N3" s="220" t="s">
        <v>21</v>
      </c>
      <c r="O3" s="220" t="s">
        <v>22</v>
      </c>
      <c r="P3" s="224" t="s">
        <v>23</v>
      </c>
      <c r="Q3" s="221" t="s">
        <v>24</v>
      </c>
      <c r="R3" s="221" t="s">
        <v>25</v>
      </c>
      <c r="S3" s="221" t="s">
        <v>26</v>
      </c>
      <c r="T3" s="221" t="s">
        <v>27</v>
      </c>
      <c r="U3" s="225" t="s">
        <v>28</v>
      </c>
      <c r="V3" s="226" t="s">
        <v>29</v>
      </c>
      <c r="W3" s="227" t="s">
        <v>30</v>
      </c>
      <c r="X3" s="228" t="s">
        <v>31</v>
      </c>
      <c r="Y3" s="228" t="s">
        <v>32</v>
      </c>
      <c r="Z3" s="228" t="s">
        <v>33</v>
      </c>
      <c r="AA3" s="229" t="s">
        <v>34</v>
      </c>
      <c r="AB3" s="228" t="s">
        <v>35</v>
      </c>
      <c r="AC3" s="230" t="s">
        <v>36</v>
      </c>
      <c r="AD3" s="231" t="s">
        <v>37</v>
      </c>
      <c r="AE3" s="231" t="s">
        <v>38</v>
      </c>
      <c r="AF3" s="231" t="s">
        <v>39</v>
      </c>
      <c r="AG3" s="232" t="s">
        <v>40</v>
      </c>
      <c r="AH3" s="233" t="s">
        <v>41</v>
      </c>
      <c r="AI3" s="234" t="s">
        <v>42</v>
      </c>
      <c r="AJ3" s="235" t="s">
        <v>43</v>
      </c>
      <c r="AK3" s="235" t="s">
        <v>44</v>
      </c>
      <c r="AL3" s="235" t="s">
        <v>45</v>
      </c>
      <c r="AM3" s="235" t="s">
        <v>46</v>
      </c>
      <c r="AN3" s="235" t="s">
        <v>47</v>
      </c>
      <c r="AO3" s="234" t="s">
        <v>48</v>
      </c>
      <c r="AP3" s="236" t="s">
        <v>49</v>
      </c>
      <c r="AQ3" s="237" t="s">
        <v>50</v>
      </c>
      <c r="AR3" s="238" t="s">
        <v>51</v>
      </c>
      <c r="AS3" s="238" t="s">
        <v>52</v>
      </c>
      <c r="AT3" s="238" t="s">
        <v>53</v>
      </c>
      <c r="AU3" s="238" t="s">
        <v>54</v>
      </c>
      <c r="AV3" s="238" t="s">
        <v>55</v>
      </c>
      <c r="AW3" s="238" t="s">
        <v>56</v>
      </c>
      <c r="AX3" s="239" t="s">
        <v>57</v>
      </c>
      <c r="AY3" s="238" t="s">
        <v>58</v>
      </c>
      <c r="AZ3" s="238" t="s">
        <v>59</v>
      </c>
      <c r="BA3" s="240" t="s">
        <v>60</v>
      </c>
      <c r="BB3" s="240" t="s">
        <v>61</v>
      </c>
      <c r="BC3" s="240" t="s">
        <v>62</v>
      </c>
      <c r="BD3" s="241" t="s">
        <v>63</v>
      </c>
      <c r="BE3" s="241" t="s">
        <v>64</v>
      </c>
      <c r="BF3" s="217" t="s">
        <v>65</v>
      </c>
      <c r="BG3" s="217" t="s">
        <v>66</v>
      </c>
      <c r="BH3" s="191" t="s">
        <v>67</v>
      </c>
      <c r="BI3" s="191" t="s">
        <v>68</v>
      </c>
    </row>
    <row r="4" ht="23" customHeight="1" spans="1:61">
      <c r="A4" s="242" t="s">
        <v>69</v>
      </c>
      <c r="B4" s="243" t="s">
        <v>70</v>
      </c>
      <c r="C4" s="243">
        <v>276</v>
      </c>
      <c r="D4" s="244">
        <v>264</v>
      </c>
      <c r="E4" s="245">
        <v>6073.25</v>
      </c>
      <c r="F4" s="246"/>
      <c r="G4" s="246"/>
      <c r="H4" s="247"/>
      <c r="I4" s="247"/>
      <c r="J4" s="248">
        <v>12</v>
      </c>
      <c r="K4" s="249">
        <f t="shared" ref="K4:K67" si="0">J4/C4</f>
        <v>0.0434782608695652</v>
      </c>
      <c r="L4" s="250">
        <v>243.5</v>
      </c>
      <c r="M4" s="251" t="e">
        <f t="shared" ref="M4:M67" si="1">(C4-C3)/C3</f>
        <v>#VALUE!</v>
      </c>
      <c r="N4" s="249" t="e">
        <f t="shared" ref="N4:N67" si="2">(D4-D3)/D3</f>
        <v>#VALUE!</v>
      </c>
      <c r="O4" s="249" t="e">
        <f t="shared" ref="O4:O67" si="3">(E4-E3)/E3</f>
        <v>#VALUE!</v>
      </c>
      <c r="P4" s="252">
        <f t="shared" ref="P4:P67" si="4">C4/D4</f>
        <v>1.04545454545455</v>
      </c>
      <c r="Q4" s="253">
        <f t="shared" ref="Q4:Q67" si="5">E4/D4</f>
        <v>23.0047348484848</v>
      </c>
      <c r="R4" s="253">
        <f t="shared" ref="R4:R67" si="6">E4/C4</f>
        <v>22.0045289855072</v>
      </c>
      <c r="S4" s="253">
        <f t="shared" ref="S4:S38" si="7">C4/7</f>
        <v>39.4285714285714</v>
      </c>
      <c r="T4" s="254">
        <f t="shared" ref="T4:T67" si="8">D4-Y4</f>
        <v>111</v>
      </c>
      <c r="U4" s="255">
        <f t="shared" ref="U4:U67" si="9">T4/D4</f>
        <v>0.420454545454545</v>
      </c>
      <c r="V4" s="256">
        <f t="shared" ref="V4:V67" si="10">Z4/(E4-I4)</f>
        <v>0.281450623636438</v>
      </c>
      <c r="W4" s="244">
        <v>136418</v>
      </c>
      <c r="X4" s="244">
        <v>1723</v>
      </c>
      <c r="Y4" s="244">
        <v>153</v>
      </c>
      <c r="Z4" s="257">
        <v>1709.32</v>
      </c>
      <c r="AA4" s="258">
        <v>3516.2</v>
      </c>
      <c r="AB4" s="244">
        <v>0.99</v>
      </c>
      <c r="AC4" s="259">
        <f t="shared" ref="AC4:AC67" si="11">Z4/AA4</f>
        <v>0.486127068994938</v>
      </c>
      <c r="AD4" s="260">
        <f t="shared" ref="AD4:AF4" si="12">X4/W4</f>
        <v>0.0126302980545089</v>
      </c>
      <c r="AE4" s="260">
        <f t="shared" si="12"/>
        <v>0.0887986070806732</v>
      </c>
      <c r="AF4" s="253">
        <f t="shared" si="12"/>
        <v>11.1720261437909</v>
      </c>
      <c r="AG4" s="261">
        <v>68</v>
      </c>
      <c r="AH4" s="254">
        <v>203</v>
      </c>
      <c r="AI4" s="262">
        <v>5</v>
      </c>
      <c r="AJ4" s="263">
        <f>AG4*产品成本!$D$2+AH4*产品成本!$D$3+AI4*产品成本!$D$4</f>
        <v>589.084507042254</v>
      </c>
      <c r="AK4" s="263">
        <f>AG4*产品成本!$E$2+AH4*产品成本!$E$3+AI4*产品成本!$E$4</f>
        <v>51.9916774647886</v>
      </c>
      <c r="AL4" s="263">
        <f>AG4*产品成本!$F$2+AH4*产品成本!$F$3+AI4*产品成本!$F$4</f>
        <v>93.84</v>
      </c>
      <c r="AM4" s="263">
        <f>AG4*产品成本!$G$2+AH4*产品成本!$G$3+AI4*产品成本!$G$4</f>
        <v>1062.12</v>
      </c>
      <c r="AN4" s="263">
        <f t="shared" ref="AN4:AN67" si="13">(E4-I4)*0.15</f>
        <v>910.9875</v>
      </c>
      <c r="AO4" s="264">
        <f t="shared" ref="AO4:AO67" si="14">SUM(AJ4:AN4)</f>
        <v>2708.02368450704</v>
      </c>
      <c r="AP4" s="265">
        <v>3</v>
      </c>
      <c r="AQ4" s="265">
        <v>9</v>
      </c>
      <c r="AR4" s="266">
        <v>0</v>
      </c>
      <c r="AS4" s="267">
        <f t="shared" ref="AS4:AS67" si="15">L4/(1-0.15+0.15*0.2)</f>
        <v>276.704545454545</v>
      </c>
      <c r="AT4" s="268">
        <f>AP4*产品成本!$D$2+AQ4*产品成本!$D$3+AR4*产品成本!$D$4</f>
        <v>25.3521126760564</v>
      </c>
      <c r="AU4" s="269">
        <f>AP4*产品成本!$E$2+AQ4*产品成本!$E$3+AR4*产品成本!$E$4</f>
        <v>2.25593239436619</v>
      </c>
      <c r="AV4" s="270">
        <f>AP4*产品成本!$F$2+AQ4*产品成本!$F$3+AR4*产品成本!$F$4</f>
        <v>4.08</v>
      </c>
      <c r="AW4" s="269">
        <v>0</v>
      </c>
      <c r="AX4" s="270">
        <f t="shared" ref="AX4:AX67" si="16">AS4*0.15</f>
        <v>41.5056818181818</v>
      </c>
      <c r="AY4" s="269">
        <f t="shared" ref="AY4:AY67" si="17">-AX4*0.2</f>
        <v>-8.30113636363636</v>
      </c>
      <c r="AZ4" s="271">
        <f t="shared" ref="AZ4:AZ67" si="18">SUM(AT4:AY4)</f>
        <v>64.892590524968</v>
      </c>
      <c r="BA4" s="272">
        <f t="shared" ref="BA4:BA67" si="19">AO4-AZ4</f>
        <v>2643.13109398207</v>
      </c>
      <c r="BB4" s="272">
        <f t="shared" ref="BB4:BB67" si="20">E4-I4</f>
        <v>6073.25</v>
      </c>
      <c r="BC4" s="272">
        <f t="shared" ref="BC4:BC67" si="21">E4-AS4-I4</f>
        <v>5796.54545454545</v>
      </c>
      <c r="BD4" s="273">
        <f t="shared" ref="BD4:BD67" si="22">BC4-BA4-Z4</f>
        <v>1444.09436056338</v>
      </c>
      <c r="BE4" s="274">
        <f t="shared" ref="BE4:BE67" si="23">BD4/BC4</f>
        <v>0.249130171045406</v>
      </c>
      <c r="BF4" s="275"/>
      <c r="BG4" s="275"/>
      <c r="BH4" s="275"/>
    </row>
    <row r="5" ht="23" customHeight="1" spans="1:61">
      <c r="A5" s="242" t="s">
        <v>71</v>
      </c>
      <c r="B5" s="243" t="s">
        <v>72</v>
      </c>
      <c r="C5" s="243">
        <v>296</v>
      </c>
      <c r="D5" s="244">
        <v>285</v>
      </c>
      <c r="E5" s="245">
        <v>6535.75</v>
      </c>
      <c r="F5" s="246"/>
      <c r="G5" s="246"/>
      <c r="H5" s="247"/>
      <c r="I5" s="247"/>
      <c r="J5" s="276">
        <v>12</v>
      </c>
      <c r="K5" s="249">
        <f t="shared" si="0"/>
        <v>0.0405405405405405</v>
      </c>
      <c r="L5" s="250">
        <v>240.45</v>
      </c>
      <c r="M5" s="251">
        <f t="shared" si="1"/>
        <v>0.072463768115942</v>
      </c>
      <c r="N5" s="249">
        <f t="shared" si="2"/>
        <v>0.0795454545454545</v>
      </c>
      <c r="O5" s="249">
        <f t="shared" si="3"/>
        <v>0.076153624500885</v>
      </c>
      <c r="P5" s="252">
        <f t="shared" si="4"/>
        <v>1.03859649122807</v>
      </c>
      <c r="Q5" s="253">
        <f t="shared" si="5"/>
        <v>22.9324561403509</v>
      </c>
      <c r="R5" s="253">
        <f t="shared" si="6"/>
        <v>22.0802364864865</v>
      </c>
      <c r="S5" s="253">
        <f t="shared" si="7"/>
        <v>42.2857142857143</v>
      </c>
      <c r="T5" s="254">
        <f t="shared" si="8"/>
        <v>94</v>
      </c>
      <c r="U5" s="255">
        <f t="shared" si="9"/>
        <v>0.329824561403509</v>
      </c>
      <c r="V5" s="256">
        <f t="shared" si="10"/>
        <v>0.289535248441265</v>
      </c>
      <c r="W5" s="244">
        <v>184745</v>
      </c>
      <c r="X5" s="244">
        <v>1929</v>
      </c>
      <c r="Y5" s="244">
        <v>191</v>
      </c>
      <c r="Z5" s="257">
        <v>1892.33</v>
      </c>
      <c r="AA5" s="277">
        <v>4333.92</v>
      </c>
      <c r="AB5" s="244">
        <v>0.98</v>
      </c>
      <c r="AC5" s="259">
        <f t="shared" si="11"/>
        <v>0.436632425148595</v>
      </c>
      <c r="AD5" s="260">
        <f t="shared" ref="AD5:AF5" si="24">X5/W5</f>
        <v>0.0104414192535657</v>
      </c>
      <c r="AE5" s="260">
        <f t="shared" si="24"/>
        <v>0.0990150336962157</v>
      </c>
      <c r="AF5" s="253">
        <f t="shared" si="24"/>
        <v>9.90748691099476</v>
      </c>
      <c r="AG5" s="261">
        <v>68</v>
      </c>
      <c r="AH5" s="254">
        <v>216</v>
      </c>
      <c r="AI5" s="262">
        <v>12</v>
      </c>
      <c r="AJ5" s="263">
        <f>AG5*产品成本!$D$2+AH5*产品成本!$D$3+AI5*产品成本!$D$4</f>
        <v>639.718309859155</v>
      </c>
      <c r="AK5" s="263">
        <f>AG5*产品成本!$E$2+AH5*产品成本!$E$3+AI5*产品成本!$E$4</f>
        <v>55.9679492957746</v>
      </c>
      <c r="AL5" s="263">
        <f>AG5*产品成本!$F$2+AH5*产品成本!$F$3+AI5*产品成本!$F$4</f>
        <v>100.64</v>
      </c>
      <c r="AM5" s="263">
        <f>AG5*产品成本!$G$2+AH5*产品成本!$G$3+AI5*产品成本!$G$4</f>
        <v>1140.12</v>
      </c>
      <c r="AN5" s="263">
        <f t="shared" si="13"/>
        <v>980.3625</v>
      </c>
      <c r="AO5" s="264">
        <f t="shared" si="14"/>
        <v>2916.80875915493</v>
      </c>
      <c r="AP5" s="265">
        <v>3</v>
      </c>
      <c r="AQ5" s="265">
        <v>9</v>
      </c>
      <c r="AR5" s="266">
        <v>0</v>
      </c>
      <c r="AS5" s="267">
        <f t="shared" si="15"/>
        <v>273.238636363636</v>
      </c>
      <c r="AT5" s="267">
        <f>AP5*产品成本!$D$2+AQ5*产品成本!$D$3+AR5*产品成本!$D$4</f>
        <v>25.3521126760564</v>
      </c>
      <c r="AU5" s="271">
        <f>AP5*产品成本!$E$2+AQ5*产品成本!$E$3+AR5*产品成本!$E$4</f>
        <v>2.25593239436619</v>
      </c>
      <c r="AV5" s="270">
        <f>AP5*产品成本!$F$2+AQ5*产品成本!$F$3+AR5*产品成本!$F$4</f>
        <v>4.08</v>
      </c>
      <c r="AW5" s="269">
        <v>0</v>
      </c>
      <c r="AX5" s="270">
        <f t="shared" si="16"/>
        <v>40.9857954545455</v>
      </c>
      <c r="AY5" s="269">
        <f t="shared" si="17"/>
        <v>-8.19715909090909</v>
      </c>
      <c r="AZ5" s="271">
        <f t="shared" si="18"/>
        <v>64.4766814340589</v>
      </c>
      <c r="BA5" s="272">
        <f t="shared" si="19"/>
        <v>2852.33207772087</v>
      </c>
      <c r="BB5" s="272">
        <f t="shared" si="20"/>
        <v>6535.75</v>
      </c>
      <c r="BC5" s="272">
        <f t="shared" si="21"/>
        <v>6262.51136363636</v>
      </c>
      <c r="BD5" s="273">
        <f t="shared" si="22"/>
        <v>1517.84928591549</v>
      </c>
      <c r="BE5" s="274">
        <f t="shared" si="23"/>
        <v>0.242370703665142</v>
      </c>
      <c r="BF5" s="278"/>
      <c r="BG5" s="278"/>
      <c r="BH5" s="278"/>
    </row>
    <row r="6" ht="23" customHeight="1" spans="1:61">
      <c r="A6" s="242" t="s">
        <v>73</v>
      </c>
      <c r="B6" s="243" t="s">
        <v>74</v>
      </c>
      <c r="C6" s="243">
        <v>401</v>
      </c>
      <c r="D6" s="244">
        <v>366</v>
      </c>
      <c r="E6" s="245">
        <v>7627.49</v>
      </c>
      <c r="F6" s="246"/>
      <c r="G6" s="246"/>
      <c r="H6" s="247"/>
      <c r="I6" s="247"/>
      <c r="J6" s="276">
        <v>16</v>
      </c>
      <c r="K6" s="249">
        <f t="shared" si="0"/>
        <v>0.0399002493765586</v>
      </c>
      <c r="L6" s="250">
        <v>329.15</v>
      </c>
      <c r="M6" s="251">
        <f t="shared" si="1"/>
        <v>0.35472972972973</v>
      </c>
      <c r="N6" s="249">
        <f t="shared" si="2"/>
        <v>0.284210526315789</v>
      </c>
      <c r="O6" s="249">
        <f t="shared" si="3"/>
        <v>0.167041272998508</v>
      </c>
      <c r="P6" s="252">
        <f t="shared" si="4"/>
        <v>1.09562841530055</v>
      </c>
      <c r="Q6" s="253">
        <f t="shared" si="5"/>
        <v>20.8401366120219</v>
      </c>
      <c r="R6" s="253">
        <f t="shared" si="6"/>
        <v>19.0211720698254</v>
      </c>
      <c r="S6" s="253">
        <f t="shared" si="7"/>
        <v>57.2857142857143</v>
      </c>
      <c r="T6" s="254">
        <f t="shared" si="8"/>
        <v>126</v>
      </c>
      <c r="U6" s="255">
        <f t="shared" si="9"/>
        <v>0.344262295081967</v>
      </c>
      <c r="V6" s="256">
        <f t="shared" si="10"/>
        <v>0.28473193671837</v>
      </c>
      <c r="W6" s="244">
        <v>195302</v>
      </c>
      <c r="X6" s="244">
        <v>2172</v>
      </c>
      <c r="Y6" s="244">
        <v>240</v>
      </c>
      <c r="Z6" s="257">
        <v>2171.79</v>
      </c>
      <c r="AA6" s="277">
        <v>4918.97</v>
      </c>
      <c r="AB6" s="279" t="s">
        <v>75</v>
      </c>
      <c r="AC6" s="259">
        <f t="shared" si="11"/>
        <v>0.441513162308369</v>
      </c>
      <c r="AD6" s="260">
        <f t="shared" ref="AD6:AF6" si="25">X6/W6</f>
        <v>0.0111212378777483</v>
      </c>
      <c r="AE6" s="260">
        <f t="shared" si="25"/>
        <v>0.110497237569061</v>
      </c>
      <c r="AF6" s="253">
        <f t="shared" si="25"/>
        <v>9.049125</v>
      </c>
      <c r="AG6" s="261">
        <v>119</v>
      </c>
      <c r="AH6" s="254">
        <v>271</v>
      </c>
      <c r="AI6" s="262">
        <v>11</v>
      </c>
      <c r="AJ6" s="263">
        <f>AG6*产品成本!$D$2+AH6*产品成本!$D$3+AI6*产品成本!$D$4</f>
        <v>860.352112676057</v>
      </c>
      <c r="AK6" s="263">
        <f>AG6*产品成本!$E$2+AH6*产品成本!$E$3+AI6*产品成本!$E$4</f>
        <v>75.215366197183</v>
      </c>
      <c r="AL6" s="263">
        <f>AG6*产品成本!$F$2+AH6*产品成本!$F$3+AI6*产品成本!$F$4</f>
        <v>136.34</v>
      </c>
      <c r="AM6" s="263">
        <f>AG6*产品成本!$G$2+AH6*产品成本!$G$3+AI6*产品成本!$G$4</f>
        <v>1538.91</v>
      </c>
      <c r="AN6" s="263">
        <f t="shared" si="13"/>
        <v>1144.1235</v>
      </c>
      <c r="AO6" s="264">
        <f t="shared" si="14"/>
        <v>3754.94097887324</v>
      </c>
      <c r="AP6" s="265">
        <v>2</v>
      </c>
      <c r="AQ6" s="265">
        <v>14</v>
      </c>
      <c r="AR6" s="266">
        <v>1</v>
      </c>
      <c r="AS6" s="267">
        <f t="shared" si="15"/>
        <v>374.034090909091</v>
      </c>
      <c r="AT6" s="267">
        <f>AP6*产品成本!$D$2+AQ6*产品成本!$D$3+AR6*产品成本!$D$4</f>
        <v>37.1126760563381</v>
      </c>
      <c r="AU6" s="271">
        <f>AP6*产品成本!$E$2+AQ6*产品成本!$E$3+AR6*产品成本!$E$4</f>
        <v>3.25627605633802</v>
      </c>
      <c r="AV6" s="270">
        <f>AP6*产品成本!$F$2+AQ6*产品成本!$F$3+AR6*产品成本!$F$4</f>
        <v>5.78</v>
      </c>
      <c r="AW6" s="269">
        <v>0</v>
      </c>
      <c r="AX6" s="270">
        <f t="shared" si="16"/>
        <v>56.1051136363636</v>
      </c>
      <c r="AY6" s="269">
        <f t="shared" si="17"/>
        <v>-11.2210227272727</v>
      </c>
      <c r="AZ6" s="271">
        <f t="shared" si="18"/>
        <v>91.033043021767</v>
      </c>
      <c r="BA6" s="272">
        <f t="shared" si="19"/>
        <v>3663.90793585147</v>
      </c>
      <c r="BB6" s="272">
        <f t="shared" si="20"/>
        <v>7627.49</v>
      </c>
      <c r="BC6" s="272">
        <f t="shared" si="21"/>
        <v>7253.45590909091</v>
      </c>
      <c r="BD6" s="273">
        <f t="shared" si="22"/>
        <v>1417.75797323944</v>
      </c>
      <c r="BE6" s="274">
        <f t="shared" si="23"/>
        <v>0.195459652751529</v>
      </c>
      <c r="BF6" s="280"/>
      <c r="BG6" s="280"/>
      <c r="BH6" s="280"/>
    </row>
    <row r="7" ht="23" customHeight="1" spans="1:61">
      <c r="A7" s="242" t="s">
        <v>76</v>
      </c>
      <c r="B7" s="243" t="s">
        <v>77</v>
      </c>
      <c r="C7" s="243">
        <v>349</v>
      </c>
      <c r="D7" s="244">
        <v>339</v>
      </c>
      <c r="E7" s="245">
        <v>6352.41</v>
      </c>
      <c r="F7" s="246"/>
      <c r="G7" s="246"/>
      <c r="H7" s="247"/>
      <c r="I7" s="247"/>
      <c r="J7" s="276">
        <v>22</v>
      </c>
      <c r="K7" s="249">
        <f t="shared" si="0"/>
        <v>0.0630372492836676</v>
      </c>
      <c r="L7" s="250">
        <v>390.12</v>
      </c>
      <c r="M7" s="251">
        <f t="shared" si="1"/>
        <v>-0.129675810473815</v>
      </c>
      <c r="N7" s="249">
        <f t="shared" si="2"/>
        <v>-0.0737704918032787</v>
      </c>
      <c r="O7" s="249">
        <f t="shared" si="3"/>
        <v>-0.167169016281896</v>
      </c>
      <c r="P7" s="252">
        <f t="shared" si="4"/>
        <v>1.02949852507375</v>
      </c>
      <c r="Q7" s="253">
        <f t="shared" si="5"/>
        <v>18.7386725663717</v>
      </c>
      <c r="R7" s="253">
        <f t="shared" si="6"/>
        <v>18.2017478510029</v>
      </c>
      <c r="S7" s="253">
        <f t="shared" si="7"/>
        <v>49.8571428571429</v>
      </c>
      <c r="T7" s="254">
        <f t="shared" si="8"/>
        <v>118</v>
      </c>
      <c r="U7" s="255">
        <f t="shared" si="9"/>
        <v>0.348082595870207</v>
      </c>
      <c r="V7" s="256">
        <f t="shared" si="10"/>
        <v>0.354677988354026</v>
      </c>
      <c r="W7" s="244">
        <v>204302</v>
      </c>
      <c r="X7" s="244">
        <v>2295</v>
      </c>
      <c r="Y7" s="244">
        <v>221</v>
      </c>
      <c r="Z7" s="257">
        <v>2253.06</v>
      </c>
      <c r="AA7" s="277">
        <v>4084.24</v>
      </c>
      <c r="AB7" s="279" t="s">
        <v>78</v>
      </c>
      <c r="AC7" s="259">
        <f t="shared" si="11"/>
        <v>0.551647307699841</v>
      </c>
      <c r="AD7" s="260">
        <f t="shared" ref="AD7:AF7" si="26">X7/W7</f>
        <v>0.0112333702068506</v>
      </c>
      <c r="AE7" s="260">
        <f t="shared" si="26"/>
        <v>0.0962962962962963</v>
      </c>
      <c r="AF7" s="253">
        <f t="shared" si="26"/>
        <v>10.1948416289593</v>
      </c>
      <c r="AG7" s="261">
        <v>129</v>
      </c>
      <c r="AH7" s="254">
        <v>196</v>
      </c>
      <c r="AI7" s="262">
        <v>24</v>
      </c>
      <c r="AJ7" s="263">
        <f>AG7*产品成本!$D$2+AH7*产品成本!$D$3+AI7*产品成本!$D$4</f>
        <v>766.05633802817</v>
      </c>
      <c r="AK7" s="263">
        <f>AG7*产品成本!$E$2+AH7*产品成本!$E$3+AI7*产品成本!$E$4</f>
        <v>65.2221760563379</v>
      </c>
      <c r="AL7" s="263">
        <f>AG7*产品成本!$F$2+AH7*产品成本!$F$3+AI7*产品成本!$F$4</f>
        <v>118.66</v>
      </c>
      <c r="AM7" s="263">
        <f>AG7*产品成本!$G$2+AH7*产品成本!$G$3+AI7*产品成本!$G$4</f>
        <v>1334.01</v>
      </c>
      <c r="AN7" s="263">
        <f t="shared" si="13"/>
        <v>952.8615</v>
      </c>
      <c r="AO7" s="264">
        <f t="shared" si="14"/>
        <v>3236.81001408451</v>
      </c>
      <c r="AP7" s="265">
        <v>6</v>
      </c>
      <c r="AQ7" s="265">
        <v>16</v>
      </c>
      <c r="AR7" s="266">
        <v>0</v>
      </c>
      <c r="AS7" s="267">
        <f t="shared" si="15"/>
        <v>443.318181818182</v>
      </c>
      <c r="AT7" s="267">
        <f>AP7*产品成本!$D$2+AQ7*产品成本!$D$3+AR7*产品成本!$D$4</f>
        <v>46.4788732394367</v>
      </c>
      <c r="AU7" s="271">
        <f>AP7*产品成本!$E$2+AQ7*产品成本!$E$3+AR7*产品成本!$E$4</f>
        <v>4.12628450704225</v>
      </c>
      <c r="AV7" s="270">
        <f>AP7*产品成本!$F$2+AQ7*产品成本!$F$3+AR7*产品成本!$F$4</f>
        <v>7.48</v>
      </c>
      <c r="AW7" s="269">
        <v>0</v>
      </c>
      <c r="AX7" s="270">
        <f t="shared" si="16"/>
        <v>66.4977272727273</v>
      </c>
      <c r="AY7" s="269">
        <f t="shared" si="17"/>
        <v>-13.2995454545455</v>
      </c>
      <c r="AZ7" s="271">
        <f t="shared" si="18"/>
        <v>111.283339564661</v>
      </c>
      <c r="BA7" s="272">
        <f t="shared" si="19"/>
        <v>3125.52667451985</v>
      </c>
      <c r="BB7" s="272">
        <f t="shared" si="20"/>
        <v>6352.41</v>
      </c>
      <c r="BC7" s="272">
        <f t="shared" si="21"/>
        <v>5909.09181818182</v>
      </c>
      <c r="BD7" s="273">
        <f t="shared" si="22"/>
        <v>530.505143661971</v>
      </c>
      <c r="BE7" s="274">
        <f t="shared" si="23"/>
        <v>0.0897777797308291</v>
      </c>
      <c r="BF7" s="278"/>
      <c r="BG7" s="278"/>
      <c r="BH7" s="278"/>
    </row>
    <row r="8" ht="23" customHeight="1" spans="1:61">
      <c r="A8" s="242" t="s">
        <v>79</v>
      </c>
      <c r="B8" s="243" t="s">
        <v>80</v>
      </c>
      <c r="C8" s="243">
        <v>319</v>
      </c>
      <c r="D8" s="244">
        <v>300</v>
      </c>
      <c r="E8" s="245">
        <v>6697.47</v>
      </c>
      <c r="F8" s="246"/>
      <c r="G8" s="246"/>
      <c r="H8" s="247"/>
      <c r="I8" s="247"/>
      <c r="J8" s="276">
        <v>23</v>
      </c>
      <c r="K8" s="249">
        <f t="shared" si="0"/>
        <v>0.0721003134796238</v>
      </c>
      <c r="L8" s="250">
        <v>402.29</v>
      </c>
      <c r="M8" s="251">
        <f t="shared" si="1"/>
        <v>-0.0859598853868195</v>
      </c>
      <c r="N8" s="249">
        <f t="shared" si="2"/>
        <v>-0.115044247787611</v>
      </c>
      <c r="O8" s="249">
        <f t="shared" si="3"/>
        <v>0.0543195417172381</v>
      </c>
      <c r="P8" s="252">
        <f t="shared" si="4"/>
        <v>1.06333333333333</v>
      </c>
      <c r="Q8" s="253">
        <f t="shared" si="5"/>
        <v>22.3249</v>
      </c>
      <c r="R8" s="253">
        <f t="shared" si="6"/>
        <v>20.9952037617555</v>
      </c>
      <c r="S8" s="253">
        <f t="shared" si="7"/>
        <v>45.5714285714286</v>
      </c>
      <c r="T8" s="254">
        <f t="shared" si="8"/>
        <v>122</v>
      </c>
      <c r="U8" s="255">
        <f t="shared" si="9"/>
        <v>0.406666666666667</v>
      </c>
      <c r="V8" s="256">
        <f t="shared" si="10"/>
        <v>0.321618461896806</v>
      </c>
      <c r="W8" s="244">
        <v>215967</v>
      </c>
      <c r="X8" s="244">
        <v>2203</v>
      </c>
      <c r="Y8" s="244">
        <v>178</v>
      </c>
      <c r="Z8" s="257">
        <v>2154.03</v>
      </c>
      <c r="AA8" s="277">
        <v>4084.54</v>
      </c>
      <c r="AB8" s="279" t="s">
        <v>78</v>
      </c>
      <c r="AC8" s="259">
        <f t="shared" si="11"/>
        <v>0.527361710253786</v>
      </c>
      <c r="AD8" s="260">
        <f t="shared" ref="AD8:AF8" si="27">X8/W8</f>
        <v>0.01020063250404</v>
      </c>
      <c r="AE8" s="260">
        <f t="shared" si="27"/>
        <v>0.0807989105764866</v>
      </c>
      <c r="AF8" s="253">
        <f t="shared" si="27"/>
        <v>12.1012921348315</v>
      </c>
      <c r="AG8" s="261">
        <v>106</v>
      </c>
      <c r="AH8" s="254">
        <v>197</v>
      </c>
      <c r="AI8" s="262">
        <v>16</v>
      </c>
      <c r="AJ8" s="263">
        <f>AG8*产品成本!$D$2+AH8*产品成本!$D$3+AI8*产品成本!$D$4</f>
        <v>693.098591549296</v>
      </c>
      <c r="AK8" s="263">
        <f>AG8*产品成本!$E$2+AH8*产品成本!$E$3+AI8*产品成本!$E$4</f>
        <v>59.742004225352</v>
      </c>
      <c r="AL8" s="263">
        <f>AG8*产品成本!$F$2+AH8*产品成本!$F$3+AI8*产品成本!$F$4</f>
        <v>108.46</v>
      </c>
      <c r="AM8" s="263">
        <f>AG8*产品成本!$G$2+AH8*产品成本!$G$3+AI8*产品成本!$G$4</f>
        <v>1221.84</v>
      </c>
      <c r="AN8" s="263">
        <f t="shared" si="13"/>
        <v>1004.6205</v>
      </c>
      <c r="AO8" s="264">
        <f t="shared" si="14"/>
        <v>3087.76109577465</v>
      </c>
      <c r="AP8" s="265">
        <v>10</v>
      </c>
      <c r="AQ8" s="265">
        <v>13</v>
      </c>
      <c r="AR8" s="266">
        <v>2</v>
      </c>
      <c r="AS8" s="267">
        <f t="shared" si="15"/>
        <v>457.147727272727</v>
      </c>
      <c r="AT8" s="267">
        <f>AP8*产品成本!$D$2+AQ8*产品成本!$D$3+AR8*产品成本!$D$4</f>
        <v>55.2112676056338</v>
      </c>
      <c r="AU8" s="271">
        <f>AP8*产品成本!$E$2+AQ8*产品成本!$E$3+AR8*产品成本!$E$4</f>
        <v>4.66234225352112</v>
      </c>
      <c r="AV8" s="270">
        <f>AP8*产品成本!$F$2+AQ8*产品成本!$F$3+AR8*产品成本!$F$4</f>
        <v>8.5</v>
      </c>
      <c r="AW8" s="269">
        <v>0</v>
      </c>
      <c r="AX8" s="270">
        <f t="shared" si="16"/>
        <v>68.5721590909091</v>
      </c>
      <c r="AY8" s="269">
        <f t="shared" si="17"/>
        <v>-13.7144318181818</v>
      </c>
      <c r="AZ8" s="271">
        <f t="shared" si="18"/>
        <v>123.231337131882</v>
      </c>
      <c r="BA8" s="272">
        <f t="shared" si="19"/>
        <v>2964.52975864277</v>
      </c>
      <c r="BB8" s="272">
        <f t="shared" si="20"/>
        <v>6697.47</v>
      </c>
      <c r="BC8" s="272">
        <f t="shared" si="21"/>
        <v>6240.32227272727</v>
      </c>
      <c r="BD8" s="273">
        <f t="shared" si="22"/>
        <v>1121.76251408451</v>
      </c>
      <c r="BE8" s="274">
        <f t="shared" si="23"/>
        <v>0.179760349715761</v>
      </c>
      <c r="BF8" s="280"/>
      <c r="BG8" s="280"/>
      <c r="BH8" s="280"/>
    </row>
    <row r="9" ht="23" customHeight="1" spans="1:61">
      <c r="A9" s="242" t="s">
        <v>81</v>
      </c>
      <c r="B9" s="243" t="s">
        <v>82</v>
      </c>
      <c r="C9" s="243">
        <v>299</v>
      </c>
      <c r="D9" s="244">
        <v>285</v>
      </c>
      <c r="E9" s="245">
        <v>7065.55</v>
      </c>
      <c r="F9" s="246"/>
      <c r="G9" s="246"/>
      <c r="H9" s="247"/>
      <c r="I9" s="247"/>
      <c r="J9" s="276">
        <v>21</v>
      </c>
      <c r="K9" s="249">
        <f t="shared" si="0"/>
        <v>0.0702341137123746</v>
      </c>
      <c r="L9" s="250">
        <v>418.94</v>
      </c>
      <c r="M9" s="251">
        <f t="shared" si="1"/>
        <v>-0.0626959247648903</v>
      </c>
      <c r="N9" s="249">
        <f t="shared" si="2"/>
        <v>-0.05</v>
      </c>
      <c r="O9" s="249">
        <f t="shared" si="3"/>
        <v>0.0549580662548694</v>
      </c>
      <c r="P9" s="252">
        <f t="shared" si="4"/>
        <v>1.04912280701754</v>
      </c>
      <c r="Q9" s="253">
        <f t="shared" si="5"/>
        <v>24.7914035087719</v>
      </c>
      <c r="R9" s="253">
        <f t="shared" si="6"/>
        <v>23.630602006689</v>
      </c>
      <c r="S9" s="253">
        <f t="shared" si="7"/>
        <v>42.7142857142857</v>
      </c>
      <c r="T9" s="254">
        <f t="shared" si="8"/>
        <v>93</v>
      </c>
      <c r="U9" s="255">
        <f t="shared" si="9"/>
        <v>0.326315789473684</v>
      </c>
      <c r="V9" s="256">
        <f t="shared" si="10"/>
        <v>0.24653848603435</v>
      </c>
      <c r="W9" s="244">
        <v>158506</v>
      </c>
      <c r="X9" s="244">
        <v>1791</v>
      </c>
      <c r="Y9" s="244">
        <v>192</v>
      </c>
      <c r="Z9" s="257">
        <v>1741.93</v>
      </c>
      <c r="AA9" s="277">
        <v>4780.29</v>
      </c>
      <c r="AB9" s="279" t="s">
        <v>83</v>
      </c>
      <c r="AC9" s="259">
        <f t="shared" si="11"/>
        <v>0.36439839423968</v>
      </c>
      <c r="AD9" s="260">
        <f t="shared" ref="AD9:AF9" si="28">X9/W9</f>
        <v>0.0112992568104677</v>
      </c>
      <c r="AE9" s="260">
        <f t="shared" si="28"/>
        <v>0.107202680067002</v>
      </c>
      <c r="AF9" s="253">
        <f t="shared" si="28"/>
        <v>9.07255208333333</v>
      </c>
      <c r="AG9" s="261">
        <v>98</v>
      </c>
      <c r="AH9" s="254">
        <v>187</v>
      </c>
      <c r="AI9" s="262">
        <v>14</v>
      </c>
      <c r="AJ9" s="263">
        <f>AG9*产品成本!$D$2+AH9*产品成本!$D$3+AI9*产品成本!$D$4</f>
        <v>648.450704225353</v>
      </c>
      <c r="AK9" s="263">
        <f>AG9*产品成本!$E$2+AH9*产品成本!$E$3+AI9*产品成本!$E$4</f>
        <v>56.0052464788731</v>
      </c>
      <c r="AL9" s="263">
        <f>AG9*产品成本!$F$2+AH9*产品成本!$F$3+AI9*产品成本!$F$4</f>
        <v>101.66</v>
      </c>
      <c r="AM9" s="263">
        <f>AG9*产品成本!$G$2+AH9*产品成本!$G$3+AI9*产品成本!$G$4</f>
        <v>1145.52</v>
      </c>
      <c r="AN9" s="263">
        <f t="shared" si="13"/>
        <v>1059.8325</v>
      </c>
      <c r="AO9" s="264">
        <f t="shared" si="14"/>
        <v>3011.46845070423</v>
      </c>
      <c r="AP9" s="265">
        <v>6</v>
      </c>
      <c r="AQ9" s="265">
        <v>15</v>
      </c>
      <c r="AR9" s="266">
        <v>2</v>
      </c>
      <c r="AS9" s="267">
        <f t="shared" si="15"/>
        <v>476.068181818182</v>
      </c>
      <c r="AT9" s="267">
        <f>AP9*产品成本!$D$2+AQ9*产品成本!$D$3+AR9*产品成本!$D$4</f>
        <v>50.9859154929578</v>
      </c>
      <c r="AU9" s="271">
        <f>AP9*产品成本!$E$2+AQ9*产品成本!$E$3+AR9*产品成本!$E$4</f>
        <v>4.35349436619718</v>
      </c>
      <c r="AV9" s="270">
        <f>AP9*产品成本!$F$2+AQ9*产品成本!$F$3+AR9*产品成本!$F$4</f>
        <v>7.82</v>
      </c>
      <c r="AW9" s="269">
        <v>0</v>
      </c>
      <c r="AX9" s="270">
        <f t="shared" si="16"/>
        <v>71.4102272727273</v>
      </c>
      <c r="AY9" s="269">
        <f t="shared" si="17"/>
        <v>-14.2820454545455</v>
      </c>
      <c r="AZ9" s="271">
        <f t="shared" si="18"/>
        <v>120.287591677337</v>
      </c>
      <c r="BA9" s="272">
        <f t="shared" si="19"/>
        <v>2891.18085902689</v>
      </c>
      <c r="BB9" s="272">
        <f t="shared" si="20"/>
        <v>7065.55</v>
      </c>
      <c r="BC9" s="272">
        <f t="shared" si="21"/>
        <v>6589.48181818182</v>
      </c>
      <c r="BD9" s="273">
        <f t="shared" si="22"/>
        <v>1956.37095915493</v>
      </c>
      <c r="BE9" s="274">
        <f t="shared" si="23"/>
        <v>0.296892989939949</v>
      </c>
      <c r="BF9" s="278"/>
      <c r="BG9" s="278"/>
      <c r="BH9" s="278"/>
    </row>
    <row r="10" ht="23" customHeight="1" spans="1:61">
      <c r="A10" s="242" t="s">
        <v>84</v>
      </c>
      <c r="B10" s="243" t="s">
        <v>85</v>
      </c>
      <c r="C10" s="243">
        <v>261</v>
      </c>
      <c r="D10" s="244">
        <v>250</v>
      </c>
      <c r="E10" s="245">
        <v>6230.89</v>
      </c>
      <c r="F10" s="246"/>
      <c r="G10" s="246"/>
      <c r="H10" s="247"/>
      <c r="I10" s="247"/>
      <c r="J10" s="276">
        <v>29</v>
      </c>
      <c r="K10" s="249">
        <f t="shared" si="0"/>
        <v>0.111111111111111</v>
      </c>
      <c r="L10" s="250">
        <v>586.11</v>
      </c>
      <c r="M10" s="251">
        <f t="shared" si="1"/>
        <v>-0.127090301003344</v>
      </c>
      <c r="N10" s="249">
        <f t="shared" si="2"/>
        <v>-0.12280701754386</v>
      </c>
      <c r="O10" s="249">
        <f t="shared" si="3"/>
        <v>-0.118130931066937</v>
      </c>
      <c r="P10" s="252">
        <f t="shared" si="4"/>
        <v>1.044</v>
      </c>
      <c r="Q10" s="253">
        <f t="shared" si="5"/>
        <v>24.92356</v>
      </c>
      <c r="R10" s="253">
        <f t="shared" si="6"/>
        <v>23.8731417624521</v>
      </c>
      <c r="S10" s="253">
        <f t="shared" si="7"/>
        <v>37.2857142857143</v>
      </c>
      <c r="T10" s="254">
        <f t="shared" si="8"/>
        <v>110</v>
      </c>
      <c r="U10" s="255">
        <f t="shared" si="9"/>
        <v>0.44</v>
      </c>
      <c r="V10" s="256">
        <f t="shared" si="10"/>
        <v>0.272569408222581</v>
      </c>
      <c r="W10" s="244">
        <v>166059</v>
      </c>
      <c r="X10" s="244">
        <v>1726</v>
      </c>
      <c r="Y10" s="244">
        <v>140</v>
      </c>
      <c r="Z10" s="257">
        <v>1698.35</v>
      </c>
      <c r="AA10" s="277">
        <v>3468.95</v>
      </c>
      <c r="AB10" s="279" t="s">
        <v>78</v>
      </c>
      <c r="AC10" s="259">
        <f t="shared" si="11"/>
        <v>0.489586186021707</v>
      </c>
      <c r="AD10" s="260">
        <f t="shared" ref="AD10:AF10" si="29">X10/W10</f>
        <v>0.0103938961453459</v>
      </c>
      <c r="AE10" s="260">
        <f t="shared" si="29"/>
        <v>0.0811123986095017</v>
      </c>
      <c r="AF10" s="253">
        <f t="shared" si="29"/>
        <v>12.1310714285714</v>
      </c>
      <c r="AG10" s="261">
        <v>76</v>
      </c>
      <c r="AH10" s="254">
        <v>160</v>
      </c>
      <c r="AI10" s="262">
        <v>26</v>
      </c>
      <c r="AJ10" s="263">
        <f>AG10*产品成本!$D$2+AH10*产品成本!$D$3+AI10*产品成本!$D$4</f>
        <v>584.647887323944</v>
      </c>
      <c r="AK10" s="263">
        <f>AG10*产品成本!$E$2+AH10*产品成本!$E$3+AI10*产品成本!$E$4</f>
        <v>49.5005577464788</v>
      </c>
      <c r="AL10" s="263">
        <f>AG10*产品成本!$F$2+AH10*产品成本!$F$3+AI10*产品成本!$F$4</f>
        <v>89.08</v>
      </c>
      <c r="AM10" s="263">
        <f>AG10*产品成本!$G$2+AH10*产品成本!$G$3+AI10*产品成本!$G$4</f>
        <v>1005.84</v>
      </c>
      <c r="AN10" s="263">
        <f t="shared" si="13"/>
        <v>934.6335</v>
      </c>
      <c r="AO10" s="264">
        <f t="shared" si="14"/>
        <v>2663.70194507042</v>
      </c>
      <c r="AP10" s="265">
        <v>12</v>
      </c>
      <c r="AQ10" s="265">
        <v>14</v>
      </c>
      <c r="AR10" s="266">
        <v>3</v>
      </c>
      <c r="AS10" s="267">
        <f t="shared" si="15"/>
        <v>666.034090909091</v>
      </c>
      <c r="AT10" s="267">
        <f>AP10*产品成本!$D$2+AQ10*产品成本!$D$3+AR10*产品成本!$D$4</f>
        <v>64.8591549295775</v>
      </c>
      <c r="AU10" s="271">
        <f>AP10*产品成本!$E$2+AQ10*产品成本!$E$3+AR10*产品成本!$E$4</f>
        <v>5.41234647887323</v>
      </c>
      <c r="AV10" s="270">
        <f>AP10*产品成本!$F$2+AQ10*产品成本!$F$3+AR10*产品成本!$F$4</f>
        <v>9.86</v>
      </c>
      <c r="AW10" s="269">
        <v>0</v>
      </c>
      <c r="AX10" s="270">
        <f t="shared" si="16"/>
        <v>99.9051136363636</v>
      </c>
      <c r="AY10" s="269">
        <f t="shared" si="17"/>
        <v>-19.9810227272727</v>
      </c>
      <c r="AZ10" s="271">
        <f t="shared" si="18"/>
        <v>160.055592317542</v>
      </c>
      <c r="BA10" s="272">
        <f t="shared" si="19"/>
        <v>2503.64635275288</v>
      </c>
      <c r="BB10" s="272">
        <f t="shared" si="20"/>
        <v>6230.89</v>
      </c>
      <c r="BC10" s="272">
        <f t="shared" si="21"/>
        <v>5564.85590909091</v>
      </c>
      <c r="BD10" s="273">
        <f t="shared" si="22"/>
        <v>1362.85955633803</v>
      </c>
      <c r="BE10" s="274">
        <f t="shared" si="23"/>
        <v>0.24490473403123</v>
      </c>
      <c r="BF10" s="280"/>
      <c r="BG10" s="280"/>
      <c r="BH10" s="280"/>
    </row>
    <row r="11" ht="23" customHeight="1" spans="1:61">
      <c r="A11" s="242" t="s">
        <v>86</v>
      </c>
      <c r="B11" s="243" t="s">
        <v>87</v>
      </c>
      <c r="C11" s="243">
        <v>305</v>
      </c>
      <c r="D11" s="244">
        <v>290</v>
      </c>
      <c r="E11" s="245">
        <v>6636.34</v>
      </c>
      <c r="F11" s="246"/>
      <c r="G11" s="246"/>
      <c r="H11" s="247"/>
      <c r="I11" s="247"/>
      <c r="J11" s="276">
        <v>18</v>
      </c>
      <c r="K11" s="249">
        <f t="shared" si="0"/>
        <v>0.059016393442623</v>
      </c>
      <c r="L11" s="250">
        <v>268.6</v>
      </c>
      <c r="M11" s="251">
        <f t="shared" si="1"/>
        <v>0.168582375478927</v>
      </c>
      <c r="N11" s="249">
        <f t="shared" si="2"/>
        <v>0.16</v>
      </c>
      <c r="O11" s="249">
        <f t="shared" si="3"/>
        <v>0.0650709609702626</v>
      </c>
      <c r="P11" s="252">
        <f t="shared" si="4"/>
        <v>1.05172413793103</v>
      </c>
      <c r="Q11" s="253">
        <f t="shared" si="5"/>
        <v>22.8839310344828</v>
      </c>
      <c r="R11" s="253">
        <f t="shared" si="6"/>
        <v>21.7584918032787</v>
      </c>
      <c r="S11" s="253">
        <f t="shared" si="7"/>
        <v>43.5714285714286</v>
      </c>
      <c r="T11" s="254">
        <f t="shared" si="8"/>
        <v>95</v>
      </c>
      <c r="U11" s="255">
        <f t="shared" si="9"/>
        <v>0.327586206896552</v>
      </c>
      <c r="V11" s="256">
        <f t="shared" si="10"/>
        <v>0.306111501219045</v>
      </c>
      <c r="W11" s="244">
        <v>175575</v>
      </c>
      <c r="X11" s="244">
        <v>1917</v>
      </c>
      <c r="Y11" s="244">
        <v>195</v>
      </c>
      <c r="Z11" s="257">
        <v>2031.46</v>
      </c>
      <c r="AA11" s="277">
        <v>4467.78</v>
      </c>
      <c r="AB11" s="279" t="s">
        <v>88</v>
      </c>
      <c r="AC11" s="259">
        <f t="shared" si="11"/>
        <v>0.454691144147653</v>
      </c>
      <c r="AD11" s="260">
        <f t="shared" ref="AD11:AF11" si="30">X11/W11</f>
        <v>0.0109184109354976</v>
      </c>
      <c r="AE11" s="260">
        <f t="shared" si="30"/>
        <v>0.101721439749609</v>
      </c>
      <c r="AF11" s="253">
        <f t="shared" si="30"/>
        <v>10.4177435897436</v>
      </c>
      <c r="AG11" s="261">
        <v>97</v>
      </c>
      <c r="AH11" s="254">
        <v>170</v>
      </c>
      <c r="AI11" s="262">
        <v>38</v>
      </c>
      <c r="AJ11" s="263">
        <f>AG11*产品成本!$D$2+AH11*产品成本!$D$3+AI11*产品成本!$D$4</f>
        <v>689.859154929578</v>
      </c>
      <c r="AK11" s="263">
        <f>AG11*产品成本!$E$2+AH11*产品成本!$E$3+AI11*产品成本!$E$4</f>
        <v>57.5942070422534</v>
      </c>
      <c r="AL11" s="263">
        <f>AG11*产品成本!$F$2+AH11*产品成本!$F$3+AI11*产品成本!$F$4</f>
        <v>103.7</v>
      </c>
      <c r="AM11" s="263">
        <f>AG11*产品成本!$G$2+AH11*产品成本!$G$3+AI11*产品成本!$G$4</f>
        <v>1169.13</v>
      </c>
      <c r="AN11" s="263">
        <f t="shared" si="13"/>
        <v>995.451</v>
      </c>
      <c r="AO11" s="264">
        <f t="shared" si="14"/>
        <v>3015.73436197183</v>
      </c>
      <c r="AP11" s="265">
        <v>7</v>
      </c>
      <c r="AQ11" s="265">
        <v>11</v>
      </c>
      <c r="AR11" s="266">
        <v>0</v>
      </c>
      <c r="AS11" s="267">
        <f t="shared" si="15"/>
        <v>305.227272727273</v>
      </c>
      <c r="AT11" s="267">
        <f>AP11*产品成本!$D$2+AQ11*产品成本!$D$3+AR11*产品成本!$D$4</f>
        <v>38.0281690140845</v>
      </c>
      <c r="AU11" s="271">
        <f>AP11*产品成本!$E$2+AQ11*产品成本!$E$3+AR11*产品成本!$E$4</f>
        <v>3.33594084507042</v>
      </c>
      <c r="AV11" s="270">
        <f>AP11*产品成本!$F$2+AQ11*产品成本!$F$3+AR11*产品成本!$F$4</f>
        <v>6.12</v>
      </c>
      <c r="AW11" s="269">
        <v>0</v>
      </c>
      <c r="AX11" s="270">
        <f t="shared" si="16"/>
        <v>45.7840909090909</v>
      </c>
      <c r="AY11" s="269">
        <f t="shared" si="17"/>
        <v>-9.15681818181818</v>
      </c>
      <c r="AZ11" s="271">
        <f t="shared" si="18"/>
        <v>84.1113825864277</v>
      </c>
      <c r="BA11" s="272">
        <f t="shared" si="19"/>
        <v>2931.6229793854</v>
      </c>
      <c r="BB11" s="272">
        <f t="shared" si="20"/>
        <v>6636.34</v>
      </c>
      <c r="BC11" s="272">
        <f t="shared" si="21"/>
        <v>6331.11272727273</v>
      </c>
      <c r="BD11" s="273">
        <f t="shared" si="22"/>
        <v>1368.02974788732</v>
      </c>
      <c r="BE11" s="274">
        <f t="shared" si="23"/>
        <v>0.216080459599814</v>
      </c>
      <c r="BF11" s="278"/>
      <c r="BG11" s="278"/>
      <c r="BH11" s="278"/>
    </row>
    <row r="12" ht="23" customHeight="1" spans="1:61">
      <c r="A12" s="242" t="s">
        <v>89</v>
      </c>
      <c r="B12" s="243" t="s">
        <v>90</v>
      </c>
      <c r="C12" s="243">
        <v>351</v>
      </c>
      <c r="D12" s="244">
        <v>331</v>
      </c>
      <c r="E12" s="245">
        <v>7526.09</v>
      </c>
      <c r="F12" s="246"/>
      <c r="G12" s="246"/>
      <c r="H12" s="247"/>
      <c r="I12" s="247"/>
      <c r="J12" s="276">
        <v>21</v>
      </c>
      <c r="K12" s="249">
        <f t="shared" si="0"/>
        <v>0.0598290598290598</v>
      </c>
      <c r="L12" s="250">
        <v>410.76</v>
      </c>
      <c r="M12" s="251">
        <f t="shared" si="1"/>
        <v>0.150819672131148</v>
      </c>
      <c r="N12" s="249">
        <f t="shared" si="2"/>
        <v>0.141379310344828</v>
      </c>
      <c r="O12" s="249">
        <f t="shared" si="3"/>
        <v>0.13407239532634</v>
      </c>
      <c r="P12" s="252">
        <f t="shared" si="4"/>
        <v>1.06042296072508</v>
      </c>
      <c r="Q12" s="253">
        <f t="shared" si="5"/>
        <v>22.7374320241692</v>
      </c>
      <c r="R12" s="253">
        <f t="shared" si="6"/>
        <v>21.4418518518519</v>
      </c>
      <c r="S12" s="253">
        <f t="shared" si="7"/>
        <v>50.1428571428571</v>
      </c>
      <c r="T12" s="254">
        <f t="shared" si="8"/>
        <v>139</v>
      </c>
      <c r="U12" s="255">
        <f t="shared" si="9"/>
        <v>0.419939577039275</v>
      </c>
      <c r="V12" s="256">
        <f t="shared" si="10"/>
        <v>0.268226927926719</v>
      </c>
      <c r="W12" s="244">
        <v>197397</v>
      </c>
      <c r="X12" s="244">
        <v>2078</v>
      </c>
      <c r="Y12" s="244">
        <v>192</v>
      </c>
      <c r="Z12" s="257">
        <v>2018.7</v>
      </c>
      <c r="AA12" s="277">
        <v>4366.84</v>
      </c>
      <c r="AB12" s="279" t="s">
        <v>83</v>
      </c>
      <c r="AC12" s="259">
        <f t="shared" si="11"/>
        <v>0.462279359903271</v>
      </c>
      <c r="AD12" s="260">
        <f t="shared" ref="AD12:AF12" si="31">X12/W12</f>
        <v>0.0105270090224269</v>
      </c>
      <c r="AE12" s="260">
        <f t="shared" si="31"/>
        <v>0.0923965351299326</v>
      </c>
      <c r="AF12" s="253">
        <f t="shared" si="31"/>
        <v>10.5140625</v>
      </c>
      <c r="AG12" s="261">
        <v>112</v>
      </c>
      <c r="AH12" s="254">
        <v>212</v>
      </c>
      <c r="AI12" s="262">
        <v>27</v>
      </c>
      <c r="AJ12" s="263">
        <f>AG12*产品成本!$D$2+AH12*产品成本!$D$3+AI12*产品成本!$D$4</f>
        <v>773.87323943662</v>
      </c>
      <c r="AK12" s="263">
        <f>AG12*产品成本!$E$2+AH12*产品成本!$E$3+AI12*产品成本!$E$4</f>
        <v>65.9854985915492</v>
      </c>
      <c r="AL12" s="263">
        <f>AG12*产品成本!$F$2+AH12*产品成本!$F$3+AI12*产品成本!$F$4</f>
        <v>119.34</v>
      </c>
      <c r="AM12" s="263">
        <f>AG12*产品成本!$G$2+AH12*产品成本!$G$3+AI12*产品成本!$G$4</f>
        <v>1345.38</v>
      </c>
      <c r="AN12" s="263">
        <f t="shared" si="13"/>
        <v>1128.9135</v>
      </c>
      <c r="AO12" s="264">
        <f t="shared" si="14"/>
        <v>3433.49223802817</v>
      </c>
      <c r="AP12" s="265">
        <v>5</v>
      </c>
      <c r="AQ12" s="265">
        <v>14</v>
      </c>
      <c r="AR12" s="266">
        <v>2</v>
      </c>
      <c r="AS12" s="267">
        <f t="shared" si="15"/>
        <v>466.772727272727</v>
      </c>
      <c r="AT12" s="267">
        <f>AP12*产品成本!$D$2+AQ12*产品成本!$D$3+AR12*产品成本!$D$4</f>
        <v>46.7605633802817</v>
      </c>
      <c r="AU12" s="271">
        <f>AP12*产品成本!$E$2+AQ12*产品成本!$E$3+AR12*产品成本!$E$4</f>
        <v>3.98709718309858</v>
      </c>
      <c r="AV12" s="270">
        <f>AP12*产品成本!$F$2+AQ12*产品成本!$F$3+AR12*产品成本!$F$4</f>
        <v>7.14</v>
      </c>
      <c r="AW12" s="269">
        <v>0</v>
      </c>
      <c r="AX12" s="270">
        <f t="shared" si="16"/>
        <v>70.0159090909091</v>
      </c>
      <c r="AY12" s="269">
        <f t="shared" si="17"/>
        <v>-14.0031818181818</v>
      </c>
      <c r="AZ12" s="271">
        <f t="shared" si="18"/>
        <v>113.900387836108</v>
      </c>
      <c r="BA12" s="272">
        <f t="shared" si="19"/>
        <v>3319.59185019206</v>
      </c>
      <c r="BB12" s="272">
        <f t="shared" si="20"/>
        <v>7526.09</v>
      </c>
      <c r="BC12" s="272">
        <f t="shared" si="21"/>
        <v>7059.31727272727</v>
      </c>
      <c r="BD12" s="273">
        <f t="shared" si="22"/>
        <v>1721.02542253521</v>
      </c>
      <c r="BE12" s="274">
        <f t="shared" si="23"/>
        <v>0.243794882145921</v>
      </c>
      <c r="BF12" s="280"/>
      <c r="BG12" s="280" t="s">
        <v>91</v>
      </c>
      <c r="BH12" s="280"/>
    </row>
    <row r="13" ht="23" customHeight="1" spans="1:61">
      <c r="A13" s="242" t="s">
        <v>92</v>
      </c>
      <c r="B13" s="243" t="s">
        <v>93</v>
      </c>
      <c r="C13" s="243">
        <v>290</v>
      </c>
      <c r="D13" s="244">
        <v>271</v>
      </c>
      <c r="E13" s="245">
        <v>6846.76</v>
      </c>
      <c r="F13" s="246"/>
      <c r="G13" s="246"/>
      <c r="H13" s="247"/>
      <c r="I13" s="247"/>
      <c r="J13" s="276">
        <v>25</v>
      </c>
      <c r="K13" s="249">
        <f t="shared" si="0"/>
        <v>0.0862068965517241</v>
      </c>
      <c r="L13" s="250">
        <v>471.02</v>
      </c>
      <c r="M13" s="251">
        <f t="shared" si="1"/>
        <v>-0.173789173789174</v>
      </c>
      <c r="N13" s="249">
        <f t="shared" si="2"/>
        <v>-0.181268882175227</v>
      </c>
      <c r="O13" s="249">
        <f t="shared" si="3"/>
        <v>-0.0902633372707475</v>
      </c>
      <c r="P13" s="252">
        <f t="shared" si="4"/>
        <v>1.07011070110701</v>
      </c>
      <c r="Q13" s="281">
        <f t="shared" si="5"/>
        <v>25.2647970479705</v>
      </c>
      <c r="R13" s="282">
        <f t="shared" si="6"/>
        <v>23.6095172413793</v>
      </c>
      <c r="S13" s="282">
        <f t="shared" si="7"/>
        <v>41.4285714285714</v>
      </c>
      <c r="T13" s="254">
        <f t="shared" si="8"/>
        <v>104</v>
      </c>
      <c r="U13" s="255">
        <f t="shared" si="9"/>
        <v>0.383763837638376</v>
      </c>
      <c r="V13" s="256">
        <f t="shared" si="10"/>
        <v>0.263726200421805</v>
      </c>
      <c r="W13" s="244">
        <v>175351</v>
      </c>
      <c r="X13" s="244">
        <v>1841</v>
      </c>
      <c r="Y13" s="244">
        <v>167</v>
      </c>
      <c r="Z13" s="257">
        <v>1805.67</v>
      </c>
      <c r="AA13" s="277">
        <v>4166.77</v>
      </c>
      <c r="AB13" s="279" t="s">
        <v>78</v>
      </c>
      <c r="AC13" s="259">
        <f t="shared" si="11"/>
        <v>0.433350052918688</v>
      </c>
      <c r="AD13" s="260">
        <f t="shared" ref="AD13:AF13" si="32">X13/W13</f>
        <v>0.0104989421218014</v>
      </c>
      <c r="AE13" s="260">
        <f t="shared" si="32"/>
        <v>0.0907115697990223</v>
      </c>
      <c r="AF13" s="253">
        <f t="shared" si="32"/>
        <v>10.8123952095808</v>
      </c>
      <c r="AG13" s="261">
        <v>81</v>
      </c>
      <c r="AH13" s="254">
        <v>199</v>
      </c>
      <c r="AI13" s="262">
        <v>10</v>
      </c>
      <c r="AJ13" s="263">
        <f>AG13*产品成本!$D$2+AH13*产品成本!$D$3+AI13*产品成本!$D$4</f>
        <v>624.647887323944</v>
      </c>
      <c r="AK13" s="263">
        <f>AG13*产品成本!$E$2+AH13*产品成本!$E$3+AI13*产品成本!$E$4</f>
        <v>54.5274084507041</v>
      </c>
      <c r="AL13" s="263">
        <f>AG13*产品成本!$F$2+AH13*产品成本!$F$3+AI13*产品成本!$F$4</f>
        <v>98.6</v>
      </c>
      <c r="AM13" s="263">
        <f>AG13*产品成本!$G$2+AH13*产品成本!$G$3+AI13*产品成本!$G$4</f>
        <v>1113.99</v>
      </c>
      <c r="AN13" s="263">
        <f t="shared" si="13"/>
        <v>1027.014</v>
      </c>
      <c r="AO13" s="264">
        <f t="shared" si="14"/>
        <v>2918.77929577465</v>
      </c>
      <c r="AP13" s="265">
        <v>7</v>
      </c>
      <c r="AQ13" s="265">
        <v>15</v>
      </c>
      <c r="AR13" s="266">
        <v>3</v>
      </c>
      <c r="AS13" s="267">
        <f t="shared" si="15"/>
        <v>535.25</v>
      </c>
      <c r="AT13" s="267">
        <f>AP13*产品成本!$D$2+AQ13*产品成本!$D$3+AR13*产品成本!$D$4</f>
        <v>56.4084507042254</v>
      </c>
      <c r="AU13" s="271">
        <f>AP13*产品成本!$E$2+AQ13*产品成本!$E$3+AR13*产品成本!$E$4</f>
        <v>4.7371014084507</v>
      </c>
      <c r="AV13" s="270">
        <f>AP13*产品成本!$F$2+AQ13*产品成本!$F$3+AR13*产品成本!$F$4</f>
        <v>8.5</v>
      </c>
      <c r="AW13" s="269">
        <v>0</v>
      </c>
      <c r="AX13" s="270">
        <f t="shared" si="16"/>
        <v>80.2875</v>
      </c>
      <c r="AY13" s="269">
        <f t="shared" si="17"/>
        <v>-16.0575</v>
      </c>
      <c r="AZ13" s="271">
        <f t="shared" si="18"/>
        <v>133.875552112676</v>
      </c>
      <c r="BA13" s="272">
        <f t="shared" si="19"/>
        <v>2784.90374366197</v>
      </c>
      <c r="BB13" s="272">
        <f t="shared" si="20"/>
        <v>6846.76</v>
      </c>
      <c r="BC13" s="272">
        <f t="shared" si="21"/>
        <v>6311.51</v>
      </c>
      <c r="BD13" s="273">
        <f t="shared" si="22"/>
        <v>1720.93625633803</v>
      </c>
      <c r="BE13" s="274">
        <f t="shared" si="23"/>
        <v>0.272666328079656</v>
      </c>
      <c r="BF13" s="278"/>
      <c r="BG13" s="278" t="s">
        <v>94</v>
      </c>
      <c r="BH13" s="278"/>
    </row>
    <row r="14" ht="23" customHeight="1" spans="1:61">
      <c r="A14" s="242" t="s">
        <v>95</v>
      </c>
      <c r="B14" s="243" t="s">
        <v>96</v>
      </c>
      <c r="C14" s="243">
        <v>315</v>
      </c>
      <c r="D14" s="244">
        <v>298</v>
      </c>
      <c r="E14" s="245">
        <v>7220.89</v>
      </c>
      <c r="F14" s="246"/>
      <c r="G14" s="246"/>
      <c r="H14" s="247"/>
      <c r="I14" s="247"/>
      <c r="J14" s="276">
        <v>26</v>
      </c>
      <c r="K14" s="249">
        <f t="shared" si="0"/>
        <v>0.0825396825396825</v>
      </c>
      <c r="L14" s="250">
        <v>508.77</v>
      </c>
      <c r="M14" s="251">
        <f t="shared" si="1"/>
        <v>0.0862068965517241</v>
      </c>
      <c r="N14" s="249">
        <f t="shared" si="2"/>
        <v>0.0996309963099631</v>
      </c>
      <c r="O14" s="249">
        <f t="shared" si="3"/>
        <v>0.0546433641605665</v>
      </c>
      <c r="P14" s="252">
        <f t="shared" si="4"/>
        <v>1.05704697986577</v>
      </c>
      <c r="Q14" s="281">
        <f t="shared" si="5"/>
        <v>24.2311744966443</v>
      </c>
      <c r="R14" s="281">
        <f t="shared" si="6"/>
        <v>22.9234603174603</v>
      </c>
      <c r="S14" s="281">
        <f t="shared" si="7"/>
        <v>45</v>
      </c>
      <c r="T14" s="254">
        <f t="shared" si="8"/>
        <v>105</v>
      </c>
      <c r="U14" s="255">
        <f t="shared" si="9"/>
        <v>0.352348993288591</v>
      </c>
      <c r="V14" s="256">
        <f t="shared" si="10"/>
        <v>0.285683620717114</v>
      </c>
      <c r="W14" s="244">
        <v>192908</v>
      </c>
      <c r="X14" s="244">
        <v>2120</v>
      </c>
      <c r="Y14" s="244">
        <v>193</v>
      </c>
      <c r="Z14" s="257">
        <v>2062.89</v>
      </c>
      <c r="AA14" s="277">
        <v>4629.61</v>
      </c>
      <c r="AB14" s="279" t="s">
        <v>83</v>
      </c>
      <c r="AC14" s="259">
        <f t="shared" si="11"/>
        <v>0.445586129285188</v>
      </c>
      <c r="AD14" s="260">
        <f t="shared" ref="AD14:AF14" si="33">X14/W14</f>
        <v>0.0109896945694321</v>
      </c>
      <c r="AE14" s="260">
        <f t="shared" si="33"/>
        <v>0.0910377358490566</v>
      </c>
      <c r="AF14" s="253">
        <f t="shared" si="33"/>
        <v>10.6885492227979</v>
      </c>
      <c r="AG14" s="261">
        <v>80</v>
      </c>
      <c r="AH14" s="254">
        <v>212</v>
      </c>
      <c r="AI14" s="262">
        <v>23</v>
      </c>
      <c r="AJ14" s="263">
        <f>AG14*产品成本!$D$2+AH14*产品成本!$D$3+AI14*产品成本!$D$4</f>
        <v>693.028169014085</v>
      </c>
      <c r="AK14" s="263">
        <f>AG14*产品成本!$E$2+AH14*产品成本!$E$3+AI14*产品成本!$E$4</f>
        <v>59.5900732394365</v>
      </c>
      <c r="AL14" s="263">
        <f>AG14*产品成本!$F$2+AH14*产品成本!$F$3+AI14*产品成本!$F$4</f>
        <v>107.1</v>
      </c>
      <c r="AM14" s="263">
        <f>AG14*产品成本!$G$2+AH14*产品成本!$G$3+AI14*产品成本!$G$4</f>
        <v>1211.7</v>
      </c>
      <c r="AN14" s="263">
        <f t="shared" si="13"/>
        <v>1083.1335</v>
      </c>
      <c r="AO14" s="264">
        <f t="shared" si="14"/>
        <v>3154.55174225352</v>
      </c>
      <c r="AP14" s="265">
        <v>8</v>
      </c>
      <c r="AQ14" s="265">
        <v>16</v>
      </c>
      <c r="AR14" s="266">
        <v>2</v>
      </c>
      <c r="AS14" s="267">
        <f t="shared" si="15"/>
        <v>578.147727272727</v>
      </c>
      <c r="AT14" s="267">
        <f>AP14*产品成本!$D$2+AQ14*产品成本!$D$3+AR14*产品成本!$D$4</f>
        <v>57.3239436619719</v>
      </c>
      <c r="AU14" s="271">
        <f>AP14*产品成本!$E$2+AQ14*产品成本!$E$3+AR14*产品成本!$E$4</f>
        <v>4.89349859154929</v>
      </c>
      <c r="AV14" s="270">
        <f>AP14*产品成本!$F$2+AQ14*产品成本!$F$3+AR14*产品成本!$F$4</f>
        <v>8.84</v>
      </c>
      <c r="AW14" s="269">
        <v>0</v>
      </c>
      <c r="AX14" s="270">
        <f t="shared" si="16"/>
        <v>86.7221590909091</v>
      </c>
      <c r="AY14" s="269">
        <f t="shared" si="17"/>
        <v>-17.3444318181818</v>
      </c>
      <c r="AZ14" s="271">
        <f t="shared" si="18"/>
        <v>140.435169526248</v>
      </c>
      <c r="BA14" s="272">
        <f t="shared" si="19"/>
        <v>3014.11657272727</v>
      </c>
      <c r="BB14" s="272">
        <f t="shared" si="20"/>
        <v>7220.89</v>
      </c>
      <c r="BC14" s="272">
        <f t="shared" si="21"/>
        <v>6642.74227272727</v>
      </c>
      <c r="BD14" s="273">
        <f t="shared" si="22"/>
        <v>1565.7357</v>
      </c>
      <c r="BE14" s="274">
        <f t="shared" si="23"/>
        <v>0.235706224284563</v>
      </c>
      <c r="BF14" s="283"/>
      <c r="BG14" s="283" t="s">
        <v>97</v>
      </c>
      <c r="BH14" s="280"/>
    </row>
    <row r="15" ht="23" customHeight="1" spans="1:61">
      <c r="A15" s="242" t="s">
        <v>98</v>
      </c>
      <c r="B15" s="243" t="s">
        <v>99</v>
      </c>
      <c r="C15" s="243">
        <v>278</v>
      </c>
      <c r="D15" s="244">
        <v>269</v>
      </c>
      <c r="E15" s="245">
        <v>6436.56</v>
      </c>
      <c r="F15" s="246"/>
      <c r="G15" s="246"/>
      <c r="H15" s="247"/>
      <c r="I15" s="247"/>
      <c r="J15" s="276">
        <v>23</v>
      </c>
      <c r="K15" s="249">
        <f t="shared" si="0"/>
        <v>0.0827338129496403</v>
      </c>
      <c r="L15" s="250">
        <v>471.54</v>
      </c>
      <c r="M15" s="251">
        <f t="shared" si="1"/>
        <v>-0.117460317460317</v>
      </c>
      <c r="N15" s="249">
        <f t="shared" si="2"/>
        <v>-0.0973154362416107</v>
      </c>
      <c r="O15" s="249">
        <f t="shared" si="3"/>
        <v>-0.108619574595375</v>
      </c>
      <c r="P15" s="252">
        <f t="shared" si="4"/>
        <v>1.03345724907063</v>
      </c>
      <c r="Q15" s="281">
        <f t="shared" si="5"/>
        <v>23.9277323420074</v>
      </c>
      <c r="R15" s="281">
        <f t="shared" si="6"/>
        <v>23.1530935251799</v>
      </c>
      <c r="S15" s="281">
        <f t="shared" si="7"/>
        <v>39.7142857142857</v>
      </c>
      <c r="T15" s="254">
        <f t="shared" si="8"/>
        <v>100</v>
      </c>
      <c r="U15" s="255">
        <f t="shared" si="9"/>
        <v>0.371747211895911</v>
      </c>
      <c r="V15" s="256">
        <f t="shared" si="10"/>
        <v>0.276664864461762</v>
      </c>
      <c r="W15" s="244">
        <v>167353</v>
      </c>
      <c r="X15" s="244">
        <v>1833</v>
      </c>
      <c r="Y15" s="244">
        <v>169</v>
      </c>
      <c r="Z15" s="257">
        <v>1780.77</v>
      </c>
      <c r="AA15" s="277">
        <v>4021.03</v>
      </c>
      <c r="AB15" s="279" t="s">
        <v>83</v>
      </c>
      <c r="AC15" s="259">
        <f t="shared" si="11"/>
        <v>0.44286414177462</v>
      </c>
      <c r="AD15" s="260">
        <f t="shared" ref="AD15:AF15" si="34">X15/W15</f>
        <v>0.0109528959743775</v>
      </c>
      <c r="AE15" s="260">
        <f t="shared" si="34"/>
        <v>0.0921985815602837</v>
      </c>
      <c r="AF15" s="253">
        <f t="shared" si="34"/>
        <v>10.537100591716</v>
      </c>
      <c r="AG15" s="261">
        <v>49</v>
      </c>
      <c r="AH15" s="254">
        <v>177</v>
      </c>
      <c r="AI15" s="262">
        <v>52</v>
      </c>
      <c r="AJ15" s="263">
        <f>AG15*产品成本!$D$2+AH15*产品成本!$D$3+AI15*产品成本!$D$4</f>
        <v>649.577464788733</v>
      </c>
      <c r="AK15" s="263">
        <f>AG15*产品成本!$E$2+AH15*产品成本!$E$3+AI15*产品成本!$E$4</f>
        <v>53.5505999999999</v>
      </c>
      <c r="AL15" s="263">
        <f>AG15*产品成本!$F$2+AH15*产品成本!$F$3+AI15*产品成本!$F$4</f>
        <v>94.52</v>
      </c>
      <c r="AM15" s="263">
        <f>AG15*产品成本!$G$2+AH15*产品成本!$G$3+AI15*产品成本!$G$4</f>
        <v>1073.91</v>
      </c>
      <c r="AN15" s="263">
        <f t="shared" si="13"/>
        <v>965.484</v>
      </c>
      <c r="AO15" s="264">
        <f t="shared" si="14"/>
        <v>2837.04206478873</v>
      </c>
      <c r="AP15" s="265">
        <v>10</v>
      </c>
      <c r="AQ15" s="265">
        <v>13</v>
      </c>
      <c r="AR15" s="266">
        <v>1</v>
      </c>
      <c r="AS15" s="267">
        <f t="shared" si="15"/>
        <v>535.840909090909</v>
      </c>
      <c r="AT15" s="267">
        <f>AP15*产品成本!$D$2+AQ15*产品成本!$D$3+AR15*产品成本!$D$4</f>
        <v>51.9014084507043</v>
      </c>
      <c r="AU15" s="271">
        <f>AP15*产品成本!$E$2+AQ15*产品成本!$E$3+AR15*产品成本!$E$4</f>
        <v>4.45234225352112</v>
      </c>
      <c r="AV15" s="270">
        <f>AP15*产品成本!$F$2+AQ15*产品成本!$F$3+AR15*产品成本!$F$4</f>
        <v>8.16</v>
      </c>
      <c r="AW15" s="269">
        <v>0</v>
      </c>
      <c r="AX15" s="270">
        <f t="shared" si="16"/>
        <v>80.3761363636364</v>
      </c>
      <c r="AY15" s="269">
        <f t="shared" si="17"/>
        <v>-16.0752272727273</v>
      </c>
      <c r="AZ15" s="271">
        <f t="shared" si="18"/>
        <v>128.814659795135</v>
      </c>
      <c r="BA15" s="272">
        <f t="shared" si="19"/>
        <v>2708.2274049936</v>
      </c>
      <c r="BB15" s="272">
        <f t="shared" si="20"/>
        <v>6436.56</v>
      </c>
      <c r="BC15" s="272">
        <f t="shared" si="21"/>
        <v>5900.71909090909</v>
      </c>
      <c r="BD15" s="273">
        <f t="shared" si="22"/>
        <v>1411.72168591549</v>
      </c>
      <c r="BE15" s="274">
        <f t="shared" si="23"/>
        <v>0.239245702797555</v>
      </c>
      <c r="BF15" s="284"/>
      <c r="BG15" s="284" t="s">
        <v>100</v>
      </c>
      <c r="BH15" s="278"/>
    </row>
    <row r="16" ht="23" customHeight="1" spans="1:61">
      <c r="A16" s="285" t="s">
        <v>101</v>
      </c>
      <c r="B16" s="286" t="s">
        <v>102</v>
      </c>
      <c r="C16" s="243">
        <v>344</v>
      </c>
      <c r="D16" s="244">
        <v>324</v>
      </c>
      <c r="E16" s="245">
        <v>7634.97</v>
      </c>
      <c r="F16" s="246"/>
      <c r="G16" s="246"/>
      <c r="H16" s="247"/>
      <c r="I16" s="247"/>
      <c r="J16" s="276">
        <v>30</v>
      </c>
      <c r="K16" s="249">
        <f t="shared" si="0"/>
        <v>0.0872093023255814</v>
      </c>
      <c r="L16" s="250">
        <v>583.82</v>
      </c>
      <c r="M16" s="251">
        <f t="shared" si="1"/>
        <v>0.237410071942446</v>
      </c>
      <c r="N16" s="249">
        <f t="shared" si="2"/>
        <v>0.204460966542751</v>
      </c>
      <c r="O16" s="249">
        <f t="shared" si="3"/>
        <v>0.186187963757038</v>
      </c>
      <c r="P16" s="252">
        <f t="shared" si="4"/>
        <v>1.06172839506173</v>
      </c>
      <c r="Q16" s="281">
        <f t="shared" si="5"/>
        <v>23.5647222222222</v>
      </c>
      <c r="R16" s="281">
        <f t="shared" si="6"/>
        <v>22.1946802325581</v>
      </c>
      <c r="S16" s="281">
        <f t="shared" si="7"/>
        <v>49.1428571428571</v>
      </c>
      <c r="T16" s="254">
        <f t="shared" si="8"/>
        <v>305</v>
      </c>
      <c r="U16" s="255">
        <f t="shared" si="9"/>
        <v>0.941358024691358</v>
      </c>
      <c r="V16" s="256">
        <f t="shared" si="10"/>
        <v>0.29573397144979</v>
      </c>
      <c r="W16" s="244">
        <v>201438</v>
      </c>
      <c r="X16" s="244">
        <v>2316</v>
      </c>
      <c r="Y16" s="244">
        <v>19</v>
      </c>
      <c r="Z16" s="257">
        <v>2257.92</v>
      </c>
      <c r="AA16" s="277">
        <v>4659.38</v>
      </c>
      <c r="AB16" s="244">
        <v>0.97</v>
      </c>
      <c r="AC16" s="259">
        <f t="shared" si="11"/>
        <v>0.484596663075345</v>
      </c>
      <c r="AD16" s="260">
        <f t="shared" ref="AD16:AF16" si="35">X16/W16</f>
        <v>0.0114973341673368</v>
      </c>
      <c r="AE16" s="260">
        <f t="shared" si="35"/>
        <v>0.00820379965457686</v>
      </c>
      <c r="AF16" s="253">
        <f t="shared" si="35"/>
        <v>118.837894736842</v>
      </c>
      <c r="AG16" s="261">
        <v>84</v>
      </c>
      <c r="AH16" s="254">
        <v>211</v>
      </c>
      <c r="AI16" s="262">
        <v>49</v>
      </c>
      <c r="AJ16" s="263">
        <f>AG16*产品成本!$D$2+AH16*产品成本!$D$3+AI16*产品成本!$D$4</f>
        <v>785.422535211268</v>
      </c>
      <c r="AK16" s="263">
        <f>AG16*产品成本!$E$2+AH16*产品成本!$E$3+AI16*产品成本!$E$4</f>
        <v>65.5517112676055</v>
      </c>
      <c r="AL16" s="263">
        <f>AG16*产品成本!$F$2+AH16*产品成本!$F$3+AI16*产品成本!$F$4</f>
        <v>116.96</v>
      </c>
      <c r="AM16" s="263">
        <f>AG16*产品成本!$G$2+AH16*产品成本!$G$3+AI16*产品成本!$G$4</f>
        <v>1323.96</v>
      </c>
      <c r="AN16" s="263">
        <f t="shared" si="13"/>
        <v>1145.2455</v>
      </c>
      <c r="AO16" s="264">
        <f t="shared" si="14"/>
        <v>3437.13974647887</v>
      </c>
      <c r="AP16" s="265">
        <v>13</v>
      </c>
      <c r="AQ16" s="265">
        <v>16</v>
      </c>
      <c r="AR16" s="266">
        <v>1</v>
      </c>
      <c r="AS16" s="267">
        <f t="shared" si="15"/>
        <v>663.431818181818</v>
      </c>
      <c r="AT16" s="267">
        <f>AP16*产品成本!$D$2+AQ16*产品成本!$D$3+AR16*产品成本!$D$4</f>
        <v>64.5774647887324</v>
      </c>
      <c r="AU16" s="271">
        <f>AP16*产品成本!$E$2+AQ16*产品成本!$E$3+AR16*产品成本!$E$4</f>
        <v>5.55153380281689</v>
      </c>
      <c r="AV16" s="270">
        <f>AP16*产品成本!$F$2+AQ16*产品成本!$F$3+AR16*产品成本!$F$4</f>
        <v>10.2</v>
      </c>
      <c r="AW16" s="269">
        <v>0</v>
      </c>
      <c r="AX16" s="270">
        <f t="shared" si="16"/>
        <v>99.5147727272727</v>
      </c>
      <c r="AY16" s="269">
        <f t="shared" si="17"/>
        <v>-19.9029545454545</v>
      </c>
      <c r="AZ16" s="271">
        <f t="shared" si="18"/>
        <v>159.940816773368</v>
      </c>
      <c r="BA16" s="272">
        <f t="shared" si="19"/>
        <v>3277.19892970551</v>
      </c>
      <c r="BB16" s="272">
        <f t="shared" si="20"/>
        <v>7634.97</v>
      </c>
      <c r="BC16" s="272">
        <f t="shared" si="21"/>
        <v>6971.53818181818</v>
      </c>
      <c r="BD16" s="273">
        <f t="shared" si="22"/>
        <v>1436.41925211268</v>
      </c>
      <c r="BE16" s="274">
        <f t="shared" si="23"/>
        <v>0.206040505646066</v>
      </c>
      <c r="BF16" s="280"/>
      <c r="BG16" s="280" t="s">
        <v>103</v>
      </c>
      <c r="BH16" s="280"/>
    </row>
    <row r="17" ht="23" customHeight="1" spans="1:60">
      <c r="A17" s="285" t="s">
        <v>104</v>
      </c>
      <c r="B17" s="286" t="s">
        <v>105</v>
      </c>
      <c r="C17" s="243">
        <v>351</v>
      </c>
      <c r="D17" s="244">
        <v>339</v>
      </c>
      <c r="E17" s="245">
        <v>7769.22</v>
      </c>
      <c r="F17" s="246"/>
      <c r="G17" s="246"/>
      <c r="H17" s="247"/>
      <c r="I17" s="247"/>
      <c r="J17" s="276">
        <v>23</v>
      </c>
      <c r="K17" s="249">
        <f t="shared" si="0"/>
        <v>0.0655270655270655</v>
      </c>
      <c r="L17" s="250">
        <v>440.93</v>
      </c>
      <c r="M17" s="251">
        <f t="shared" si="1"/>
        <v>0.0203488372093023</v>
      </c>
      <c r="N17" s="249">
        <f t="shared" si="2"/>
        <v>0.0462962962962963</v>
      </c>
      <c r="O17" s="249">
        <f t="shared" si="3"/>
        <v>0.0175835661436784</v>
      </c>
      <c r="P17" s="252">
        <f t="shared" si="4"/>
        <v>1.0353982300885</v>
      </c>
      <c r="Q17" s="281">
        <f t="shared" si="5"/>
        <v>22.9180530973451</v>
      </c>
      <c r="R17" s="281">
        <f t="shared" si="6"/>
        <v>22.1345299145299</v>
      </c>
      <c r="S17" s="281">
        <f t="shared" si="7"/>
        <v>50.1428571428571</v>
      </c>
      <c r="T17" s="254">
        <f t="shared" si="8"/>
        <v>118</v>
      </c>
      <c r="U17" s="255">
        <f t="shared" si="9"/>
        <v>0.348082595870207</v>
      </c>
      <c r="V17" s="256">
        <f t="shared" si="10"/>
        <v>0.298848533057373</v>
      </c>
      <c r="W17" s="244">
        <v>243295</v>
      </c>
      <c r="X17" s="244">
        <v>2349</v>
      </c>
      <c r="Y17" s="244">
        <v>221</v>
      </c>
      <c r="Z17" s="257">
        <v>2321.82</v>
      </c>
      <c r="AA17" s="277">
        <v>5024.08</v>
      </c>
      <c r="AB17" s="244">
        <v>0.99</v>
      </c>
      <c r="AC17" s="259">
        <f t="shared" si="11"/>
        <v>0.462138341746151</v>
      </c>
      <c r="AD17" s="260">
        <f t="shared" ref="AD17:AF17" si="36">X17/W17</f>
        <v>0.0096549456421217</v>
      </c>
      <c r="AE17" s="260">
        <f t="shared" si="36"/>
        <v>0.0940825883354619</v>
      </c>
      <c r="AF17" s="253">
        <f t="shared" si="36"/>
        <v>10.5059728506787</v>
      </c>
      <c r="AG17" s="261">
        <v>105</v>
      </c>
      <c r="AH17" s="254">
        <v>173</v>
      </c>
      <c r="AI17" s="262">
        <v>73</v>
      </c>
      <c r="AJ17" s="263">
        <f>AG17*产品成本!$D$2+AH17*产品成本!$D$3+AI17*产品成本!$D$4</f>
        <v>828.943661971832</v>
      </c>
      <c r="AK17" s="263">
        <f>AG17*产品成本!$E$2+AH17*产品成本!$E$3+AI17*产品成本!$E$4</f>
        <v>66.9114338028168</v>
      </c>
      <c r="AL17" s="263">
        <f>AG17*产品成本!$F$2+AH17*产品成本!$F$3+AI17*产品成本!$F$4</f>
        <v>119.34</v>
      </c>
      <c r="AM17" s="263">
        <f>AG17*产品成本!$G$2+AH17*产品成本!$G$3+AI17*产品成本!$G$4</f>
        <v>1346.85</v>
      </c>
      <c r="AN17" s="263">
        <f t="shared" si="13"/>
        <v>1165.383</v>
      </c>
      <c r="AO17" s="264">
        <f t="shared" si="14"/>
        <v>3527.42809577465</v>
      </c>
      <c r="AP17" s="265">
        <v>7</v>
      </c>
      <c r="AQ17" s="265">
        <v>8</v>
      </c>
      <c r="AR17" s="266">
        <v>8</v>
      </c>
      <c r="AS17" s="267">
        <f t="shared" si="15"/>
        <v>501.056818181818</v>
      </c>
      <c r="AT17" s="267">
        <f>AP17*产品成本!$D$2+AQ17*产品成本!$D$3+AR17*产品成本!$D$4</f>
        <v>58.1690140845071</v>
      </c>
      <c r="AU17" s="271">
        <f>AP17*产品成本!$E$2+AQ17*产品成本!$E$3+AR17*产品成本!$E$4</f>
        <v>4.43757042253521</v>
      </c>
      <c r="AV17" s="270">
        <f>AP17*产品成本!$F$2+AQ17*产品成本!$F$3+AR17*产品成本!$F$4</f>
        <v>7.82</v>
      </c>
      <c r="AW17" s="269"/>
      <c r="AX17" s="270">
        <f t="shared" si="16"/>
        <v>75.1585227272727</v>
      </c>
      <c r="AY17" s="269">
        <f t="shared" si="17"/>
        <v>-15.0317045454545</v>
      </c>
      <c r="AZ17" s="271">
        <f t="shared" si="18"/>
        <v>130.55340268886</v>
      </c>
      <c r="BA17" s="272">
        <f t="shared" si="19"/>
        <v>3396.87469308579</v>
      </c>
      <c r="BB17" s="272">
        <f t="shared" si="20"/>
        <v>7769.22</v>
      </c>
      <c r="BC17" s="272">
        <f t="shared" si="21"/>
        <v>7268.16318181818</v>
      </c>
      <c r="BD17" s="273">
        <f t="shared" si="22"/>
        <v>1549.46848873239</v>
      </c>
      <c r="BE17" s="274">
        <f t="shared" si="23"/>
        <v>0.213185704554419</v>
      </c>
      <c r="BF17" s="287"/>
      <c r="BG17" s="287" t="s">
        <v>106</v>
      </c>
      <c r="BH17" s="278" t="s">
        <v>94</v>
      </c>
    </row>
    <row r="18" ht="23" customHeight="1" spans="1:60">
      <c r="A18" s="285" t="s">
        <v>107</v>
      </c>
      <c r="B18" s="286" t="s">
        <v>108</v>
      </c>
      <c r="C18" s="243">
        <v>399</v>
      </c>
      <c r="D18" s="244">
        <v>357</v>
      </c>
      <c r="E18" s="245">
        <v>9260.61</v>
      </c>
      <c r="F18" s="246"/>
      <c r="G18" s="246"/>
      <c r="H18" s="247"/>
      <c r="I18" s="247"/>
      <c r="J18" s="276">
        <v>29</v>
      </c>
      <c r="K18" s="249">
        <f t="shared" si="0"/>
        <v>0.0726817042606516</v>
      </c>
      <c r="L18" s="250">
        <v>585.8</v>
      </c>
      <c r="M18" s="251">
        <f t="shared" si="1"/>
        <v>0.136752136752137</v>
      </c>
      <c r="N18" s="249">
        <f t="shared" si="2"/>
        <v>0.0530973451327434</v>
      </c>
      <c r="O18" s="249">
        <f t="shared" si="3"/>
        <v>0.191961355193958</v>
      </c>
      <c r="P18" s="252">
        <f t="shared" si="4"/>
        <v>1.11764705882353</v>
      </c>
      <c r="Q18" s="281">
        <f t="shared" si="5"/>
        <v>25.9400840336134</v>
      </c>
      <c r="R18" s="281">
        <f t="shared" si="6"/>
        <v>23.2095488721805</v>
      </c>
      <c r="S18" s="281">
        <f t="shared" si="7"/>
        <v>57</v>
      </c>
      <c r="T18" s="254">
        <f t="shared" si="8"/>
        <v>138</v>
      </c>
      <c r="U18" s="255">
        <f t="shared" si="9"/>
        <v>0.38655462184874</v>
      </c>
      <c r="V18" s="256">
        <f t="shared" si="10"/>
        <v>0.225248660725373</v>
      </c>
      <c r="W18" s="244">
        <v>205810</v>
      </c>
      <c r="X18" s="244">
        <v>2124</v>
      </c>
      <c r="Y18" s="244">
        <v>219</v>
      </c>
      <c r="Z18" s="257">
        <v>2085.94</v>
      </c>
      <c r="AA18" s="277">
        <v>5804.27</v>
      </c>
      <c r="AB18" s="244">
        <v>0.98</v>
      </c>
      <c r="AC18" s="259">
        <f t="shared" si="11"/>
        <v>0.359380249368138</v>
      </c>
      <c r="AD18" s="260">
        <f t="shared" ref="AD18:AF18" si="37">X18/W18</f>
        <v>0.0103201982410962</v>
      </c>
      <c r="AE18" s="260">
        <f t="shared" si="37"/>
        <v>0.103107344632768</v>
      </c>
      <c r="AF18" s="253">
        <f t="shared" si="37"/>
        <v>9.5248401826484</v>
      </c>
      <c r="AG18" s="261">
        <v>139</v>
      </c>
      <c r="AH18" s="254">
        <v>178</v>
      </c>
      <c r="AI18" s="262">
        <v>82</v>
      </c>
      <c r="AJ18" s="263">
        <f>AG18*产品成本!$D$2+AH18*产品成本!$D$3+AI18*产品成本!$D$4</f>
        <v>941.126760563381</v>
      </c>
      <c r="AK18" s="263">
        <f>AG18*产品成本!$E$2+AH18*产品成本!$E$3+AI18*产品成本!$E$4</f>
        <v>75.6680239436619</v>
      </c>
      <c r="AL18" s="263">
        <f>AG18*产品成本!$F$2+AH18*产品成本!$F$3+AI18*产品成本!$F$4</f>
        <v>135.66</v>
      </c>
      <c r="AM18" s="263">
        <f>AG18*产品成本!$G$2+AH18*产品成本!$G$3+AI18*产品成本!$G$4</f>
        <v>1526.91</v>
      </c>
      <c r="AN18" s="263">
        <f t="shared" si="13"/>
        <v>1389.0915</v>
      </c>
      <c r="AO18" s="264">
        <f t="shared" si="14"/>
        <v>4068.45628450704</v>
      </c>
      <c r="AP18" s="265">
        <v>6</v>
      </c>
      <c r="AQ18" s="265">
        <v>14</v>
      </c>
      <c r="AR18" s="266">
        <v>9</v>
      </c>
      <c r="AS18" s="267">
        <f t="shared" si="15"/>
        <v>665.681818181818</v>
      </c>
      <c r="AT18" s="267">
        <f>AP18*产品成本!$D$2+AQ18*产品成本!$D$3+AR18*产品成本!$D$4</f>
        <v>72.0422535211268</v>
      </c>
      <c r="AU18" s="271">
        <f>AP18*产品成本!$E$2+AQ18*产品成本!$E$3+AR18*产品成本!$E$4</f>
        <v>5.63070422535211</v>
      </c>
      <c r="AV18" s="270">
        <f>AP18*产品成本!$F$2+AQ18*产品成本!$F$3+AR18*产品成本!$F$4</f>
        <v>9.86</v>
      </c>
      <c r="AW18" s="269"/>
      <c r="AX18" s="270">
        <f t="shared" si="16"/>
        <v>99.8522727272727</v>
      </c>
      <c r="AY18" s="269">
        <f t="shared" si="17"/>
        <v>-19.9704545454545</v>
      </c>
      <c r="AZ18" s="271">
        <f t="shared" si="18"/>
        <v>167.414775928297</v>
      </c>
      <c r="BA18" s="272">
        <f t="shared" si="19"/>
        <v>3901.04150857875</v>
      </c>
      <c r="BB18" s="272">
        <f t="shared" si="20"/>
        <v>9260.61</v>
      </c>
      <c r="BC18" s="272">
        <f t="shared" si="21"/>
        <v>8594.92818181818</v>
      </c>
      <c r="BD18" s="273">
        <f t="shared" si="22"/>
        <v>2607.94667323944</v>
      </c>
      <c r="BE18" s="274">
        <f t="shared" si="23"/>
        <v>0.303428559037447</v>
      </c>
      <c r="BF18" s="288"/>
      <c r="BG18" s="288" t="s">
        <v>109</v>
      </c>
      <c r="BH18" s="280" t="s">
        <v>94</v>
      </c>
    </row>
    <row r="19" ht="23" customHeight="1" spans="1:60">
      <c r="A19" s="285" t="s">
        <v>110</v>
      </c>
      <c r="B19" s="286" t="s">
        <v>111</v>
      </c>
      <c r="C19" s="243">
        <v>379</v>
      </c>
      <c r="D19" s="244">
        <v>357</v>
      </c>
      <c r="E19" s="245">
        <v>9167.51</v>
      </c>
      <c r="F19" s="246"/>
      <c r="G19" s="246"/>
      <c r="H19" s="247"/>
      <c r="I19" s="247"/>
      <c r="J19" s="276">
        <v>19</v>
      </c>
      <c r="K19" s="249">
        <f t="shared" si="0"/>
        <v>0.050131926121372</v>
      </c>
      <c r="L19" s="250">
        <v>378.87</v>
      </c>
      <c r="M19" s="251">
        <f t="shared" si="1"/>
        <v>-0.050125313283208</v>
      </c>
      <c r="N19" s="249">
        <f t="shared" si="2"/>
        <v>0</v>
      </c>
      <c r="O19" s="249">
        <f t="shared" si="3"/>
        <v>-0.0100533334197208</v>
      </c>
      <c r="P19" s="252">
        <f t="shared" si="4"/>
        <v>1.06162464985994</v>
      </c>
      <c r="Q19" s="281">
        <f t="shared" si="5"/>
        <v>25.679299719888</v>
      </c>
      <c r="R19" s="281">
        <f t="shared" si="6"/>
        <v>24.1886807387863</v>
      </c>
      <c r="S19" s="281">
        <f t="shared" si="7"/>
        <v>54.1428571428571</v>
      </c>
      <c r="T19" s="254">
        <f t="shared" si="8"/>
        <v>119</v>
      </c>
      <c r="U19" s="255">
        <f t="shared" si="9"/>
        <v>0.333333333333333</v>
      </c>
      <c r="V19" s="256">
        <f t="shared" si="10"/>
        <v>0.260742557139289</v>
      </c>
      <c r="W19" s="244">
        <v>237785</v>
      </c>
      <c r="X19" s="244">
        <v>2470</v>
      </c>
      <c r="Y19" s="244">
        <v>238</v>
      </c>
      <c r="Z19" s="257">
        <v>2390.36</v>
      </c>
      <c r="AA19" s="277">
        <v>6061.78</v>
      </c>
      <c r="AB19" s="244">
        <v>0.97</v>
      </c>
      <c r="AC19" s="259">
        <f t="shared" si="11"/>
        <v>0.394333017694473</v>
      </c>
      <c r="AD19" s="260">
        <f t="shared" ref="AD19:AF19" si="38">X19/W19</f>
        <v>0.0103875349580503</v>
      </c>
      <c r="AE19" s="260">
        <f t="shared" si="38"/>
        <v>0.0963562753036437</v>
      </c>
      <c r="AF19" s="253">
        <f t="shared" si="38"/>
        <v>10.0435294117647</v>
      </c>
      <c r="AG19" s="261">
        <v>111</v>
      </c>
      <c r="AH19" s="254">
        <v>182</v>
      </c>
      <c r="AI19" s="262">
        <v>86</v>
      </c>
      <c r="AJ19" s="263">
        <f>AG19*产品成本!$D$2+AH19*产品成本!$D$3+AI19*产品成本!$D$4</f>
        <v>903.661971830987</v>
      </c>
      <c r="AK19" s="263">
        <f>AG19*产品成本!$E$2+AH19*产品成本!$E$3+AI19*产品成本!$E$4</f>
        <v>72.4181873239436</v>
      </c>
      <c r="AL19" s="263">
        <f>AG19*产品成本!$F$2+AH19*产品成本!$F$3+AI19*产品成本!$F$4</f>
        <v>128.86</v>
      </c>
      <c r="AM19" s="263">
        <f>AG19*产品成本!$G$2+AH19*产品成本!$G$3+AI19*产品成本!$G$4</f>
        <v>1454.79</v>
      </c>
      <c r="AN19" s="263">
        <f t="shared" si="13"/>
        <v>1375.1265</v>
      </c>
      <c r="AO19" s="264">
        <f t="shared" si="14"/>
        <v>3934.85665915493</v>
      </c>
      <c r="AP19" s="265">
        <v>8</v>
      </c>
      <c r="AQ19" s="265">
        <v>9</v>
      </c>
      <c r="AR19" s="266">
        <v>2</v>
      </c>
      <c r="AS19" s="267">
        <f t="shared" si="15"/>
        <v>430.534090909091</v>
      </c>
      <c r="AT19" s="267">
        <f>AP19*产品成本!$D$2+AQ19*产品成本!$D$3+AR19*产品成本!$D$4</f>
        <v>42.5352112676057</v>
      </c>
      <c r="AU19" s="271">
        <f>AP19*产品成本!$E$2+AQ19*产品成本!$E$3+AR19*产品成本!$E$4</f>
        <v>3.5439676056338</v>
      </c>
      <c r="AV19" s="270">
        <f>AP19*产品成本!$F$2+AQ19*产品成本!$F$3+AR19*产品成本!$F$4</f>
        <v>6.46</v>
      </c>
      <c r="AW19" s="269"/>
      <c r="AX19" s="270">
        <f t="shared" si="16"/>
        <v>64.5801136363636</v>
      </c>
      <c r="AY19" s="269">
        <f t="shared" si="17"/>
        <v>-12.9160227272727</v>
      </c>
      <c r="AZ19" s="271">
        <f t="shared" si="18"/>
        <v>104.20326978233</v>
      </c>
      <c r="BA19" s="272">
        <f t="shared" si="19"/>
        <v>3830.6533893726</v>
      </c>
      <c r="BB19" s="272">
        <f t="shared" si="20"/>
        <v>9167.51</v>
      </c>
      <c r="BC19" s="272">
        <f t="shared" si="21"/>
        <v>8736.97590909091</v>
      </c>
      <c r="BD19" s="273">
        <f t="shared" si="22"/>
        <v>2515.96251971831</v>
      </c>
      <c r="BE19" s="274">
        <f t="shared" si="23"/>
        <v>0.28796720351494</v>
      </c>
      <c r="BF19" s="278"/>
      <c r="BG19" s="278" t="s">
        <v>112</v>
      </c>
      <c r="BH19" s="278" t="s">
        <v>94</v>
      </c>
    </row>
    <row r="20" ht="23" customHeight="1" spans="1:60">
      <c r="A20" s="285" t="s">
        <v>113</v>
      </c>
      <c r="B20" s="286" t="s">
        <v>114</v>
      </c>
      <c r="C20" s="243">
        <v>477</v>
      </c>
      <c r="D20" s="244">
        <v>448</v>
      </c>
      <c r="E20" s="245">
        <v>11520.55</v>
      </c>
      <c r="F20" s="246"/>
      <c r="G20" s="246"/>
      <c r="H20" s="247"/>
      <c r="I20" s="247"/>
      <c r="J20" s="276">
        <v>28</v>
      </c>
      <c r="K20" s="249">
        <f t="shared" si="0"/>
        <v>0.0587002096436059</v>
      </c>
      <c r="L20" s="250">
        <v>581.9</v>
      </c>
      <c r="M20" s="251">
        <f t="shared" si="1"/>
        <v>0.258575197889182</v>
      </c>
      <c r="N20" s="249">
        <f t="shared" si="2"/>
        <v>0.254901960784314</v>
      </c>
      <c r="O20" s="249">
        <f t="shared" si="3"/>
        <v>0.256671658934651</v>
      </c>
      <c r="P20" s="252">
        <f t="shared" si="4"/>
        <v>1.06473214285714</v>
      </c>
      <c r="Q20" s="281">
        <f t="shared" si="5"/>
        <v>25.7155133928571</v>
      </c>
      <c r="R20" s="281">
        <f t="shared" si="6"/>
        <v>24.1520964360587</v>
      </c>
      <c r="S20" s="281">
        <f t="shared" si="7"/>
        <v>68.1428571428571</v>
      </c>
      <c r="T20" s="254">
        <f t="shared" si="8"/>
        <v>203</v>
      </c>
      <c r="U20" s="255">
        <f t="shared" si="9"/>
        <v>0.453125</v>
      </c>
      <c r="V20" s="256">
        <f t="shared" si="10"/>
        <v>0.218710912239433</v>
      </c>
      <c r="W20" s="244">
        <v>255819</v>
      </c>
      <c r="X20" s="244">
        <v>2600</v>
      </c>
      <c r="Y20" s="244">
        <v>245</v>
      </c>
      <c r="Z20" s="257">
        <v>2519.67</v>
      </c>
      <c r="AA20" s="277">
        <v>6351.18</v>
      </c>
      <c r="AB20" s="244">
        <v>0.97</v>
      </c>
      <c r="AC20" s="259">
        <f t="shared" si="11"/>
        <v>0.396724703126033</v>
      </c>
      <c r="AD20" s="260">
        <f t="shared" ref="AD20:AF20" si="39">X20/W20</f>
        <v>0.0101634358667652</v>
      </c>
      <c r="AE20" s="260">
        <f t="shared" si="39"/>
        <v>0.0942307692307692</v>
      </c>
      <c r="AF20" s="253">
        <f t="shared" si="39"/>
        <v>10.2843673469388</v>
      </c>
      <c r="AG20" s="261">
        <v>139</v>
      </c>
      <c r="AH20" s="254">
        <v>239</v>
      </c>
      <c r="AI20" s="262">
        <v>99</v>
      </c>
      <c r="AJ20" s="263">
        <f>AG20*产品成本!$D$2+AH20*产品成本!$D$3+AI20*产品成本!$D$4</f>
        <v>1126.2676056338</v>
      </c>
      <c r="AK20" s="263">
        <f>AG20*产品成本!$E$2+AH20*产品成本!$E$3+AI20*产品成本!$E$4</f>
        <v>90.9982225352111</v>
      </c>
      <c r="AL20" s="263">
        <f>AG20*产品成本!$F$2+AH20*产品成本!$F$3+AI20*产品成本!$F$4</f>
        <v>162.18</v>
      </c>
      <c r="AM20" s="263">
        <f>AG20*产品成本!$G$2+AH20*产品成本!$G$3+AI20*产品成本!$G$4</f>
        <v>1831.11</v>
      </c>
      <c r="AN20" s="263">
        <f t="shared" si="13"/>
        <v>1728.0825</v>
      </c>
      <c r="AO20" s="264">
        <f t="shared" si="14"/>
        <v>4938.63832816901</v>
      </c>
      <c r="AP20" s="265">
        <v>8</v>
      </c>
      <c r="AQ20" s="265">
        <v>15</v>
      </c>
      <c r="AR20" s="266">
        <v>5</v>
      </c>
      <c r="AS20" s="267">
        <f t="shared" si="15"/>
        <v>661.25</v>
      </c>
      <c r="AT20" s="267">
        <f>AP20*产品成本!$D$2+AQ20*产品成本!$D$3+AR20*产品成本!$D$4</f>
        <v>65.1408450704226</v>
      </c>
      <c r="AU20" s="271">
        <f>AP20*产品成本!$E$2+AQ20*产品成本!$E$3+AR20*产品成本!$E$4</f>
        <v>5.33070845070422</v>
      </c>
      <c r="AV20" s="270">
        <f>AP20*产品成本!$F$2+AQ20*产品成本!$F$3+AR20*产品成本!$F$4</f>
        <v>9.52</v>
      </c>
      <c r="AW20" s="269"/>
      <c r="AX20" s="270">
        <f t="shared" si="16"/>
        <v>99.1875</v>
      </c>
      <c r="AY20" s="269">
        <f t="shared" si="17"/>
        <v>-19.8375</v>
      </c>
      <c r="AZ20" s="271">
        <f t="shared" si="18"/>
        <v>159.341553521127</v>
      </c>
      <c r="BA20" s="272">
        <f t="shared" si="19"/>
        <v>4779.29677464789</v>
      </c>
      <c r="BB20" s="272">
        <f t="shared" si="20"/>
        <v>11520.55</v>
      </c>
      <c r="BC20" s="272">
        <f t="shared" si="21"/>
        <v>10859.3</v>
      </c>
      <c r="BD20" s="273">
        <f t="shared" si="22"/>
        <v>3560.33322535211</v>
      </c>
      <c r="BE20" s="274">
        <f t="shared" si="23"/>
        <v>0.327860287988371</v>
      </c>
      <c r="BF20" s="280"/>
      <c r="BG20" s="280"/>
      <c r="BH20" s="280" t="s">
        <v>94</v>
      </c>
    </row>
    <row r="21" ht="23" customHeight="1" spans="1:60">
      <c r="A21" s="285" t="s">
        <v>115</v>
      </c>
      <c r="B21" s="286" t="s">
        <v>116</v>
      </c>
      <c r="C21" s="243">
        <v>350</v>
      </c>
      <c r="D21" s="244">
        <v>338</v>
      </c>
      <c r="E21" s="245">
        <v>8390.83</v>
      </c>
      <c r="F21" s="246"/>
      <c r="G21" s="246"/>
      <c r="H21" s="247"/>
      <c r="I21" s="247"/>
      <c r="J21" s="276">
        <v>29</v>
      </c>
      <c r="K21" s="249">
        <f t="shared" si="0"/>
        <v>0.0828571428571429</v>
      </c>
      <c r="L21" s="250">
        <v>604.6</v>
      </c>
      <c r="M21" s="251">
        <f t="shared" si="1"/>
        <v>-0.266247379454927</v>
      </c>
      <c r="N21" s="249">
        <f t="shared" si="2"/>
        <v>-0.245535714285714</v>
      </c>
      <c r="O21" s="249">
        <f t="shared" si="3"/>
        <v>-0.271664113258482</v>
      </c>
      <c r="P21" s="252">
        <f t="shared" si="4"/>
        <v>1.03550295857988</v>
      </c>
      <c r="Q21" s="281">
        <f t="shared" si="5"/>
        <v>24.8249408284024</v>
      </c>
      <c r="R21" s="281">
        <f t="shared" si="6"/>
        <v>23.9738</v>
      </c>
      <c r="S21" s="281">
        <f t="shared" si="7"/>
        <v>50</v>
      </c>
      <c r="T21" s="254">
        <f t="shared" si="8"/>
        <v>123</v>
      </c>
      <c r="U21" s="255">
        <f t="shared" si="9"/>
        <v>0.363905325443787</v>
      </c>
      <c r="V21" s="256">
        <f t="shared" si="10"/>
        <v>0.307696616425312</v>
      </c>
      <c r="W21" s="244">
        <v>261831</v>
      </c>
      <c r="X21" s="244">
        <v>2520</v>
      </c>
      <c r="Y21" s="244">
        <v>215</v>
      </c>
      <c r="Z21" s="257">
        <v>2581.83</v>
      </c>
      <c r="AA21" s="277">
        <v>5283.21</v>
      </c>
      <c r="AB21" s="244">
        <v>1.02</v>
      </c>
      <c r="AC21" s="259">
        <f t="shared" si="11"/>
        <v>0.488685855758147</v>
      </c>
      <c r="AD21" s="260">
        <f t="shared" ref="AD21:AF21" si="40">X21/W21</f>
        <v>0.00962452879911088</v>
      </c>
      <c r="AE21" s="260">
        <f t="shared" si="40"/>
        <v>0.0853174603174603</v>
      </c>
      <c r="AF21" s="253">
        <f t="shared" si="40"/>
        <v>12.008511627907</v>
      </c>
      <c r="AG21" s="261">
        <v>99</v>
      </c>
      <c r="AH21" s="254">
        <v>207</v>
      </c>
      <c r="AI21" s="262">
        <v>44</v>
      </c>
      <c r="AJ21" s="263">
        <f>AG21*产品成本!$D$2+AH21*产品成本!$D$3+AI21*产品成本!$D$4</f>
        <v>792.112676056339</v>
      </c>
      <c r="AK21" s="263">
        <f>AG21*产品成本!$E$2+AH21*产品成本!$E$3+AI21*产品成本!$E$4</f>
        <v>66.3346563380281</v>
      </c>
      <c r="AL21" s="263">
        <f>AG21*产品成本!$F$2+AH21*产品成本!$F$3+AI21*产品成本!$F$4</f>
        <v>119</v>
      </c>
      <c r="AM21" s="263">
        <f>AG21*产品成本!$G$2+AH21*产品成本!$G$3+AI21*产品成本!$G$4</f>
        <v>1344.21</v>
      </c>
      <c r="AN21" s="263">
        <f t="shared" si="13"/>
        <v>1258.6245</v>
      </c>
      <c r="AO21" s="264">
        <f t="shared" si="14"/>
        <v>3580.28183239437</v>
      </c>
      <c r="AP21" s="265">
        <v>9</v>
      </c>
      <c r="AQ21" s="265">
        <v>15</v>
      </c>
      <c r="AR21" s="266">
        <v>5</v>
      </c>
      <c r="AS21" s="267">
        <f t="shared" si="15"/>
        <v>687.045454545455</v>
      </c>
      <c r="AT21" s="267">
        <f>AP21*产品成本!$D$2+AQ21*产品成本!$D$3+AR21*产品成本!$D$4</f>
        <v>67.2535211267606</v>
      </c>
      <c r="AU21" s="271">
        <f>AP21*产品成本!$E$2+AQ21*产品成本!$E$3+AR21*产品成本!$E$4</f>
        <v>5.50431549295774</v>
      </c>
      <c r="AV21" s="270">
        <f>AP21*产品成本!$F$2+AQ21*产品成本!$F$3+AR21*产品成本!$F$4</f>
        <v>9.86</v>
      </c>
      <c r="AW21" s="269"/>
      <c r="AX21" s="270">
        <f t="shared" si="16"/>
        <v>103.056818181818</v>
      </c>
      <c r="AY21" s="269">
        <f t="shared" si="17"/>
        <v>-20.6113636363636</v>
      </c>
      <c r="AZ21" s="271">
        <f t="shared" si="18"/>
        <v>165.063291165173</v>
      </c>
      <c r="BA21" s="272">
        <f t="shared" si="19"/>
        <v>3415.21854122919</v>
      </c>
      <c r="BB21" s="272">
        <f t="shared" si="20"/>
        <v>8390.83</v>
      </c>
      <c r="BC21" s="272">
        <f t="shared" si="21"/>
        <v>7703.78454545454</v>
      </c>
      <c r="BD21" s="273">
        <f t="shared" si="22"/>
        <v>1706.73600422535</v>
      </c>
      <c r="BE21" s="274">
        <f t="shared" si="23"/>
        <v>0.221545137218612</v>
      </c>
      <c r="BF21" s="284"/>
      <c r="BG21" s="284" t="s">
        <v>117</v>
      </c>
      <c r="BH21" s="278" t="s">
        <v>94</v>
      </c>
    </row>
    <row r="22" ht="23" customHeight="1" spans="1:60">
      <c r="A22" s="285" t="s">
        <v>118</v>
      </c>
      <c r="B22" s="286" t="s">
        <v>119</v>
      </c>
      <c r="C22" s="243">
        <v>390</v>
      </c>
      <c r="D22" s="244">
        <v>376</v>
      </c>
      <c r="E22" s="245">
        <v>9380.31</v>
      </c>
      <c r="F22" s="246"/>
      <c r="G22" s="246"/>
      <c r="H22" s="247"/>
      <c r="I22" s="247"/>
      <c r="J22" s="276">
        <v>24</v>
      </c>
      <c r="K22" s="249">
        <f t="shared" si="0"/>
        <v>0.0615384615384615</v>
      </c>
      <c r="L22" s="250">
        <v>496.01</v>
      </c>
      <c r="M22" s="251">
        <f t="shared" si="1"/>
        <v>0.114285714285714</v>
      </c>
      <c r="N22" s="249">
        <f t="shared" si="2"/>
        <v>0.112426035502959</v>
      </c>
      <c r="O22" s="249">
        <f t="shared" si="3"/>
        <v>0.117923971764414</v>
      </c>
      <c r="P22" s="252">
        <f t="shared" si="4"/>
        <v>1.03723404255319</v>
      </c>
      <c r="Q22" s="281">
        <f t="shared" si="5"/>
        <v>24.9476329787234</v>
      </c>
      <c r="R22" s="281">
        <f t="shared" si="6"/>
        <v>24.0520769230769</v>
      </c>
      <c r="S22" s="281">
        <f t="shared" si="7"/>
        <v>55.7142857142857</v>
      </c>
      <c r="T22" s="254">
        <f t="shared" si="8"/>
        <v>111</v>
      </c>
      <c r="U22" s="255">
        <f t="shared" si="9"/>
        <v>0.295212765957447</v>
      </c>
      <c r="V22" s="256">
        <f t="shared" si="10"/>
        <v>0.315175084831951</v>
      </c>
      <c r="W22" s="244">
        <v>263574</v>
      </c>
      <c r="X22" s="244">
        <v>2836</v>
      </c>
      <c r="Y22" s="244">
        <v>265</v>
      </c>
      <c r="Z22" s="257">
        <v>2956.44</v>
      </c>
      <c r="AA22" s="277">
        <v>6504.79</v>
      </c>
      <c r="AB22" s="244">
        <v>1.04</v>
      </c>
      <c r="AC22" s="259">
        <f t="shared" si="11"/>
        <v>0.454501990071932</v>
      </c>
      <c r="AD22" s="260">
        <f t="shared" ref="AD22:AF22" si="41">X22/W22</f>
        <v>0.0107597866253879</v>
      </c>
      <c r="AE22" s="260">
        <f t="shared" si="41"/>
        <v>0.093441466854725</v>
      </c>
      <c r="AF22" s="253">
        <f t="shared" si="41"/>
        <v>11.1563773584906</v>
      </c>
      <c r="AG22" s="261">
        <v>121</v>
      </c>
      <c r="AH22" s="254">
        <v>220</v>
      </c>
      <c r="AI22" s="262">
        <v>49</v>
      </c>
      <c r="AJ22" s="263">
        <f>AG22*产品成本!$D$2+AH22*产品成本!$D$3+AI22*产品成本!$D$4</f>
        <v>882.605633802818</v>
      </c>
      <c r="AK22" s="263">
        <f>AG22*产品成本!$E$2+AH22*产品成本!$E$3+AI22*产品成本!$E$4</f>
        <v>73.7102830985914</v>
      </c>
      <c r="AL22" s="263">
        <f>AG22*产品成本!$F$2+AH22*产品成本!$F$3+AI22*产品成本!$F$4</f>
        <v>132.6</v>
      </c>
      <c r="AM22" s="263">
        <f>AG22*产品成本!$G$2+AH22*产品成本!$G$3+AI22*产品成本!$G$4</f>
        <v>1495.59</v>
      </c>
      <c r="AN22" s="263">
        <f t="shared" si="13"/>
        <v>1407.0465</v>
      </c>
      <c r="AO22" s="264">
        <f t="shared" si="14"/>
        <v>3991.55241690141</v>
      </c>
      <c r="AP22" s="265">
        <v>9</v>
      </c>
      <c r="AQ22" s="265">
        <v>12</v>
      </c>
      <c r="AR22" s="266">
        <v>3</v>
      </c>
      <c r="AS22" s="267">
        <f t="shared" si="15"/>
        <v>563.647727272727</v>
      </c>
      <c r="AT22" s="267">
        <f>AP22*产品成本!$D$2+AQ22*产品成本!$D$3+AR22*产品成本!$D$4</f>
        <v>54.2957746478874</v>
      </c>
      <c r="AU22" s="271">
        <f>AP22*产品成本!$E$2+AQ22*产品成本!$E$3+AR22*产品成本!$E$4</f>
        <v>4.50594507042253</v>
      </c>
      <c r="AV22" s="270">
        <f>AP22*产品成本!$F$2+AQ22*产品成本!$F$3+AR22*产品成本!$F$4</f>
        <v>8.16</v>
      </c>
      <c r="AW22" s="269"/>
      <c r="AX22" s="270">
        <f t="shared" si="16"/>
        <v>84.5471590909091</v>
      </c>
      <c r="AY22" s="269">
        <f t="shared" si="17"/>
        <v>-16.9094318181818</v>
      </c>
      <c r="AZ22" s="271">
        <f t="shared" si="18"/>
        <v>134.599446991037</v>
      </c>
      <c r="BA22" s="272">
        <f t="shared" si="19"/>
        <v>3856.95296991037</v>
      </c>
      <c r="BB22" s="272">
        <f t="shared" si="20"/>
        <v>9380.31</v>
      </c>
      <c r="BC22" s="272">
        <f t="shared" si="21"/>
        <v>8816.66227272727</v>
      </c>
      <c r="BD22" s="273">
        <f t="shared" si="22"/>
        <v>2003.2693028169</v>
      </c>
      <c r="BE22" s="274">
        <f t="shared" si="23"/>
        <v>0.227214022818323</v>
      </c>
      <c r="BF22" s="283"/>
      <c r="BG22" s="283" t="s">
        <v>120</v>
      </c>
      <c r="BH22" s="280" t="s">
        <v>94</v>
      </c>
    </row>
    <row r="23" ht="23" customHeight="1" spans="1:60">
      <c r="A23" s="285" t="s">
        <v>121</v>
      </c>
      <c r="B23" s="286" t="s">
        <v>122</v>
      </c>
      <c r="C23" s="243">
        <v>401</v>
      </c>
      <c r="D23" s="244">
        <v>382</v>
      </c>
      <c r="E23" s="245">
        <v>9704.49</v>
      </c>
      <c r="F23" s="246"/>
      <c r="G23" s="246"/>
      <c r="H23" s="247"/>
      <c r="I23" s="247"/>
      <c r="J23" s="276">
        <v>28</v>
      </c>
      <c r="K23" s="249">
        <f t="shared" si="0"/>
        <v>0.0698254364089776</v>
      </c>
      <c r="L23" s="250">
        <v>594.58</v>
      </c>
      <c r="M23" s="251">
        <f t="shared" si="1"/>
        <v>0.0282051282051282</v>
      </c>
      <c r="N23" s="249">
        <f t="shared" si="2"/>
        <v>0.0159574468085106</v>
      </c>
      <c r="O23" s="249">
        <f t="shared" si="3"/>
        <v>0.0345596254281575</v>
      </c>
      <c r="P23" s="252">
        <f t="shared" si="4"/>
        <v>1.04973821989529</v>
      </c>
      <c r="Q23" s="281">
        <f t="shared" si="5"/>
        <v>25.4044240837696</v>
      </c>
      <c r="R23" s="281">
        <f t="shared" si="6"/>
        <v>24.20072319202</v>
      </c>
      <c r="S23" s="281">
        <f t="shared" si="7"/>
        <v>57.2857142857143</v>
      </c>
      <c r="T23" s="254">
        <f t="shared" si="8"/>
        <v>128</v>
      </c>
      <c r="U23" s="255">
        <f t="shared" si="9"/>
        <v>0.335078534031414</v>
      </c>
      <c r="V23" s="256">
        <f t="shared" si="10"/>
        <v>0.286759015672127</v>
      </c>
      <c r="W23" s="244">
        <v>278481</v>
      </c>
      <c r="X23" s="244">
        <v>2758</v>
      </c>
      <c r="Y23" s="244">
        <v>254</v>
      </c>
      <c r="Z23" s="257">
        <v>2782.85</v>
      </c>
      <c r="AA23" s="277">
        <v>6199.12</v>
      </c>
      <c r="AB23" s="244">
        <v>1.01</v>
      </c>
      <c r="AC23" s="259">
        <f t="shared" si="11"/>
        <v>0.448910490521235</v>
      </c>
      <c r="AD23" s="260">
        <f t="shared" ref="AD23:AF23" si="42">X23/W23</f>
        <v>0.00990372772289671</v>
      </c>
      <c r="AE23" s="260">
        <f t="shared" si="42"/>
        <v>0.0920957215373459</v>
      </c>
      <c r="AF23" s="253">
        <f t="shared" si="42"/>
        <v>10.9561023622047</v>
      </c>
      <c r="AG23" s="261">
        <v>106</v>
      </c>
      <c r="AH23" s="254">
        <v>264</v>
      </c>
      <c r="AI23" s="262">
        <v>31</v>
      </c>
      <c r="AJ23" s="263">
        <f>AG23*产品成本!$D$2+AH23*产品成本!$D$3+AI23*产品成本!$D$4</f>
        <v>884.295774647888</v>
      </c>
      <c r="AK23" s="263">
        <f>AG23*产品成本!$E$2+AH23*产品成本!$E$3+AI23*产品成本!$E$4</f>
        <v>75.8089436619717</v>
      </c>
      <c r="AL23" s="263">
        <f>AG23*产品成本!$F$2+AH23*产品成本!$F$3+AI23*产品成本!$F$4</f>
        <v>136.34</v>
      </c>
      <c r="AM23" s="263">
        <f>AG23*产品成本!$G$2+AH23*产品成本!$G$3+AI23*产品成本!$G$4</f>
        <v>1541.64</v>
      </c>
      <c r="AN23" s="263">
        <f t="shared" si="13"/>
        <v>1455.6735</v>
      </c>
      <c r="AO23" s="264">
        <f t="shared" si="14"/>
        <v>4093.75821830986</v>
      </c>
      <c r="AP23" s="265">
        <v>8</v>
      </c>
      <c r="AQ23" s="265">
        <v>16</v>
      </c>
      <c r="AR23" s="266">
        <v>4</v>
      </c>
      <c r="AS23" s="267">
        <f t="shared" si="15"/>
        <v>675.659090909091</v>
      </c>
      <c r="AT23" s="267">
        <f>AP23*产品成本!$D$2+AQ23*产品成本!$D$3+AR23*产品成本!$D$4</f>
        <v>63.943661971831</v>
      </c>
      <c r="AU23" s="271">
        <f>AP23*产品成本!$E$2+AQ23*产品成本!$E$3+AR23*产品成本!$E$4</f>
        <v>5.31349859154929</v>
      </c>
      <c r="AV23" s="270">
        <f>AP23*产品成本!$F$2+AQ23*产品成本!$F$3+AR23*产品成本!$F$4</f>
        <v>9.52</v>
      </c>
      <c r="AW23" s="269"/>
      <c r="AX23" s="270">
        <f t="shared" si="16"/>
        <v>101.348863636364</v>
      </c>
      <c r="AY23" s="269">
        <f t="shared" si="17"/>
        <v>-20.2697727272727</v>
      </c>
      <c r="AZ23" s="271">
        <f t="shared" si="18"/>
        <v>159.856251472471</v>
      </c>
      <c r="BA23" s="272">
        <f t="shared" si="19"/>
        <v>3933.90196683739</v>
      </c>
      <c r="BB23" s="272">
        <f t="shared" si="20"/>
        <v>9704.49</v>
      </c>
      <c r="BC23" s="272">
        <f t="shared" si="21"/>
        <v>9028.83090909091</v>
      </c>
      <c r="BD23" s="273">
        <f t="shared" si="22"/>
        <v>2312.07894225352</v>
      </c>
      <c r="BE23" s="274">
        <f t="shared" si="23"/>
        <v>0.256077333326239</v>
      </c>
      <c r="BF23" s="284"/>
      <c r="BG23" s="284" t="s">
        <v>123</v>
      </c>
      <c r="BH23" s="278" t="s">
        <v>94</v>
      </c>
    </row>
    <row r="24" ht="23" customHeight="1" spans="1:60">
      <c r="A24" s="285" t="s">
        <v>124</v>
      </c>
      <c r="B24" s="286" t="s">
        <v>125</v>
      </c>
      <c r="C24" s="243">
        <v>464</v>
      </c>
      <c r="D24" s="244">
        <v>441</v>
      </c>
      <c r="E24" s="245">
        <v>9746.86</v>
      </c>
      <c r="F24" s="246"/>
      <c r="G24" s="246"/>
      <c r="H24" s="247"/>
      <c r="I24" s="247"/>
      <c r="J24" s="276">
        <v>24</v>
      </c>
      <c r="K24" s="249">
        <f t="shared" si="0"/>
        <v>0.0517241379310345</v>
      </c>
      <c r="L24" s="250">
        <v>493.76</v>
      </c>
      <c r="M24" s="251">
        <f t="shared" si="1"/>
        <v>0.1571072319202</v>
      </c>
      <c r="N24" s="249">
        <f t="shared" si="2"/>
        <v>0.154450261780105</v>
      </c>
      <c r="O24" s="249">
        <f t="shared" si="3"/>
        <v>0.00436602026484656</v>
      </c>
      <c r="P24" s="252">
        <f t="shared" si="4"/>
        <v>1.05215419501134</v>
      </c>
      <c r="Q24" s="281">
        <f t="shared" si="5"/>
        <v>22.1017233560091</v>
      </c>
      <c r="R24" s="281">
        <f t="shared" si="6"/>
        <v>21.0061637931035</v>
      </c>
      <c r="S24" s="281">
        <f t="shared" si="7"/>
        <v>66.2857142857143</v>
      </c>
      <c r="T24" s="254">
        <f t="shared" si="8"/>
        <v>164</v>
      </c>
      <c r="U24" s="255">
        <f t="shared" si="9"/>
        <v>0.3718820861678</v>
      </c>
      <c r="V24" s="256">
        <f t="shared" si="10"/>
        <v>0.305368087773909</v>
      </c>
      <c r="W24" s="244">
        <v>236690</v>
      </c>
      <c r="X24" s="244">
        <v>2806</v>
      </c>
      <c r="Y24" s="244">
        <v>277</v>
      </c>
      <c r="Z24" s="257">
        <v>2976.38</v>
      </c>
      <c r="AA24" s="277">
        <v>6103.54</v>
      </c>
      <c r="AB24" s="244">
        <v>1.06</v>
      </c>
      <c r="AC24" s="259">
        <f t="shared" si="11"/>
        <v>0.487648151728341</v>
      </c>
      <c r="AD24" s="260">
        <f t="shared" ref="AD24:AF24" si="43">X24/W24</f>
        <v>0.0118551692086696</v>
      </c>
      <c r="AE24" s="260">
        <f t="shared" si="43"/>
        <v>0.0987170349251604</v>
      </c>
      <c r="AF24" s="253">
        <f t="shared" si="43"/>
        <v>10.7450541516245</v>
      </c>
      <c r="AG24" s="261">
        <v>151</v>
      </c>
      <c r="AH24" s="254">
        <v>257</v>
      </c>
      <c r="AI24" s="262">
        <v>56</v>
      </c>
      <c r="AJ24" s="263">
        <f>AG24*产品成本!$D$2+AH24*产品成本!$D$3+AI24*产品成本!$D$4</f>
        <v>1047.32394366197</v>
      </c>
      <c r="AK24" s="263">
        <f>AG24*产品成本!$E$2+AH24*产品成本!$E$3+AI24*产品成本!$E$4</f>
        <v>87.5217295774647</v>
      </c>
      <c r="AL24" s="263">
        <f>AG24*产品成本!$F$2+AH24*产品成本!$F$3+AI24*产品成本!$F$4</f>
        <v>157.76</v>
      </c>
      <c r="AM24" s="263">
        <f>AG24*产品成本!$G$2+AH24*产品成本!$G$3+AI24*产品成本!$G$4</f>
        <v>1777.89</v>
      </c>
      <c r="AN24" s="263">
        <f t="shared" si="13"/>
        <v>1462.029</v>
      </c>
      <c r="AO24" s="264">
        <f t="shared" si="14"/>
        <v>4532.52467323944</v>
      </c>
      <c r="AP24" s="265">
        <v>8</v>
      </c>
      <c r="AQ24" s="265">
        <v>14</v>
      </c>
      <c r="AR24" s="266">
        <v>2</v>
      </c>
      <c r="AS24" s="267">
        <f t="shared" si="15"/>
        <v>561.090909090909</v>
      </c>
      <c r="AT24" s="267">
        <f>AP24*产品成本!$D$2+AQ24*产品成本!$D$3+AR24*产品成本!$D$4</f>
        <v>53.0985915492958</v>
      </c>
      <c r="AU24" s="271">
        <f>AP24*产品成本!$E$2+AQ24*产品成本!$E$3+AR24*产品成本!$E$4</f>
        <v>4.50791830985915</v>
      </c>
      <c r="AV24" s="270">
        <f>AP24*产品成本!$F$2+AQ24*产品成本!$F$3+AR24*产品成本!$F$4</f>
        <v>8.16</v>
      </c>
      <c r="AW24" s="269"/>
      <c r="AX24" s="270">
        <f t="shared" si="16"/>
        <v>84.1636363636364</v>
      </c>
      <c r="AY24" s="269">
        <f t="shared" si="17"/>
        <v>-16.8327272727273</v>
      </c>
      <c r="AZ24" s="271">
        <f t="shared" si="18"/>
        <v>133.097418950064</v>
      </c>
      <c r="BA24" s="272">
        <f t="shared" si="19"/>
        <v>4399.42725428937</v>
      </c>
      <c r="BB24" s="272">
        <f t="shared" si="20"/>
        <v>9746.86</v>
      </c>
      <c r="BC24" s="272">
        <f t="shared" si="21"/>
        <v>9185.76909090909</v>
      </c>
      <c r="BD24" s="273">
        <f t="shared" si="22"/>
        <v>1809.96183661972</v>
      </c>
      <c r="BE24" s="274">
        <f t="shared" si="23"/>
        <v>0.19703977083541</v>
      </c>
      <c r="BF24" s="280"/>
      <c r="BG24" s="280" t="s">
        <v>126</v>
      </c>
      <c r="BH24" s="280" t="s">
        <v>127</v>
      </c>
    </row>
    <row r="25" ht="23" customHeight="1" spans="1:60">
      <c r="A25" s="285" t="s">
        <v>128</v>
      </c>
      <c r="B25" s="286" t="s">
        <v>129</v>
      </c>
      <c r="C25" s="243">
        <v>486</v>
      </c>
      <c r="D25" s="244">
        <v>465</v>
      </c>
      <c r="E25" s="245">
        <v>11015.19</v>
      </c>
      <c r="F25" s="246"/>
      <c r="G25" s="246"/>
      <c r="H25" s="247"/>
      <c r="I25" s="247"/>
      <c r="J25" s="276">
        <v>31</v>
      </c>
      <c r="K25" s="249">
        <f t="shared" si="0"/>
        <v>0.0637860082304527</v>
      </c>
      <c r="L25" s="250">
        <v>630.36</v>
      </c>
      <c r="M25" s="251">
        <f t="shared" si="1"/>
        <v>0.0474137931034483</v>
      </c>
      <c r="N25" s="249">
        <f t="shared" si="2"/>
        <v>0.054421768707483</v>
      </c>
      <c r="O25" s="249">
        <f t="shared" si="3"/>
        <v>0.130127035783832</v>
      </c>
      <c r="P25" s="252">
        <f t="shared" si="4"/>
        <v>1.04516129032258</v>
      </c>
      <c r="Q25" s="281">
        <f t="shared" si="5"/>
        <v>23.6885806451613</v>
      </c>
      <c r="R25" s="281">
        <f t="shared" si="6"/>
        <v>22.665</v>
      </c>
      <c r="S25" s="281">
        <f t="shared" si="7"/>
        <v>69.4285714285714</v>
      </c>
      <c r="T25" s="254">
        <f t="shared" si="8"/>
        <v>154</v>
      </c>
      <c r="U25" s="255">
        <f t="shared" si="9"/>
        <v>0.331182795698925</v>
      </c>
      <c r="V25" s="256">
        <f t="shared" si="10"/>
        <v>0.283745446061303</v>
      </c>
      <c r="W25" s="244">
        <v>303852</v>
      </c>
      <c r="X25" s="244">
        <v>2994</v>
      </c>
      <c r="Y25" s="244">
        <v>311</v>
      </c>
      <c r="Z25" s="257">
        <v>3125.51</v>
      </c>
      <c r="AA25" s="277">
        <v>7326.12</v>
      </c>
      <c r="AB25" s="244">
        <v>1.04</v>
      </c>
      <c r="AC25" s="259">
        <f t="shared" si="11"/>
        <v>0.426625553498987</v>
      </c>
      <c r="AD25" s="260">
        <f t="shared" ref="AD25:AF25" si="44">X25/W25</f>
        <v>0.00985348130010663</v>
      </c>
      <c r="AE25" s="260">
        <f t="shared" si="44"/>
        <v>0.103874415497662</v>
      </c>
      <c r="AF25" s="253">
        <f t="shared" si="44"/>
        <v>10.0498713826367</v>
      </c>
      <c r="AG25" s="261">
        <v>164</v>
      </c>
      <c r="AH25" s="254">
        <v>249</v>
      </c>
      <c r="AI25" s="262">
        <v>73</v>
      </c>
      <c r="AJ25" s="263">
        <f>AG25*产品成本!$D$2+AH25*产品成本!$D$3+AI25*产品成本!$D$4</f>
        <v>1114.15492957747</v>
      </c>
      <c r="AK25" s="263">
        <f>AG25*产品成本!$E$2+AH25*产品成本!$E$3+AI25*产品成本!$E$4</f>
        <v>91.8062999999999</v>
      </c>
      <c r="AL25" s="263">
        <f>AG25*产品成本!$F$2+AH25*产品成本!$F$3+AI25*产品成本!$F$4</f>
        <v>165.24</v>
      </c>
      <c r="AM25" s="263">
        <f>AG25*产品成本!$G$2+AH25*产品成本!$G$3+AI25*产品成本!$G$4</f>
        <v>1860.96</v>
      </c>
      <c r="AN25" s="263">
        <f t="shared" si="13"/>
        <v>1652.2785</v>
      </c>
      <c r="AO25" s="264">
        <f t="shared" si="14"/>
        <v>4884.43972957747</v>
      </c>
      <c r="AP25" s="265">
        <v>9</v>
      </c>
      <c r="AQ25" s="265">
        <v>19</v>
      </c>
      <c r="AR25" s="266">
        <v>3</v>
      </c>
      <c r="AS25" s="267">
        <f t="shared" si="15"/>
        <v>716.318181818182</v>
      </c>
      <c r="AT25" s="267">
        <f>AP25*产品成本!$D$2+AQ25*产品成本!$D$3+AR25*产品成本!$D$4</f>
        <v>69.0845070422536</v>
      </c>
      <c r="AU25" s="271">
        <f>AP25*产品成本!$E$2+AQ25*产品成本!$E$3+AR25*产品成本!$E$4</f>
        <v>5.85547605633802</v>
      </c>
      <c r="AV25" s="270">
        <f>AP25*产品成本!$F$2+AQ25*产品成本!$F$3+AR25*产品成本!$F$4</f>
        <v>10.54</v>
      </c>
      <c r="AW25" s="269"/>
      <c r="AX25" s="270">
        <f t="shared" si="16"/>
        <v>107.447727272727</v>
      </c>
      <c r="AY25" s="269">
        <f t="shared" si="17"/>
        <v>-21.4895454545455</v>
      </c>
      <c r="AZ25" s="271">
        <f t="shared" si="18"/>
        <v>171.438164916773</v>
      </c>
      <c r="BA25" s="272">
        <f t="shared" si="19"/>
        <v>4713.00156466069</v>
      </c>
      <c r="BB25" s="272">
        <f t="shared" si="20"/>
        <v>11015.19</v>
      </c>
      <c r="BC25" s="272">
        <f t="shared" si="21"/>
        <v>10298.8718181818</v>
      </c>
      <c r="BD25" s="273">
        <f t="shared" si="22"/>
        <v>2460.36025352113</v>
      </c>
      <c r="BE25" s="274">
        <f t="shared" si="23"/>
        <v>0.238896094344777</v>
      </c>
      <c r="BF25" s="278"/>
      <c r="BG25" s="278"/>
      <c r="BH25" s="278" t="s">
        <v>94</v>
      </c>
    </row>
    <row r="26" ht="23" customHeight="1" spans="1:60">
      <c r="A26" s="285" t="s">
        <v>130</v>
      </c>
      <c r="B26" s="286" t="s">
        <v>131</v>
      </c>
      <c r="C26" s="243">
        <v>416</v>
      </c>
      <c r="D26" s="244">
        <v>391</v>
      </c>
      <c r="E26" s="245">
        <v>10020.4</v>
      </c>
      <c r="F26" s="246"/>
      <c r="G26" s="246"/>
      <c r="H26" s="247"/>
      <c r="I26" s="247"/>
      <c r="J26" s="276">
        <v>23</v>
      </c>
      <c r="K26" s="249">
        <f t="shared" si="0"/>
        <v>0.0552884615384615</v>
      </c>
      <c r="L26" s="250">
        <v>472.65</v>
      </c>
      <c r="M26" s="251">
        <f t="shared" si="1"/>
        <v>-0.1440329218107</v>
      </c>
      <c r="N26" s="249">
        <f t="shared" si="2"/>
        <v>-0.159139784946237</v>
      </c>
      <c r="O26" s="249">
        <f t="shared" si="3"/>
        <v>-0.090310743618585</v>
      </c>
      <c r="P26" s="252">
        <f t="shared" si="4"/>
        <v>1.06393861892583</v>
      </c>
      <c r="Q26" s="281">
        <f t="shared" si="5"/>
        <v>25.627621483376</v>
      </c>
      <c r="R26" s="281">
        <f t="shared" si="6"/>
        <v>24.0875</v>
      </c>
      <c r="S26" s="281">
        <f t="shared" si="7"/>
        <v>59.4285714285714</v>
      </c>
      <c r="T26" s="254">
        <f t="shared" si="8"/>
        <v>153</v>
      </c>
      <c r="U26" s="255">
        <f t="shared" si="9"/>
        <v>0.391304347826087</v>
      </c>
      <c r="V26" s="256">
        <f t="shared" si="10"/>
        <v>0.276367210889785</v>
      </c>
      <c r="W26" s="244">
        <v>258909</v>
      </c>
      <c r="X26" s="244">
        <v>2637</v>
      </c>
      <c r="Y26" s="244">
        <v>238</v>
      </c>
      <c r="Z26" s="257">
        <v>2769.31</v>
      </c>
      <c r="AA26" s="277">
        <v>5998.55</v>
      </c>
      <c r="AB26" s="244">
        <v>1.05</v>
      </c>
      <c r="AC26" s="259">
        <f t="shared" si="11"/>
        <v>0.46166323528186</v>
      </c>
      <c r="AD26" s="260">
        <f t="shared" ref="AD26:AF26" si="45">X26/W26</f>
        <v>0.0101850457110413</v>
      </c>
      <c r="AE26" s="260">
        <f t="shared" si="45"/>
        <v>0.0902540766021995</v>
      </c>
      <c r="AF26" s="253">
        <f t="shared" si="45"/>
        <v>11.635756302521</v>
      </c>
      <c r="AG26" s="261">
        <v>95</v>
      </c>
      <c r="AH26" s="254">
        <v>228</v>
      </c>
      <c r="AI26" s="262">
        <v>93</v>
      </c>
      <c r="AJ26" s="263">
        <f>AG26*产品成本!$D$2+AH26*产品成本!$D$3+AI26*产品成本!$D$4</f>
        <v>990.211267605635</v>
      </c>
      <c r="AK26" s="263">
        <f>AG26*产品成本!$E$2+AH26*产品成本!$E$3+AI26*产品成本!$E$4</f>
        <v>79.9788211267605</v>
      </c>
      <c r="AL26" s="263">
        <f>AG26*产品成本!$F$2+AH26*产品成本!$F$3+AI26*产品成本!$F$4</f>
        <v>141.44</v>
      </c>
      <c r="AM26" s="263">
        <f>AG26*产品成本!$G$2+AH26*产品成本!$G$3+AI26*产品成本!$G$4</f>
        <v>1602.45</v>
      </c>
      <c r="AN26" s="263">
        <f t="shared" si="13"/>
        <v>1503.06</v>
      </c>
      <c r="AO26" s="264">
        <f t="shared" si="14"/>
        <v>4317.1400887324</v>
      </c>
      <c r="AP26" s="265">
        <v>7</v>
      </c>
      <c r="AQ26" s="265">
        <v>14</v>
      </c>
      <c r="AR26" s="266">
        <v>2</v>
      </c>
      <c r="AS26" s="267">
        <f t="shared" si="15"/>
        <v>537.102272727273</v>
      </c>
      <c r="AT26" s="267">
        <f>AP26*产品成本!$D$2+AQ26*产品成本!$D$3+AR26*产品成本!$D$4</f>
        <v>50.9859154929578</v>
      </c>
      <c r="AU26" s="271">
        <f>AP26*产品成本!$E$2+AQ26*产品成本!$E$3+AR26*产品成本!$E$4</f>
        <v>4.33431126760563</v>
      </c>
      <c r="AV26" s="270">
        <f>AP26*产品成本!$F$2+AQ26*产品成本!$F$3+AR26*产品成本!$F$4</f>
        <v>7.82</v>
      </c>
      <c r="AW26" s="269"/>
      <c r="AX26" s="270">
        <f t="shared" si="16"/>
        <v>80.5653409090909</v>
      </c>
      <c r="AY26" s="269">
        <f t="shared" si="17"/>
        <v>-16.1130681818182</v>
      </c>
      <c r="AZ26" s="271">
        <f t="shared" si="18"/>
        <v>127.592499487836</v>
      </c>
      <c r="BA26" s="272">
        <f t="shared" si="19"/>
        <v>4189.54758924456</v>
      </c>
      <c r="BB26" s="272">
        <f t="shared" si="20"/>
        <v>10020.4</v>
      </c>
      <c r="BC26" s="272">
        <f t="shared" si="21"/>
        <v>9483.29772727273</v>
      </c>
      <c r="BD26" s="273">
        <f t="shared" si="22"/>
        <v>2524.44013802817</v>
      </c>
      <c r="BE26" s="274">
        <f t="shared" si="23"/>
        <v>0.266198553565202</v>
      </c>
      <c r="BF26" s="280"/>
      <c r="BG26" s="280" t="s">
        <v>132</v>
      </c>
      <c r="BH26" s="280" t="s">
        <v>94</v>
      </c>
    </row>
    <row r="27" ht="23" customHeight="1" spans="1:60">
      <c r="A27" s="285" t="s">
        <v>133</v>
      </c>
      <c r="B27" s="286" t="s">
        <v>134</v>
      </c>
      <c r="C27" s="243">
        <v>348</v>
      </c>
      <c r="D27" s="244">
        <v>338</v>
      </c>
      <c r="E27" s="245">
        <v>8556.44</v>
      </c>
      <c r="F27" s="246"/>
      <c r="G27" s="246"/>
      <c r="H27" s="247"/>
      <c r="I27" s="247"/>
      <c r="J27" s="276">
        <v>28</v>
      </c>
      <c r="K27" s="249">
        <f t="shared" si="0"/>
        <v>0.0804597701149425</v>
      </c>
      <c r="L27" s="250">
        <v>570.05</v>
      </c>
      <c r="M27" s="251">
        <f t="shared" si="1"/>
        <v>-0.163461538461538</v>
      </c>
      <c r="N27" s="249">
        <f t="shared" si="2"/>
        <v>-0.135549872122762</v>
      </c>
      <c r="O27" s="249">
        <f t="shared" si="3"/>
        <v>-0.146097960161271</v>
      </c>
      <c r="P27" s="252">
        <f t="shared" si="4"/>
        <v>1.02958579881657</v>
      </c>
      <c r="Q27" s="281">
        <f t="shared" si="5"/>
        <v>25.3149112426036</v>
      </c>
      <c r="R27" s="281">
        <f t="shared" si="6"/>
        <v>24.5874712643678</v>
      </c>
      <c r="S27" s="281">
        <f t="shared" si="7"/>
        <v>49.7142857142857</v>
      </c>
      <c r="T27" s="254">
        <f t="shared" si="8"/>
        <v>152</v>
      </c>
      <c r="U27" s="255">
        <f t="shared" si="9"/>
        <v>0.449704142011834</v>
      </c>
      <c r="V27" s="256">
        <f t="shared" si="10"/>
        <v>0.275415944014099</v>
      </c>
      <c r="W27" s="244">
        <v>235160</v>
      </c>
      <c r="X27" s="244">
        <v>2259</v>
      </c>
      <c r="Y27" s="244">
        <v>186</v>
      </c>
      <c r="Z27" s="257">
        <v>2356.58</v>
      </c>
      <c r="AA27" s="277">
        <v>4686.72</v>
      </c>
      <c r="AB27" s="244">
        <v>1.04</v>
      </c>
      <c r="AC27" s="259">
        <f t="shared" si="11"/>
        <v>0.502820736037143</v>
      </c>
      <c r="AD27" s="260">
        <f t="shared" ref="AD27:AF27" si="46">X27/W27</f>
        <v>0.00960622554856268</v>
      </c>
      <c r="AE27" s="260">
        <f t="shared" si="46"/>
        <v>0.0823373173970783</v>
      </c>
      <c r="AF27" s="253">
        <f t="shared" si="46"/>
        <v>12.6697849462366</v>
      </c>
      <c r="AG27" s="261">
        <v>56</v>
      </c>
      <c r="AH27" s="254">
        <v>188</v>
      </c>
      <c r="AI27" s="262">
        <v>104</v>
      </c>
      <c r="AJ27" s="263">
        <f>AG27*产品成本!$D$2+AH27*产品成本!$D$3+AI27*产品成本!$D$4</f>
        <v>859.718309859156</v>
      </c>
      <c r="AK27" s="263">
        <f>AG27*产品成本!$E$2+AH27*产品成本!$E$3+AI27*产品成本!$E$4</f>
        <v>67.8065408450703</v>
      </c>
      <c r="AL27" s="263">
        <f>AG27*产品成本!$F$2+AH27*产品成本!$F$3+AI27*产品成本!$F$4</f>
        <v>118.32</v>
      </c>
      <c r="AM27" s="263">
        <f>AG27*产品成本!$G$2+AH27*产品成本!$G$3+AI27*产品成本!$G$4</f>
        <v>1345.44</v>
      </c>
      <c r="AN27" s="263">
        <f t="shared" si="13"/>
        <v>1283.466</v>
      </c>
      <c r="AO27" s="264">
        <f t="shared" si="14"/>
        <v>3674.75085070423</v>
      </c>
      <c r="AP27" s="265">
        <v>9</v>
      </c>
      <c r="AQ27" s="265">
        <v>13</v>
      </c>
      <c r="AR27" s="266">
        <v>6</v>
      </c>
      <c r="AS27" s="267">
        <f t="shared" si="15"/>
        <v>647.784090909091</v>
      </c>
      <c r="AT27" s="267">
        <f>AP27*产品成本!$D$2+AQ27*产品成本!$D$3+AR27*产品成本!$D$4</f>
        <v>66.3380281690141</v>
      </c>
      <c r="AU27" s="271">
        <f>AP27*产品成本!$E$2+AQ27*产品成本!$E$3+AR27*产品成本!$E$4</f>
        <v>5.3287352112676</v>
      </c>
      <c r="AV27" s="270">
        <f>AP27*产品成本!$F$2+AQ27*产品成本!$F$3+AR27*产品成本!$F$4</f>
        <v>9.52</v>
      </c>
      <c r="AW27" s="269"/>
      <c r="AX27" s="270">
        <f t="shared" si="16"/>
        <v>97.1676136363636</v>
      </c>
      <c r="AY27" s="269">
        <f t="shared" si="17"/>
        <v>-19.4335227272727</v>
      </c>
      <c r="AZ27" s="271">
        <f t="shared" si="18"/>
        <v>158.920854289373</v>
      </c>
      <c r="BA27" s="272">
        <f t="shared" si="19"/>
        <v>3515.82999641485</v>
      </c>
      <c r="BB27" s="272">
        <f t="shared" si="20"/>
        <v>8556.44</v>
      </c>
      <c r="BC27" s="272">
        <f t="shared" si="21"/>
        <v>7908.65590909091</v>
      </c>
      <c r="BD27" s="273">
        <f t="shared" si="22"/>
        <v>2036.24591267606</v>
      </c>
      <c r="BE27" s="274">
        <f t="shared" si="23"/>
        <v>0.257470540643375</v>
      </c>
      <c r="BF27" s="278"/>
      <c r="BG27" s="278" t="s">
        <v>135</v>
      </c>
      <c r="BH27" s="278" t="s">
        <v>94</v>
      </c>
    </row>
    <row r="28" ht="23" customHeight="1" spans="1:60">
      <c r="A28" s="285" t="s">
        <v>136</v>
      </c>
      <c r="B28" s="286" t="s">
        <v>137</v>
      </c>
      <c r="C28" s="243">
        <v>390</v>
      </c>
      <c r="D28" s="244">
        <v>356</v>
      </c>
      <c r="E28" s="245">
        <v>8924.45</v>
      </c>
      <c r="F28" s="246"/>
      <c r="G28" s="246"/>
      <c r="H28" s="247"/>
      <c r="I28" s="247"/>
      <c r="J28" s="276">
        <v>29</v>
      </c>
      <c r="K28" s="249">
        <f t="shared" si="0"/>
        <v>0.0743589743589744</v>
      </c>
      <c r="L28" s="250">
        <v>602.16</v>
      </c>
      <c r="M28" s="251">
        <f t="shared" si="1"/>
        <v>0.120689655172414</v>
      </c>
      <c r="N28" s="249">
        <f t="shared" si="2"/>
        <v>0.0532544378698225</v>
      </c>
      <c r="O28" s="249">
        <f t="shared" si="3"/>
        <v>0.0430097096456003</v>
      </c>
      <c r="P28" s="252">
        <f t="shared" si="4"/>
        <v>1.09550561797753</v>
      </c>
      <c r="Q28" s="281">
        <f t="shared" si="5"/>
        <v>25.0686797752809</v>
      </c>
      <c r="R28" s="281">
        <f t="shared" si="6"/>
        <v>22.8832051282051</v>
      </c>
      <c r="S28" s="281">
        <f t="shared" si="7"/>
        <v>55.7142857142857</v>
      </c>
      <c r="T28" s="254">
        <f t="shared" si="8"/>
        <v>156</v>
      </c>
      <c r="U28" s="255">
        <f t="shared" si="9"/>
        <v>0.438202247191011</v>
      </c>
      <c r="V28" s="256">
        <f t="shared" si="10"/>
        <v>0.285852909703119</v>
      </c>
      <c r="W28" s="244">
        <v>246122</v>
      </c>
      <c r="X28" s="244">
        <v>2473</v>
      </c>
      <c r="Y28" s="244">
        <v>200</v>
      </c>
      <c r="Z28" s="257">
        <v>2551.08</v>
      </c>
      <c r="AA28" s="277">
        <v>4818.21</v>
      </c>
      <c r="AB28" s="244">
        <v>1.03</v>
      </c>
      <c r="AC28" s="259">
        <f t="shared" si="11"/>
        <v>0.529466337083689</v>
      </c>
      <c r="AD28" s="260">
        <f t="shared" ref="AD28:AF28" si="47">X28/W28</f>
        <v>0.0100478624422035</v>
      </c>
      <c r="AE28" s="260">
        <f t="shared" si="47"/>
        <v>0.0808734330772341</v>
      </c>
      <c r="AF28" s="253">
        <f t="shared" si="47"/>
        <v>12.7554</v>
      </c>
      <c r="AG28" s="261">
        <v>102</v>
      </c>
      <c r="AH28" s="254">
        <v>186</v>
      </c>
      <c r="AI28" s="262">
        <v>102</v>
      </c>
      <c r="AJ28" s="263">
        <f>AG28*产品成本!$D$2+AH28*产品成本!$D$3+AI28*产品成本!$D$4</f>
        <v>946.05633802817</v>
      </c>
      <c r="AK28" s="263">
        <f>AG28*产品成本!$E$2+AH28*产品成本!$E$3+AI28*产品成本!$E$4</f>
        <v>74.9868845070422</v>
      </c>
      <c r="AL28" s="263">
        <f>AG28*产品成本!$F$2+AH28*产品成本!$F$3+AI28*产品成本!$F$4</f>
        <v>132.6</v>
      </c>
      <c r="AM28" s="263">
        <f>AG28*产品成本!$G$2+AH28*产品成本!$G$3+AI28*产品成本!$G$4</f>
        <v>1499.58</v>
      </c>
      <c r="AN28" s="263">
        <f t="shared" si="13"/>
        <v>1338.6675</v>
      </c>
      <c r="AO28" s="264">
        <f t="shared" si="14"/>
        <v>3991.89072253521</v>
      </c>
      <c r="AP28" s="265">
        <v>12</v>
      </c>
      <c r="AQ28" s="265">
        <v>9</v>
      </c>
      <c r="AR28" s="266">
        <v>8</v>
      </c>
      <c r="AS28" s="267">
        <f t="shared" si="15"/>
        <v>684.272727272727</v>
      </c>
      <c r="AT28" s="267">
        <f>AP28*产品成本!$D$2+AQ28*产品成本!$D$3+AR28*产品成本!$D$4</f>
        <v>70.8450704225353</v>
      </c>
      <c r="AU28" s="271">
        <f>AP28*产品成本!$E$2+AQ28*产品成本!$E$3+AR28*产品成本!$E$4</f>
        <v>5.49839577464788</v>
      </c>
      <c r="AV28" s="270">
        <f>AP28*产品成本!$F$2+AQ28*产品成本!$F$3+AR28*产品成本!$F$4</f>
        <v>9.86</v>
      </c>
      <c r="AW28" s="269"/>
      <c r="AX28" s="270">
        <f t="shared" si="16"/>
        <v>102.640909090909</v>
      </c>
      <c r="AY28" s="269">
        <f t="shared" si="17"/>
        <v>-20.5281818181818</v>
      </c>
      <c r="AZ28" s="271">
        <f t="shared" si="18"/>
        <v>168.31619346991</v>
      </c>
      <c r="BA28" s="272">
        <f t="shared" si="19"/>
        <v>3823.5745290653</v>
      </c>
      <c r="BB28" s="272">
        <f t="shared" si="20"/>
        <v>8924.45</v>
      </c>
      <c r="BC28" s="272">
        <f t="shared" si="21"/>
        <v>8240.17727272727</v>
      </c>
      <c r="BD28" s="273">
        <f t="shared" si="22"/>
        <v>1865.52274366197</v>
      </c>
      <c r="BE28" s="274">
        <f t="shared" si="23"/>
        <v>0.226393520663244</v>
      </c>
      <c r="BF28" s="280"/>
      <c r="BG28" s="280"/>
      <c r="BH28" s="280" t="s">
        <v>138</v>
      </c>
    </row>
    <row r="29" ht="23" customHeight="1" spans="1:60">
      <c r="A29" s="285" t="s">
        <v>139</v>
      </c>
      <c r="B29" s="286" t="s">
        <v>140</v>
      </c>
      <c r="C29" s="243">
        <v>414</v>
      </c>
      <c r="D29" s="244">
        <v>390</v>
      </c>
      <c r="E29" s="245">
        <v>9670.56</v>
      </c>
      <c r="F29" s="246"/>
      <c r="G29" s="246"/>
      <c r="H29" s="247"/>
      <c r="I29" s="247"/>
      <c r="J29" s="276">
        <v>34</v>
      </c>
      <c r="K29" s="249">
        <f t="shared" si="0"/>
        <v>0.0821256038647343</v>
      </c>
      <c r="L29" s="250">
        <v>698.13</v>
      </c>
      <c r="M29" s="251">
        <f t="shared" si="1"/>
        <v>0.0615384615384615</v>
      </c>
      <c r="N29" s="249">
        <f t="shared" si="2"/>
        <v>0.0955056179775281</v>
      </c>
      <c r="O29" s="249">
        <f t="shared" si="3"/>
        <v>0.0836029111037654</v>
      </c>
      <c r="P29" s="252">
        <f t="shared" si="4"/>
        <v>1.06153846153846</v>
      </c>
      <c r="Q29" s="281">
        <f t="shared" si="5"/>
        <v>24.7963076923077</v>
      </c>
      <c r="R29" s="281">
        <f t="shared" si="6"/>
        <v>23.3588405797101</v>
      </c>
      <c r="S29" s="281">
        <f t="shared" si="7"/>
        <v>59.1428571428571</v>
      </c>
      <c r="T29" s="254">
        <f t="shared" si="8"/>
        <v>154</v>
      </c>
      <c r="U29" s="255">
        <f t="shared" si="9"/>
        <v>0.394871794871795</v>
      </c>
      <c r="V29" s="256">
        <f t="shared" si="10"/>
        <v>0.258339744544266</v>
      </c>
      <c r="W29" s="244">
        <v>224859</v>
      </c>
      <c r="X29" s="244">
        <v>2444</v>
      </c>
      <c r="Y29" s="244">
        <v>236</v>
      </c>
      <c r="Z29" s="257">
        <v>2498.29</v>
      </c>
      <c r="AA29" s="277">
        <v>5740.71</v>
      </c>
      <c r="AB29" s="244">
        <v>1.02</v>
      </c>
      <c r="AC29" s="259">
        <f t="shared" si="11"/>
        <v>0.435188330363317</v>
      </c>
      <c r="AD29" s="260">
        <f t="shared" ref="AD29:AF29" si="48">X29/W29</f>
        <v>0.010869033483205</v>
      </c>
      <c r="AE29" s="260">
        <f t="shared" si="48"/>
        <v>0.0965630114566285</v>
      </c>
      <c r="AF29" s="253">
        <f t="shared" si="48"/>
        <v>10.5859745762712</v>
      </c>
      <c r="AG29" s="261">
        <v>110</v>
      </c>
      <c r="AH29" s="254">
        <v>217</v>
      </c>
      <c r="AI29" s="262">
        <v>87</v>
      </c>
      <c r="AJ29" s="263">
        <f>AG29*产品成本!$D$2+AH29*产品成本!$D$3+AI29*产品成本!$D$4</f>
        <v>978.802816901409</v>
      </c>
      <c r="AK29" s="263">
        <f>AG29*产品成本!$E$2+AH29*产品成本!$E$3+AI29*产品成本!$E$4</f>
        <v>79.2022352112675</v>
      </c>
      <c r="AL29" s="263">
        <f>AG29*产品成本!$F$2+AH29*产品成本!$F$3+AI29*产品成本!$F$4</f>
        <v>140.76</v>
      </c>
      <c r="AM29" s="263">
        <f>AG29*产品成本!$G$2+AH29*产品成本!$G$3+AI29*产品成本!$G$4</f>
        <v>1591.5</v>
      </c>
      <c r="AN29" s="263">
        <f t="shared" si="13"/>
        <v>1450.584</v>
      </c>
      <c r="AO29" s="264">
        <f t="shared" si="14"/>
        <v>4240.84905211268</v>
      </c>
      <c r="AP29" s="265">
        <v>8</v>
      </c>
      <c r="AQ29" s="265">
        <v>17</v>
      </c>
      <c r="AR29" s="266">
        <v>9</v>
      </c>
      <c r="AS29" s="267">
        <f t="shared" si="15"/>
        <v>793.329545454545</v>
      </c>
      <c r="AT29" s="267">
        <f>AP29*产品成本!$D$2+AQ29*产品成本!$D$3+AR29*产品成本!$D$4</f>
        <v>82.605633802817</v>
      </c>
      <c r="AU29" s="271">
        <f>AP29*产品成本!$E$2+AQ29*产品成本!$E$3+AR29*产品成本!$E$4</f>
        <v>6.55628873239436</v>
      </c>
      <c r="AV29" s="270">
        <f>AP29*产品成本!$F$2+AQ29*产品成本!$F$3+AR29*产品成本!$F$4</f>
        <v>11.56</v>
      </c>
      <c r="AW29" s="269"/>
      <c r="AX29" s="270">
        <f t="shared" si="16"/>
        <v>118.999431818182</v>
      </c>
      <c r="AY29" s="269">
        <f t="shared" si="17"/>
        <v>-23.7998863636364</v>
      </c>
      <c r="AZ29" s="271">
        <f t="shared" si="18"/>
        <v>195.921467989757</v>
      </c>
      <c r="BA29" s="272">
        <f t="shared" si="19"/>
        <v>4044.92758412292</v>
      </c>
      <c r="BB29" s="272">
        <f t="shared" si="20"/>
        <v>9670.56</v>
      </c>
      <c r="BC29" s="272">
        <f t="shared" si="21"/>
        <v>8877.23045454545</v>
      </c>
      <c r="BD29" s="273">
        <f t="shared" si="22"/>
        <v>2334.01287042253</v>
      </c>
      <c r="BE29" s="274">
        <f t="shared" si="23"/>
        <v>0.262921288612873</v>
      </c>
      <c r="BF29" s="278"/>
      <c r="BG29" s="278" t="s">
        <v>141</v>
      </c>
      <c r="BH29" s="278" t="s">
        <v>138</v>
      </c>
    </row>
    <row r="30" ht="23" customHeight="1" spans="1:60">
      <c r="A30" s="285" t="s">
        <v>142</v>
      </c>
      <c r="B30" s="286" t="s">
        <v>143</v>
      </c>
      <c r="C30" s="243">
        <v>463</v>
      </c>
      <c r="D30" s="244">
        <v>435</v>
      </c>
      <c r="E30" s="245">
        <v>11347.24</v>
      </c>
      <c r="F30" s="246"/>
      <c r="G30" s="246"/>
      <c r="H30" s="247"/>
      <c r="I30" s="247"/>
      <c r="J30" s="276">
        <v>33</v>
      </c>
      <c r="K30" s="249">
        <f t="shared" si="0"/>
        <v>0.0712742980561555</v>
      </c>
      <c r="L30" s="250">
        <v>661.95</v>
      </c>
      <c r="M30" s="251">
        <f t="shared" si="1"/>
        <v>0.118357487922705</v>
      </c>
      <c r="N30" s="249">
        <f t="shared" si="2"/>
        <v>0.115384615384615</v>
      </c>
      <c r="O30" s="249">
        <f t="shared" si="3"/>
        <v>0.17337982495326</v>
      </c>
      <c r="P30" s="252">
        <f t="shared" si="4"/>
        <v>1.06436781609195</v>
      </c>
      <c r="Q30" s="281">
        <f t="shared" si="5"/>
        <v>26.0856091954023</v>
      </c>
      <c r="R30" s="281">
        <f t="shared" si="6"/>
        <v>24.5080777537797</v>
      </c>
      <c r="S30" s="281">
        <f t="shared" si="7"/>
        <v>66.1428571428571</v>
      </c>
      <c r="T30" s="254">
        <f t="shared" si="8"/>
        <v>151</v>
      </c>
      <c r="U30" s="255">
        <f t="shared" si="9"/>
        <v>0.347126436781609</v>
      </c>
      <c r="V30" s="256">
        <f t="shared" si="10"/>
        <v>0.241443734335398</v>
      </c>
      <c r="W30" s="244">
        <v>250034</v>
      </c>
      <c r="X30" s="244">
        <v>2650</v>
      </c>
      <c r="Y30" s="244">
        <v>284</v>
      </c>
      <c r="Z30" s="257">
        <v>2739.72</v>
      </c>
      <c r="AA30" s="277">
        <v>7513.18</v>
      </c>
      <c r="AB30" s="244">
        <v>1.03</v>
      </c>
      <c r="AC30" s="259">
        <f t="shared" si="11"/>
        <v>0.364655179298247</v>
      </c>
      <c r="AD30" s="260">
        <f t="shared" ref="AD30:AF30" si="49">X30/W30</f>
        <v>0.0105985585960309</v>
      </c>
      <c r="AE30" s="260">
        <f t="shared" si="49"/>
        <v>0.107169811320755</v>
      </c>
      <c r="AF30" s="253">
        <f t="shared" si="49"/>
        <v>9.6469014084507</v>
      </c>
      <c r="AG30" s="261">
        <v>125</v>
      </c>
      <c r="AH30" s="254">
        <v>229</v>
      </c>
      <c r="AI30" s="262">
        <v>109</v>
      </c>
      <c r="AJ30" s="263">
        <f>AG30*产品成本!$D$2+AH30*产品成本!$D$3+AI30*产品成本!$D$4</f>
        <v>1108.66197183099</v>
      </c>
      <c r="AK30" s="263">
        <f>AG30*产品成本!$E$2+AH30*产品成本!$E$3+AI30*产品成本!$E$4</f>
        <v>88.7398225352112</v>
      </c>
      <c r="AL30" s="263">
        <f>AG30*产品成本!$F$2+AH30*产品成本!$F$3+AI30*产品成本!$F$4</f>
        <v>157.42</v>
      </c>
      <c r="AM30" s="263">
        <f>AG30*产品成本!$G$2+AH30*产品成本!$G$3+AI30*产品成本!$G$4</f>
        <v>1779.45</v>
      </c>
      <c r="AN30" s="263">
        <f t="shared" si="13"/>
        <v>1702.086</v>
      </c>
      <c r="AO30" s="264">
        <f t="shared" si="14"/>
        <v>4836.3577943662</v>
      </c>
      <c r="AP30" s="265">
        <v>11</v>
      </c>
      <c r="AQ30" s="265">
        <v>17</v>
      </c>
      <c r="AR30" s="266">
        <v>5</v>
      </c>
      <c r="AS30" s="267">
        <f t="shared" si="15"/>
        <v>752.215909090909</v>
      </c>
      <c r="AT30" s="267">
        <f>AP30*产品成本!$D$2+AQ30*产品成本!$D$3+AR30*产品成本!$D$4</f>
        <v>75.7042253521127</v>
      </c>
      <c r="AU30" s="271">
        <f>AP30*产品成本!$E$2+AQ30*产品成本!$E$3+AR30*产品成本!$E$4</f>
        <v>6.23710985915492</v>
      </c>
      <c r="AV30" s="270">
        <f>AP30*产品成本!$F$2+AQ30*产品成本!$F$3+AR30*产品成本!$F$4</f>
        <v>11.22</v>
      </c>
      <c r="AW30" s="269"/>
      <c r="AX30" s="270">
        <f t="shared" si="16"/>
        <v>112.832386363636</v>
      </c>
      <c r="AY30" s="269">
        <f t="shared" si="17"/>
        <v>-22.5664772727273</v>
      </c>
      <c r="AZ30" s="271">
        <f t="shared" si="18"/>
        <v>183.427244302177</v>
      </c>
      <c r="BA30" s="272">
        <f t="shared" si="19"/>
        <v>4652.93055006402</v>
      </c>
      <c r="BB30" s="272">
        <f t="shared" si="20"/>
        <v>11347.24</v>
      </c>
      <c r="BC30" s="272">
        <f t="shared" si="21"/>
        <v>10595.0240909091</v>
      </c>
      <c r="BD30" s="273">
        <f t="shared" si="22"/>
        <v>3202.37354084507</v>
      </c>
      <c r="BE30" s="274">
        <f t="shared" si="23"/>
        <v>0.302252596442213</v>
      </c>
      <c r="BF30" s="280"/>
      <c r="BG30" s="280"/>
      <c r="BH30" s="280"/>
    </row>
    <row r="31" ht="23" customHeight="1" spans="1:60">
      <c r="A31" s="285" t="s">
        <v>144</v>
      </c>
      <c r="B31" s="286" t="s">
        <v>145</v>
      </c>
      <c r="C31" s="243">
        <v>373</v>
      </c>
      <c r="D31" s="244">
        <v>360</v>
      </c>
      <c r="E31" s="245">
        <v>9134.48</v>
      </c>
      <c r="F31" s="246">
        <v>29</v>
      </c>
      <c r="G31" s="246">
        <v>29</v>
      </c>
      <c r="H31" s="247">
        <v>721.31</v>
      </c>
      <c r="I31" s="247">
        <v>63.1</v>
      </c>
      <c r="J31" s="276">
        <v>23</v>
      </c>
      <c r="K31" s="249">
        <f t="shared" si="0"/>
        <v>0.0616621983914209</v>
      </c>
      <c r="L31" s="250">
        <v>487.61</v>
      </c>
      <c r="M31" s="251">
        <f t="shared" si="1"/>
        <v>-0.19438444924406</v>
      </c>
      <c r="N31" s="249">
        <f t="shared" si="2"/>
        <v>-0.172413793103448</v>
      </c>
      <c r="O31" s="249">
        <f t="shared" si="3"/>
        <v>-0.195004247728963</v>
      </c>
      <c r="P31" s="252">
        <f t="shared" si="4"/>
        <v>1.03611111111111</v>
      </c>
      <c r="Q31" s="281">
        <f t="shared" si="5"/>
        <v>25.3735555555556</v>
      </c>
      <c r="R31" s="281">
        <f t="shared" si="6"/>
        <v>24.4892225201072</v>
      </c>
      <c r="S31" s="281">
        <f t="shared" si="7"/>
        <v>53.2857142857143</v>
      </c>
      <c r="T31" s="254">
        <f t="shared" si="8"/>
        <v>147</v>
      </c>
      <c r="U31" s="255">
        <f t="shared" si="9"/>
        <v>0.408333333333333</v>
      </c>
      <c r="V31" s="256">
        <f t="shared" si="10"/>
        <v>0.274820369116937</v>
      </c>
      <c r="W31" s="244">
        <v>329751</v>
      </c>
      <c r="X31" s="244">
        <v>2477</v>
      </c>
      <c r="Y31" s="244">
        <v>213</v>
      </c>
      <c r="Z31" s="257">
        <v>2493</v>
      </c>
      <c r="AA31" s="277">
        <v>5394.2</v>
      </c>
      <c r="AB31" s="244">
        <v>1.01</v>
      </c>
      <c r="AC31" s="259">
        <f t="shared" si="11"/>
        <v>0.462163064031738</v>
      </c>
      <c r="AD31" s="260">
        <f t="shared" ref="AD31:AF31" si="50">X31/W31</f>
        <v>0.00751172854669129</v>
      </c>
      <c r="AE31" s="260">
        <f t="shared" si="50"/>
        <v>0.0859911182882519</v>
      </c>
      <c r="AF31" s="253">
        <f t="shared" si="50"/>
        <v>11.7042253521127</v>
      </c>
      <c r="AG31" s="261">
        <v>84</v>
      </c>
      <c r="AH31" s="254">
        <v>170</v>
      </c>
      <c r="AI31" s="262">
        <v>119</v>
      </c>
      <c r="AJ31" s="263">
        <f>AG31*产品成本!$D$2+AH31*产品成本!$D$3+AI31*产品成本!$D$4</f>
        <v>930.49295774648</v>
      </c>
      <c r="AK31" s="263">
        <f>AG31*产品成本!$E$2+AH31*产品成本!$E$3+AI31*产品成本!$E$4</f>
        <v>72.3473154929577</v>
      </c>
      <c r="AL31" s="263">
        <f>AG31*产品成本!$F$2+AH31*产品成本!$F$3+AI31*产品成本!$F$4</f>
        <v>126.82</v>
      </c>
      <c r="AM31" s="263">
        <f>AG31*产品成本!$G$2+AH31*产品成本!$G$3+AI31*产品成本!$G$4</f>
        <v>1437.06</v>
      </c>
      <c r="AN31" s="263">
        <f t="shared" si="13"/>
        <v>1360.707</v>
      </c>
      <c r="AO31" s="264">
        <f t="shared" si="14"/>
        <v>3927.42727323944</v>
      </c>
      <c r="AP31" s="265">
        <v>5</v>
      </c>
      <c r="AQ31" s="265">
        <v>12</v>
      </c>
      <c r="AR31" s="266">
        <v>6</v>
      </c>
      <c r="AS31" s="267">
        <f t="shared" si="15"/>
        <v>554.102272727273</v>
      </c>
      <c r="AT31" s="267">
        <f>AP31*产品成本!$D$2+AQ31*产品成本!$D$3+AR31*产品成本!$D$4</f>
        <v>55.774647887324</v>
      </c>
      <c r="AU31" s="271">
        <f>AP31*产品成本!$E$2+AQ31*产品成本!$E$3+AR31*产品成本!$E$4</f>
        <v>4.44151690140844</v>
      </c>
      <c r="AV31" s="270">
        <f>AP31*产品成本!$F$2+AQ31*产品成本!$F$3+AR31*产品成本!$F$4</f>
        <v>7.82</v>
      </c>
      <c r="AW31" s="269"/>
      <c r="AX31" s="270">
        <f t="shared" si="16"/>
        <v>83.1153409090909</v>
      </c>
      <c r="AY31" s="269">
        <f t="shared" si="17"/>
        <v>-16.6230681818182</v>
      </c>
      <c r="AZ31" s="271">
        <f t="shared" si="18"/>
        <v>134.528437516005</v>
      </c>
      <c r="BA31" s="272">
        <f t="shared" si="19"/>
        <v>3792.89883572343</v>
      </c>
      <c r="BB31" s="272">
        <f t="shared" si="20"/>
        <v>9071.38</v>
      </c>
      <c r="BC31" s="272">
        <f t="shared" si="21"/>
        <v>8517.27772727273</v>
      </c>
      <c r="BD31" s="273">
        <f t="shared" si="22"/>
        <v>2231.3788915493</v>
      </c>
      <c r="BE31" s="274">
        <f t="shared" si="23"/>
        <v>0.261982638467255</v>
      </c>
      <c r="BF31" s="278"/>
      <c r="BG31" s="278" t="s">
        <v>146</v>
      </c>
      <c r="BH31" s="278" t="s">
        <v>94</v>
      </c>
    </row>
    <row r="32" ht="23" customHeight="1" spans="1:60">
      <c r="A32" s="285" t="s">
        <v>147</v>
      </c>
      <c r="B32" s="286" t="s">
        <v>148</v>
      </c>
      <c r="C32" s="243">
        <v>415</v>
      </c>
      <c r="D32" s="244">
        <v>392</v>
      </c>
      <c r="E32" s="245">
        <v>10098.35</v>
      </c>
      <c r="F32" s="246">
        <v>96</v>
      </c>
      <c r="G32" s="246">
        <v>90</v>
      </c>
      <c r="H32" s="247">
        <v>2303.24</v>
      </c>
      <c r="I32" s="247">
        <v>288.75</v>
      </c>
      <c r="J32" s="276">
        <v>27</v>
      </c>
      <c r="K32" s="249">
        <f t="shared" si="0"/>
        <v>0.0650602409638554</v>
      </c>
      <c r="L32" s="250">
        <v>574.62</v>
      </c>
      <c r="M32" s="251">
        <f t="shared" si="1"/>
        <v>0.112600536193029</v>
      </c>
      <c r="N32" s="249">
        <f t="shared" si="2"/>
        <v>0.0888888888888889</v>
      </c>
      <c r="O32" s="249">
        <f t="shared" si="3"/>
        <v>0.105519963916939</v>
      </c>
      <c r="P32" s="252">
        <f t="shared" si="4"/>
        <v>1.05867346938776</v>
      </c>
      <c r="Q32" s="281">
        <f t="shared" si="5"/>
        <v>25.7610969387755</v>
      </c>
      <c r="R32" s="281">
        <f t="shared" si="6"/>
        <v>24.3333734939759</v>
      </c>
      <c r="S32" s="281">
        <f t="shared" si="7"/>
        <v>59.2857142857143</v>
      </c>
      <c r="T32" s="254">
        <f t="shared" si="8"/>
        <v>150</v>
      </c>
      <c r="U32" s="255">
        <f t="shared" si="9"/>
        <v>0.38265306122449</v>
      </c>
      <c r="V32" s="256">
        <f t="shared" si="10"/>
        <v>0.284689487848638</v>
      </c>
      <c r="W32" s="244">
        <v>550872</v>
      </c>
      <c r="X32" s="244">
        <v>2687</v>
      </c>
      <c r="Y32" s="244">
        <v>242</v>
      </c>
      <c r="Z32" s="257">
        <v>2792.69</v>
      </c>
      <c r="AA32" s="277">
        <v>6031.52</v>
      </c>
      <c r="AB32" s="244">
        <v>1.04</v>
      </c>
      <c r="AC32" s="259">
        <f t="shared" si="11"/>
        <v>0.463015956176884</v>
      </c>
      <c r="AD32" s="260">
        <f t="shared" ref="AD32:AF32" si="51">X32/W32</f>
        <v>0.00487772114030119</v>
      </c>
      <c r="AE32" s="260">
        <f t="shared" si="51"/>
        <v>0.0900632675846669</v>
      </c>
      <c r="AF32" s="253">
        <f t="shared" si="51"/>
        <v>11.540041322314</v>
      </c>
      <c r="AG32" s="261">
        <v>120</v>
      </c>
      <c r="AH32" s="254">
        <v>178</v>
      </c>
      <c r="AI32" s="262">
        <v>117</v>
      </c>
      <c r="AJ32" s="263">
        <f>AG32*产品成本!$D$2+AH32*产品成本!$D$3+AI32*产品成本!$D$4</f>
        <v>1016.83098591549</v>
      </c>
      <c r="AK32" s="263">
        <f>AG32*产品成本!$E$2+AH32*产品成本!$E$3+AI32*产品成本!$E$4</f>
        <v>79.719490140845</v>
      </c>
      <c r="AL32" s="263">
        <f>AG32*产品成本!$F$2+AH32*产品成本!$F$3+AI32*产品成本!$F$4</f>
        <v>141.1</v>
      </c>
      <c r="AM32" s="263">
        <f>AG32*产品成本!$G$2+AH32*产品成本!$G$3+AI32*产品成本!$G$4</f>
        <v>1593.3</v>
      </c>
      <c r="AN32" s="263">
        <f t="shared" si="13"/>
        <v>1471.44</v>
      </c>
      <c r="AO32" s="264">
        <f t="shared" si="14"/>
        <v>4302.39047605634</v>
      </c>
      <c r="AP32" s="265">
        <v>5</v>
      </c>
      <c r="AQ32" s="265">
        <v>13</v>
      </c>
      <c r="AR32" s="266">
        <v>9</v>
      </c>
      <c r="AS32" s="267">
        <f t="shared" si="15"/>
        <v>652.977272727273</v>
      </c>
      <c r="AT32" s="267">
        <f>AP32*产品成本!$D$2+AQ32*产品成本!$D$3+AR32*产品成本!$D$4</f>
        <v>67.8169014084508</v>
      </c>
      <c r="AU32" s="271">
        <f>AP32*产品成本!$E$2+AQ32*产品成本!$E$3+AR32*产品成本!$E$4</f>
        <v>5.26430704225351</v>
      </c>
      <c r="AV32" s="270">
        <f>AP32*产品成本!$F$2+AQ32*产品成本!$F$3+AR32*产品成本!$F$4</f>
        <v>9.18</v>
      </c>
      <c r="AW32" s="269"/>
      <c r="AX32" s="270">
        <f t="shared" si="16"/>
        <v>97.9465909090909</v>
      </c>
      <c r="AY32" s="269">
        <f t="shared" si="17"/>
        <v>-19.5893181818182</v>
      </c>
      <c r="AZ32" s="271">
        <f t="shared" si="18"/>
        <v>160.618481177977</v>
      </c>
      <c r="BA32" s="272">
        <f t="shared" si="19"/>
        <v>4141.77199487836</v>
      </c>
      <c r="BB32" s="272">
        <f t="shared" si="20"/>
        <v>9809.6</v>
      </c>
      <c r="BC32" s="272">
        <f t="shared" si="21"/>
        <v>9156.62272727273</v>
      </c>
      <c r="BD32" s="273">
        <f t="shared" si="22"/>
        <v>2222.16073239437</v>
      </c>
      <c r="BE32" s="274">
        <f t="shared" si="23"/>
        <v>0.242683443293533</v>
      </c>
      <c r="BF32" s="280"/>
      <c r="BG32" s="280" t="s">
        <v>149</v>
      </c>
      <c r="BH32" s="280"/>
    </row>
    <row r="33" ht="23" customHeight="1" spans="1:60">
      <c r="A33" s="285" t="s">
        <v>150</v>
      </c>
      <c r="B33" s="286" t="s">
        <v>151</v>
      </c>
      <c r="C33" s="243">
        <v>400</v>
      </c>
      <c r="D33" s="244">
        <v>382</v>
      </c>
      <c r="E33" s="245">
        <v>9152.47</v>
      </c>
      <c r="F33" s="246">
        <v>27</v>
      </c>
      <c r="G33" s="246">
        <v>26</v>
      </c>
      <c r="H33" s="247">
        <v>611.41</v>
      </c>
      <c r="I33" s="247">
        <v>57.15</v>
      </c>
      <c r="J33" s="276">
        <v>39</v>
      </c>
      <c r="K33" s="249">
        <f t="shared" si="0"/>
        <v>0.0975</v>
      </c>
      <c r="L33" s="250">
        <v>806.14</v>
      </c>
      <c r="M33" s="251">
        <f t="shared" si="1"/>
        <v>-0.036144578313253</v>
      </c>
      <c r="N33" s="249">
        <f t="shared" si="2"/>
        <v>-0.0255102040816327</v>
      </c>
      <c r="O33" s="249">
        <f t="shared" si="3"/>
        <v>-0.0936667871483956</v>
      </c>
      <c r="P33" s="252">
        <f t="shared" si="4"/>
        <v>1.04712041884817</v>
      </c>
      <c r="Q33" s="281">
        <f t="shared" si="5"/>
        <v>23.9593455497382</v>
      </c>
      <c r="R33" s="281">
        <f t="shared" si="6"/>
        <v>22.881175</v>
      </c>
      <c r="S33" s="281">
        <f t="shared" si="7"/>
        <v>57.1428571428571</v>
      </c>
      <c r="T33" s="254">
        <f t="shared" si="8"/>
        <v>144</v>
      </c>
      <c r="U33" s="255">
        <f t="shared" si="9"/>
        <v>0.37696335078534</v>
      </c>
      <c r="V33" s="256">
        <f t="shared" si="10"/>
        <v>0.310481654301333</v>
      </c>
      <c r="W33" s="244">
        <v>261666</v>
      </c>
      <c r="X33" s="244">
        <v>2721</v>
      </c>
      <c r="Y33" s="244">
        <v>238</v>
      </c>
      <c r="Z33" s="257">
        <v>2823.93</v>
      </c>
      <c r="AA33" s="277">
        <v>5786.5</v>
      </c>
      <c r="AB33" s="244">
        <v>1.04</v>
      </c>
      <c r="AC33" s="259">
        <f t="shared" si="11"/>
        <v>0.488020392292405</v>
      </c>
      <c r="AD33" s="260">
        <f t="shared" ref="AD33:AF33" si="52">X33/W33</f>
        <v>0.0103987526082869</v>
      </c>
      <c r="AE33" s="260">
        <f t="shared" si="52"/>
        <v>0.0874678427048879</v>
      </c>
      <c r="AF33" s="253">
        <f t="shared" si="52"/>
        <v>11.8652521008403</v>
      </c>
      <c r="AG33" s="261">
        <v>117</v>
      </c>
      <c r="AH33" s="254">
        <v>172</v>
      </c>
      <c r="AI33" s="262">
        <v>111</v>
      </c>
      <c r="AJ33" s="263">
        <f>AG33*产品成本!$D$2+AH33*产品成本!$D$3+AI33*产品成本!$D$4</f>
        <v>977.957746478874</v>
      </c>
      <c r="AK33" s="263">
        <f>AG33*产品成本!$E$2+AH33*产品成本!$E$3+AI33*产品成本!$E$4</f>
        <v>76.781928169014</v>
      </c>
      <c r="AL33" s="263">
        <f>AG33*产品成本!$F$2+AH33*产品成本!$F$3+AI33*产品成本!$F$4</f>
        <v>136</v>
      </c>
      <c r="AM33" s="263">
        <f>AG33*产品成本!$G$2+AH33*产品成本!$G$3+AI33*产品成本!$G$4</f>
        <v>1535.43</v>
      </c>
      <c r="AN33" s="263">
        <f t="shared" si="13"/>
        <v>1364.298</v>
      </c>
      <c r="AO33" s="264">
        <f t="shared" si="14"/>
        <v>4090.46767464789</v>
      </c>
      <c r="AP33" s="265">
        <v>12</v>
      </c>
      <c r="AQ33" s="265">
        <v>16</v>
      </c>
      <c r="AR33" s="266">
        <v>11</v>
      </c>
      <c r="AS33" s="267">
        <f t="shared" si="15"/>
        <v>916.068181818182</v>
      </c>
      <c r="AT33" s="267">
        <f>AP33*产品成本!$D$2+AQ33*产品成本!$D$3+AR33*产品成本!$D$4</f>
        <v>95.5633802816902</v>
      </c>
      <c r="AU33" s="271">
        <f>AP33*产品成本!$E$2+AQ33*产品成本!$E$3+AR33*产品成本!$E$4</f>
        <v>7.47792676056337</v>
      </c>
      <c r="AV33" s="270">
        <f>AP33*产品成本!$F$2+AQ33*产品成本!$F$3+AR33*产品成本!$F$4</f>
        <v>13.26</v>
      </c>
      <c r="AW33" s="269"/>
      <c r="AX33" s="270">
        <f t="shared" si="16"/>
        <v>137.410227272727</v>
      </c>
      <c r="AY33" s="269">
        <f t="shared" si="17"/>
        <v>-27.4820454545455</v>
      </c>
      <c r="AZ33" s="271">
        <f t="shared" si="18"/>
        <v>226.229488860435</v>
      </c>
      <c r="BA33" s="272">
        <f t="shared" si="19"/>
        <v>3864.23818578745</v>
      </c>
      <c r="BB33" s="272">
        <f t="shared" si="20"/>
        <v>9095.32</v>
      </c>
      <c r="BC33" s="272">
        <f t="shared" si="21"/>
        <v>8179.25181818182</v>
      </c>
      <c r="BD33" s="273">
        <f t="shared" si="22"/>
        <v>1491.08363239437</v>
      </c>
      <c r="BE33" s="274">
        <f t="shared" si="23"/>
        <v>0.182300736734845</v>
      </c>
      <c r="BF33" s="278"/>
      <c r="BG33" s="278" t="s">
        <v>152</v>
      </c>
      <c r="BH33" s="278" t="s">
        <v>153</v>
      </c>
    </row>
    <row r="34" ht="23" customHeight="1" spans="1:60">
      <c r="A34" s="285" t="s">
        <v>154</v>
      </c>
      <c r="B34" s="286" t="s">
        <v>155</v>
      </c>
      <c r="C34" s="243">
        <v>429</v>
      </c>
      <c r="D34" s="244">
        <v>395</v>
      </c>
      <c r="E34" s="247">
        <v>10442.62</v>
      </c>
      <c r="F34" s="246">
        <v>49</v>
      </c>
      <c r="G34" s="246">
        <v>41</v>
      </c>
      <c r="H34" s="247">
        <v>1233.71</v>
      </c>
      <c r="I34" s="247">
        <v>75.81</v>
      </c>
      <c r="J34" s="276">
        <v>43</v>
      </c>
      <c r="K34" s="249">
        <f t="shared" si="0"/>
        <v>0.1002331002331</v>
      </c>
      <c r="L34" s="250">
        <v>911.89</v>
      </c>
      <c r="M34" s="251">
        <f t="shared" si="1"/>
        <v>0.0725</v>
      </c>
      <c r="N34" s="249">
        <f t="shared" si="2"/>
        <v>0.0340314136125654</v>
      </c>
      <c r="O34" s="249">
        <f t="shared" si="3"/>
        <v>0.140961947976885</v>
      </c>
      <c r="P34" s="252">
        <f t="shared" si="4"/>
        <v>1.08607594936709</v>
      </c>
      <c r="Q34" s="281">
        <f t="shared" si="5"/>
        <v>26.4370126582279</v>
      </c>
      <c r="R34" s="281">
        <f t="shared" si="6"/>
        <v>24.3417715617716</v>
      </c>
      <c r="S34" s="281">
        <f t="shared" si="7"/>
        <v>61.2857142857143</v>
      </c>
      <c r="T34" s="254">
        <f t="shared" si="8"/>
        <v>141</v>
      </c>
      <c r="U34" s="255">
        <f t="shared" si="9"/>
        <v>0.356962025316456</v>
      </c>
      <c r="V34" s="256">
        <f t="shared" si="10"/>
        <v>0.259566829140304</v>
      </c>
      <c r="W34" s="244">
        <v>238222</v>
      </c>
      <c r="X34" s="244">
        <v>2771</v>
      </c>
      <c r="Y34" s="244">
        <v>254</v>
      </c>
      <c r="Z34" s="257">
        <v>2690.88</v>
      </c>
      <c r="AA34" s="277">
        <v>6334.77</v>
      </c>
      <c r="AB34" s="244">
        <v>0.97</v>
      </c>
      <c r="AC34" s="259">
        <f t="shared" si="11"/>
        <v>0.424779431613145</v>
      </c>
      <c r="AD34" s="260">
        <f t="shared" ref="AD34:AF34" si="53">X34/W34</f>
        <v>0.0116320071194096</v>
      </c>
      <c r="AE34" s="260">
        <f t="shared" si="53"/>
        <v>0.0916636593287622</v>
      </c>
      <c r="AF34" s="253">
        <f t="shared" si="53"/>
        <v>10.5940157480315</v>
      </c>
      <c r="AG34" s="261">
        <v>108</v>
      </c>
      <c r="AH34" s="254">
        <v>221</v>
      </c>
      <c r="AI34" s="262">
        <v>100</v>
      </c>
      <c r="AJ34" s="263">
        <f>AG34*产品成本!$D$2+AH34*产品成本!$D$3+AI34*产品成本!$D$4</f>
        <v>1026.05633802817</v>
      </c>
      <c r="AK34" s="263">
        <f>AG34*产品成本!$E$2+AH34*产品成本!$E$3+AI34*产品成本!$E$4</f>
        <v>82.3561816901407</v>
      </c>
      <c r="AL34" s="263">
        <f>AG34*产品成本!$F$2+AH34*产品成本!$F$3+AI34*产品成本!$F$4</f>
        <v>145.86</v>
      </c>
      <c r="AM34" s="263">
        <f>AG34*产品成本!$G$2+AH34*产品成本!$G$3+AI34*产品成本!$G$4</f>
        <v>1650.42</v>
      </c>
      <c r="AN34" s="263">
        <f t="shared" si="13"/>
        <v>1555.0215</v>
      </c>
      <c r="AO34" s="264">
        <f t="shared" si="14"/>
        <v>4459.71401971831</v>
      </c>
      <c r="AP34" s="265">
        <v>7</v>
      </c>
      <c r="AQ34" s="265">
        <v>20</v>
      </c>
      <c r="AR34" s="266">
        <v>16</v>
      </c>
      <c r="AS34" s="267">
        <f t="shared" si="15"/>
        <v>1036.23863636364</v>
      </c>
      <c r="AT34" s="267">
        <f>AP34*产品成本!$D$2+AQ34*产品成本!$D$3+AR34*产品成本!$D$4</f>
        <v>110</v>
      </c>
      <c r="AU34" s="271">
        <f>AP34*产品成本!$E$2+AQ34*产品成本!$E$3+AR34*产品成本!$E$4</f>
        <v>8.43105211267605</v>
      </c>
      <c r="AV34" s="270">
        <f>AP34*产品成本!$F$2+AQ34*产品成本!$F$3+AR34*产品成本!$F$4</f>
        <v>14.62</v>
      </c>
      <c r="AW34" s="269"/>
      <c r="AX34" s="270">
        <f t="shared" si="16"/>
        <v>155.435795454545</v>
      </c>
      <c r="AY34" s="269">
        <f t="shared" si="17"/>
        <v>-31.0871590909091</v>
      </c>
      <c r="AZ34" s="271">
        <f t="shared" si="18"/>
        <v>257.399688476312</v>
      </c>
      <c r="BA34" s="272">
        <f t="shared" si="19"/>
        <v>4202.314331242</v>
      </c>
      <c r="BB34" s="272">
        <f t="shared" si="20"/>
        <v>10366.81</v>
      </c>
      <c r="BC34" s="272">
        <f t="shared" si="21"/>
        <v>9330.57136363637</v>
      </c>
      <c r="BD34" s="273">
        <f t="shared" si="22"/>
        <v>2437.37703239437</v>
      </c>
      <c r="BE34" s="274">
        <f t="shared" si="23"/>
        <v>0.261224842231361</v>
      </c>
      <c r="BF34" s="280"/>
      <c r="BG34" s="280"/>
      <c r="BH34" s="280"/>
    </row>
    <row r="35" ht="23" customHeight="1" spans="1:60">
      <c r="A35" s="285" t="s">
        <v>156</v>
      </c>
      <c r="B35" s="286" t="s">
        <v>157</v>
      </c>
      <c r="C35" s="243">
        <v>411</v>
      </c>
      <c r="D35" s="244">
        <v>383</v>
      </c>
      <c r="E35" s="247">
        <v>10097.4</v>
      </c>
      <c r="F35" s="246">
        <v>59</v>
      </c>
      <c r="G35" s="246">
        <v>59</v>
      </c>
      <c r="H35" s="247">
        <v>1913.42</v>
      </c>
      <c r="I35" s="247">
        <v>245.79</v>
      </c>
      <c r="J35" s="276">
        <v>16</v>
      </c>
      <c r="K35" s="249">
        <f t="shared" si="0"/>
        <v>0.0389294403892944</v>
      </c>
      <c r="L35" s="250">
        <v>317.88</v>
      </c>
      <c r="M35" s="251">
        <f t="shared" si="1"/>
        <v>-0.041958041958042</v>
      </c>
      <c r="N35" s="249">
        <f t="shared" si="2"/>
        <v>-0.030379746835443</v>
      </c>
      <c r="O35" s="249">
        <f t="shared" si="3"/>
        <v>-0.0330587534545929</v>
      </c>
      <c r="P35" s="252">
        <f t="shared" si="4"/>
        <v>1.07310704960836</v>
      </c>
      <c r="Q35" s="281">
        <f t="shared" si="5"/>
        <v>26.3639686684073</v>
      </c>
      <c r="R35" s="281">
        <f t="shared" si="6"/>
        <v>24.5678832116788</v>
      </c>
      <c r="S35" s="281">
        <f t="shared" si="7"/>
        <v>58.7142857142857</v>
      </c>
      <c r="T35" s="254">
        <f t="shared" si="8"/>
        <v>143</v>
      </c>
      <c r="U35" s="255">
        <f t="shared" si="9"/>
        <v>0.373368146214099</v>
      </c>
      <c r="V35" s="256">
        <f t="shared" si="10"/>
        <v>0.298603984526387</v>
      </c>
      <c r="W35" s="244">
        <v>309763</v>
      </c>
      <c r="X35" s="244">
        <v>3025</v>
      </c>
      <c r="Y35" s="244">
        <v>240</v>
      </c>
      <c r="Z35" s="257">
        <v>2941.73</v>
      </c>
      <c r="AA35" s="277">
        <v>6135.47</v>
      </c>
      <c r="AB35" s="244">
        <v>0.97</v>
      </c>
      <c r="AC35" s="259">
        <f t="shared" si="11"/>
        <v>0.479462861035911</v>
      </c>
      <c r="AD35" s="260">
        <f t="shared" ref="AD35:AF35" si="54">X35/W35</f>
        <v>0.00976553042164494</v>
      </c>
      <c r="AE35" s="260">
        <f t="shared" si="54"/>
        <v>0.0793388429752066</v>
      </c>
      <c r="AF35" s="253">
        <f t="shared" si="54"/>
        <v>12.2572083333333</v>
      </c>
      <c r="AG35" s="261">
        <v>90</v>
      </c>
      <c r="AH35" s="254">
        <v>194</v>
      </c>
      <c r="AI35" s="262">
        <v>150</v>
      </c>
      <c r="AJ35" s="263">
        <f>AG35*产品成本!$D$2+AH35*产品成本!$D$3+AI35*产品成本!$D$4</f>
        <v>1096.47887323944</v>
      </c>
      <c r="AK35" s="263">
        <f>AG35*产品成本!$E$2+AH35*产品成本!$E$3+AI35*产品成本!$E$4</f>
        <v>84.5259211267605</v>
      </c>
      <c r="AL35" s="263">
        <f>AG35*产品成本!$F$2+AH35*产品成本!$F$3+AI35*产品成本!$F$4</f>
        <v>147.56</v>
      </c>
      <c r="AM35" s="263">
        <f>AG35*产品成本!$G$2+AH35*产品成本!$G$3+AI35*产品成本!$G$4</f>
        <v>1673.7</v>
      </c>
      <c r="AN35" s="263">
        <f t="shared" si="13"/>
        <v>1477.7415</v>
      </c>
      <c r="AO35" s="264">
        <f t="shared" si="14"/>
        <v>4480.0062943662</v>
      </c>
      <c r="AP35" s="265">
        <v>9</v>
      </c>
      <c r="AQ35" s="265">
        <v>5</v>
      </c>
      <c r="AR35" s="266">
        <v>2</v>
      </c>
      <c r="AS35" s="267">
        <f t="shared" si="15"/>
        <v>361.227272727273</v>
      </c>
      <c r="AT35" s="267">
        <f>AP35*产品成本!$D$2+AQ35*产品成本!$D$3+AR35*产品成本!$D$4</f>
        <v>36.1971830985916</v>
      </c>
      <c r="AU35" s="271">
        <f>AP35*产品成本!$E$2+AQ35*产品成本!$E$3+AR35*产品成本!$E$4</f>
        <v>2.94641408450704</v>
      </c>
      <c r="AV35" s="270">
        <f>AP35*产品成本!$F$2+AQ35*产品成本!$F$3+AR35*产品成本!$F$4</f>
        <v>5.44</v>
      </c>
      <c r="AW35" s="269"/>
      <c r="AX35" s="270">
        <f t="shared" si="16"/>
        <v>54.1840909090909</v>
      </c>
      <c r="AY35" s="269">
        <f t="shared" si="17"/>
        <v>-10.8368181818182</v>
      </c>
      <c r="AZ35" s="271">
        <f t="shared" si="18"/>
        <v>87.9308699103713</v>
      </c>
      <c r="BA35" s="272">
        <f t="shared" si="19"/>
        <v>4392.07542445583</v>
      </c>
      <c r="BB35" s="272">
        <f t="shared" si="20"/>
        <v>9851.61</v>
      </c>
      <c r="BC35" s="272">
        <f t="shared" si="21"/>
        <v>9490.38272727273</v>
      </c>
      <c r="BD35" s="273">
        <f t="shared" si="22"/>
        <v>2156.5773028169</v>
      </c>
      <c r="BE35" s="274">
        <f t="shared" si="23"/>
        <v>0.227238180460256</v>
      </c>
      <c r="BF35" s="278"/>
      <c r="BG35" s="278"/>
      <c r="BH35" s="278"/>
    </row>
    <row r="36" ht="23" customHeight="1" spans="1:60">
      <c r="A36" s="285" t="s">
        <v>158</v>
      </c>
      <c r="B36" s="286" t="s">
        <v>159</v>
      </c>
      <c r="C36" s="243">
        <v>403</v>
      </c>
      <c r="D36" s="244">
        <v>379</v>
      </c>
      <c r="E36" s="247">
        <v>9785.09</v>
      </c>
      <c r="F36" s="246">
        <v>41</v>
      </c>
      <c r="G36" s="246">
        <v>39</v>
      </c>
      <c r="H36" s="247">
        <v>1009.39</v>
      </c>
      <c r="I36" s="247">
        <v>91.31</v>
      </c>
      <c r="J36" s="276">
        <v>29</v>
      </c>
      <c r="K36" s="249">
        <f t="shared" si="0"/>
        <v>0.0719602977667494</v>
      </c>
      <c r="L36" s="250">
        <v>595.28</v>
      </c>
      <c r="M36" s="251">
        <f t="shared" si="1"/>
        <v>-0.0194647201946472</v>
      </c>
      <c r="N36" s="249">
        <f t="shared" si="2"/>
        <v>-0.010443864229765</v>
      </c>
      <c r="O36" s="249">
        <f t="shared" si="3"/>
        <v>-0.0309297442906094</v>
      </c>
      <c r="P36" s="252">
        <f t="shared" si="4"/>
        <v>1.06332453825858</v>
      </c>
      <c r="Q36" s="281">
        <f t="shared" si="5"/>
        <v>25.8181794195251</v>
      </c>
      <c r="R36" s="281">
        <f t="shared" si="6"/>
        <v>24.2806203473945</v>
      </c>
      <c r="S36" s="281">
        <f t="shared" si="7"/>
        <v>57.5714285714286</v>
      </c>
      <c r="T36" s="254">
        <f t="shared" si="8"/>
        <v>129</v>
      </c>
      <c r="U36" s="255">
        <f t="shared" si="9"/>
        <v>0.340369393139842</v>
      </c>
      <c r="V36" s="256">
        <f t="shared" si="10"/>
        <v>0.292762988225439</v>
      </c>
      <c r="W36" s="244">
        <v>259867</v>
      </c>
      <c r="X36" s="244">
        <v>2668</v>
      </c>
      <c r="Y36" s="244">
        <v>250</v>
      </c>
      <c r="Z36" s="257">
        <v>2837.98</v>
      </c>
      <c r="AA36" s="277">
        <v>6226.65</v>
      </c>
      <c r="AB36" s="244">
        <v>1.06</v>
      </c>
      <c r="AC36" s="259">
        <f t="shared" si="11"/>
        <v>0.455779592557796</v>
      </c>
      <c r="AD36" s="260">
        <f t="shared" ref="AD36:AF36" si="55">X36/W36</f>
        <v>0.0102667903196635</v>
      </c>
      <c r="AE36" s="260">
        <f t="shared" si="55"/>
        <v>0.0937031484257871</v>
      </c>
      <c r="AF36" s="253">
        <f t="shared" si="55"/>
        <v>11.35192</v>
      </c>
      <c r="AG36" s="261">
        <v>114</v>
      </c>
      <c r="AH36" s="254">
        <v>160</v>
      </c>
      <c r="AI36" s="262">
        <v>129</v>
      </c>
      <c r="AJ36" s="263">
        <f>AG36*产品成本!$D$2+AH36*产品成本!$D$3+AI36*产品成本!$D$4</f>
        <v>1005.84507042254</v>
      </c>
      <c r="AK36" s="263">
        <f>AG36*产品成本!$E$2+AH36*产品成本!$E$3+AI36*产品成本!$E$4</f>
        <v>77.7276253521126</v>
      </c>
      <c r="AL36" s="263">
        <f>AG36*产品成本!$F$2+AH36*产品成本!$F$3+AI36*产品成本!$F$4</f>
        <v>137.02</v>
      </c>
      <c r="AM36" s="263">
        <f>AG36*产品成本!$G$2+AH36*产品成本!$G$3+AI36*产品成本!$G$4</f>
        <v>1547.76</v>
      </c>
      <c r="AN36" s="263">
        <f t="shared" si="13"/>
        <v>1454.067</v>
      </c>
      <c r="AO36" s="264">
        <f t="shared" si="14"/>
        <v>4222.41969577465</v>
      </c>
      <c r="AP36" s="265">
        <v>8</v>
      </c>
      <c r="AQ36" s="265">
        <v>16</v>
      </c>
      <c r="AR36" s="266">
        <v>5</v>
      </c>
      <c r="AS36" s="267">
        <f t="shared" si="15"/>
        <v>676.454545454545</v>
      </c>
      <c r="AT36" s="267">
        <f>AP36*产品成本!$D$2+AQ36*产品成本!$D$3+AR36*产品成本!$D$4</f>
        <v>67.2535211267606</v>
      </c>
      <c r="AU36" s="271">
        <f>AP36*产品成本!$E$2+AQ36*产品成本!$E$3+AR36*产品成本!$E$4</f>
        <v>5.52349859154929</v>
      </c>
      <c r="AV36" s="270">
        <f>AP36*产品成本!$F$2+AQ36*产品成本!$F$3+AR36*产品成本!$F$4</f>
        <v>9.86</v>
      </c>
      <c r="AW36" s="269"/>
      <c r="AX36" s="270">
        <f t="shared" si="16"/>
        <v>101.468181818182</v>
      </c>
      <c r="AY36" s="269">
        <f t="shared" si="17"/>
        <v>-20.2936363636364</v>
      </c>
      <c r="AZ36" s="271">
        <f t="shared" si="18"/>
        <v>163.811565172855</v>
      </c>
      <c r="BA36" s="272">
        <f t="shared" si="19"/>
        <v>4058.60813060179</v>
      </c>
      <c r="BB36" s="272">
        <f t="shared" si="20"/>
        <v>9693.78</v>
      </c>
      <c r="BC36" s="272">
        <f t="shared" si="21"/>
        <v>9017.32545454545</v>
      </c>
      <c r="BD36" s="273">
        <f t="shared" si="22"/>
        <v>2120.73732394366</v>
      </c>
      <c r="BE36" s="274">
        <f t="shared" si="23"/>
        <v>0.235184737939634</v>
      </c>
      <c r="BF36" s="280"/>
      <c r="BG36" s="280"/>
      <c r="BH36" s="280"/>
    </row>
    <row r="37" ht="23" customHeight="1" spans="1:60">
      <c r="A37" s="285" t="s">
        <v>160</v>
      </c>
      <c r="B37" s="286" t="s">
        <v>161</v>
      </c>
      <c r="C37" s="243">
        <v>419</v>
      </c>
      <c r="D37" s="244">
        <v>402</v>
      </c>
      <c r="E37" s="247">
        <v>9316.53</v>
      </c>
      <c r="F37" s="246">
        <v>56</v>
      </c>
      <c r="G37" s="246">
        <v>55</v>
      </c>
      <c r="H37" s="247">
        <v>1311.09</v>
      </c>
      <c r="I37" s="247">
        <v>158.54</v>
      </c>
      <c r="J37" s="276">
        <v>21</v>
      </c>
      <c r="K37" s="249">
        <f t="shared" si="0"/>
        <v>0.0501193317422434</v>
      </c>
      <c r="L37" s="250">
        <v>426.53</v>
      </c>
      <c r="M37" s="251">
        <f t="shared" si="1"/>
        <v>0.0397022332506203</v>
      </c>
      <c r="N37" s="249">
        <f t="shared" si="2"/>
        <v>0.0606860158311346</v>
      </c>
      <c r="O37" s="249">
        <f t="shared" si="3"/>
        <v>-0.0478850986551988</v>
      </c>
      <c r="P37" s="252">
        <f t="shared" si="4"/>
        <v>1.04228855721393</v>
      </c>
      <c r="Q37" s="281">
        <f t="shared" si="5"/>
        <v>23.175447761194</v>
      </c>
      <c r="R37" s="281">
        <f t="shared" si="6"/>
        <v>22.2351551312649</v>
      </c>
      <c r="S37" s="281">
        <f t="shared" si="7"/>
        <v>59.8571428571429</v>
      </c>
      <c r="T37" s="254">
        <f t="shared" si="8"/>
        <v>139</v>
      </c>
      <c r="U37" s="255">
        <f t="shared" si="9"/>
        <v>0.345771144278607</v>
      </c>
      <c r="V37" s="256">
        <f t="shared" si="10"/>
        <v>0.301748527788303</v>
      </c>
      <c r="W37" s="244">
        <v>254466</v>
      </c>
      <c r="X37" s="244">
        <v>2593</v>
      </c>
      <c r="Y37" s="244">
        <v>263</v>
      </c>
      <c r="Z37" s="257">
        <v>2763.41</v>
      </c>
      <c r="AA37" s="277">
        <v>5980.15</v>
      </c>
      <c r="AB37" s="244">
        <v>1.07</v>
      </c>
      <c r="AC37" s="259">
        <f t="shared" si="11"/>
        <v>0.462097104587678</v>
      </c>
      <c r="AD37" s="260">
        <f t="shared" ref="AD37:AF37" si="56">X37/W37</f>
        <v>0.0101899664395243</v>
      </c>
      <c r="AE37" s="260">
        <f t="shared" si="56"/>
        <v>0.101426918627073</v>
      </c>
      <c r="AF37" s="253">
        <f t="shared" si="56"/>
        <v>10.5072623574144</v>
      </c>
      <c r="AG37" s="261">
        <v>119</v>
      </c>
      <c r="AH37" s="254">
        <v>144</v>
      </c>
      <c r="AI37" s="262">
        <v>156</v>
      </c>
      <c r="AJ37" s="263">
        <f>AG37*产品成本!$D$2+AH37*产品成本!$D$3+AI37*产品成本!$D$4</f>
        <v>1071.97183098592</v>
      </c>
      <c r="AK37" s="263">
        <f>AG37*产品成本!$E$2+AH37*产品成本!$E$3+AI37*产品成本!$E$4</f>
        <v>81.1810183098591</v>
      </c>
      <c r="AL37" s="263">
        <f>AG37*产品成本!$F$2+AH37*产品成本!$F$3+AI37*产品成本!$F$4</f>
        <v>142.46</v>
      </c>
      <c r="AM37" s="263">
        <f>AG37*产品成本!$G$2+AH37*产品成本!$G$3+AI37*产品成本!$G$4</f>
        <v>1609.11</v>
      </c>
      <c r="AN37" s="263">
        <f t="shared" si="13"/>
        <v>1373.6985</v>
      </c>
      <c r="AO37" s="264">
        <f t="shared" si="14"/>
        <v>4278.42134929578</v>
      </c>
      <c r="AP37" s="265">
        <v>7</v>
      </c>
      <c r="AQ37" s="265">
        <v>7</v>
      </c>
      <c r="AR37" s="266">
        <v>7</v>
      </c>
      <c r="AS37" s="267">
        <f t="shared" si="15"/>
        <v>484.693181818182</v>
      </c>
      <c r="AT37" s="267">
        <f>AP37*产品成本!$D$2+AQ37*产品成本!$D$3+AR37*产品成本!$D$4</f>
        <v>52.7464788732395</v>
      </c>
      <c r="AU37" s="271">
        <f>AP37*产品成本!$E$2+AQ37*产品成本!$E$3+AR37*产品成本!$E$4</f>
        <v>4.03478028169014</v>
      </c>
      <c r="AV37" s="270">
        <f>AP37*产品成本!$F$2+AQ37*产品成本!$F$3+AR37*产品成本!$F$4</f>
        <v>7.14</v>
      </c>
      <c r="AW37" s="269"/>
      <c r="AX37" s="270">
        <f t="shared" si="16"/>
        <v>72.7039772727273</v>
      </c>
      <c r="AY37" s="269">
        <f t="shared" si="17"/>
        <v>-14.5407954545455</v>
      </c>
      <c r="AZ37" s="271">
        <f t="shared" si="18"/>
        <v>122.084440973111</v>
      </c>
      <c r="BA37" s="272">
        <f t="shared" si="19"/>
        <v>4156.33690832266</v>
      </c>
      <c r="BB37" s="272">
        <f t="shared" si="20"/>
        <v>9157.99</v>
      </c>
      <c r="BC37" s="272">
        <f t="shared" si="21"/>
        <v>8673.29681818182</v>
      </c>
      <c r="BD37" s="273">
        <f t="shared" si="22"/>
        <v>1753.54990985915</v>
      </c>
      <c r="BE37" s="274">
        <f t="shared" si="23"/>
        <v>0.202178012192917</v>
      </c>
      <c r="BF37" s="278"/>
      <c r="BG37" s="278"/>
      <c r="BH37" s="278"/>
    </row>
    <row r="38" ht="23" customHeight="1" spans="1:60">
      <c r="A38" s="285" t="s">
        <v>162</v>
      </c>
      <c r="B38" s="286" t="s">
        <v>163</v>
      </c>
      <c r="C38" s="243">
        <v>392</v>
      </c>
      <c r="D38" s="244">
        <v>375</v>
      </c>
      <c r="E38" s="247">
        <v>8810.43</v>
      </c>
      <c r="F38" s="246">
        <v>19</v>
      </c>
      <c r="G38" s="246">
        <v>16</v>
      </c>
      <c r="H38" s="247">
        <v>425.76</v>
      </c>
      <c r="I38" s="247">
        <v>36.29</v>
      </c>
      <c r="J38" s="276">
        <v>25</v>
      </c>
      <c r="K38" s="249">
        <f t="shared" si="0"/>
        <v>0.0637755102040816</v>
      </c>
      <c r="L38" s="250">
        <v>431.32</v>
      </c>
      <c r="M38" s="251">
        <f t="shared" si="1"/>
        <v>-0.0644391408114559</v>
      </c>
      <c r="N38" s="249">
        <f t="shared" si="2"/>
        <v>-0.0671641791044776</v>
      </c>
      <c r="O38" s="249">
        <f t="shared" si="3"/>
        <v>-0.0543228004417954</v>
      </c>
      <c r="P38" s="252">
        <f t="shared" si="4"/>
        <v>1.04533333333333</v>
      </c>
      <c r="Q38" s="281">
        <f t="shared" si="5"/>
        <v>23.49448</v>
      </c>
      <c r="R38" s="281">
        <f t="shared" si="6"/>
        <v>22.4755867346939</v>
      </c>
      <c r="S38" s="281">
        <f t="shared" si="7"/>
        <v>56</v>
      </c>
      <c r="T38" s="254">
        <f t="shared" si="8"/>
        <v>90</v>
      </c>
      <c r="U38" s="255">
        <f t="shared" si="9"/>
        <v>0.24</v>
      </c>
      <c r="V38" s="256">
        <f t="shared" si="10"/>
        <v>0.329487562313799</v>
      </c>
      <c r="W38" s="244">
        <v>231377</v>
      </c>
      <c r="X38" s="244">
        <v>2629</v>
      </c>
      <c r="Y38" s="244">
        <v>285</v>
      </c>
      <c r="Z38" s="257">
        <v>2890.97</v>
      </c>
      <c r="AA38" s="277">
        <v>6529.11</v>
      </c>
      <c r="AB38" s="244">
        <v>1.1</v>
      </c>
      <c r="AC38" s="259">
        <f t="shared" si="11"/>
        <v>0.442781634862945</v>
      </c>
      <c r="AD38" s="260">
        <f t="shared" ref="AD38:AF38" si="57">X38/W38</f>
        <v>0.0113624085367171</v>
      </c>
      <c r="AE38" s="260">
        <f t="shared" si="57"/>
        <v>0.108406238113351</v>
      </c>
      <c r="AF38" s="253">
        <f t="shared" si="57"/>
        <v>10.1437543859649</v>
      </c>
      <c r="AG38" s="261">
        <v>106</v>
      </c>
      <c r="AH38" s="254">
        <v>129</v>
      </c>
      <c r="AI38" s="262">
        <v>157</v>
      </c>
      <c r="AJ38" s="263">
        <f>AG38*产品成本!$D$2+AH38*产品成本!$D$3+AI38*产品成本!$D$4</f>
        <v>1016.12676056338</v>
      </c>
      <c r="AK38" s="263">
        <f>AG38*产品成本!$E$2+AH38*产品成本!$E$3+AI38*产品成本!$E$4</f>
        <v>76.2422746478873</v>
      </c>
      <c r="AL38" s="263">
        <f>AG38*产品成本!$F$2+AH38*产品成本!$F$3+AI38*产品成本!$F$4</f>
        <v>133.28</v>
      </c>
      <c r="AM38" s="263">
        <f>AG38*产品成本!$G$2+AH38*产品成本!$G$3+AI38*产品成本!$G$4</f>
        <v>1506.54</v>
      </c>
      <c r="AN38" s="263">
        <f t="shared" si="13"/>
        <v>1316.121</v>
      </c>
      <c r="AO38" s="264">
        <f t="shared" si="14"/>
        <v>4048.31003521127</v>
      </c>
      <c r="AP38" s="265">
        <v>4</v>
      </c>
      <c r="AQ38" s="265">
        <v>8</v>
      </c>
      <c r="AR38" s="266">
        <v>13</v>
      </c>
      <c r="AS38" s="267">
        <f t="shared" si="15"/>
        <v>490.136363636364</v>
      </c>
      <c r="AT38" s="267">
        <f>AP38*产品成本!$D$2+AQ38*产品成本!$D$3+AR38*产品成本!$D$4</f>
        <v>68.3802816901409</v>
      </c>
      <c r="AU38" s="271">
        <f>AP38*产品成本!$E$2+AQ38*产品成本!$E$3+AR38*产品成本!$E$4</f>
        <v>4.96674929577464</v>
      </c>
      <c r="AV38" s="270">
        <f>AP38*产品成本!$F$2+AQ38*产品成本!$F$3+AR38*产品成本!$F$4</f>
        <v>8.5</v>
      </c>
      <c r="AW38" s="269"/>
      <c r="AX38" s="270">
        <f t="shared" si="16"/>
        <v>73.5204545454545</v>
      </c>
      <c r="AY38" s="269">
        <f t="shared" si="17"/>
        <v>-14.7040909090909</v>
      </c>
      <c r="AZ38" s="271">
        <f t="shared" si="18"/>
        <v>140.663394622279</v>
      </c>
      <c r="BA38" s="272">
        <f t="shared" si="19"/>
        <v>3907.64664058899</v>
      </c>
      <c r="BB38" s="272">
        <f t="shared" si="20"/>
        <v>8774.14</v>
      </c>
      <c r="BC38" s="272">
        <f t="shared" si="21"/>
        <v>8284.00363636364</v>
      </c>
      <c r="BD38" s="273">
        <f t="shared" si="22"/>
        <v>1485.38699577465</v>
      </c>
      <c r="BE38" s="274">
        <f t="shared" si="23"/>
        <v>0.179307863803241</v>
      </c>
      <c r="BF38" s="280"/>
      <c r="BG38" s="280" t="s">
        <v>164</v>
      </c>
      <c r="BH38" s="280"/>
    </row>
    <row r="39" ht="23" customHeight="1" spans="1:60">
      <c r="A39" s="285" t="s">
        <v>165</v>
      </c>
      <c r="B39" s="285" t="s">
        <v>166</v>
      </c>
      <c r="C39" s="243">
        <v>542</v>
      </c>
      <c r="D39" s="244">
        <v>508</v>
      </c>
      <c r="E39" s="247">
        <v>10601.36</v>
      </c>
      <c r="F39" s="246">
        <v>0</v>
      </c>
      <c r="G39" s="246">
        <v>0</v>
      </c>
      <c r="H39" s="247">
        <v>0</v>
      </c>
      <c r="I39" s="247">
        <v>0</v>
      </c>
      <c r="J39" s="276">
        <v>30</v>
      </c>
      <c r="K39" s="249">
        <f t="shared" si="0"/>
        <v>0.0553505535055351</v>
      </c>
      <c r="L39" s="250">
        <v>594.68</v>
      </c>
      <c r="M39" s="251">
        <f t="shared" si="1"/>
        <v>0.38265306122449</v>
      </c>
      <c r="N39" s="249">
        <f t="shared" si="2"/>
        <v>0.354666666666667</v>
      </c>
      <c r="O39" s="249">
        <f t="shared" si="3"/>
        <v>0.203273847019953</v>
      </c>
      <c r="P39" s="252">
        <f t="shared" si="4"/>
        <v>1.06692913385827</v>
      </c>
      <c r="Q39" s="281">
        <f t="shared" si="5"/>
        <v>20.8688188976378</v>
      </c>
      <c r="R39" s="281">
        <f t="shared" si="6"/>
        <v>19.559704797048</v>
      </c>
      <c r="S39" s="281">
        <f>C39/4</f>
        <v>135.5</v>
      </c>
      <c r="T39" s="254">
        <f t="shared" si="8"/>
        <v>211</v>
      </c>
      <c r="U39" s="255">
        <f t="shared" si="9"/>
        <v>0.415354330708661</v>
      </c>
      <c r="V39" s="256">
        <f t="shared" si="10"/>
        <v>0.258195174958684</v>
      </c>
      <c r="W39" s="244">
        <v>226717</v>
      </c>
      <c r="X39" s="244">
        <v>2425</v>
      </c>
      <c r="Y39" s="244">
        <v>297</v>
      </c>
      <c r="Z39" s="257">
        <v>2737.22</v>
      </c>
      <c r="AA39" s="277">
        <v>6015.47</v>
      </c>
      <c r="AB39" s="244">
        <v>1.13</v>
      </c>
      <c r="AC39" s="259">
        <f t="shared" si="11"/>
        <v>0.455030114022678</v>
      </c>
      <c r="AD39" s="260">
        <f t="shared" ref="AD39:AF39" si="58">X39/W39</f>
        <v>0.0106961542363387</v>
      </c>
      <c r="AE39" s="260">
        <f t="shared" si="58"/>
        <v>0.122474226804124</v>
      </c>
      <c r="AF39" s="253">
        <f t="shared" si="58"/>
        <v>9.21622895622895</v>
      </c>
      <c r="AG39" s="261">
        <v>143</v>
      </c>
      <c r="AH39" s="254">
        <v>187</v>
      </c>
      <c r="AI39" s="262">
        <v>212</v>
      </c>
      <c r="AJ39" s="263">
        <f>AG39*产品成本!$D$2+AH39*产品成本!$D$3+AI39*产品成本!$D$4</f>
        <v>1398.87323943662</v>
      </c>
      <c r="AK39" s="263">
        <f>AG39*产品成本!$E$2+AH39*产品成本!$E$3+AI39*产品成本!$E$4</f>
        <v>105.397563380282</v>
      </c>
      <c r="AL39" s="263">
        <f>AG39*产品成本!$F$2+AH39*产品成本!$F$3+AI39*产品成本!$F$4</f>
        <v>184.28</v>
      </c>
      <c r="AM39" s="263">
        <f>AG39*产品成本!$G$2+AH39*产品成本!$G$3+AI39*产品成本!$G$4</f>
        <v>2083.77</v>
      </c>
      <c r="AN39" s="263">
        <f t="shared" si="13"/>
        <v>1590.204</v>
      </c>
      <c r="AO39" s="264">
        <f t="shared" si="14"/>
        <v>5362.5248028169</v>
      </c>
      <c r="AP39" s="265">
        <v>6</v>
      </c>
      <c r="AQ39" s="265">
        <v>13</v>
      </c>
      <c r="AR39" s="266">
        <v>4</v>
      </c>
      <c r="AS39" s="267">
        <f t="shared" si="15"/>
        <v>675.772727272727</v>
      </c>
      <c r="AT39" s="267">
        <f>AP39*产品成本!$D$2+AQ39*产品成本!$D$3+AR39*产品成本!$D$4</f>
        <v>53.3802816901409</v>
      </c>
      <c r="AU39" s="271">
        <f>AP39*产品成本!$E$2+AQ39*产品成本!$E$3+AR39*产品成本!$E$4</f>
        <v>4.38791408450704</v>
      </c>
      <c r="AV39" s="270">
        <f>AP39*产品成本!$F$2+AQ39*产品成本!$F$3+AR39*产品成本!$F$4</f>
        <v>7.82</v>
      </c>
      <c r="AW39" s="269"/>
      <c r="AX39" s="270">
        <f t="shared" si="16"/>
        <v>101.365909090909</v>
      </c>
      <c r="AY39" s="269">
        <f t="shared" si="17"/>
        <v>-20.2731818181818</v>
      </c>
      <c r="AZ39" s="271">
        <f t="shared" si="18"/>
        <v>146.680923047375</v>
      </c>
      <c r="BA39" s="272">
        <f t="shared" si="19"/>
        <v>5215.84387976953</v>
      </c>
      <c r="BB39" s="272">
        <f t="shared" si="20"/>
        <v>10601.36</v>
      </c>
      <c r="BC39" s="272">
        <f t="shared" si="21"/>
        <v>9925.58727272727</v>
      </c>
      <c r="BD39" s="273">
        <f t="shared" si="22"/>
        <v>1972.52339295775</v>
      </c>
      <c r="BE39" s="274">
        <f t="shared" si="23"/>
        <v>0.198731151997191</v>
      </c>
      <c r="BF39" s="278"/>
      <c r="BG39" s="278"/>
      <c r="BH39" s="278"/>
    </row>
    <row r="40" ht="23" customHeight="1" spans="1:60">
      <c r="A40" s="285" t="s">
        <v>167</v>
      </c>
      <c r="B40" s="285" t="s">
        <v>168</v>
      </c>
      <c r="C40" s="243">
        <v>735</v>
      </c>
      <c r="D40" s="244">
        <v>694</v>
      </c>
      <c r="E40" s="247">
        <v>14720.75</v>
      </c>
      <c r="F40" s="246">
        <v>0</v>
      </c>
      <c r="G40" s="246">
        <v>0</v>
      </c>
      <c r="H40" s="247">
        <v>0</v>
      </c>
      <c r="I40" s="247">
        <v>0</v>
      </c>
      <c r="J40" s="276">
        <v>43</v>
      </c>
      <c r="K40" s="249">
        <f t="shared" si="0"/>
        <v>0.0585034013605442</v>
      </c>
      <c r="L40" s="250">
        <v>855.49</v>
      </c>
      <c r="M40" s="251">
        <f t="shared" si="1"/>
        <v>0.356088560885609</v>
      </c>
      <c r="N40" s="249">
        <f t="shared" si="2"/>
        <v>0.366141732283465</v>
      </c>
      <c r="O40" s="249">
        <f t="shared" si="3"/>
        <v>0.388571843612518</v>
      </c>
      <c r="P40" s="252">
        <f t="shared" si="4"/>
        <v>1.05907780979827</v>
      </c>
      <c r="Q40" s="281">
        <f t="shared" si="5"/>
        <v>21.2114553314121</v>
      </c>
      <c r="R40" s="281">
        <f t="shared" si="6"/>
        <v>20.028231292517</v>
      </c>
      <c r="S40" s="281">
        <f t="shared" ref="S40:S75" si="59">C40/7</f>
        <v>105</v>
      </c>
      <c r="T40" s="254">
        <f t="shared" si="8"/>
        <v>229</v>
      </c>
      <c r="U40" s="255">
        <f t="shared" si="9"/>
        <v>0.329971181556196</v>
      </c>
      <c r="V40" s="256">
        <f t="shared" si="10"/>
        <v>0.274893602567804</v>
      </c>
      <c r="W40" s="244">
        <v>331218</v>
      </c>
      <c r="X40" s="244">
        <v>3643</v>
      </c>
      <c r="Y40" s="244">
        <v>465</v>
      </c>
      <c r="Z40" s="257">
        <v>4046.64</v>
      </c>
      <c r="AA40" s="277">
        <v>9606.34</v>
      </c>
      <c r="AB40" s="244">
        <v>1.11</v>
      </c>
      <c r="AC40" s="259">
        <f t="shared" si="11"/>
        <v>0.421246801591449</v>
      </c>
      <c r="AD40" s="260">
        <f t="shared" ref="AD40:AF40" si="60">X40/W40</f>
        <v>0.0109987983744845</v>
      </c>
      <c r="AE40" s="260">
        <f t="shared" si="60"/>
        <v>0.127642053252814</v>
      </c>
      <c r="AF40" s="253">
        <f t="shared" si="60"/>
        <v>8.70245161290322</v>
      </c>
      <c r="AG40" s="261">
        <v>197</v>
      </c>
      <c r="AH40" s="254">
        <v>261</v>
      </c>
      <c r="AI40" s="262">
        <v>277</v>
      </c>
      <c r="AJ40" s="263">
        <f>AG40*产品成本!$D$2+AH40*产品成本!$D$3+AI40*产品成本!$D$4</f>
        <v>1884.43661971831</v>
      </c>
      <c r="AK40" s="263">
        <f>AG40*产品成本!$E$2+AH40*产品成本!$E$3+AI40*产品成本!$E$4</f>
        <v>142.688814084507</v>
      </c>
      <c r="AL40" s="263">
        <f>AG40*产品成本!$F$2+AH40*产品成本!$F$3+AI40*产品成本!$F$4</f>
        <v>249.9</v>
      </c>
      <c r="AM40" s="263">
        <f>AG40*产品成本!$G$2+AH40*产品成本!$G$3+AI40*产品成本!$G$4</f>
        <v>2825.13</v>
      </c>
      <c r="AN40" s="263">
        <f t="shared" si="13"/>
        <v>2208.1125</v>
      </c>
      <c r="AO40" s="264">
        <f t="shared" si="14"/>
        <v>7310.26793380282</v>
      </c>
      <c r="AP40" s="265">
        <v>10</v>
      </c>
      <c r="AQ40" s="265">
        <v>17</v>
      </c>
      <c r="AR40" s="266">
        <v>16</v>
      </c>
      <c r="AS40" s="267">
        <f t="shared" si="15"/>
        <v>972.147727272727</v>
      </c>
      <c r="AT40" s="267">
        <f>AP40*产品成本!$D$2+AQ40*产品成本!$D$3+AR40*产品成本!$D$4</f>
        <v>110</v>
      </c>
      <c r="AU40" s="271">
        <f>AP40*产品成本!$E$2+AQ40*产品成本!$E$3+AR40*产品成本!$E$4</f>
        <v>8.3735028169014</v>
      </c>
      <c r="AV40" s="270">
        <f>AP40*产品成本!$F$2+AQ40*产品成本!$F$3+AR40*产品成本!$F$4</f>
        <v>14.62</v>
      </c>
      <c r="AW40" s="269"/>
      <c r="AX40" s="270">
        <f t="shared" si="16"/>
        <v>145.822159090909</v>
      </c>
      <c r="AY40" s="269">
        <f t="shared" si="17"/>
        <v>-29.1644318181818</v>
      </c>
      <c r="AZ40" s="271">
        <f t="shared" si="18"/>
        <v>249.651230089629</v>
      </c>
      <c r="BA40" s="272">
        <f t="shared" si="19"/>
        <v>7060.61670371319</v>
      </c>
      <c r="BB40" s="272">
        <f t="shared" si="20"/>
        <v>14720.75</v>
      </c>
      <c r="BC40" s="272">
        <f t="shared" si="21"/>
        <v>13748.6022727273</v>
      </c>
      <c r="BD40" s="273">
        <f t="shared" si="22"/>
        <v>2641.34556901408</v>
      </c>
      <c r="BE40" s="274">
        <f t="shared" si="23"/>
        <v>0.192117388852949</v>
      </c>
      <c r="BF40" s="280"/>
      <c r="BG40" s="280"/>
      <c r="BH40" s="280"/>
    </row>
    <row r="41" ht="23" customHeight="1" spans="1:60">
      <c r="A41" s="285" t="s">
        <v>169</v>
      </c>
      <c r="B41" s="285" t="s">
        <v>170</v>
      </c>
      <c r="C41" s="243">
        <v>425</v>
      </c>
      <c r="D41" s="244">
        <v>403</v>
      </c>
      <c r="E41" s="247">
        <v>10003.3</v>
      </c>
      <c r="F41" s="246">
        <v>31</v>
      </c>
      <c r="G41" s="246">
        <v>30</v>
      </c>
      <c r="H41" s="247">
        <v>768.09</v>
      </c>
      <c r="I41" s="247">
        <v>69.56</v>
      </c>
      <c r="J41" s="276">
        <v>41</v>
      </c>
      <c r="K41" s="249">
        <f t="shared" si="0"/>
        <v>0.0964705882352941</v>
      </c>
      <c r="L41" s="250">
        <v>753.49</v>
      </c>
      <c r="M41" s="251">
        <f t="shared" si="1"/>
        <v>-0.421768707482993</v>
      </c>
      <c r="N41" s="249">
        <f t="shared" si="2"/>
        <v>-0.419308357348703</v>
      </c>
      <c r="O41" s="249">
        <f t="shared" si="3"/>
        <v>-0.320462612298966</v>
      </c>
      <c r="P41" s="252">
        <f t="shared" si="4"/>
        <v>1.0545905707196</v>
      </c>
      <c r="Q41" s="281">
        <f t="shared" si="5"/>
        <v>24.8220843672457</v>
      </c>
      <c r="R41" s="281">
        <f t="shared" si="6"/>
        <v>23.5371764705882</v>
      </c>
      <c r="S41" s="281">
        <f t="shared" si="59"/>
        <v>60.7142857142857</v>
      </c>
      <c r="T41" s="254">
        <f t="shared" si="8"/>
        <v>152</v>
      </c>
      <c r="U41" s="255">
        <f t="shared" si="9"/>
        <v>0.377171215880893</v>
      </c>
      <c r="V41" s="256">
        <f t="shared" si="10"/>
        <v>0.243525600629773</v>
      </c>
      <c r="W41" s="244">
        <v>199964</v>
      </c>
      <c r="X41" s="244">
        <v>2365</v>
      </c>
      <c r="Y41" s="244">
        <v>251</v>
      </c>
      <c r="Z41" s="257">
        <v>2419.12</v>
      </c>
      <c r="AA41" s="277">
        <v>6289.86</v>
      </c>
      <c r="AB41" s="279" t="s">
        <v>171</v>
      </c>
      <c r="AC41" s="259">
        <f t="shared" si="11"/>
        <v>0.384606334640199</v>
      </c>
      <c r="AD41" s="260">
        <f t="shared" ref="AD41:AF41" si="61">X41/W41</f>
        <v>0.011827128883199</v>
      </c>
      <c r="AE41" s="260">
        <f t="shared" si="61"/>
        <v>0.106131078224101</v>
      </c>
      <c r="AF41" s="253">
        <f t="shared" si="61"/>
        <v>9.63792828685259</v>
      </c>
      <c r="AG41" s="261">
        <v>112</v>
      </c>
      <c r="AH41" s="254">
        <v>184</v>
      </c>
      <c r="AI41" s="262">
        <v>129</v>
      </c>
      <c r="AJ41" s="263">
        <f>AG41*产品成本!$D$2+AH41*产品成本!$D$3+AI41*产品成本!$D$4</f>
        <v>1052.32394366197</v>
      </c>
      <c r="AK41" s="263">
        <f>AG41*产品成本!$E$2+AH41*产品成本!$E$3+AI41*产品成本!$E$4</f>
        <v>82.0073746478872</v>
      </c>
      <c r="AL41" s="263">
        <f>AG41*产品成本!$F$2+AH41*产品成本!$F$3+AI41*产品成本!$F$4</f>
        <v>144.5</v>
      </c>
      <c r="AM41" s="263">
        <f>AG41*产品成本!$G$2+AH41*产品成本!$G$3+AI41*产品成本!$G$4</f>
        <v>1633.98</v>
      </c>
      <c r="AN41" s="263">
        <f t="shared" si="13"/>
        <v>1490.061</v>
      </c>
      <c r="AO41" s="264">
        <f t="shared" si="14"/>
        <v>4402.87231830986</v>
      </c>
      <c r="AP41" s="265">
        <v>15</v>
      </c>
      <c r="AQ41" s="265">
        <v>10</v>
      </c>
      <c r="AR41" s="266">
        <v>16</v>
      </c>
      <c r="AS41" s="267">
        <f t="shared" si="15"/>
        <v>856.238636363636</v>
      </c>
      <c r="AT41" s="267">
        <f>AP41*产品成本!$D$2+AQ41*产品成本!$D$3+AR41*产品成本!$D$4</f>
        <v>105.774647887324</v>
      </c>
      <c r="AU41" s="271">
        <f>AP41*产品成本!$E$2+AQ41*产品成本!$E$3+AR41*产品成本!$E$4</f>
        <v>7.89200704225351</v>
      </c>
      <c r="AV41" s="270">
        <f>AP41*产品成本!$F$2+AQ41*产品成本!$F$3+AR41*产品成本!$F$4</f>
        <v>13.94</v>
      </c>
      <c r="AW41" s="269"/>
      <c r="AX41" s="270">
        <f t="shared" si="16"/>
        <v>128.435795454545</v>
      </c>
      <c r="AY41" s="269">
        <f t="shared" si="17"/>
        <v>-25.6871590909091</v>
      </c>
      <c r="AZ41" s="271">
        <f t="shared" si="18"/>
        <v>230.355291293214</v>
      </c>
      <c r="BA41" s="272">
        <f t="shared" si="19"/>
        <v>4172.51702701665</v>
      </c>
      <c r="BB41" s="272">
        <f t="shared" si="20"/>
        <v>9933.74</v>
      </c>
      <c r="BC41" s="272">
        <f t="shared" si="21"/>
        <v>9077.50136363636</v>
      </c>
      <c r="BD41" s="273">
        <f t="shared" si="22"/>
        <v>2485.86433661972</v>
      </c>
      <c r="BE41" s="274">
        <f t="shared" si="23"/>
        <v>0.273848963171502</v>
      </c>
      <c r="BF41" s="278"/>
      <c r="BG41" s="278"/>
      <c r="BH41" s="278"/>
    </row>
    <row r="42" ht="23" customHeight="1" spans="1:60">
      <c r="A42" s="285" t="s">
        <v>172</v>
      </c>
      <c r="B42" s="285" t="s">
        <v>173</v>
      </c>
      <c r="C42" s="243">
        <v>383</v>
      </c>
      <c r="D42" s="244">
        <v>366</v>
      </c>
      <c r="E42" s="247">
        <v>9301.87</v>
      </c>
      <c r="F42" s="246">
        <v>44</v>
      </c>
      <c r="G42" s="246">
        <v>38</v>
      </c>
      <c r="H42" s="247">
        <v>1056.86</v>
      </c>
      <c r="I42" s="247">
        <v>87.45</v>
      </c>
      <c r="J42" s="276">
        <v>40</v>
      </c>
      <c r="K42" s="249">
        <f t="shared" si="0"/>
        <v>0.10443864229765</v>
      </c>
      <c r="L42" s="250">
        <v>720.26</v>
      </c>
      <c r="M42" s="251">
        <f t="shared" si="1"/>
        <v>-0.0988235294117647</v>
      </c>
      <c r="N42" s="249">
        <f t="shared" si="2"/>
        <v>-0.0918114143920596</v>
      </c>
      <c r="O42" s="249">
        <f t="shared" si="3"/>
        <v>-0.0701198604460527</v>
      </c>
      <c r="P42" s="252">
        <f t="shared" si="4"/>
        <v>1.04644808743169</v>
      </c>
      <c r="Q42" s="281">
        <f t="shared" si="5"/>
        <v>25.4149453551913</v>
      </c>
      <c r="R42" s="281">
        <f t="shared" si="6"/>
        <v>24.2868668407311</v>
      </c>
      <c r="S42" s="281">
        <f t="shared" si="59"/>
        <v>54.7142857142857</v>
      </c>
      <c r="T42" s="254">
        <f t="shared" si="8"/>
        <v>135</v>
      </c>
      <c r="U42" s="255">
        <f t="shared" si="9"/>
        <v>0.368852459016393</v>
      </c>
      <c r="V42" s="256">
        <f t="shared" si="10"/>
        <v>0.252856935108233</v>
      </c>
      <c r="W42" s="244">
        <v>200165</v>
      </c>
      <c r="X42" s="244">
        <v>2315</v>
      </c>
      <c r="Y42" s="244">
        <v>231</v>
      </c>
      <c r="Z42" s="257">
        <v>2329.93</v>
      </c>
      <c r="AA42" s="277">
        <v>5705.61</v>
      </c>
      <c r="AB42" s="244">
        <v>1.01</v>
      </c>
      <c r="AC42" s="259">
        <f t="shared" si="11"/>
        <v>0.408357739137445</v>
      </c>
      <c r="AD42" s="260">
        <f t="shared" ref="AD42:AF42" si="62">X42/W42</f>
        <v>0.0115654584967402</v>
      </c>
      <c r="AE42" s="260">
        <f t="shared" si="62"/>
        <v>0.0997840172786177</v>
      </c>
      <c r="AF42" s="253">
        <f t="shared" si="62"/>
        <v>10.0862770562771</v>
      </c>
      <c r="AG42" s="261">
        <v>110</v>
      </c>
      <c r="AH42" s="254">
        <v>185</v>
      </c>
      <c r="AI42" s="262">
        <v>88</v>
      </c>
      <c r="AJ42" s="263">
        <f>AG42*产品成本!$D$2+AH42*产品成本!$D$3+AI42*产品成本!$D$4</f>
        <v>914.507042253522</v>
      </c>
      <c r="AK42" s="263">
        <f>AG42*产品成本!$E$2+AH42*产品成本!$E$3+AI42*产品成本!$E$4</f>
        <v>73.2429507042253</v>
      </c>
      <c r="AL42" s="263">
        <f>AG42*产品成本!$F$2+AH42*产品成本!$F$3+AI42*产品成本!$F$4</f>
        <v>130.22</v>
      </c>
      <c r="AM42" s="263">
        <f>AG42*产品成本!$G$2+AH42*产品成本!$G$3+AI42*产品成本!$G$4</f>
        <v>1470.6</v>
      </c>
      <c r="AN42" s="263">
        <f t="shared" si="13"/>
        <v>1382.163</v>
      </c>
      <c r="AO42" s="264">
        <f t="shared" si="14"/>
        <v>3970.73299295775</v>
      </c>
      <c r="AP42" s="265">
        <v>10</v>
      </c>
      <c r="AQ42" s="265">
        <v>11</v>
      </c>
      <c r="AR42" s="266">
        <v>19</v>
      </c>
      <c r="AS42" s="267">
        <f t="shared" si="15"/>
        <v>818.477272727273</v>
      </c>
      <c r="AT42" s="267">
        <f>AP42*产品成本!$D$2+AQ42*产品成本!$D$3+AR42*产品成本!$D$4</f>
        <v>107.253521126761</v>
      </c>
      <c r="AU42" s="271">
        <f>AP42*产品成本!$E$2+AQ42*产品成本!$E$3+AR42*产品成本!$E$4</f>
        <v>7.84676197183098</v>
      </c>
      <c r="AV42" s="270">
        <f>AP42*产品成本!$F$2+AQ42*产品成本!$F$3+AR42*产品成本!$F$4</f>
        <v>13.6</v>
      </c>
      <c r="AW42" s="269"/>
      <c r="AX42" s="270">
        <f t="shared" si="16"/>
        <v>122.771590909091</v>
      </c>
      <c r="AY42" s="269">
        <f t="shared" si="17"/>
        <v>-24.5543181818182</v>
      </c>
      <c r="AZ42" s="271">
        <f t="shared" si="18"/>
        <v>226.917555825864</v>
      </c>
      <c r="BA42" s="272">
        <f t="shared" si="19"/>
        <v>3743.81543713188</v>
      </c>
      <c r="BB42" s="272">
        <f t="shared" si="20"/>
        <v>9214.42</v>
      </c>
      <c r="BC42" s="272">
        <f t="shared" si="21"/>
        <v>8395.94272727273</v>
      </c>
      <c r="BD42" s="273">
        <f t="shared" si="22"/>
        <v>2322.19729014084</v>
      </c>
      <c r="BE42" s="274">
        <f t="shared" si="23"/>
        <v>0.276585651614511</v>
      </c>
      <c r="BF42" s="280"/>
      <c r="BG42" s="280" t="s">
        <v>174</v>
      </c>
      <c r="BH42" s="280"/>
    </row>
    <row r="43" ht="23" customHeight="1" spans="1:60">
      <c r="A43" s="285" t="s">
        <v>175</v>
      </c>
      <c r="B43" s="285" t="s">
        <v>176</v>
      </c>
      <c r="C43" s="243">
        <v>434</v>
      </c>
      <c r="D43" s="244">
        <v>403</v>
      </c>
      <c r="E43" s="247">
        <v>10601.18</v>
      </c>
      <c r="F43" s="246">
        <v>44</v>
      </c>
      <c r="G43" s="246">
        <v>43</v>
      </c>
      <c r="H43" s="247">
        <v>1076.26</v>
      </c>
      <c r="I43" s="247">
        <v>98.94</v>
      </c>
      <c r="J43" s="276">
        <v>40</v>
      </c>
      <c r="K43" s="249">
        <f t="shared" si="0"/>
        <v>0.0921658986175115</v>
      </c>
      <c r="L43" s="250">
        <v>675.08</v>
      </c>
      <c r="M43" s="251">
        <f t="shared" si="1"/>
        <v>0.133159268929504</v>
      </c>
      <c r="N43" s="249">
        <f t="shared" si="2"/>
        <v>0.101092896174863</v>
      </c>
      <c r="O43" s="249">
        <f t="shared" si="3"/>
        <v>0.139682665958565</v>
      </c>
      <c r="P43" s="252">
        <f t="shared" si="4"/>
        <v>1.07692307692308</v>
      </c>
      <c r="Q43" s="281">
        <f t="shared" si="5"/>
        <v>26.3056575682382</v>
      </c>
      <c r="R43" s="281">
        <f t="shared" si="6"/>
        <v>24.4266820276498</v>
      </c>
      <c r="S43" s="281">
        <f t="shared" si="59"/>
        <v>62</v>
      </c>
      <c r="T43" s="254">
        <f t="shared" si="8"/>
        <v>177</v>
      </c>
      <c r="U43" s="255">
        <f t="shared" si="9"/>
        <v>0.439205955334988</v>
      </c>
      <c r="V43" s="256">
        <f t="shared" si="10"/>
        <v>0.243541377839394</v>
      </c>
      <c r="W43" s="244">
        <v>212393</v>
      </c>
      <c r="X43" s="244">
        <v>2508</v>
      </c>
      <c r="Y43" s="244">
        <v>226</v>
      </c>
      <c r="Z43" s="257">
        <v>2557.73</v>
      </c>
      <c r="AA43" s="277">
        <v>5663.04</v>
      </c>
      <c r="AB43" s="244">
        <v>1.02</v>
      </c>
      <c r="AC43" s="259">
        <f t="shared" si="11"/>
        <v>0.451653175679494</v>
      </c>
      <c r="AD43" s="260">
        <f t="shared" ref="AD43:AF43" si="63">X43/W43</f>
        <v>0.0118082987669085</v>
      </c>
      <c r="AE43" s="260">
        <f t="shared" si="63"/>
        <v>0.0901116427432217</v>
      </c>
      <c r="AF43" s="253">
        <f t="shared" si="63"/>
        <v>11.317389380531</v>
      </c>
      <c r="AG43" s="261">
        <v>95</v>
      </c>
      <c r="AH43" s="254">
        <v>196</v>
      </c>
      <c r="AI43" s="262">
        <v>141</v>
      </c>
      <c r="AJ43" s="263">
        <f>AG43*产品成本!$D$2+AH43*产品成本!$D$3+AI43*产品成本!$D$4</f>
        <v>1081.47887323944</v>
      </c>
      <c r="AK43" s="263">
        <f>AG43*产品成本!$E$2+AH43*产品成本!$E$3+AI43*产品成本!$E$4</f>
        <v>83.8895366197182</v>
      </c>
      <c r="AL43" s="263">
        <f>AG43*产品成本!$F$2+AH43*产品成本!$F$3+AI43*产品成本!$F$4</f>
        <v>146.88</v>
      </c>
      <c r="AM43" s="263">
        <f>AG43*产品成本!$G$2+AH43*产品成本!$G$3+AI43*产品成本!$G$4</f>
        <v>1664.85</v>
      </c>
      <c r="AN43" s="263">
        <f t="shared" si="13"/>
        <v>1575.336</v>
      </c>
      <c r="AO43" s="264">
        <f t="shared" si="14"/>
        <v>4552.43440985916</v>
      </c>
      <c r="AP43" s="265">
        <v>10</v>
      </c>
      <c r="AQ43" s="265">
        <v>15</v>
      </c>
      <c r="AR43" s="266">
        <v>15</v>
      </c>
      <c r="AS43" s="267">
        <f t="shared" si="15"/>
        <v>767.136363636364</v>
      </c>
      <c r="AT43" s="267">
        <f>AP43*产品成本!$D$2+AQ43*产品成本!$D$3+AR43*产品成本!$D$4</f>
        <v>102.464788732394</v>
      </c>
      <c r="AU43" s="271">
        <f>AP43*产品成本!$E$2+AQ43*产品成本!$E$3+AR43*产品成本!$E$4</f>
        <v>7.77792253521126</v>
      </c>
      <c r="AV43" s="270">
        <f>AP43*产品成本!$F$2+AQ43*产品成本!$F$3+AR43*产品成本!$F$4</f>
        <v>13.6</v>
      </c>
      <c r="AW43" s="269"/>
      <c r="AX43" s="270">
        <f t="shared" si="16"/>
        <v>115.070454545455</v>
      </c>
      <c r="AY43" s="269">
        <f t="shared" si="17"/>
        <v>-23.0140909090909</v>
      </c>
      <c r="AZ43" s="271">
        <f t="shared" si="18"/>
        <v>215.899074903969</v>
      </c>
      <c r="BA43" s="272">
        <f t="shared" si="19"/>
        <v>4336.53533495519</v>
      </c>
      <c r="BB43" s="272">
        <f t="shared" si="20"/>
        <v>10502.24</v>
      </c>
      <c r="BC43" s="272">
        <f t="shared" si="21"/>
        <v>9735.10363636364</v>
      </c>
      <c r="BD43" s="273">
        <f t="shared" si="22"/>
        <v>2840.83830140845</v>
      </c>
      <c r="BE43" s="274">
        <f t="shared" si="23"/>
        <v>0.291813873536696</v>
      </c>
      <c r="BF43" s="278"/>
      <c r="BG43" s="278"/>
      <c r="BH43" s="278"/>
    </row>
    <row r="44" ht="23" customHeight="1" spans="1:60">
      <c r="A44" s="285" t="s">
        <v>177</v>
      </c>
      <c r="B44" s="285" t="s">
        <v>178</v>
      </c>
      <c r="C44" s="243">
        <v>446</v>
      </c>
      <c r="D44" s="244">
        <v>414</v>
      </c>
      <c r="E44" s="247">
        <v>10895.07</v>
      </c>
      <c r="F44" s="246">
        <v>49</v>
      </c>
      <c r="G44" s="246">
        <v>48</v>
      </c>
      <c r="H44" s="247">
        <v>1221.31</v>
      </c>
      <c r="I44" s="247">
        <v>111.02</v>
      </c>
      <c r="J44" s="276">
        <v>34</v>
      </c>
      <c r="K44" s="249">
        <f t="shared" si="0"/>
        <v>0.0762331838565022</v>
      </c>
      <c r="L44" s="250">
        <v>684.03</v>
      </c>
      <c r="M44" s="251">
        <f t="shared" si="1"/>
        <v>0.0276497695852535</v>
      </c>
      <c r="N44" s="249">
        <f t="shared" si="2"/>
        <v>0.0272952853598015</v>
      </c>
      <c r="O44" s="249">
        <f t="shared" si="3"/>
        <v>0.0277223856212232</v>
      </c>
      <c r="P44" s="252">
        <f t="shared" si="4"/>
        <v>1.07729468599034</v>
      </c>
      <c r="Q44" s="281">
        <f t="shared" si="5"/>
        <v>26.3165942028985</v>
      </c>
      <c r="R44" s="281">
        <f t="shared" si="6"/>
        <v>24.4284080717489</v>
      </c>
      <c r="S44" s="281">
        <f t="shared" si="59"/>
        <v>63.7142857142857</v>
      </c>
      <c r="T44" s="254">
        <f t="shared" si="8"/>
        <v>142</v>
      </c>
      <c r="U44" s="255">
        <f t="shared" si="9"/>
        <v>0.342995169082126</v>
      </c>
      <c r="V44" s="256">
        <f t="shared" si="10"/>
        <v>0.248962124619229</v>
      </c>
      <c r="W44" s="244">
        <v>224947</v>
      </c>
      <c r="X44" s="244">
        <v>2644</v>
      </c>
      <c r="Y44" s="244">
        <v>272</v>
      </c>
      <c r="Z44" s="257">
        <v>2684.82</v>
      </c>
      <c r="AA44" s="277">
        <v>7063.61</v>
      </c>
      <c r="AB44" s="244">
        <v>1.02</v>
      </c>
      <c r="AC44" s="259">
        <f t="shared" si="11"/>
        <v>0.380091766108265</v>
      </c>
      <c r="AD44" s="260">
        <f t="shared" ref="AD44:AF44" si="64">X44/W44</f>
        <v>0.011753879802798</v>
      </c>
      <c r="AE44" s="260">
        <f t="shared" si="64"/>
        <v>0.102874432677761</v>
      </c>
      <c r="AF44" s="253">
        <f t="shared" si="64"/>
        <v>9.87066176470588</v>
      </c>
      <c r="AG44" s="261">
        <v>87</v>
      </c>
      <c r="AH44" s="254">
        <v>151</v>
      </c>
      <c r="AI44" s="262">
        <v>183</v>
      </c>
      <c r="AJ44" s="263">
        <f>AG44*产品成本!$D$2+AH44*产品成本!$D$3+AI44*产品成本!$D$4</f>
        <v>1108.52112676056</v>
      </c>
      <c r="AK44" s="263">
        <f>AG44*产品成本!$E$2+AH44*产品成本!$E$3+AI44*产品成本!$E$4</f>
        <v>82.6451239436619</v>
      </c>
      <c r="AL44" s="263">
        <f>AG44*产品成本!$F$2+AH44*产品成本!$F$3+AI44*产品成本!$F$4</f>
        <v>143.14</v>
      </c>
      <c r="AM44" s="263">
        <f>AG44*产品成本!$G$2+AH44*产品成本!$G$3+AI44*产品成本!$G$4</f>
        <v>1623.63</v>
      </c>
      <c r="AN44" s="263">
        <f t="shared" si="13"/>
        <v>1617.6075</v>
      </c>
      <c r="AO44" s="264">
        <f t="shared" si="14"/>
        <v>4575.54375070423</v>
      </c>
      <c r="AP44" s="265">
        <v>7</v>
      </c>
      <c r="AQ44" s="265">
        <v>17</v>
      </c>
      <c r="AR44" s="266">
        <v>10</v>
      </c>
      <c r="AS44" s="267">
        <f t="shared" si="15"/>
        <v>777.306818181818</v>
      </c>
      <c r="AT44" s="267">
        <f>AP44*产品成本!$D$2+AQ44*产品成本!$D$3+AR44*产品成本!$D$4</f>
        <v>83.8028169014085</v>
      </c>
      <c r="AU44" s="271">
        <f>AP44*产品成本!$E$2+AQ44*产品成本!$E$3+AR44*产品成本!$E$4</f>
        <v>6.59268169014084</v>
      </c>
      <c r="AV44" s="270">
        <f>AP44*产品成本!$F$2+AQ44*产品成本!$F$3+AR44*产品成本!$F$4</f>
        <v>11.56</v>
      </c>
      <c r="AW44" s="269"/>
      <c r="AX44" s="270">
        <f t="shared" si="16"/>
        <v>116.596022727273</v>
      </c>
      <c r="AY44" s="269">
        <f t="shared" si="17"/>
        <v>-23.3192045454545</v>
      </c>
      <c r="AZ44" s="271">
        <f t="shared" si="18"/>
        <v>195.232316773368</v>
      </c>
      <c r="BA44" s="272">
        <f t="shared" si="19"/>
        <v>4380.31143393086</v>
      </c>
      <c r="BB44" s="272">
        <f t="shared" si="20"/>
        <v>10784.05</v>
      </c>
      <c r="BC44" s="272">
        <f t="shared" si="21"/>
        <v>10006.7431818182</v>
      </c>
      <c r="BD44" s="273">
        <f t="shared" si="22"/>
        <v>2941.61174788732</v>
      </c>
      <c r="BE44" s="274">
        <f t="shared" si="23"/>
        <v>0.293962950226614</v>
      </c>
      <c r="BF44" s="280"/>
      <c r="BG44" s="280"/>
      <c r="BH44" s="280"/>
    </row>
    <row r="45" ht="23" customHeight="1" spans="1:60">
      <c r="A45" s="285" t="s">
        <v>179</v>
      </c>
      <c r="B45" s="285" t="s">
        <v>180</v>
      </c>
      <c r="C45" s="243">
        <v>495</v>
      </c>
      <c r="D45" s="244">
        <v>453</v>
      </c>
      <c r="E45" s="247">
        <v>12053.79</v>
      </c>
      <c r="F45" s="246">
        <v>42</v>
      </c>
      <c r="G45" s="246">
        <v>41</v>
      </c>
      <c r="H45" s="247">
        <v>1030.48</v>
      </c>
      <c r="I45" s="247">
        <v>24.54</v>
      </c>
      <c r="J45" s="276">
        <v>35</v>
      </c>
      <c r="K45" s="249">
        <f t="shared" si="0"/>
        <v>0.0707070707070707</v>
      </c>
      <c r="L45" s="250">
        <v>718.29</v>
      </c>
      <c r="M45" s="251">
        <f t="shared" si="1"/>
        <v>0.109865470852018</v>
      </c>
      <c r="N45" s="249">
        <f t="shared" si="2"/>
        <v>0.0942028985507246</v>
      </c>
      <c r="O45" s="249">
        <f t="shared" si="3"/>
        <v>0.106352689794559</v>
      </c>
      <c r="P45" s="252">
        <f t="shared" si="4"/>
        <v>1.09271523178808</v>
      </c>
      <c r="Q45" s="281">
        <f t="shared" si="5"/>
        <v>26.6088079470199</v>
      </c>
      <c r="R45" s="281">
        <f t="shared" si="6"/>
        <v>24.3510909090909</v>
      </c>
      <c r="S45" s="281">
        <f t="shared" si="59"/>
        <v>70.7142857142857</v>
      </c>
      <c r="T45" s="254">
        <f t="shared" si="8"/>
        <v>160</v>
      </c>
      <c r="U45" s="255">
        <f t="shared" si="9"/>
        <v>0.353200883002208</v>
      </c>
      <c r="V45" s="256">
        <f t="shared" si="10"/>
        <v>0.224643265373984</v>
      </c>
      <c r="W45" s="244">
        <v>237482</v>
      </c>
      <c r="X45" s="244">
        <v>2677</v>
      </c>
      <c r="Y45" s="244">
        <v>293</v>
      </c>
      <c r="Z45" s="257">
        <v>2702.29</v>
      </c>
      <c r="AA45" s="277">
        <v>7963.35</v>
      </c>
      <c r="AB45" s="244">
        <v>1.01</v>
      </c>
      <c r="AC45" s="259">
        <f t="shared" si="11"/>
        <v>0.339340855293312</v>
      </c>
      <c r="AD45" s="260">
        <f t="shared" ref="AD45:AF45" si="65">X45/W45</f>
        <v>0.0112724332791538</v>
      </c>
      <c r="AE45" s="260">
        <f t="shared" si="65"/>
        <v>0.109450877848338</v>
      </c>
      <c r="AF45" s="253">
        <f t="shared" si="65"/>
        <v>9.22283276450512</v>
      </c>
      <c r="AG45" s="261">
        <v>120</v>
      </c>
      <c r="AH45" s="254">
        <v>199</v>
      </c>
      <c r="AI45" s="262">
        <v>176</v>
      </c>
      <c r="AJ45" s="263">
        <f>AG45*产品成本!$D$2+AH45*产品成本!$D$3+AI45*产品成本!$D$4</f>
        <v>1256.47887323944</v>
      </c>
      <c r="AK45" s="263">
        <f>AG45*产品成本!$E$2+AH45*产品成本!$E$3+AI45*产品成本!$E$4</f>
        <v>96.1580830985914</v>
      </c>
      <c r="AL45" s="263">
        <f>AG45*产品成本!$F$2+AH45*产品成本!$F$3+AI45*产品成本!$F$4</f>
        <v>168.3</v>
      </c>
      <c r="AM45" s="263">
        <f>AG45*产品成本!$G$2+AH45*产品成本!$G$3+AI45*产品成本!$G$4</f>
        <v>1905.3</v>
      </c>
      <c r="AN45" s="263">
        <f t="shared" si="13"/>
        <v>1804.3875</v>
      </c>
      <c r="AO45" s="264">
        <f t="shared" si="14"/>
        <v>5230.62445633803</v>
      </c>
      <c r="AP45" s="265">
        <v>11</v>
      </c>
      <c r="AQ45" s="265">
        <v>10</v>
      </c>
      <c r="AR45" s="266">
        <v>14</v>
      </c>
      <c r="AS45" s="267">
        <f t="shared" si="15"/>
        <v>816.238636363636</v>
      </c>
      <c r="AT45" s="267">
        <f>AP45*产品成本!$D$2+AQ45*产品成本!$D$3+AR45*产品成本!$D$4</f>
        <v>90.7042253521127</v>
      </c>
      <c r="AU45" s="271">
        <f>AP45*产品成本!$E$2+AQ45*产品成本!$E$3+AR45*产品成本!$E$4</f>
        <v>6.77757887323943</v>
      </c>
      <c r="AV45" s="270">
        <f>AP45*产品成本!$F$2+AQ45*产品成本!$F$3+AR45*产品成本!$F$4</f>
        <v>11.9</v>
      </c>
      <c r="AW45" s="269"/>
      <c r="AX45" s="270">
        <f t="shared" si="16"/>
        <v>122.435795454545</v>
      </c>
      <c r="AY45" s="269">
        <f t="shared" si="17"/>
        <v>-24.4871590909091</v>
      </c>
      <c r="AZ45" s="271">
        <f t="shared" si="18"/>
        <v>207.330440588989</v>
      </c>
      <c r="BA45" s="272">
        <f t="shared" si="19"/>
        <v>5023.29401574904</v>
      </c>
      <c r="BB45" s="272">
        <f t="shared" si="20"/>
        <v>12029.25</v>
      </c>
      <c r="BC45" s="272">
        <f t="shared" si="21"/>
        <v>11213.0113636364</v>
      </c>
      <c r="BD45" s="273">
        <f t="shared" si="22"/>
        <v>3487.42734788732</v>
      </c>
      <c r="BE45" s="274">
        <f t="shared" si="23"/>
        <v>0.311016125355674</v>
      </c>
      <c r="BF45" s="278"/>
      <c r="BG45" s="278"/>
      <c r="BH45" s="278"/>
    </row>
    <row r="46" ht="23" customHeight="1" spans="1:60">
      <c r="A46" s="285" t="s">
        <v>181</v>
      </c>
      <c r="B46" s="285" t="s">
        <v>182</v>
      </c>
      <c r="C46" s="243">
        <v>534</v>
      </c>
      <c r="D46" s="244">
        <v>510</v>
      </c>
      <c r="E46" s="247">
        <v>13028.96</v>
      </c>
      <c r="F46" s="246">
        <v>34</v>
      </c>
      <c r="G46" s="246">
        <v>30</v>
      </c>
      <c r="H46" s="247">
        <v>835.96</v>
      </c>
      <c r="I46" s="247">
        <v>24.59</v>
      </c>
      <c r="J46" s="276">
        <v>37</v>
      </c>
      <c r="K46" s="249">
        <f t="shared" si="0"/>
        <v>0.0692883895131086</v>
      </c>
      <c r="L46" s="250">
        <v>770.91</v>
      </c>
      <c r="M46" s="251">
        <f t="shared" si="1"/>
        <v>0.0787878787878788</v>
      </c>
      <c r="N46" s="249">
        <f t="shared" si="2"/>
        <v>0.125827814569536</v>
      </c>
      <c r="O46" s="249">
        <f t="shared" si="3"/>
        <v>0.080901525578262</v>
      </c>
      <c r="P46" s="252">
        <f t="shared" si="4"/>
        <v>1.04705882352941</v>
      </c>
      <c r="Q46" s="281">
        <f t="shared" si="5"/>
        <v>25.5469803921569</v>
      </c>
      <c r="R46" s="281">
        <f t="shared" si="6"/>
        <v>24.3988014981273</v>
      </c>
      <c r="S46" s="281">
        <f t="shared" si="59"/>
        <v>76.2857142857143</v>
      </c>
      <c r="T46" s="254">
        <f t="shared" si="8"/>
        <v>206</v>
      </c>
      <c r="U46" s="255">
        <f t="shared" si="9"/>
        <v>0.403921568627451</v>
      </c>
      <c r="V46" s="256">
        <f t="shared" si="10"/>
        <v>0.223429508695923</v>
      </c>
      <c r="W46" s="244">
        <v>259814</v>
      </c>
      <c r="X46" s="244">
        <v>3020</v>
      </c>
      <c r="Y46" s="244">
        <v>304</v>
      </c>
      <c r="Z46" s="257">
        <v>2905.56</v>
      </c>
      <c r="AA46" s="277">
        <v>7714.5</v>
      </c>
      <c r="AB46" s="244">
        <v>0.96</v>
      </c>
      <c r="AC46" s="259">
        <f t="shared" si="11"/>
        <v>0.376636204549874</v>
      </c>
      <c r="AD46" s="260">
        <f t="shared" ref="AD46:AF46" si="66">X46/W46</f>
        <v>0.011623700031561</v>
      </c>
      <c r="AE46" s="260">
        <f t="shared" si="66"/>
        <v>0.100662251655629</v>
      </c>
      <c r="AF46" s="253">
        <f t="shared" si="66"/>
        <v>9.55776315789474</v>
      </c>
      <c r="AG46" s="261">
        <v>136</v>
      </c>
      <c r="AH46" s="254">
        <v>183</v>
      </c>
      <c r="AI46" s="262">
        <v>215</v>
      </c>
      <c r="AJ46" s="263">
        <f>AG46*产品成本!$D$2+AH46*产品成本!$D$3+AI46*产品成本!$D$4</f>
        <v>1385.56338028169</v>
      </c>
      <c r="AK46" s="263">
        <f>AG46*产品成本!$E$2+AH46*产品成本!$E$3+AI46*产品成本!$E$4</f>
        <v>104.041153521127</v>
      </c>
      <c r="AL46" s="263">
        <f>AG46*产品成本!$F$2+AH46*产品成本!$F$3+AI46*产品成本!$F$4</f>
        <v>181.56</v>
      </c>
      <c r="AM46" s="263">
        <f>AG46*产品成本!$G$2+AH46*产品成本!$G$3+AI46*产品成本!$G$4</f>
        <v>2054.04</v>
      </c>
      <c r="AN46" s="263">
        <f t="shared" si="13"/>
        <v>1950.6555</v>
      </c>
      <c r="AO46" s="264">
        <f t="shared" si="14"/>
        <v>5675.86003380282</v>
      </c>
      <c r="AP46" s="265">
        <v>10</v>
      </c>
      <c r="AQ46" s="265">
        <v>10</v>
      </c>
      <c r="AR46" s="266">
        <v>17</v>
      </c>
      <c r="AS46" s="267">
        <f t="shared" si="15"/>
        <v>876.034090909091</v>
      </c>
      <c r="AT46" s="267">
        <f>AP46*产品成本!$D$2+AQ46*产品成本!$D$3+AR46*产品成本!$D$4</f>
        <v>98.5211267605635</v>
      </c>
      <c r="AU46" s="271">
        <f>AP46*产品成本!$E$2+AQ46*产品成本!$E$3+AR46*产品成本!$E$4</f>
        <v>7.23397183098591</v>
      </c>
      <c r="AV46" s="270">
        <f>AP46*产品成本!$F$2+AQ46*产品成本!$F$3+AR46*产品成本!$F$4</f>
        <v>12.58</v>
      </c>
      <c r="AW46" s="269"/>
      <c r="AX46" s="270">
        <f t="shared" si="16"/>
        <v>131.405113636364</v>
      </c>
      <c r="AY46" s="269">
        <f t="shared" si="17"/>
        <v>-26.2810227272727</v>
      </c>
      <c r="AZ46" s="271">
        <f t="shared" si="18"/>
        <v>223.45918950064</v>
      </c>
      <c r="BA46" s="272">
        <f t="shared" si="19"/>
        <v>5452.40084430218</v>
      </c>
      <c r="BB46" s="272">
        <f t="shared" si="20"/>
        <v>13004.37</v>
      </c>
      <c r="BC46" s="272">
        <f t="shared" si="21"/>
        <v>12128.3359090909</v>
      </c>
      <c r="BD46" s="273">
        <f t="shared" si="22"/>
        <v>3770.37506478873</v>
      </c>
      <c r="BE46" s="274">
        <f t="shared" si="23"/>
        <v>0.310873238756738</v>
      </c>
      <c r="BF46" s="280"/>
      <c r="BG46" s="280"/>
      <c r="BH46" s="280"/>
    </row>
    <row r="47" ht="23" customHeight="1" spans="1:60">
      <c r="A47" s="285" t="s">
        <v>183</v>
      </c>
      <c r="B47" s="285" t="s">
        <v>184</v>
      </c>
      <c r="C47" s="243">
        <v>450</v>
      </c>
      <c r="D47" s="244">
        <v>433</v>
      </c>
      <c r="E47" s="247">
        <v>10903.7</v>
      </c>
      <c r="F47" s="246">
        <v>58</v>
      </c>
      <c r="G47" s="246">
        <v>54</v>
      </c>
      <c r="H47" s="247">
        <v>1418.42</v>
      </c>
      <c r="I47" s="247">
        <v>120.8</v>
      </c>
      <c r="J47" s="276">
        <v>38</v>
      </c>
      <c r="K47" s="249">
        <f t="shared" si="0"/>
        <v>0.0844444444444444</v>
      </c>
      <c r="L47" s="250">
        <v>821.92</v>
      </c>
      <c r="M47" s="251">
        <f t="shared" si="1"/>
        <v>-0.157303370786517</v>
      </c>
      <c r="N47" s="249">
        <f t="shared" si="2"/>
        <v>-0.150980392156863</v>
      </c>
      <c r="O47" s="249">
        <f t="shared" si="3"/>
        <v>-0.163118161388169</v>
      </c>
      <c r="P47" s="252">
        <f t="shared" si="4"/>
        <v>1.03926096997691</v>
      </c>
      <c r="Q47" s="281">
        <f t="shared" si="5"/>
        <v>25.1817551963049</v>
      </c>
      <c r="R47" s="281">
        <f t="shared" si="6"/>
        <v>24.2304444444444</v>
      </c>
      <c r="S47" s="281">
        <f t="shared" si="59"/>
        <v>64.2857142857143</v>
      </c>
      <c r="T47" s="254">
        <f t="shared" si="8"/>
        <v>189</v>
      </c>
      <c r="U47" s="255">
        <f t="shared" si="9"/>
        <v>0.4364896073903</v>
      </c>
      <c r="V47" s="256">
        <f t="shared" si="10"/>
        <v>0.25213347058769</v>
      </c>
      <c r="W47" s="244">
        <v>229696</v>
      </c>
      <c r="X47" s="244">
        <v>2721</v>
      </c>
      <c r="Y47" s="244">
        <v>244</v>
      </c>
      <c r="Z47" s="257">
        <v>2718.73</v>
      </c>
      <c r="AA47" s="277">
        <v>6153.29</v>
      </c>
      <c r="AB47" s="245">
        <v>1</v>
      </c>
      <c r="AC47" s="259">
        <f t="shared" si="11"/>
        <v>0.441833555707597</v>
      </c>
      <c r="AD47" s="260">
        <f t="shared" ref="AD47:AF47" si="67">X47/W47</f>
        <v>0.0118460922262469</v>
      </c>
      <c r="AE47" s="260">
        <f t="shared" si="67"/>
        <v>0.089672914369717</v>
      </c>
      <c r="AF47" s="253">
        <f t="shared" si="67"/>
        <v>11.1423360655738</v>
      </c>
      <c r="AG47" s="261">
        <v>112</v>
      </c>
      <c r="AH47" s="254">
        <v>175</v>
      </c>
      <c r="AI47" s="262">
        <v>163</v>
      </c>
      <c r="AJ47" s="263">
        <f>AG47*产品成本!$D$2+AH47*产品成本!$D$3+AI47*产品成本!$D$4</f>
        <v>1145.84507042254</v>
      </c>
      <c r="AK47" s="263">
        <f>AG47*产品成本!$E$2+AH47*产品成本!$E$3+AI47*产品成本!$E$4</f>
        <v>87.4122633802816</v>
      </c>
      <c r="AL47" s="263">
        <f>AG47*产品成本!$F$2+AH47*产品成本!$F$3+AI47*产品成本!$F$4</f>
        <v>153</v>
      </c>
      <c r="AM47" s="263">
        <f>AG47*产品成本!$G$2+AH47*产品成本!$G$3+AI47*产品成本!$G$4</f>
        <v>1731.48</v>
      </c>
      <c r="AN47" s="263">
        <f t="shared" si="13"/>
        <v>1617.435</v>
      </c>
      <c r="AO47" s="264">
        <f t="shared" si="14"/>
        <v>4735.17233380282</v>
      </c>
      <c r="AP47" s="265">
        <v>3</v>
      </c>
      <c r="AQ47" s="265">
        <v>19</v>
      </c>
      <c r="AR47" s="266">
        <v>16</v>
      </c>
      <c r="AS47" s="267">
        <f t="shared" si="15"/>
        <v>934</v>
      </c>
      <c r="AT47" s="267">
        <f>AP47*产品成本!$D$2+AQ47*产品成本!$D$3+AR47*产品成本!$D$4</f>
        <v>99.4366197183099</v>
      </c>
      <c r="AU47" s="271">
        <f>AP47*产品成本!$E$2+AQ47*产品成本!$E$3+AR47*产品成本!$E$4</f>
        <v>7.54383380281689</v>
      </c>
      <c r="AV47" s="270">
        <f>AP47*产品成本!$F$2+AQ47*产品成本!$F$3+AR47*产品成本!$F$4</f>
        <v>12.92</v>
      </c>
      <c r="AW47" s="269"/>
      <c r="AX47" s="270">
        <f t="shared" si="16"/>
        <v>140.1</v>
      </c>
      <c r="AY47" s="269">
        <f t="shared" si="17"/>
        <v>-28.02</v>
      </c>
      <c r="AZ47" s="271">
        <f t="shared" si="18"/>
        <v>231.980453521127</v>
      </c>
      <c r="BA47" s="272">
        <f t="shared" si="19"/>
        <v>4503.19188028169</v>
      </c>
      <c r="BB47" s="272">
        <f t="shared" si="20"/>
        <v>10782.9</v>
      </c>
      <c r="BC47" s="272">
        <f t="shared" si="21"/>
        <v>9848.9</v>
      </c>
      <c r="BD47" s="273">
        <f t="shared" si="22"/>
        <v>2626.97811971831</v>
      </c>
      <c r="BE47" s="274">
        <f t="shared" si="23"/>
        <v>0.266728073157237</v>
      </c>
      <c r="BF47" s="278"/>
      <c r="BG47" s="278"/>
      <c r="BH47" s="278"/>
    </row>
    <row r="48" ht="23" customHeight="1" spans="1:60">
      <c r="A48" s="285" t="s">
        <v>185</v>
      </c>
      <c r="B48" s="285" t="s">
        <v>186</v>
      </c>
      <c r="C48" s="243">
        <v>445</v>
      </c>
      <c r="D48" s="244">
        <v>430</v>
      </c>
      <c r="E48" s="247">
        <v>10693.07</v>
      </c>
      <c r="F48" s="246">
        <v>26</v>
      </c>
      <c r="G48" s="246">
        <v>26</v>
      </c>
      <c r="H48" s="247">
        <v>626.64</v>
      </c>
      <c r="I48" s="247">
        <v>24.1</v>
      </c>
      <c r="J48" s="276">
        <v>36</v>
      </c>
      <c r="K48" s="249">
        <f t="shared" si="0"/>
        <v>0.0808988764044944</v>
      </c>
      <c r="L48" s="250">
        <v>754.65</v>
      </c>
      <c r="M48" s="251">
        <f t="shared" si="1"/>
        <v>-0.0111111111111111</v>
      </c>
      <c r="N48" s="249">
        <f t="shared" si="2"/>
        <v>-0.0069284064665127</v>
      </c>
      <c r="O48" s="249">
        <f t="shared" si="3"/>
        <v>-0.0193172959637555</v>
      </c>
      <c r="P48" s="252">
        <f t="shared" si="4"/>
        <v>1.03488372093023</v>
      </c>
      <c r="Q48" s="281">
        <f t="shared" si="5"/>
        <v>24.8676046511628</v>
      </c>
      <c r="R48" s="281">
        <f t="shared" si="6"/>
        <v>24.0293707865169</v>
      </c>
      <c r="S48" s="281">
        <f t="shared" si="59"/>
        <v>63.5714285714286</v>
      </c>
      <c r="T48" s="254">
        <f t="shared" si="8"/>
        <v>176</v>
      </c>
      <c r="U48" s="255">
        <f t="shared" si="9"/>
        <v>0.409302325581395</v>
      </c>
      <c r="V48" s="256">
        <f t="shared" si="10"/>
        <v>0.250879888124158</v>
      </c>
      <c r="W48" s="244">
        <v>216007</v>
      </c>
      <c r="X48" s="244">
        <v>2646</v>
      </c>
      <c r="Y48" s="244">
        <v>254</v>
      </c>
      <c r="Z48" s="257">
        <v>2676.63</v>
      </c>
      <c r="AA48" s="277">
        <v>6219.58</v>
      </c>
      <c r="AB48" s="245">
        <v>1.01</v>
      </c>
      <c r="AC48" s="259">
        <f t="shared" si="11"/>
        <v>0.430355425929082</v>
      </c>
      <c r="AD48" s="260">
        <f t="shared" ref="AD48:AF48" si="68">X48/W48</f>
        <v>0.0122496030221243</v>
      </c>
      <c r="AE48" s="260">
        <f t="shared" si="68"/>
        <v>0.0959939531368103</v>
      </c>
      <c r="AF48" s="253">
        <f t="shared" si="68"/>
        <v>10.5379133858268</v>
      </c>
      <c r="AG48" s="261">
        <v>108</v>
      </c>
      <c r="AH48" s="254">
        <v>173</v>
      </c>
      <c r="AI48" s="262">
        <v>164</v>
      </c>
      <c r="AJ48" s="263">
        <f>AG48*产品成本!$D$2+AH48*产品成本!$D$3+AI48*产品成本!$D$4</f>
        <v>1136.47887323944</v>
      </c>
      <c r="AK48" s="263">
        <f>AG48*产品成本!$E$2+AH48*产品成本!$E$3+AI48*产品成本!$E$4</f>
        <v>86.5422549295774</v>
      </c>
      <c r="AL48" s="263">
        <f>AG48*产品成本!$F$2+AH48*产品成本!$F$3+AI48*产品成本!$F$4</f>
        <v>151.3</v>
      </c>
      <c r="AM48" s="263">
        <f>AG48*产品成本!$G$2+AH48*产品成本!$G$3+AI48*产品成本!$G$4</f>
        <v>1712.82</v>
      </c>
      <c r="AN48" s="263">
        <f t="shared" si="13"/>
        <v>1600.3455</v>
      </c>
      <c r="AO48" s="264">
        <f t="shared" si="14"/>
        <v>4687.48662816901</v>
      </c>
      <c r="AP48" s="265">
        <v>12</v>
      </c>
      <c r="AQ48" s="265">
        <v>11</v>
      </c>
      <c r="AR48" s="266">
        <v>13</v>
      </c>
      <c r="AS48" s="267">
        <f t="shared" si="15"/>
        <v>857.556818181818</v>
      </c>
      <c r="AT48" s="267">
        <f>AP48*产品成本!$D$2+AQ48*产品成本!$D$3+AR48*产品成本!$D$4</f>
        <v>91.6197183098592</v>
      </c>
      <c r="AU48" s="271">
        <f>AP48*产品成本!$E$2+AQ48*产品成本!$E$3+AR48*产品成本!$E$4</f>
        <v>6.93397605633802</v>
      </c>
      <c r="AV48" s="270">
        <f>AP48*产品成本!$F$2+AQ48*产品成本!$F$3+AR48*产品成本!$F$4</f>
        <v>12.24</v>
      </c>
      <c r="AW48" s="269"/>
      <c r="AX48" s="270">
        <f t="shared" si="16"/>
        <v>128.633522727273</v>
      </c>
      <c r="AY48" s="269">
        <f t="shared" si="17"/>
        <v>-25.7267045454545</v>
      </c>
      <c r="AZ48" s="271">
        <f t="shared" si="18"/>
        <v>213.700512548015</v>
      </c>
      <c r="BA48" s="272">
        <f t="shared" si="19"/>
        <v>4473.786115621</v>
      </c>
      <c r="BB48" s="272">
        <f t="shared" si="20"/>
        <v>10668.97</v>
      </c>
      <c r="BC48" s="272">
        <f t="shared" si="21"/>
        <v>9811.41318181818</v>
      </c>
      <c r="BD48" s="273">
        <f t="shared" si="22"/>
        <v>2660.99706619718</v>
      </c>
      <c r="BE48" s="274">
        <f t="shared" si="23"/>
        <v>0.271214453706664</v>
      </c>
      <c r="BF48" s="280"/>
      <c r="BG48" s="280"/>
      <c r="BH48" s="280"/>
    </row>
    <row r="49" ht="23" customHeight="1" spans="1:60">
      <c r="A49" s="285" t="s">
        <v>187</v>
      </c>
      <c r="B49" s="285" t="s">
        <v>188</v>
      </c>
      <c r="C49" s="243">
        <v>483</v>
      </c>
      <c r="D49" s="244">
        <v>451</v>
      </c>
      <c r="E49" s="247">
        <v>11272.09</v>
      </c>
      <c r="F49" s="246">
        <v>57</v>
      </c>
      <c r="G49" s="246">
        <v>53</v>
      </c>
      <c r="H49" s="247">
        <v>1364.33</v>
      </c>
      <c r="I49" s="247">
        <v>23.94</v>
      </c>
      <c r="J49" s="276">
        <v>31</v>
      </c>
      <c r="K49" s="249">
        <f t="shared" si="0"/>
        <v>0.0641821946169772</v>
      </c>
      <c r="L49" s="250">
        <v>668.4</v>
      </c>
      <c r="M49" s="251">
        <f t="shared" si="1"/>
        <v>0.0853932584269663</v>
      </c>
      <c r="N49" s="249">
        <f t="shared" si="2"/>
        <v>0.0488372093023256</v>
      </c>
      <c r="O49" s="249">
        <f t="shared" si="3"/>
        <v>0.0541490890829295</v>
      </c>
      <c r="P49" s="252">
        <f t="shared" si="4"/>
        <v>1.0709534368071</v>
      </c>
      <c r="Q49" s="281">
        <f t="shared" si="5"/>
        <v>24.9935476718404</v>
      </c>
      <c r="R49" s="281">
        <f t="shared" si="6"/>
        <v>23.3376604554865</v>
      </c>
      <c r="S49" s="281">
        <f t="shared" si="59"/>
        <v>69</v>
      </c>
      <c r="T49" s="254">
        <f t="shared" si="8"/>
        <v>178</v>
      </c>
      <c r="U49" s="255">
        <f t="shared" si="9"/>
        <v>0.394678492239468</v>
      </c>
      <c r="V49" s="256">
        <f t="shared" si="10"/>
        <v>0.237350142023355</v>
      </c>
      <c r="W49" s="244">
        <v>219327</v>
      </c>
      <c r="X49" s="244">
        <v>2570</v>
      </c>
      <c r="Y49" s="244">
        <v>273</v>
      </c>
      <c r="Z49" s="257">
        <v>2669.75</v>
      </c>
      <c r="AA49" s="277">
        <v>6719.65</v>
      </c>
      <c r="AB49" s="245">
        <v>1.04</v>
      </c>
      <c r="AC49" s="259">
        <f t="shared" si="11"/>
        <v>0.397304919155016</v>
      </c>
      <c r="AD49" s="260">
        <f t="shared" ref="AD49:AF49" si="69">X49/W49</f>
        <v>0.0117176635799514</v>
      </c>
      <c r="AE49" s="260">
        <f t="shared" si="69"/>
        <v>0.106225680933852</v>
      </c>
      <c r="AF49" s="253">
        <f t="shared" si="69"/>
        <v>9.77930402930403</v>
      </c>
      <c r="AG49" s="261">
        <v>120</v>
      </c>
      <c r="AH49" s="254">
        <v>178</v>
      </c>
      <c r="AI49" s="262">
        <v>185</v>
      </c>
      <c r="AJ49" s="263">
        <f>AG49*产品成本!$D$2+AH49*产品成本!$D$3+AI49*产品成本!$D$4</f>
        <v>1241.90140845071</v>
      </c>
      <c r="AK49" s="263">
        <f>AG49*产品成本!$E$2+AH49*产品成本!$E$3+AI49*产品成本!$E$4</f>
        <v>93.999490140845</v>
      </c>
      <c r="AL49" s="263">
        <f>AG49*产品成本!$F$2+AH49*产品成本!$F$3+AI49*产品成本!$F$4</f>
        <v>164.22</v>
      </c>
      <c r="AM49" s="263">
        <f>AG49*产品成本!$G$2+AH49*产品成本!$G$3+AI49*产品成本!$G$4</f>
        <v>1858.5</v>
      </c>
      <c r="AN49" s="263">
        <f t="shared" si="13"/>
        <v>1687.2225</v>
      </c>
      <c r="AO49" s="264">
        <f t="shared" si="14"/>
        <v>5045.84339859155</v>
      </c>
      <c r="AP49" s="265">
        <v>5</v>
      </c>
      <c r="AQ49" s="265">
        <v>11</v>
      </c>
      <c r="AR49" s="266">
        <v>15</v>
      </c>
      <c r="AS49" s="267">
        <f t="shared" si="15"/>
        <v>759.545454545455</v>
      </c>
      <c r="AT49" s="267">
        <f>AP49*产品成本!$D$2+AQ49*产品成本!$D$3+AR49*产品成本!$D$4</f>
        <v>83.4507042253522</v>
      </c>
      <c r="AU49" s="271">
        <f>AP49*产品成本!$E$2+AQ49*产品成本!$E$3+AR49*产品成本!$E$4</f>
        <v>6.13872676056338</v>
      </c>
      <c r="AV49" s="270">
        <f>AP49*产品成本!$F$2+AQ49*产品成本!$F$3+AR49*产品成本!$F$4</f>
        <v>10.54</v>
      </c>
      <c r="AW49" s="269"/>
      <c r="AX49" s="270">
        <f t="shared" si="16"/>
        <v>113.931818181818</v>
      </c>
      <c r="AY49" s="269">
        <f t="shared" si="17"/>
        <v>-22.7863636363636</v>
      </c>
      <c r="AZ49" s="271">
        <f t="shared" si="18"/>
        <v>191.27488553137</v>
      </c>
      <c r="BA49" s="272">
        <f t="shared" si="19"/>
        <v>4854.56851306018</v>
      </c>
      <c r="BB49" s="272">
        <f t="shared" si="20"/>
        <v>11248.15</v>
      </c>
      <c r="BC49" s="272">
        <f t="shared" si="21"/>
        <v>10488.6045454545</v>
      </c>
      <c r="BD49" s="273">
        <f t="shared" si="22"/>
        <v>2964.28603239437</v>
      </c>
      <c r="BE49" s="274">
        <f t="shared" si="23"/>
        <v>0.282619677341063</v>
      </c>
      <c r="BF49" s="278"/>
      <c r="BG49" s="278"/>
      <c r="BH49" s="191"/>
    </row>
    <row r="50" ht="23" customHeight="1" spans="1:60">
      <c r="A50" s="285" t="s">
        <v>189</v>
      </c>
      <c r="B50" s="285" t="s">
        <v>190</v>
      </c>
      <c r="C50" s="243">
        <v>493</v>
      </c>
      <c r="D50" s="244">
        <v>465</v>
      </c>
      <c r="E50" s="247">
        <v>11222.27</v>
      </c>
      <c r="F50" s="246">
        <v>46</v>
      </c>
      <c r="G50" s="246">
        <v>40</v>
      </c>
      <c r="H50" s="247">
        <v>1046.94</v>
      </c>
      <c r="I50" s="247">
        <v>22.76</v>
      </c>
      <c r="J50" s="276">
        <v>36</v>
      </c>
      <c r="K50" s="249">
        <f t="shared" si="0"/>
        <v>0.0730223123732252</v>
      </c>
      <c r="L50" s="250">
        <v>740.66</v>
      </c>
      <c r="M50" s="251">
        <f t="shared" si="1"/>
        <v>0.020703933747412</v>
      </c>
      <c r="N50" s="249">
        <f t="shared" si="2"/>
        <v>0.0310421286031042</v>
      </c>
      <c r="O50" s="249">
        <f t="shared" si="3"/>
        <v>-0.00441976598838367</v>
      </c>
      <c r="P50" s="252">
        <f t="shared" si="4"/>
        <v>1.06021505376344</v>
      </c>
      <c r="Q50" s="281">
        <f t="shared" si="5"/>
        <v>24.1339139784946</v>
      </c>
      <c r="R50" s="281">
        <f t="shared" si="6"/>
        <v>22.7632251521298</v>
      </c>
      <c r="S50" s="281">
        <f t="shared" si="59"/>
        <v>70.4285714285714</v>
      </c>
      <c r="T50" s="254">
        <f t="shared" si="8"/>
        <v>187</v>
      </c>
      <c r="U50" s="255">
        <f t="shared" si="9"/>
        <v>0.402150537634409</v>
      </c>
      <c r="V50" s="256">
        <f t="shared" si="10"/>
        <v>0.253940574185835</v>
      </c>
      <c r="W50" s="244">
        <v>231757</v>
      </c>
      <c r="X50" s="244">
        <v>2741</v>
      </c>
      <c r="Y50" s="244">
        <v>278</v>
      </c>
      <c r="Z50" s="257">
        <v>2844.01</v>
      </c>
      <c r="AA50" s="277">
        <v>6674.3</v>
      </c>
      <c r="AB50" s="245">
        <v>1.04</v>
      </c>
      <c r="AC50" s="259">
        <f t="shared" si="11"/>
        <v>0.426113599928082</v>
      </c>
      <c r="AD50" s="260">
        <f t="shared" ref="AD50:AF50" si="70">X50/W50</f>
        <v>0.0118270429803631</v>
      </c>
      <c r="AE50" s="260">
        <f t="shared" si="70"/>
        <v>0.101422838380153</v>
      </c>
      <c r="AF50" s="253">
        <f t="shared" si="70"/>
        <v>10.2302517985612</v>
      </c>
      <c r="AG50" s="261">
        <v>108</v>
      </c>
      <c r="AH50" s="254">
        <v>196</v>
      </c>
      <c r="AI50" s="262">
        <v>189</v>
      </c>
      <c r="AJ50" s="263">
        <f>AG50*产品成本!$D$2+AH50*产品成本!$D$3+AI50*产品成本!$D$4</f>
        <v>1267.81690140845</v>
      </c>
      <c r="AK50" s="263">
        <f>AG50*产品成本!$E$2+AH50*产品成本!$E$3+AI50*产品成本!$E$4</f>
        <v>96.226428169014</v>
      </c>
      <c r="AL50" s="263">
        <f>AG50*产品成本!$F$2+AH50*产品成本!$F$3+AI50*产品成本!$F$4</f>
        <v>167.62</v>
      </c>
      <c r="AM50" s="263">
        <f>AG50*产品成本!$G$2+AH50*产品成本!$G$3+AI50*产品成本!$G$4</f>
        <v>1900.02</v>
      </c>
      <c r="AN50" s="263">
        <f t="shared" si="13"/>
        <v>1679.9265</v>
      </c>
      <c r="AO50" s="264">
        <f t="shared" si="14"/>
        <v>5111.60982957747</v>
      </c>
      <c r="AP50" s="265">
        <v>10</v>
      </c>
      <c r="AQ50" s="265">
        <v>11</v>
      </c>
      <c r="AR50" s="266">
        <v>15</v>
      </c>
      <c r="AS50" s="267">
        <f t="shared" si="15"/>
        <v>841.659090909091</v>
      </c>
      <c r="AT50" s="267">
        <f>AP50*产品成本!$D$2+AQ50*产品成本!$D$3+AR50*产品成本!$D$4</f>
        <v>94.0140845070423</v>
      </c>
      <c r="AU50" s="271">
        <f>AP50*产品成本!$E$2+AQ50*产品成本!$E$3+AR50*产品成本!$E$4</f>
        <v>7.00676197183098</v>
      </c>
      <c r="AV50" s="270">
        <f>AP50*产品成本!$F$2+AQ50*产品成本!$F$3+AR50*产品成本!$F$4</f>
        <v>12.24</v>
      </c>
      <c r="AW50" s="269"/>
      <c r="AX50" s="270">
        <f t="shared" si="16"/>
        <v>126.248863636364</v>
      </c>
      <c r="AY50" s="269">
        <f t="shared" si="17"/>
        <v>-25.2497727272727</v>
      </c>
      <c r="AZ50" s="271">
        <f t="shared" si="18"/>
        <v>214.259937387964</v>
      </c>
      <c r="BA50" s="272">
        <f t="shared" si="19"/>
        <v>4897.3498921895</v>
      </c>
      <c r="BB50" s="272">
        <f t="shared" si="20"/>
        <v>11199.51</v>
      </c>
      <c r="BC50" s="272">
        <f t="shared" si="21"/>
        <v>10357.8509090909</v>
      </c>
      <c r="BD50" s="273">
        <f t="shared" si="22"/>
        <v>2616.49101690141</v>
      </c>
      <c r="BE50" s="274">
        <f t="shared" si="23"/>
        <v>0.252609449572687</v>
      </c>
      <c r="BF50" s="280"/>
      <c r="BG50" s="280" t="s">
        <v>91</v>
      </c>
      <c r="BH50" s="191"/>
    </row>
    <row r="51" ht="23" customHeight="1" spans="1:60">
      <c r="A51" s="285" t="s">
        <v>191</v>
      </c>
      <c r="B51" s="285" t="s">
        <v>192</v>
      </c>
      <c r="C51" s="243">
        <v>389</v>
      </c>
      <c r="D51" s="244">
        <v>372</v>
      </c>
      <c r="E51" s="247">
        <v>9211.49</v>
      </c>
      <c r="F51" s="246">
        <v>43</v>
      </c>
      <c r="G51" s="246">
        <v>37</v>
      </c>
      <c r="H51" s="247">
        <v>1010.09</v>
      </c>
      <c r="I51" s="247">
        <v>90.6</v>
      </c>
      <c r="J51" s="276">
        <v>39</v>
      </c>
      <c r="K51" s="249">
        <f t="shared" si="0"/>
        <v>0.10025706940874</v>
      </c>
      <c r="L51" s="250">
        <v>745.57</v>
      </c>
      <c r="M51" s="251">
        <f t="shared" si="1"/>
        <v>-0.210953346855984</v>
      </c>
      <c r="N51" s="249">
        <f t="shared" si="2"/>
        <v>-0.2</v>
      </c>
      <c r="O51" s="249">
        <f t="shared" si="3"/>
        <v>-0.179177653006032</v>
      </c>
      <c r="P51" s="252">
        <f t="shared" si="4"/>
        <v>1.04569892473118</v>
      </c>
      <c r="Q51" s="281">
        <f t="shared" si="5"/>
        <v>24.7620698924731</v>
      </c>
      <c r="R51" s="281">
        <f t="shared" si="6"/>
        <v>23.6799228791774</v>
      </c>
      <c r="S51" s="281">
        <f t="shared" si="59"/>
        <v>55.5714285714286</v>
      </c>
      <c r="T51" s="254">
        <f t="shared" si="8"/>
        <v>156</v>
      </c>
      <c r="U51" s="255">
        <f t="shared" si="9"/>
        <v>0.419354838709677</v>
      </c>
      <c r="V51" s="256">
        <f t="shared" si="10"/>
        <v>0.266632971124528</v>
      </c>
      <c r="W51" s="244">
        <v>205001</v>
      </c>
      <c r="X51" s="244">
        <v>2296</v>
      </c>
      <c r="Y51" s="244">
        <v>216</v>
      </c>
      <c r="Z51" s="257">
        <v>2431.93</v>
      </c>
      <c r="AA51" s="277">
        <v>5333.28</v>
      </c>
      <c r="AB51" s="245">
        <v>1.06</v>
      </c>
      <c r="AC51" s="259">
        <f t="shared" si="11"/>
        <v>0.455991434914349</v>
      </c>
      <c r="AD51" s="260">
        <f t="shared" ref="AD51:AF51" si="71">X51/W51</f>
        <v>0.0111999453661202</v>
      </c>
      <c r="AE51" s="260">
        <f t="shared" si="71"/>
        <v>0.0940766550522648</v>
      </c>
      <c r="AF51" s="253">
        <f t="shared" si="71"/>
        <v>11.2589351851852</v>
      </c>
      <c r="AG51" s="261">
        <v>78</v>
      </c>
      <c r="AH51" s="254">
        <v>139</v>
      </c>
      <c r="AI51" s="262">
        <v>160</v>
      </c>
      <c r="AJ51" s="263">
        <f>AG51*产品成本!$D$2+AH51*产品成本!$D$3+AI51*产品成本!$D$4</f>
        <v>988.028169014085</v>
      </c>
      <c r="AK51" s="263">
        <f>AG51*产品成本!$E$2+AH51*产品成本!$E$3+AI51*产品成本!$E$4</f>
        <v>73.9391788732394</v>
      </c>
      <c r="AL51" s="263">
        <f>AG51*产品成本!$F$2+AH51*产品成本!$F$3+AI51*产品成本!$F$4</f>
        <v>128.18</v>
      </c>
      <c r="AM51" s="263">
        <f>AG51*产品成本!$G$2+AH51*产品成本!$G$3+AI51*产品成本!$G$4</f>
        <v>1453.92</v>
      </c>
      <c r="AN51" s="263">
        <f t="shared" si="13"/>
        <v>1368.1335</v>
      </c>
      <c r="AO51" s="264">
        <f t="shared" si="14"/>
        <v>4012.20084788732</v>
      </c>
      <c r="AP51" s="265">
        <v>11</v>
      </c>
      <c r="AQ51" s="265">
        <v>10</v>
      </c>
      <c r="AR51" s="266">
        <v>15</v>
      </c>
      <c r="AS51" s="267">
        <f t="shared" si="15"/>
        <v>847.238636363636</v>
      </c>
      <c r="AT51" s="267">
        <f>AP51*产品成本!$D$2+AQ51*产品成本!$D$3+AR51*产品成本!$D$4</f>
        <v>94.0140845070423</v>
      </c>
      <c r="AU51" s="271">
        <f>AP51*产品成本!$E$2+AQ51*产品成本!$E$3+AR51*产品成本!$E$4</f>
        <v>6.98757887323943</v>
      </c>
      <c r="AV51" s="270">
        <f>AP51*产品成本!$F$2+AQ51*产品成本!$F$3+AR51*产品成本!$F$4</f>
        <v>12.24</v>
      </c>
      <c r="AW51" s="269"/>
      <c r="AX51" s="270">
        <f t="shared" si="16"/>
        <v>127.085795454545</v>
      </c>
      <c r="AY51" s="269">
        <f t="shared" si="17"/>
        <v>-25.4171590909091</v>
      </c>
      <c r="AZ51" s="271">
        <f t="shared" si="18"/>
        <v>214.910299743918</v>
      </c>
      <c r="BA51" s="272">
        <f t="shared" si="19"/>
        <v>3797.29054814341</v>
      </c>
      <c r="BB51" s="272">
        <f t="shared" si="20"/>
        <v>9120.89</v>
      </c>
      <c r="BC51" s="272">
        <f t="shared" si="21"/>
        <v>8273.65136363636</v>
      </c>
      <c r="BD51" s="273">
        <f t="shared" si="22"/>
        <v>2044.43081549296</v>
      </c>
      <c r="BE51" s="274">
        <f t="shared" si="23"/>
        <v>0.247101397634237</v>
      </c>
      <c r="BF51" s="278"/>
      <c r="BG51" s="278"/>
      <c r="BH51" s="191"/>
    </row>
    <row r="52" ht="23" customHeight="1" spans="1:60">
      <c r="A52" s="285" t="s">
        <v>193</v>
      </c>
      <c r="B52" s="285" t="s">
        <v>194</v>
      </c>
      <c r="C52" s="243">
        <v>488</v>
      </c>
      <c r="D52" s="244">
        <v>459</v>
      </c>
      <c r="E52" s="247">
        <v>10739.43</v>
      </c>
      <c r="F52" s="246">
        <v>73</v>
      </c>
      <c r="G52" s="246">
        <v>59</v>
      </c>
      <c r="H52" s="247">
        <v>1600.47</v>
      </c>
      <c r="I52" s="247">
        <v>149.07</v>
      </c>
      <c r="J52" s="276">
        <v>30</v>
      </c>
      <c r="K52" s="249">
        <f t="shared" si="0"/>
        <v>0.0614754098360656</v>
      </c>
      <c r="L52" s="250">
        <v>606.91</v>
      </c>
      <c r="M52" s="251">
        <f t="shared" si="1"/>
        <v>0.254498714652956</v>
      </c>
      <c r="N52" s="249">
        <f t="shared" si="2"/>
        <v>0.233870967741935</v>
      </c>
      <c r="O52" s="249">
        <f t="shared" si="3"/>
        <v>0.165873273487785</v>
      </c>
      <c r="P52" s="252">
        <f t="shared" si="4"/>
        <v>1.06318082788671</v>
      </c>
      <c r="Q52" s="281">
        <f t="shared" si="5"/>
        <v>23.3974509803922</v>
      </c>
      <c r="R52" s="281">
        <f t="shared" si="6"/>
        <v>22.0070286885246</v>
      </c>
      <c r="S52" s="281">
        <f t="shared" si="59"/>
        <v>69.7142857142857</v>
      </c>
      <c r="T52" s="254">
        <f t="shared" si="8"/>
        <v>159</v>
      </c>
      <c r="U52" s="255">
        <f t="shared" si="9"/>
        <v>0.34640522875817</v>
      </c>
      <c r="V52" s="256">
        <f t="shared" si="10"/>
        <v>0.279009401002421</v>
      </c>
      <c r="W52" s="244">
        <v>215670</v>
      </c>
      <c r="X52" s="244">
        <v>2743</v>
      </c>
      <c r="Y52" s="244">
        <v>300</v>
      </c>
      <c r="Z52" s="257">
        <v>2954.81</v>
      </c>
      <c r="AA52" s="277">
        <v>6866.78</v>
      </c>
      <c r="AB52" s="245">
        <v>1.08</v>
      </c>
      <c r="AC52" s="259">
        <f t="shared" si="11"/>
        <v>0.430305033800413</v>
      </c>
      <c r="AD52" s="260">
        <f t="shared" ref="AD52:AF52" si="72">X52/W52</f>
        <v>0.0127185051235684</v>
      </c>
      <c r="AE52" s="260">
        <f t="shared" si="72"/>
        <v>0.1093693036821</v>
      </c>
      <c r="AF52" s="253">
        <f t="shared" si="72"/>
        <v>9.84936666666667</v>
      </c>
      <c r="AG52" s="261">
        <v>120</v>
      </c>
      <c r="AH52" s="254">
        <v>207</v>
      </c>
      <c r="AI52" s="262">
        <v>161</v>
      </c>
      <c r="AJ52" s="263">
        <f>AG52*产品成本!$D$2+AH52*产品成本!$D$3+AI52*产品成本!$D$4</f>
        <v>1223.7323943662</v>
      </c>
      <c r="AK52" s="263">
        <f>AG52*产品成本!$E$2+AH52*产品成本!$E$3+AI52*产品成本!$E$4</f>
        <v>94.550404225352</v>
      </c>
      <c r="AL52" s="263">
        <f>AG52*产品成本!$F$2+AH52*产品成本!$F$3+AI52*产品成本!$F$4</f>
        <v>165.92</v>
      </c>
      <c r="AM52" s="263">
        <f>AG52*产品成本!$G$2+AH52*产品成本!$G$3+AI52*产品成本!$G$4</f>
        <v>1878</v>
      </c>
      <c r="AN52" s="263">
        <f t="shared" si="13"/>
        <v>1588.554</v>
      </c>
      <c r="AO52" s="264">
        <f t="shared" si="14"/>
        <v>4950.75679859155</v>
      </c>
      <c r="AP52" s="265">
        <v>8</v>
      </c>
      <c r="AQ52" s="265">
        <v>11</v>
      </c>
      <c r="AR52" s="266">
        <v>11</v>
      </c>
      <c r="AS52" s="267">
        <f t="shared" si="15"/>
        <v>689.670454545455</v>
      </c>
      <c r="AT52" s="267">
        <f>AP52*产品成本!$D$2+AQ52*产品成本!$D$3+AR52*产品成本!$D$4</f>
        <v>76.5492957746479</v>
      </c>
      <c r="AU52" s="271">
        <f>AP52*产品成本!$E$2+AQ52*产品成本!$E$3+AR52*产品成本!$E$4</f>
        <v>5.81954788732394</v>
      </c>
      <c r="AV52" s="270">
        <f>AP52*产品成本!$F$2+AQ52*产品成本!$F$3+AR52*产品成本!$F$4</f>
        <v>10.2</v>
      </c>
      <c r="AW52" s="269"/>
      <c r="AX52" s="270">
        <f t="shared" si="16"/>
        <v>103.450568181818</v>
      </c>
      <c r="AY52" s="269">
        <f t="shared" si="17"/>
        <v>-20.6901136363636</v>
      </c>
      <c r="AZ52" s="271">
        <f t="shared" si="18"/>
        <v>175.329298207426</v>
      </c>
      <c r="BA52" s="272">
        <f t="shared" si="19"/>
        <v>4775.42750038412</v>
      </c>
      <c r="BB52" s="272">
        <f t="shared" si="20"/>
        <v>10590.36</v>
      </c>
      <c r="BC52" s="272">
        <f t="shared" si="21"/>
        <v>9900.68954545455</v>
      </c>
      <c r="BD52" s="273">
        <f t="shared" si="22"/>
        <v>2170.45204507042</v>
      </c>
      <c r="BE52" s="274">
        <f t="shared" si="23"/>
        <v>0.219222311244664</v>
      </c>
      <c r="BF52" s="280"/>
      <c r="BG52" s="280"/>
      <c r="BH52" s="191"/>
    </row>
    <row r="53" ht="23" customHeight="1" spans="1:60">
      <c r="A53" s="285" t="s">
        <v>195</v>
      </c>
      <c r="B53" s="285" t="s">
        <v>196</v>
      </c>
      <c r="C53" s="243">
        <v>620</v>
      </c>
      <c r="D53" s="244">
        <v>584</v>
      </c>
      <c r="E53" s="247">
        <v>12681.75</v>
      </c>
      <c r="F53" s="246">
        <v>32</v>
      </c>
      <c r="G53" s="246">
        <v>21</v>
      </c>
      <c r="H53" s="247">
        <v>750.03</v>
      </c>
      <c r="I53" s="247">
        <v>55.44</v>
      </c>
      <c r="J53" s="276">
        <v>31</v>
      </c>
      <c r="K53" s="249">
        <f t="shared" si="0"/>
        <v>0.05</v>
      </c>
      <c r="L53" s="250">
        <v>592.98</v>
      </c>
      <c r="M53" s="251">
        <f t="shared" si="1"/>
        <v>0.270491803278689</v>
      </c>
      <c r="N53" s="249">
        <f t="shared" si="2"/>
        <v>0.272331154684096</v>
      </c>
      <c r="O53" s="249">
        <f t="shared" si="3"/>
        <v>0.180858760660482</v>
      </c>
      <c r="P53" s="252">
        <f t="shared" si="4"/>
        <v>1.06164383561644</v>
      </c>
      <c r="Q53" s="281">
        <f t="shared" si="5"/>
        <v>21.7153253424658</v>
      </c>
      <c r="R53" s="281">
        <f t="shared" si="6"/>
        <v>20.454435483871</v>
      </c>
      <c r="S53" s="281">
        <f t="shared" si="59"/>
        <v>88.5714285714286</v>
      </c>
      <c r="T53" s="254">
        <f t="shared" si="8"/>
        <v>193</v>
      </c>
      <c r="U53" s="255">
        <f t="shared" si="9"/>
        <v>0.330479452054795</v>
      </c>
      <c r="V53" s="256">
        <f t="shared" si="10"/>
        <v>0.255496657376542</v>
      </c>
      <c r="W53" s="244">
        <v>245287</v>
      </c>
      <c r="X53" s="244">
        <v>2996</v>
      </c>
      <c r="Y53" s="244">
        <v>391</v>
      </c>
      <c r="Z53" s="257">
        <v>3225.98</v>
      </c>
      <c r="AA53" s="277">
        <v>8335.08</v>
      </c>
      <c r="AB53" s="245">
        <v>1.08</v>
      </c>
      <c r="AC53" s="259">
        <f t="shared" si="11"/>
        <v>0.387036477154388</v>
      </c>
      <c r="AD53" s="260">
        <f t="shared" ref="AD53:AF53" si="73">X53/W53</f>
        <v>0.0122142632915727</v>
      </c>
      <c r="AE53" s="260">
        <f t="shared" si="73"/>
        <v>0.130507343124166</v>
      </c>
      <c r="AF53" s="253">
        <f t="shared" si="73"/>
        <v>8.25058823529412</v>
      </c>
      <c r="AG53" s="261">
        <v>155</v>
      </c>
      <c r="AH53" s="254">
        <v>221</v>
      </c>
      <c r="AI53" s="262">
        <v>244</v>
      </c>
      <c r="AJ53" s="263">
        <f>AG53*产品成本!$D$2+AH53*产品成本!$D$3+AI53*产品成本!$D$4</f>
        <v>1601.97183098592</v>
      </c>
      <c r="AK53" s="263">
        <f>AG53*产品成本!$E$2+AH53*产品成本!$E$3+AI53*产品成本!$E$4</f>
        <v>120.755712676056</v>
      </c>
      <c r="AL53" s="263">
        <f>AG53*产品成本!$F$2+AH53*产品成本!$F$3+AI53*产品成本!$F$4</f>
        <v>210.8</v>
      </c>
      <c r="AM53" s="263">
        <f>AG53*产品成本!$G$2+AH53*产品成本!$G$3+AI53*产品成本!$G$4</f>
        <v>2385.45</v>
      </c>
      <c r="AN53" s="263">
        <f t="shared" si="13"/>
        <v>1893.9465</v>
      </c>
      <c r="AO53" s="264">
        <f t="shared" si="14"/>
        <v>6212.92404366197</v>
      </c>
      <c r="AP53" s="265">
        <v>10</v>
      </c>
      <c r="AQ53" s="265">
        <v>9</v>
      </c>
      <c r="AR53" s="266">
        <v>12</v>
      </c>
      <c r="AS53" s="267">
        <f t="shared" si="15"/>
        <v>673.840909090909</v>
      </c>
      <c r="AT53" s="267">
        <f>AP53*产品成本!$D$2+AQ53*产品成本!$D$3+AR53*产品成本!$D$4</f>
        <v>79.8591549295775</v>
      </c>
      <c r="AU53" s="271">
        <f>AP53*产品成本!$E$2+AQ53*产品成本!$E$3+AR53*产品成本!$E$4</f>
        <v>5.99118169014084</v>
      </c>
      <c r="AV53" s="270">
        <f>AP53*产品成本!$F$2+AQ53*产品成本!$F$3+AR53*产品成本!$F$4</f>
        <v>10.54</v>
      </c>
      <c r="AW53" s="269"/>
      <c r="AX53" s="270">
        <f t="shared" si="16"/>
        <v>101.076136363636</v>
      </c>
      <c r="AY53" s="269">
        <f t="shared" si="17"/>
        <v>-20.2152272727273</v>
      </c>
      <c r="AZ53" s="271">
        <f t="shared" si="18"/>
        <v>177.251245710627</v>
      </c>
      <c r="BA53" s="272">
        <f t="shared" si="19"/>
        <v>6035.67279795135</v>
      </c>
      <c r="BB53" s="272">
        <f t="shared" si="20"/>
        <v>12626.31</v>
      </c>
      <c r="BC53" s="272">
        <f t="shared" si="21"/>
        <v>11952.4690909091</v>
      </c>
      <c r="BD53" s="273">
        <f t="shared" si="22"/>
        <v>2690.81629295774</v>
      </c>
      <c r="BE53" s="274">
        <f t="shared" si="23"/>
        <v>0.225126396269399</v>
      </c>
      <c r="BF53" s="278"/>
      <c r="BG53" s="278" t="s">
        <v>197</v>
      </c>
      <c r="BH53" s="191"/>
    </row>
    <row r="54" ht="23" customHeight="1" spans="1:60">
      <c r="A54" s="285" t="s">
        <v>198</v>
      </c>
      <c r="B54" s="285" t="s">
        <v>199</v>
      </c>
      <c r="C54" s="243">
        <v>436</v>
      </c>
      <c r="D54" s="244">
        <v>415</v>
      </c>
      <c r="E54" s="247">
        <v>9798.42</v>
      </c>
      <c r="F54" s="246">
        <v>54</v>
      </c>
      <c r="G54" s="246">
        <v>47</v>
      </c>
      <c r="H54" s="247">
        <v>1197.41</v>
      </c>
      <c r="I54" s="247">
        <v>108.15</v>
      </c>
      <c r="J54" s="289">
        <v>56</v>
      </c>
      <c r="K54" s="290">
        <f t="shared" si="0"/>
        <v>0.128440366972477</v>
      </c>
      <c r="L54" s="291">
        <v>906.05</v>
      </c>
      <c r="M54" s="251">
        <f t="shared" si="1"/>
        <v>-0.296774193548387</v>
      </c>
      <c r="N54" s="249">
        <f t="shared" si="2"/>
        <v>-0.289383561643836</v>
      </c>
      <c r="O54" s="249">
        <f t="shared" si="3"/>
        <v>-0.227360577207404</v>
      </c>
      <c r="P54" s="252">
        <f t="shared" si="4"/>
        <v>1.05060240963855</v>
      </c>
      <c r="Q54" s="281">
        <f t="shared" si="5"/>
        <v>23.6106506024096</v>
      </c>
      <c r="R54" s="281">
        <f t="shared" si="6"/>
        <v>22.4734403669725</v>
      </c>
      <c r="S54" s="281">
        <f t="shared" si="59"/>
        <v>62.2857142857143</v>
      </c>
      <c r="T54" s="254">
        <f t="shared" si="8"/>
        <v>146</v>
      </c>
      <c r="U54" s="255">
        <f t="shared" si="9"/>
        <v>0.351807228915663</v>
      </c>
      <c r="V54" s="256">
        <f t="shared" si="10"/>
        <v>0.248678313400968</v>
      </c>
      <c r="W54" s="244">
        <v>221059</v>
      </c>
      <c r="X54" s="244">
        <v>2304</v>
      </c>
      <c r="Y54" s="244">
        <v>269</v>
      </c>
      <c r="Z54" s="257">
        <v>2409.76</v>
      </c>
      <c r="AA54" s="277">
        <v>6239.78</v>
      </c>
      <c r="AB54" s="245">
        <v>1.05</v>
      </c>
      <c r="AC54" s="259">
        <f t="shared" si="11"/>
        <v>0.386193102961963</v>
      </c>
      <c r="AD54" s="260">
        <f t="shared" ref="AD54:AF54" si="74">X54/W54</f>
        <v>0.0104225568739567</v>
      </c>
      <c r="AE54" s="260">
        <f t="shared" si="74"/>
        <v>0.116753472222222</v>
      </c>
      <c r="AF54" s="253">
        <f t="shared" si="74"/>
        <v>8.9582156133829</v>
      </c>
      <c r="AG54" s="261">
        <v>130</v>
      </c>
      <c r="AH54" s="254">
        <v>145</v>
      </c>
      <c r="AI54" s="262">
        <v>161</v>
      </c>
      <c r="AJ54" s="263">
        <f>AG54*产品成本!$D$2+AH54*产品成本!$D$3+AI54*产品成本!$D$4</f>
        <v>1113.87323943662</v>
      </c>
      <c r="AK54" s="263">
        <f>AG54*产品成本!$E$2+AH54*产品成本!$E$3+AI54*产品成本!$E$4</f>
        <v>84.3334859154929</v>
      </c>
      <c r="AL54" s="263">
        <f>AG54*产品成本!$F$2+AH54*产品成本!$F$3+AI54*产品成本!$F$4</f>
        <v>148.24</v>
      </c>
      <c r="AM54" s="263">
        <f>AG54*产品成本!$G$2+AH54*产品成本!$G$3+AI54*产品成本!$G$4</f>
        <v>1673.1</v>
      </c>
      <c r="AN54" s="263">
        <f t="shared" si="13"/>
        <v>1453.5405</v>
      </c>
      <c r="AO54" s="264">
        <f t="shared" si="14"/>
        <v>4473.08722535211</v>
      </c>
      <c r="AP54" s="265">
        <v>16</v>
      </c>
      <c r="AQ54" s="265">
        <v>17</v>
      </c>
      <c r="AR54" s="266">
        <v>23</v>
      </c>
      <c r="AS54" s="267">
        <f t="shared" si="15"/>
        <v>1029.60227272727</v>
      </c>
      <c r="AT54" s="267">
        <f>AP54*产品成本!$D$2+AQ54*产品成本!$D$3+AR54*产品成本!$D$4</f>
        <v>145.845070422535</v>
      </c>
      <c r="AU54" s="271">
        <f>AP54*产品成本!$E$2+AQ54*产品成本!$E$3+AR54*产品成本!$E$4</f>
        <v>10.8851450704225</v>
      </c>
      <c r="AV54" s="270">
        <f>AP54*产品成本!$F$2+AQ54*产品成本!$F$3+AR54*产品成本!$F$4</f>
        <v>19.04</v>
      </c>
      <c r="AW54" s="269"/>
      <c r="AX54" s="270">
        <f t="shared" si="16"/>
        <v>154.440340909091</v>
      </c>
      <c r="AY54" s="269">
        <f t="shared" si="17"/>
        <v>-30.8880681818182</v>
      </c>
      <c r="AZ54" s="271">
        <f t="shared" si="18"/>
        <v>299.322488220231</v>
      </c>
      <c r="BA54" s="272">
        <f t="shared" si="19"/>
        <v>4173.76473713188</v>
      </c>
      <c r="BB54" s="272">
        <f t="shared" si="20"/>
        <v>9690.27</v>
      </c>
      <c r="BC54" s="272">
        <f t="shared" si="21"/>
        <v>8660.66772727273</v>
      </c>
      <c r="BD54" s="273">
        <f t="shared" si="22"/>
        <v>2077.14299014084</v>
      </c>
      <c r="BE54" s="274">
        <f t="shared" si="23"/>
        <v>0.239836356219954</v>
      </c>
      <c r="BF54" s="280"/>
      <c r="BG54" s="280"/>
      <c r="BH54" s="191"/>
    </row>
    <row r="55" ht="23" customHeight="1" spans="1:60">
      <c r="A55" s="285" t="s">
        <v>200</v>
      </c>
      <c r="B55" s="285" t="s">
        <v>201</v>
      </c>
      <c r="C55" s="243">
        <v>424</v>
      </c>
      <c r="D55" s="244">
        <v>408</v>
      </c>
      <c r="E55" s="247">
        <v>9547.58</v>
      </c>
      <c r="F55" s="246">
        <v>35</v>
      </c>
      <c r="G55" s="246">
        <v>33</v>
      </c>
      <c r="H55" s="247">
        <v>804.25</v>
      </c>
      <c r="I55" s="247">
        <v>78.54</v>
      </c>
      <c r="J55" s="289">
        <v>30</v>
      </c>
      <c r="K55" s="290">
        <f t="shared" si="0"/>
        <v>0.0707547169811321</v>
      </c>
      <c r="L55" s="291">
        <v>583.25</v>
      </c>
      <c r="M55" s="251">
        <f t="shared" si="1"/>
        <v>-0.0275229357798165</v>
      </c>
      <c r="N55" s="249">
        <f t="shared" si="2"/>
        <v>-0.0168674698795181</v>
      </c>
      <c r="O55" s="249">
        <f t="shared" si="3"/>
        <v>-0.0256000457216572</v>
      </c>
      <c r="P55" s="252">
        <f t="shared" si="4"/>
        <v>1.03921568627451</v>
      </c>
      <c r="Q55" s="281">
        <f t="shared" si="5"/>
        <v>23.400931372549</v>
      </c>
      <c r="R55" s="281">
        <f t="shared" si="6"/>
        <v>22.5178773584906</v>
      </c>
      <c r="S55" s="281">
        <f t="shared" si="59"/>
        <v>60.5714285714286</v>
      </c>
      <c r="T55" s="254">
        <f t="shared" si="8"/>
        <v>159</v>
      </c>
      <c r="U55" s="255">
        <f t="shared" si="9"/>
        <v>0.389705882352941</v>
      </c>
      <c r="V55" s="256">
        <f t="shared" si="10"/>
        <v>0.261029629191555</v>
      </c>
      <c r="W55" s="244">
        <v>224559</v>
      </c>
      <c r="X55" s="244">
        <v>2317</v>
      </c>
      <c r="Y55" s="244">
        <v>249</v>
      </c>
      <c r="Z55" s="257">
        <v>2471.7</v>
      </c>
      <c r="AA55" s="277">
        <v>5757.73</v>
      </c>
      <c r="AB55" s="245">
        <v>1.07</v>
      </c>
      <c r="AC55" s="259">
        <f t="shared" si="11"/>
        <v>0.429283762871826</v>
      </c>
      <c r="AD55" s="260">
        <f t="shared" ref="AD55:AF55" si="75">X55/W55</f>
        <v>0.0103180010598551</v>
      </c>
      <c r="AE55" s="260">
        <f t="shared" si="75"/>
        <v>0.107466551575313</v>
      </c>
      <c r="AF55" s="253">
        <f t="shared" si="75"/>
        <v>9.92650602409639</v>
      </c>
      <c r="AG55" s="261">
        <v>107</v>
      </c>
      <c r="AH55" s="254">
        <v>150</v>
      </c>
      <c r="AI55" s="262">
        <v>155</v>
      </c>
      <c r="AJ55" s="263">
        <f>AG55*产品成本!$D$2+AH55*产品成本!$D$3+AI55*产品成本!$D$4</f>
        <v>1055.98591549296</v>
      </c>
      <c r="AK55" s="263">
        <f>AG55*产品成本!$E$2+AH55*产品成本!$E$3+AI55*产品成本!$E$4</f>
        <v>80.0444746478872</v>
      </c>
      <c r="AL55" s="263">
        <f>AG55*产品成本!$F$2+AH55*产品成本!$F$3+AI55*产品成本!$F$4</f>
        <v>140.08</v>
      </c>
      <c r="AM55" s="263">
        <f>AG55*产品成本!$G$2+AH55*产品成本!$G$3+AI55*产品成本!$G$4</f>
        <v>1584.33</v>
      </c>
      <c r="AN55" s="263">
        <f t="shared" si="13"/>
        <v>1420.356</v>
      </c>
      <c r="AO55" s="264">
        <f t="shared" si="14"/>
        <v>4280.79639014085</v>
      </c>
      <c r="AP55" s="265">
        <v>8</v>
      </c>
      <c r="AQ55" s="265">
        <v>9</v>
      </c>
      <c r="AR55" s="266">
        <v>13</v>
      </c>
      <c r="AS55" s="267">
        <f t="shared" si="15"/>
        <v>662.784090909091</v>
      </c>
      <c r="AT55" s="267">
        <f>AP55*产品成本!$D$2+AQ55*产品成本!$D$3+AR55*产品成本!$D$4</f>
        <v>78.943661971831</v>
      </c>
      <c r="AU55" s="271">
        <f>AP55*产品成本!$E$2+AQ55*产品成本!$E$3+AR55*产品成本!$E$4</f>
        <v>5.8539676056338</v>
      </c>
      <c r="AV55" s="270">
        <f>AP55*产品成本!$F$2+AQ55*产品成本!$F$3+AR55*产品成本!$F$4</f>
        <v>10.2</v>
      </c>
      <c r="AW55" s="269"/>
      <c r="AX55" s="270">
        <f t="shared" si="16"/>
        <v>99.4176136363636</v>
      </c>
      <c r="AY55" s="269">
        <f t="shared" si="17"/>
        <v>-19.8835227272727</v>
      </c>
      <c r="AZ55" s="271">
        <f t="shared" si="18"/>
        <v>174.531720486556</v>
      </c>
      <c r="BA55" s="272">
        <f t="shared" si="19"/>
        <v>4106.26466965429</v>
      </c>
      <c r="BB55" s="272">
        <f t="shared" si="20"/>
        <v>9469.04</v>
      </c>
      <c r="BC55" s="272">
        <f t="shared" si="21"/>
        <v>8806.25590909091</v>
      </c>
      <c r="BD55" s="273">
        <f t="shared" si="22"/>
        <v>2228.29123943662</v>
      </c>
      <c r="BE55" s="274">
        <f t="shared" si="23"/>
        <v>0.253035031282284</v>
      </c>
      <c r="BF55" s="278"/>
      <c r="BG55" s="278"/>
      <c r="BH55" s="191"/>
    </row>
    <row r="56" ht="23" customHeight="1" spans="1:60">
      <c r="A56" s="285" t="s">
        <v>202</v>
      </c>
      <c r="B56" s="285" t="s">
        <v>203</v>
      </c>
      <c r="C56" s="243">
        <v>469</v>
      </c>
      <c r="D56" s="244">
        <v>450</v>
      </c>
      <c r="E56" s="247">
        <v>10255.03</v>
      </c>
      <c r="F56" s="246">
        <v>63</v>
      </c>
      <c r="G56" s="246">
        <v>59</v>
      </c>
      <c r="H56" s="247">
        <v>1388.87</v>
      </c>
      <c r="I56" s="247">
        <v>134.71</v>
      </c>
      <c r="J56" s="289">
        <v>39</v>
      </c>
      <c r="K56" s="290">
        <f t="shared" si="0"/>
        <v>0.0831556503198294</v>
      </c>
      <c r="L56" s="291">
        <v>750.42</v>
      </c>
      <c r="M56" s="251">
        <f t="shared" si="1"/>
        <v>0.106132075471698</v>
      </c>
      <c r="N56" s="249">
        <f t="shared" si="2"/>
        <v>0.102941176470588</v>
      </c>
      <c r="O56" s="249">
        <f t="shared" si="3"/>
        <v>0.0740973105226665</v>
      </c>
      <c r="P56" s="252">
        <f t="shared" si="4"/>
        <v>1.04222222222222</v>
      </c>
      <c r="Q56" s="281">
        <f t="shared" si="5"/>
        <v>22.7889555555556</v>
      </c>
      <c r="R56" s="281">
        <f t="shared" si="6"/>
        <v>21.8657356076759</v>
      </c>
      <c r="S56" s="281">
        <f t="shared" si="59"/>
        <v>67</v>
      </c>
      <c r="T56" s="254">
        <f t="shared" si="8"/>
        <v>185</v>
      </c>
      <c r="U56" s="255">
        <f t="shared" si="9"/>
        <v>0.411111111111111</v>
      </c>
      <c r="V56" s="256">
        <f t="shared" si="10"/>
        <v>0.248502023651426</v>
      </c>
      <c r="W56" s="244">
        <v>211588</v>
      </c>
      <c r="X56" s="244">
        <v>2321</v>
      </c>
      <c r="Y56" s="244">
        <v>265</v>
      </c>
      <c r="Z56" s="257">
        <v>2514.92</v>
      </c>
      <c r="AA56" s="277">
        <v>5934.57</v>
      </c>
      <c r="AB56" s="245">
        <v>1.08</v>
      </c>
      <c r="AC56" s="259">
        <f t="shared" si="11"/>
        <v>0.423774595295026</v>
      </c>
      <c r="AD56" s="260">
        <f t="shared" ref="AD56:AF56" si="76">X56/W56</f>
        <v>0.0109694311586668</v>
      </c>
      <c r="AE56" s="260">
        <f t="shared" si="76"/>
        <v>0.114174924601465</v>
      </c>
      <c r="AF56" s="253">
        <f t="shared" si="76"/>
        <v>9.4902641509434</v>
      </c>
      <c r="AG56" s="261">
        <v>140</v>
      </c>
      <c r="AH56" s="254">
        <v>146</v>
      </c>
      <c r="AI56" s="262">
        <v>183</v>
      </c>
      <c r="AJ56" s="263">
        <f>AG56*产品成本!$D$2+AH56*产品成本!$D$3+AI56*产品成本!$D$4</f>
        <v>1209.92957746479</v>
      </c>
      <c r="AK56" s="263">
        <f>AG56*产品成本!$E$2+AH56*产品成本!$E$3+AI56*产品成本!$E$4</f>
        <v>90.8823464788732</v>
      </c>
      <c r="AL56" s="263">
        <f>AG56*产品成本!$F$2+AH56*产品成本!$F$3+AI56*产品成本!$F$4</f>
        <v>159.46</v>
      </c>
      <c r="AM56" s="263">
        <f>AG56*产品成本!$G$2+AH56*产品成本!$G$3+AI56*产品成本!$G$4</f>
        <v>1799.7</v>
      </c>
      <c r="AN56" s="263">
        <f t="shared" si="13"/>
        <v>1518.048</v>
      </c>
      <c r="AO56" s="264">
        <f t="shared" si="14"/>
        <v>4778.01992394366</v>
      </c>
      <c r="AP56" s="265">
        <v>11</v>
      </c>
      <c r="AQ56" s="265">
        <v>13</v>
      </c>
      <c r="AR56" s="266">
        <v>15</v>
      </c>
      <c r="AS56" s="267">
        <f t="shared" si="15"/>
        <v>852.75</v>
      </c>
      <c r="AT56" s="267">
        <f>AP56*产品成本!$D$2+AQ56*产品成本!$D$3+AR56*产品成本!$D$4</f>
        <v>100.352112676056</v>
      </c>
      <c r="AU56" s="271">
        <f>AP56*产品成本!$E$2+AQ56*产品成本!$E$3+AR56*产品成本!$E$4</f>
        <v>7.56594929577464</v>
      </c>
      <c r="AV56" s="270">
        <f>AP56*产品成本!$F$2+AQ56*产品成本!$F$3+AR56*产品成本!$F$4</f>
        <v>13.26</v>
      </c>
      <c r="AW56" s="269"/>
      <c r="AX56" s="270">
        <f t="shared" si="16"/>
        <v>127.9125</v>
      </c>
      <c r="AY56" s="269">
        <f t="shared" si="17"/>
        <v>-25.5825</v>
      </c>
      <c r="AZ56" s="271">
        <f t="shared" si="18"/>
        <v>223.508061971831</v>
      </c>
      <c r="BA56" s="272">
        <f t="shared" si="19"/>
        <v>4554.51186197183</v>
      </c>
      <c r="BB56" s="272">
        <f t="shared" si="20"/>
        <v>10120.32</v>
      </c>
      <c r="BC56" s="272">
        <f t="shared" si="21"/>
        <v>9267.57</v>
      </c>
      <c r="BD56" s="273">
        <f t="shared" si="22"/>
        <v>2198.13813802817</v>
      </c>
      <c r="BE56" s="274">
        <f t="shared" si="23"/>
        <v>0.237186030213764</v>
      </c>
      <c r="BF56" s="280"/>
      <c r="BG56" s="280" t="s">
        <v>204</v>
      </c>
      <c r="BH56" s="191"/>
    </row>
    <row r="57" ht="23" customHeight="1" spans="1:60">
      <c r="A57" s="285" t="s">
        <v>205</v>
      </c>
      <c r="B57" s="285" t="s">
        <v>206</v>
      </c>
      <c r="C57" s="243">
        <v>427</v>
      </c>
      <c r="D57" s="244">
        <v>397</v>
      </c>
      <c r="E57" s="247">
        <v>9395.43</v>
      </c>
      <c r="F57" s="246">
        <v>63</v>
      </c>
      <c r="G57" s="246">
        <v>44</v>
      </c>
      <c r="H57" s="247">
        <v>1363.57</v>
      </c>
      <c r="I57" s="247">
        <v>137.14</v>
      </c>
      <c r="J57" s="289">
        <v>41</v>
      </c>
      <c r="K57" s="290">
        <f t="shared" si="0"/>
        <v>0.0960187353629977</v>
      </c>
      <c r="L57" s="291">
        <v>781.55</v>
      </c>
      <c r="M57" s="251">
        <f t="shared" si="1"/>
        <v>-0.0895522388059701</v>
      </c>
      <c r="N57" s="249">
        <f t="shared" si="2"/>
        <v>-0.117777777777778</v>
      </c>
      <c r="O57" s="249">
        <f t="shared" si="3"/>
        <v>-0.0838222803833826</v>
      </c>
      <c r="P57" s="252">
        <f t="shared" si="4"/>
        <v>1.07556675062972</v>
      </c>
      <c r="Q57" s="281">
        <f t="shared" si="5"/>
        <v>23.6660705289673</v>
      </c>
      <c r="R57" s="281">
        <f t="shared" si="6"/>
        <v>22.0033489461358</v>
      </c>
      <c r="S57" s="281">
        <f t="shared" si="59"/>
        <v>61</v>
      </c>
      <c r="T57" s="254">
        <f t="shared" si="8"/>
        <v>92</v>
      </c>
      <c r="U57" s="255">
        <f t="shared" si="9"/>
        <v>0.231738035264484</v>
      </c>
      <c r="V57" s="256">
        <f t="shared" si="10"/>
        <v>0.320924274353039</v>
      </c>
      <c r="W57" s="244">
        <v>247317</v>
      </c>
      <c r="X57" s="244">
        <v>2759</v>
      </c>
      <c r="Y57" s="244">
        <v>305</v>
      </c>
      <c r="Z57" s="257">
        <v>2971.21</v>
      </c>
      <c r="AA57" s="277">
        <v>6972.09</v>
      </c>
      <c r="AB57" s="245">
        <v>1.08</v>
      </c>
      <c r="AC57" s="259">
        <f t="shared" si="11"/>
        <v>0.426157723150447</v>
      </c>
      <c r="AD57" s="260">
        <f t="shared" ref="AD57:AF57" si="77">X57/W57</f>
        <v>0.0111557232216144</v>
      </c>
      <c r="AE57" s="260">
        <f t="shared" si="77"/>
        <v>0.110547299746285</v>
      </c>
      <c r="AF57" s="253">
        <f t="shared" si="77"/>
        <v>9.74167213114754</v>
      </c>
      <c r="AG57" s="261">
        <v>117</v>
      </c>
      <c r="AH57" s="254">
        <v>107</v>
      </c>
      <c r="AI57" s="262">
        <v>203</v>
      </c>
      <c r="AJ57" s="263">
        <f>AG57*产品成本!$D$2+AH57*产品成本!$D$3+AI57*产品成本!$D$4</f>
        <v>1145.14084507042</v>
      </c>
      <c r="AK57" s="263">
        <f>AG57*产品成本!$E$2+AH57*产品成本!$E$3+AI57*产品成本!$E$4</f>
        <v>83.5705690140844</v>
      </c>
      <c r="AL57" s="263">
        <f>AG57*产品成本!$F$2+AH57*产品成本!$F$3+AI57*产品成本!$F$4</f>
        <v>145.18</v>
      </c>
      <c r="AM57" s="263">
        <f>AG57*产品成本!$G$2+AH57*产品成本!$G$3+AI57*产品成本!$G$4</f>
        <v>1640.73</v>
      </c>
      <c r="AN57" s="263">
        <f t="shared" si="13"/>
        <v>1388.7435</v>
      </c>
      <c r="AO57" s="264">
        <f t="shared" si="14"/>
        <v>4403.36491408451</v>
      </c>
      <c r="AP57" s="265">
        <v>11</v>
      </c>
      <c r="AQ57" s="265">
        <v>14</v>
      </c>
      <c r="AR57" s="266">
        <v>16</v>
      </c>
      <c r="AS57" s="267">
        <f t="shared" si="15"/>
        <v>888.125</v>
      </c>
      <c r="AT57" s="267">
        <f>AP57*产品成本!$D$2+AQ57*产品成本!$D$3+AR57*产品成本!$D$4</f>
        <v>105.774647887324</v>
      </c>
      <c r="AU57" s="271">
        <f>AP57*产品成本!$E$2+AQ57*产品成本!$E$3+AR57*产品成本!$E$4</f>
        <v>7.96873943661971</v>
      </c>
      <c r="AV57" s="270">
        <f>AP57*产品成本!$F$2+AQ57*产品成本!$F$3+AR57*产品成本!$F$4</f>
        <v>13.94</v>
      </c>
      <c r="AW57" s="269"/>
      <c r="AX57" s="270">
        <f t="shared" si="16"/>
        <v>133.21875</v>
      </c>
      <c r="AY57" s="269">
        <f t="shared" si="17"/>
        <v>-26.64375</v>
      </c>
      <c r="AZ57" s="271">
        <f t="shared" si="18"/>
        <v>234.258387323944</v>
      </c>
      <c r="BA57" s="272">
        <f t="shared" si="19"/>
        <v>4169.10652676056</v>
      </c>
      <c r="BB57" s="272">
        <f t="shared" si="20"/>
        <v>9258.29</v>
      </c>
      <c r="BC57" s="272">
        <f t="shared" si="21"/>
        <v>8370.165</v>
      </c>
      <c r="BD57" s="273">
        <f t="shared" si="22"/>
        <v>1229.84847323944</v>
      </c>
      <c r="BE57" s="274">
        <f t="shared" si="23"/>
        <v>0.146932404945355</v>
      </c>
      <c r="BF57" s="278"/>
      <c r="BG57" s="278" t="s">
        <v>207</v>
      </c>
      <c r="BH57" s="191"/>
    </row>
    <row r="58" ht="23" customHeight="1" spans="1:60">
      <c r="A58" s="285" t="s">
        <v>208</v>
      </c>
      <c r="B58" s="285" t="s">
        <v>209</v>
      </c>
      <c r="C58" s="243">
        <v>446</v>
      </c>
      <c r="D58" s="244">
        <v>427</v>
      </c>
      <c r="E58" s="247">
        <v>9900.95</v>
      </c>
      <c r="F58" s="246">
        <v>54</v>
      </c>
      <c r="G58" s="246">
        <v>47</v>
      </c>
      <c r="H58" s="247">
        <v>1202.06</v>
      </c>
      <c r="I58" s="247">
        <v>107.8</v>
      </c>
      <c r="J58" s="289">
        <v>35</v>
      </c>
      <c r="K58" s="290">
        <f t="shared" si="0"/>
        <v>0.07847533632287</v>
      </c>
      <c r="L58" s="291">
        <v>672.99</v>
      </c>
      <c r="M58" s="251">
        <f t="shared" si="1"/>
        <v>0.0444964871194379</v>
      </c>
      <c r="N58" s="249">
        <f t="shared" si="2"/>
        <v>0.0755667506297229</v>
      </c>
      <c r="O58" s="249">
        <f t="shared" si="3"/>
        <v>0.0538048817350563</v>
      </c>
      <c r="P58" s="252">
        <f t="shared" si="4"/>
        <v>1.04449648711944</v>
      </c>
      <c r="Q58" s="281">
        <f t="shared" si="5"/>
        <v>23.1872365339578</v>
      </c>
      <c r="R58" s="281">
        <f t="shared" si="6"/>
        <v>22.1994394618834</v>
      </c>
      <c r="S58" s="281">
        <f t="shared" si="59"/>
        <v>63.7142857142857</v>
      </c>
      <c r="T58" s="254">
        <f t="shared" si="8"/>
        <v>158</v>
      </c>
      <c r="U58" s="255">
        <f t="shared" si="9"/>
        <v>0.370023419203747</v>
      </c>
      <c r="V58" s="256">
        <f t="shared" si="10"/>
        <v>0.279549481014791</v>
      </c>
      <c r="W58" s="244">
        <v>199927</v>
      </c>
      <c r="X58" s="244">
        <v>2528</v>
      </c>
      <c r="Y58" s="244">
        <v>269</v>
      </c>
      <c r="Z58" s="257">
        <v>2737.67</v>
      </c>
      <c r="AA58" s="277">
        <v>6107.72</v>
      </c>
      <c r="AB58" s="245">
        <v>1.08</v>
      </c>
      <c r="AC58" s="259">
        <f t="shared" si="11"/>
        <v>0.448231091143667</v>
      </c>
      <c r="AD58" s="260">
        <f t="shared" ref="AD58:AF58" si="78">X58/W58</f>
        <v>0.0126446152845789</v>
      </c>
      <c r="AE58" s="260">
        <f t="shared" si="78"/>
        <v>0.106408227848101</v>
      </c>
      <c r="AF58" s="253">
        <f t="shared" si="78"/>
        <v>10.1772118959108</v>
      </c>
      <c r="AG58" s="261">
        <v>103</v>
      </c>
      <c r="AH58" s="254">
        <v>115</v>
      </c>
      <c r="AI58" s="262">
        <v>228</v>
      </c>
      <c r="AJ58" s="263">
        <f>AG58*产品成本!$D$2+AH58*产品成本!$D$3+AI58*产品成本!$D$4</f>
        <v>1215.21126760563</v>
      </c>
      <c r="AK58" s="263">
        <f>AG58*产品成本!$E$2+AH58*产品成本!$E$3+AI58*产品成本!$E$4</f>
        <v>87.9323915492957</v>
      </c>
      <c r="AL58" s="263">
        <f>AG58*产品成本!$F$2+AH58*产品成本!$F$3+AI58*产品成本!$F$4</f>
        <v>151.64</v>
      </c>
      <c r="AM58" s="263">
        <f>AG58*产品成本!$G$2+AH58*产品成本!$G$3+AI58*产品成本!$G$4</f>
        <v>1717.77</v>
      </c>
      <c r="AN58" s="263">
        <f t="shared" si="13"/>
        <v>1468.9725</v>
      </c>
      <c r="AO58" s="264">
        <f t="shared" si="14"/>
        <v>4641.52615915493</v>
      </c>
      <c r="AP58" s="265">
        <v>11</v>
      </c>
      <c r="AQ58" s="265">
        <v>12</v>
      </c>
      <c r="AR58" s="266">
        <v>12</v>
      </c>
      <c r="AS58" s="267">
        <f t="shared" si="15"/>
        <v>764.761363636364</v>
      </c>
      <c r="AT58" s="267">
        <f>AP58*产品成本!$D$2+AQ58*产品成本!$D$3+AR58*产品成本!$D$4</f>
        <v>88.3098591549297</v>
      </c>
      <c r="AU58" s="271">
        <f>AP58*产品成本!$E$2+AQ58*产品成本!$E$3+AR58*产品成本!$E$4</f>
        <v>6.74315915492957</v>
      </c>
      <c r="AV58" s="270">
        <f>AP58*产品成本!$F$2+AQ58*产品成本!$F$3+AR58*产品成本!$F$4</f>
        <v>11.9</v>
      </c>
      <c r="AW58" s="269"/>
      <c r="AX58" s="270">
        <f t="shared" si="16"/>
        <v>114.714204545455</v>
      </c>
      <c r="AY58" s="269">
        <f t="shared" si="17"/>
        <v>-22.9428409090909</v>
      </c>
      <c r="AZ58" s="271">
        <f t="shared" si="18"/>
        <v>198.724381946223</v>
      </c>
      <c r="BA58" s="272">
        <f t="shared" si="19"/>
        <v>4442.80177720871</v>
      </c>
      <c r="BB58" s="272">
        <f t="shared" si="20"/>
        <v>9793.15</v>
      </c>
      <c r="BC58" s="272">
        <f t="shared" si="21"/>
        <v>9028.38863636364</v>
      </c>
      <c r="BD58" s="273">
        <f t="shared" si="22"/>
        <v>1847.91685915493</v>
      </c>
      <c r="BE58" s="274">
        <f t="shared" si="23"/>
        <v>0.204678479580739</v>
      </c>
      <c r="BF58" s="280"/>
      <c r="BG58" s="280"/>
      <c r="BH58" s="191"/>
    </row>
    <row r="59" ht="23" customHeight="1" spans="1:60">
      <c r="A59" s="285" t="s">
        <v>210</v>
      </c>
      <c r="B59" s="285" t="s">
        <v>211</v>
      </c>
      <c r="C59" s="243">
        <v>513</v>
      </c>
      <c r="D59" s="244">
        <v>470</v>
      </c>
      <c r="E59" s="247">
        <v>9750.77</v>
      </c>
      <c r="F59" s="246">
        <v>86</v>
      </c>
      <c r="G59" s="246">
        <v>63</v>
      </c>
      <c r="H59" s="247">
        <v>1649.66</v>
      </c>
      <c r="I59" s="247">
        <v>170.13</v>
      </c>
      <c r="J59" s="289">
        <v>33</v>
      </c>
      <c r="K59" s="290">
        <f t="shared" si="0"/>
        <v>0.064327485380117</v>
      </c>
      <c r="L59" s="291">
        <v>620.88</v>
      </c>
      <c r="M59" s="251">
        <f t="shared" si="1"/>
        <v>0.150224215246637</v>
      </c>
      <c r="N59" s="249">
        <f t="shared" si="2"/>
        <v>0.100702576112412</v>
      </c>
      <c r="O59" s="249">
        <f t="shared" si="3"/>
        <v>-0.0151682414313778</v>
      </c>
      <c r="P59" s="252">
        <f t="shared" si="4"/>
        <v>1.09148936170213</v>
      </c>
      <c r="Q59" s="281">
        <f t="shared" si="5"/>
        <v>20.7463191489362</v>
      </c>
      <c r="R59" s="281">
        <f t="shared" si="6"/>
        <v>19.0073489278752</v>
      </c>
      <c r="S59" s="281">
        <f t="shared" si="59"/>
        <v>73.2857142857143</v>
      </c>
      <c r="T59" s="254">
        <f t="shared" si="8"/>
        <v>182</v>
      </c>
      <c r="U59" s="255">
        <f t="shared" si="9"/>
        <v>0.387234042553191</v>
      </c>
      <c r="V59" s="256">
        <f t="shared" si="10"/>
        <v>0.285106214198634</v>
      </c>
      <c r="W59" s="244">
        <v>204331</v>
      </c>
      <c r="X59" s="244">
        <v>2582</v>
      </c>
      <c r="Y59" s="244">
        <v>288</v>
      </c>
      <c r="Z59" s="257">
        <v>2731.5</v>
      </c>
      <c r="AA59" s="277">
        <v>6068.95</v>
      </c>
      <c r="AB59" s="245">
        <v>1.06</v>
      </c>
      <c r="AC59" s="259">
        <f t="shared" si="11"/>
        <v>0.450077855312698</v>
      </c>
      <c r="AD59" s="260">
        <f t="shared" ref="AD59:AF59" si="79">X59/W59</f>
        <v>0.0126363596321655</v>
      </c>
      <c r="AE59" s="260">
        <f t="shared" si="79"/>
        <v>0.11154144074361</v>
      </c>
      <c r="AF59" s="253">
        <f t="shared" si="79"/>
        <v>9.484375</v>
      </c>
      <c r="AG59" s="261">
        <v>131</v>
      </c>
      <c r="AH59" s="254">
        <v>171</v>
      </c>
      <c r="AI59" s="262">
        <v>211</v>
      </c>
      <c r="AJ59" s="263">
        <f>AG59*产品成本!$D$2+AH59*产品成本!$D$3+AI59*产品成本!$D$4</f>
        <v>1336.40845070423</v>
      </c>
      <c r="AK59" s="263">
        <f>AG59*产品成本!$E$2+AH59*产品成本!$E$3+AI59*产品成本!$E$4</f>
        <v>100.019636619718</v>
      </c>
      <c r="AL59" s="263">
        <f>AG59*产品成本!$F$2+AH59*产品成本!$F$3+AI59*产品成本!$F$4</f>
        <v>174.42</v>
      </c>
      <c r="AM59" s="263">
        <f>AG59*产品成本!$G$2+AH59*产品成本!$G$3+AI59*产品成本!$G$4</f>
        <v>1973.19</v>
      </c>
      <c r="AN59" s="263">
        <f t="shared" si="13"/>
        <v>1437.096</v>
      </c>
      <c r="AO59" s="264">
        <f t="shared" si="14"/>
        <v>5021.13408732395</v>
      </c>
      <c r="AP59" s="265">
        <v>11</v>
      </c>
      <c r="AQ59" s="265">
        <v>5</v>
      </c>
      <c r="AR59" s="266">
        <v>17</v>
      </c>
      <c r="AS59" s="267">
        <f t="shared" si="15"/>
        <v>705.545454545455</v>
      </c>
      <c r="AT59" s="267">
        <f>AP59*产品成本!$D$2+AQ59*产品成本!$D$3+AR59*产品成本!$D$4</f>
        <v>90.0704225352113</v>
      </c>
      <c r="AU59" s="271">
        <f>AP59*产品成本!$E$2+AQ59*产品成本!$E$3+AR59*产品成本!$E$4</f>
        <v>6.44362816901408</v>
      </c>
      <c r="AV59" s="270">
        <f>AP59*产品成本!$F$2+AQ59*产品成本!$F$3+AR59*产品成本!$F$4</f>
        <v>11.22</v>
      </c>
      <c r="AW59" s="269"/>
      <c r="AX59" s="270">
        <f t="shared" si="16"/>
        <v>105.831818181818</v>
      </c>
      <c r="AY59" s="269">
        <f t="shared" si="17"/>
        <v>-21.1663636363636</v>
      </c>
      <c r="AZ59" s="271">
        <f t="shared" si="18"/>
        <v>192.39950524968</v>
      </c>
      <c r="BA59" s="272">
        <f t="shared" si="19"/>
        <v>4828.73458207426</v>
      </c>
      <c r="BB59" s="272">
        <f t="shared" si="20"/>
        <v>9580.64</v>
      </c>
      <c r="BC59" s="272">
        <f t="shared" si="21"/>
        <v>8875.09454545455</v>
      </c>
      <c r="BD59" s="273">
        <f t="shared" si="22"/>
        <v>1314.85996338028</v>
      </c>
      <c r="BE59" s="274">
        <f t="shared" si="23"/>
        <v>0.148151657049524</v>
      </c>
      <c r="BF59" s="278"/>
      <c r="BG59" s="278" t="s">
        <v>212</v>
      </c>
      <c r="BH59" s="191"/>
    </row>
    <row r="60" ht="23" customHeight="1" spans="1:60">
      <c r="A60" s="285" t="s">
        <v>213</v>
      </c>
      <c r="B60" s="285" t="s">
        <v>214</v>
      </c>
      <c r="C60" s="243">
        <v>657</v>
      </c>
      <c r="D60" s="244">
        <v>602</v>
      </c>
      <c r="E60" s="247">
        <v>11504.01</v>
      </c>
      <c r="F60" s="246">
        <v>112</v>
      </c>
      <c r="G60" s="246">
        <v>86</v>
      </c>
      <c r="H60" s="247">
        <v>1976.52</v>
      </c>
      <c r="I60" s="247">
        <v>167.86</v>
      </c>
      <c r="J60" s="289">
        <v>23</v>
      </c>
      <c r="K60" s="290">
        <f t="shared" si="0"/>
        <v>0.0350076103500761</v>
      </c>
      <c r="L60" s="291">
        <v>422.16</v>
      </c>
      <c r="M60" s="251">
        <f t="shared" si="1"/>
        <v>0.280701754385965</v>
      </c>
      <c r="N60" s="249">
        <f t="shared" si="2"/>
        <v>0.280851063829787</v>
      </c>
      <c r="O60" s="249">
        <f t="shared" si="3"/>
        <v>0.179805287172193</v>
      </c>
      <c r="P60" s="252">
        <f t="shared" si="4"/>
        <v>1.09136212624585</v>
      </c>
      <c r="Q60" s="281">
        <f t="shared" si="5"/>
        <v>19.1096511627907</v>
      </c>
      <c r="R60" s="281">
        <f t="shared" si="6"/>
        <v>17.5099086757991</v>
      </c>
      <c r="S60" s="281">
        <f t="shared" si="59"/>
        <v>93.8571428571429</v>
      </c>
      <c r="T60" s="254">
        <f t="shared" si="8"/>
        <v>252</v>
      </c>
      <c r="U60" s="255">
        <f t="shared" si="9"/>
        <v>0.418604651162791</v>
      </c>
      <c r="V60" s="256">
        <f t="shared" si="10"/>
        <v>0.251514844104921</v>
      </c>
      <c r="W60" s="244">
        <v>282183</v>
      </c>
      <c r="X60" s="244">
        <v>2800</v>
      </c>
      <c r="Y60" s="244">
        <v>350</v>
      </c>
      <c r="Z60" s="257">
        <v>2851.21</v>
      </c>
      <c r="AA60" s="277">
        <v>6592.86</v>
      </c>
      <c r="AB60" s="245">
        <v>1.02</v>
      </c>
      <c r="AC60" s="259">
        <f t="shared" si="11"/>
        <v>0.432469368377305</v>
      </c>
      <c r="AD60" s="260">
        <f t="shared" ref="AD60:AF60" si="80">X60/W60</f>
        <v>0.00992263885492748</v>
      </c>
      <c r="AE60" s="260">
        <f t="shared" si="80"/>
        <v>0.125</v>
      </c>
      <c r="AF60" s="253">
        <f t="shared" si="80"/>
        <v>8.14631428571429</v>
      </c>
      <c r="AG60" s="261">
        <v>204</v>
      </c>
      <c r="AH60" s="254">
        <v>201</v>
      </c>
      <c r="AI60" s="262">
        <v>252</v>
      </c>
      <c r="AJ60" s="263">
        <f>AG60*产品成本!$D$2+AH60*产品成本!$D$3+AI60*产品成本!$D$4</f>
        <v>1689.71830985916</v>
      </c>
      <c r="AK60" s="263">
        <f>AG60*产品成本!$E$2+AH60*产品成本!$E$3+AI60*产品成本!$E$4</f>
        <v>127.086654929577</v>
      </c>
      <c r="AL60" s="263">
        <f>AG60*产品成本!$F$2+AH60*产品成本!$F$3+AI60*产品成本!$F$4</f>
        <v>223.38</v>
      </c>
      <c r="AM60" s="263">
        <f>AG60*产品成本!$G$2+AH60*产品成本!$G$3+AI60*产品成本!$G$4</f>
        <v>2519.46</v>
      </c>
      <c r="AN60" s="263">
        <f t="shared" si="13"/>
        <v>1700.4225</v>
      </c>
      <c r="AO60" s="264">
        <f t="shared" si="14"/>
        <v>6260.06746478873</v>
      </c>
      <c r="AP60" s="265">
        <v>7</v>
      </c>
      <c r="AQ60" s="265">
        <v>5</v>
      </c>
      <c r="AR60" s="266">
        <v>11</v>
      </c>
      <c r="AS60" s="267">
        <f t="shared" si="15"/>
        <v>479.727272727273</v>
      </c>
      <c r="AT60" s="267">
        <f>AP60*产品成本!$D$2+AQ60*产品成本!$D$3+AR60*产品成本!$D$4</f>
        <v>61.7605633802817</v>
      </c>
      <c r="AU60" s="271">
        <f>AP60*产品成本!$E$2+AQ60*产品成本!$E$3+AR60*产品成本!$E$4</f>
        <v>4.4892</v>
      </c>
      <c r="AV60" s="270">
        <f>AP60*产品成本!$F$2+AQ60*产品成本!$F$3+AR60*产品成本!$F$4</f>
        <v>7.82</v>
      </c>
      <c r="AW60" s="269"/>
      <c r="AX60" s="270">
        <f t="shared" si="16"/>
        <v>71.9590909090909</v>
      </c>
      <c r="AY60" s="269">
        <f t="shared" si="17"/>
        <v>-14.3918181818182</v>
      </c>
      <c r="AZ60" s="271">
        <f t="shared" si="18"/>
        <v>131.637036107554</v>
      </c>
      <c r="BA60" s="272">
        <f t="shared" si="19"/>
        <v>6128.43042868118</v>
      </c>
      <c r="BB60" s="272">
        <f t="shared" si="20"/>
        <v>11336.15</v>
      </c>
      <c r="BC60" s="272">
        <f t="shared" si="21"/>
        <v>10856.4227272727</v>
      </c>
      <c r="BD60" s="273">
        <f t="shared" si="22"/>
        <v>1876.78229859155</v>
      </c>
      <c r="BE60" s="274">
        <f t="shared" si="23"/>
        <v>0.172872993778773</v>
      </c>
      <c r="BF60" s="280"/>
      <c r="BG60" s="280" t="s">
        <v>215</v>
      </c>
      <c r="BH60" s="191"/>
    </row>
    <row r="61" ht="23" customHeight="1" spans="1:60">
      <c r="A61" s="285" t="s">
        <v>216</v>
      </c>
      <c r="B61" s="285" t="s">
        <v>217</v>
      </c>
      <c r="C61" s="243">
        <v>465</v>
      </c>
      <c r="D61" s="244">
        <v>434</v>
      </c>
      <c r="E61" s="247">
        <v>9735.19</v>
      </c>
      <c r="F61" s="246">
        <v>43</v>
      </c>
      <c r="G61" s="246">
        <v>32</v>
      </c>
      <c r="H61" s="247">
        <v>940.85</v>
      </c>
      <c r="I61" s="247">
        <v>119.3</v>
      </c>
      <c r="J61" s="289">
        <v>31</v>
      </c>
      <c r="K61" s="290">
        <f t="shared" si="0"/>
        <v>0.0666666666666667</v>
      </c>
      <c r="L61" s="291">
        <v>508.78</v>
      </c>
      <c r="M61" s="251">
        <f t="shared" si="1"/>
        <v>-0.292237442922374</v>
      </c>
      <c r="N61" s="249">
        <f t="shared" si="2"/>
        <v>-0.27906976744186</v>
      </c>
      <c r="O61" s="249">
        <f t="shared" si="3"/>
        <v>-0.153756820447826</v>
      </c>
      <c r="P61" s="252">
        <f t="shared" si="4"/>
        <v>1.07142857142857</v>
      </c>
      <c r="Q61" s="281">
        <f t="shared" si="5"/>
        <v>22.4313133640553</v>
      </c>
      <c r="R61" s="281">
        <f t="shared" si="6"/>
        <v>20.9358924731183</v>
      </c>
      <c r="S61" s="281">
        <f t="shared" si="59"/>
        <v>66.4285714285714</v>
      </c>
      <c r="T61" s="254">
        <f t="shared" si="8"/>
        <v>176</v>
      </c>
      <c r="U61" s="255">
        <f t="shared" si="9"/>
        <v>0.405529953917051</v>
      </c>
      <c r="V61" s="256">
        <f t="shared" si="10"/>
        <v>0.236918267575856</v>
      </c>
      <c r="W61" s="244">
        <v>256847</v>
      </c>
      <c r="X61" s="244">
        <v>2300</v>
      </c>
      <c r="Y61" s="244">
        <v>258</v>
      </c>
      <c r="Z61" s="257">
        <v>2278.18</v>
      </c>
      <c r="AA61" s="277">
        <v>5682.17</v>
      </c>
      <c r="AB61" s="245">
        <v>0.99</v>
      </c>
      <c r="AC61" s="259">
        <f t="shared" si="11"/>
        <v>0.400934854113833</v>
      </c>
      <c r="AD61" s="260">
        <f t="shared" ref="AD61:AF61" si="81">X61/W61</f>
        <v>0.00895474737878971</v>
      </c>
      <c r="AE61" s="260">
        <f t="shared" si="81"/>
        <v>0.112173913043478</v>
      </c>
      <c r="AF61" s="253">
        <f t="shared" si="81"/>
        <v>8.83015503875969</v>
      </c>
      <c r="AG61" s="261">
        <v>120</v>
      </c>
      <c r="AH61" s="254">
        <v>166</v>
      </c>
      <c r="AI61" s="262">
        <v>179</v>
      </c>
      <c r="AJ61" s="263">
        <f>AG61*产品成本!$D$2+AH61*产品成本!$D$3+AI61*产品成本!$D$4</f>
        <v>1196.69014084507</v>
      </c>
      <c r="AK61" s="263">
        <f>AG61*产品成本!$E$2+AH61*产品成本!$E$3+AI61*产品成本!$E$4</f>
        <v>90.4260084507041</v>
      </c>
      <c r="AL61" s="263">
        <f>AG61*产品成本!$F$2+AH61*产品成本!$F$3+AI61*产品成本!$F$4</f>
        <v>158.1</v>
      </c>
      <c r="AM61" s="263">
        <f>AG61*产品成本!$G$2+AH61*产品成本!$G$3+AI61*产品成本!$G$4</f>
        <v>1788.3</v>
      </c>
      <c r="AN61" s="263">
        <f t="shared" si="13"/>
        <v>1442.3835</v>
      </c>
      <c r="AO61" s="264">
        <f t="shared" si="14"/>
        <v>4675.89964929578</v>
      </c>
      <c r="AP61" s="265">
        <v>13</v>
      </c>
      <c r="AQ61" s="265">
        <v>7</v>
      </c>
      <c r="AR61" s="266">
        <v>11</v>
      </c>
      <c r="AS61" s="267">
        <f t="shared" si="15"/>
        <v>578.159090909091</v>
      </c>
      <c r="AT61" s="267">
        <f>AP61*产品成本!$D$2+AQ61*产品成本!$D$3+AR61*产品成本!$D$4</f>
        <v>78.661971830986</v>
      </c>
      <c r="AU61" s="271">
        <f>AP61*产品成本!$E$2+AQ61*产品成本!$E$3+AR61*产品成本!$E$4</f>
        <v>5.91642253521126</v>
      </c>
      <c r="AV61" s="270">
        <f>AP61*产品成本!$F$2+AQ61*产品成本!$F$3+AR61*产品成本!$F$4</f>
        <v>10.54</v>
      </c>
      <c r="AW61" s="269"/>
      <c r="AX61" s="270">
        <f t="shared" si="16"/>
        <v>86.7238636363636</v>
      </c>
      <c r="AY61" s="269">
        <f t="shared" si="17"/>
        <v>-17.3447727272727</v>
      </c>
      <c r="AZ61" s="271">
        <f t="shared" si="18"/>
        <v>164.497485275288</v>
      </c>
      <c r="BA61" s="272">
        <f t="shared" si="19"/>
        <v>4511.40216402049</v>
      </c>
      <c r="BB61" s="272">
        <f t="shared" si="20"/>
        <v>9615.89</v>
      </c>
      <c r="BC61" s="272">
        <f t="shared" si="21"/>
        <v>9037.73090909091</v>
      </c>
      <c r="BD61" s="273">
        <f t="shared" si="22"/>
        <v>2248.14874507042</v>
      </c>
      <c r="BE61" s="274">
        <f t="shared" si="23"/>
        <v>0.248751458489326</v>
      </c>
      <c r="BF61" s="278"/>
      <c r="BG61" s="278" t="s">
        <v>218</v>
      </c>
      <c r="BH61" s="191"/>
    </row>
    <row r="62" ht="23" customHeight="1" spans="1:60">
      <c r="A62" s="285" t="s">
        <v>219</v>
      </c>
      <c r="B62" s="285" t="s">
        <v>220</v>
      </c>
      <c r="C62" s="243">
        <v>424</v>
      </c>
      <c r="D62" s="244">
        <v>407</v>
      </c>
      <c r="E62" s="247">
        <v>9207.37</v>
      </c>
      <c r="F62" s="246">
        <v>181</v>
      </c>
      <c r="G62" s="246">
        <v>168</v>
      </c>
      <c r="H62" s="247">
        <v>3981.19</v>
      </c>
      <c r="I62" s="247">
        <v>226.22</v>
      </c>
      <c r="J62" s="289">
        <v>29</v>
      </c>
      <c r="K62" s="290">
        <f t="shared" si="0"/>
        <v>0.0683962264150943</v>
      </c>
      <c r="L62" s="291">
        <v>512.41</v>
      </c>
      <c r="M62" s="251">
        <f t="shared" si="1"/>
        <v>-0.0881720430107527</v>
      </c>
      <c r="N62" s="249">
        <f t="shared" si="2"/>
        <v>-0.0622119815668203</v>
      </c>
      <c r="O62" s="249">
        <f t="shared" si="3"/>
        <v>-0.0542177399722039</v>
      </c>
      <c r="P62" s="252">
        <f t="shared" si="4"/>
        <v>1.04176904176904</v>
      </c>
      <c r="Q62" s="281">
        <f t="shared" si="5"/>
        <v>22.6225307125307</v>
      </c>
      <c r="R62" s="281">
        <f t="shared" si="6"/>
        <v>21.7154952830189</v>
      </c>
      <c r="S62" s="281">
        <f t="shared" si="59"/>
        <v>60.5714285714286</v>
      </c>
      <c r="T62" s="254">
        <f t="shared" si="8"/>
        <v>183</v>
      </c>
      <c r="U62" s="255">
        <f t="shared" si="9"/>
        <v>0.44963144963145</v>
      </c>
      <c r="V62" s="256">
        <f t="shared" si="10"/>
        <v>0.234084721889736</v>
      </c>
      <c r="W62" s="244">
        <v>220903</v>
      </c>
      <c r="X62" s="244">
        <v>2078</v>
      </c>
      <c r="Y62" s="244">
        <v>224</v>
      </c>
      <c r="Z62" s="257">
        <v>2102.35</v>
      </c>
      <c r="AA62" s="277">
        <v>5024.18</v>
      </c>
      <c r="AB62" s="245">
        <v>1.01</v>
      </c>
      <c r="AC62" s="259">
        <f t="shared" si="11"/>
        <v>0.41844639324228</v>
      </c>
      <c r="AD62" s="260">
        <f t="shared" ref="AD62:AF62" si="82">X62/W62</f>
        <v>0.00940684372779003</v>
      </c>
      <c r="AE62" s="260">
        <f t="shared" si="82"/>
        <v>0.107795957651588</v>
      </c>
      <c r="AF62" s="253">
        <f t="shared" si="82"/>
        <v>9.38549107142857</v>
      </c>
      <c r="AG62" s="261">
        <v>118</v>
      </c>
      <c r="AH62" s="254">
        <v>139</v>
      </c>
      <c r="AI62" s="262">
        <v>167</v>
      </c>
      <c r="AJ62" s="263">
        <f>AG62*产品成本!$D$2+AH62*产品成本!$D$3+AI62*产品成本!$D$4</f>
        <v>1095.70422535211</v>
      </c>
      <c r="AK62" s="263">
        <f>AG62*产品成本!$E$2+AH62*产品成本!$E$3+AI62*产品成本!$E$4</f>
        <v>82.3534605633802</v>
      </c>
      <c r="AL62" s="263">
        <f>AG62*产品成本!$F$2+AH62*产品成本!$F$3+AI62*产品成本!$F$4</f>
        <v>144.16</v>
      </c>
      <c r="AM62" s="263">
        <f>AG62*产品成本!$G$2+AH62*产品成本!$G$3+AI62*产品成本!$G$4</f>
        <v>1628.82</v>
      </c>
      <c r="AN62" s="263">
        <f t="shared" si="13"/>
        <v>1347.1725</v>
      </c>
      <c r="AO62" s="264">
        <f t="shared" si="14"/>
        <v>4298.21018591549</v>
      </c>
      <c r="AP62" s="265">
        <v>7</v>
      </c>
      <c r="AQ62" s="265">
        <v>10</v>
      </c>
      <c r="AR62" s="266">
        <v>12</v>
      </c>
      <c r="AS62" s="267">
        <f t="shared" si="15"/>
        <v>582.284090909091</v>
      </c>
      <c r="AT62" s="267">
        <f>AP62*产品成本!$D$2+AQ62*产品成本!$D$3+AR62*产品成本!$D$4</f>
        <v>75.6338028169015</v>
      </c>
      <c r="AU62" s="271">
        <f>AP62*产品成本!$E$2+AQ62*产品成本!$E$3+AR62*产品成本!$E$4</f>
        <v>5.66315070422535</v>
      </c>
      <c r="AV62" s="270">
        <f>AP62*产品成本!$F$2+AQ62*产品成本!$F$3+AR62*产品成本!$F$4</f>
        <v>9.86</v>
      </c>
      <c r="AW62" s="269"/>
      <c r="AX62" s="270">
        <f t="shared" si="16"/>
        <v>87.3426136363636</v>
      </c>
      <c r="AY62" s="269">
        <f t="shared" si="17"/>
        <v>-17.4685227272727</v>
      </c>
      <c r="AZ62" s="271">
        <f t="shared" si="18"/>
        <v>161.031044430218</v>
      </c>
      <c r="BA62" s="272">
        <f t="shared" si="19"/>
        <v>4137.17914148528</v>
      </c>
      <c r="BB62" s="272">
        <f t="shared" si="20"/>
        <v>8981.15</v>
      </c>
      <c r="BC62" s="272">
        <f t="shared" si="21"/>
        <v>8398.86590909091</v>
      </c>
      <c r="BD62" s="273">
        <f t="shared" si="22"/>
        <v>2159.33676760564</v>
      </c>
      <c r="BE62" s="274">
        <f t="shared" si="23"/>
        <v>0.257098612000505</v>
      </c>
      <c r="BF62" s="280"/>
      <c r="BG62" s="280"/>
      <c r="BH62" s="191"/>
    </row>
    <row r="63" ht="23" customHeight="1" spans="1:60">
      <c r="A63" s="285" t="s">
        <v>221</v>
      </c>
      <c r="B63" s="285" t="s">
        <v>222</v>
      </c>
      <c r="C63" s="243">
        <v>436</v>
      </c>
      <c r="D63" s="244">
        <v>423</v>
      </c>
      <c r="E63" s="247">
        <v>9711.06</v>
      </c>
      <c r="F63" s="246">
        <v>228</v>
      </c>
      <c r="G63" s="246">
        <v>219</v>
      </c>
      <c r="H63" s="247">
        <v>5094.12</v>
      </c>
      <c r="I63" s="247">
        <v>260.04</v>
      </c>
      <c r="J63" s="289">
        <v>26</v>
      </c>
      <c r="K63" s="290">
        <f t="shared" si="0"/>
        <v>0.0596330275229358</v>
      </c>
      <c r="L63" s="291">
        <v>512.4</v>
      </c>
      <c r="M63" s="251">
        <f t="shared" si="1"/>
        <v>0.0283018867924528</v>
      </c>
      <c r="N63" s="249">
        <f t="shared" si="2"/>
        <v>0.0393120393120393</v>
      </c>
      <c r="O63" s="249">
        <f t="shared" si="3"/>
        <v>0.0547050895098164</v>
      </c>
      <c r="P63" s="252">
        <f t="shared" si="4"/>
        <v>1.03073286052009</v>
      </c>
      <c r="Q63" s="281">
        <f t="shared" si="5"/>
        <v>22.9575886524823</v>
      </c>
      <c r="R63" s="281">
        <f t="shared" si="6"/>
        <v>22.2730733944954</v>
      </c>
      <c r="S63" s="281">
        <f t="shared" si="59"/>
        <v>62.2857142857143</v>
      </c>
      <c r="T63" s="254">
        <f t="shared" si="8"/>
        <v>192</v>
      </c>
      <c r="U63" s="255">
        <f t="shared" si="9"/>
        <v>0.453900709219858</v>
      </c>
      <c r="V63" s="256">
        <f t="shared" si="10"/>
        <v>0.208593358177213</v>
      </c>
      <c r="W63" s="244">
        <v>216381</v>
      </c>
      <c r="X63" s="244">
        <v>1885</v>
      </c>
      <c r="Y63" s="244">
        <v>231</v>
      </c>
      <c r="Z63" s="257">
        <v>1971.42</v>
      </c>
      <c r="AA63" s="277">
        <v>5377.07</v>
      </c>
      <c r="AB63" s="245">
        <v>1.05</v>
      </c>
      <c r="AC63" s="259">
        <f t="shared" si="11"/>
        <v>0.366634616994014</v>
      </c>
      <c r="AD63" s="260">
        <f t="shared" ref="AD63:AF63" si="83">X63/W63</f>
        <v>0.00871148575891599</v>
      </c>
      <c r="AE63" s="260">
        <f t="shared" si="83"/>
        <v>0.122546419098143</v>
      </c>
      <c r="AF63" s="253">
        <f t="shared" si="83"/>
        <v>8.53428571428571</v>
      </c>
      <c r="AG63" s="261">
        <v>105</v>
      </c>
      <c r="AH63" s="254">
        <v>183</v>
      </c>
      <c r="AI63" s="262">
        <v>148</v>
      </c>
      <c r="AJ63" s="263">
        <f>AG63*产品成本!$D$2+AH63*产品成本!$D$3+AI63*产品成本!$D$4</f>
        <v>1098.30985915493</v>
      </c>
      <c r="AK63" s="263">
        <f>AG63*产品成本!$E$2+AH63*产品成本!$E$3+AI63*产品成本!$E$4</f>
        <v>84.5893352112675</v>
      </c>
      <c r="AL63" s="263">
        <f>AG63*产品成本!$F$2+AH63*产品成本!$F$3+AI63*产品成本!$F$4</f>
        <v>148.24</v>
      </c>
      <c r="AM63" s="263">
        <f>AG63*产品成本!$G$2+AH63*产品成本!$G$3+AI63*产品成本!$G$4</f>
        <v>1678.35</v>
      </c>
      <c r="AN63" s="263">
        <f t="shared" si="13"/>
        <v>1417.653</v>
      </c>
      <c r="AO63" s="264">
        <f t="shared" si="14"/>
        <v>4427.1421943662</v>
      </c>
      <c r="AP63" s="265">
        <v>7</v>
      </c>
      <c r="AQ63" s="265">
        <v>10</v>
      </c>
      <c r="AR63" s="266">
        <v>9</v>
      </c>
      <c r="AS63" s="267">
        <f t="shared" si="15"/>
        <v>582.272727272727</v>
      </c>
      <c r="AT63" s="267">
        <f>AP63*产品成本!$D$2+AQ63*产品成本!$D$3+AR63*产品成本!$D$4</f>
        <v>65.7042253521127</v>
      </c>
      <c r="AU63" s="271">
        <f>AP63*产品成本!$E$2+AQ63*产品成本!$E$3+AR63*产品成本!$E$4</f>
        <v>5.03315070422535</v>
      </c>
      <c r="AV63" s="270">
        <f>AP63*产品成本!$F$2+AQ63*产品成本!$F$3+AR63*产品成本!$F$4</f>
        <v>8.84</v>
      </c>
      <c r="AW63" s="269"/>
      <c r="AX63" s="270">
        <f t="shared" si="16"/>
        <v>87.3409090909091</v>
      </c>
      <c r="AY63" s="269">
        <f t="shared" si="17"/>
        <v>-17.4681818181818</v>
      </c>
      <c r="AZ63" s="271">
        <f t="shared" si="18"/>
        <v>149.450103329065</v>
      </c>
      <c r="BA63" s="272">
        <f t="shared" si="19"/>
        <v>4277.69209103713</v>
      </c>
      <c r="BB63" s="272">
        <f t="shared" si="20"/>
        <v>9451.02</v>
      </c>
      <c r="BC63" s="272">
        <f t="shared" si="21"/>
        <v>8868.74727272727</v>
      </c>
      <c r="BD63" s="273">
        <f t="shared" si="22"/>
        <v>2619.63518169014</v>
      </c>
      <c r="BE63" s="274">
        <f t="shared" si="23"/>
        <v>0.295378264949088</v>
      </c>
      <c r="BF63" s="278"/>
      <c r="BG63" s="278"/>
      <c r="BH63" s="191"/>
    </row>
    <row r="64" ht="23" customHeight="1" spans="1:60">
      <c r="A64" s="285" t="s">
        <v>223</v>
      </c>
      <c r="B64" s="285" t="s">
        <v>224</v>
      </c>
      <c r="C64" s="243">
        <v>323</v>
      </c>
      <c r="D64" s="244">
        <v>303</v>
      </c>
      <c r="E64" s="247">
        <v>7223.97</v>
      </c>
      <c r="F64" s="246">
        <v>102</v>
      </c>
      <c r="G64" s="246">
        <v>93</v>
      </c>
      <c r="H64" s="247">
        <v>2283.88</v>
      </c>
      <c r="I64" s="247">
        <v>139.89</v>
      </c>
      <c r="J64" s="289">
        <v>19</v>
      </c>
      <c r="K64" s="290">
        <f t="shared" si="0"/>
        <v>0.0588235294117647</v>
      </c>
      <c r="L64" s="291">
        <v>350.68</v>
      </c>
      <c r="M64" s="251">
        <f t="shared" si="1"/>
        <v>-0.259174311926606</v>
      </c>
      <c r="N64" s="249">
        <f t="shared" si="2"/>
        <v>-0.283687943262411</v>
      </c>
      <c r="O64" s="249">
        <f t="shared" si="3"/>
        <v>-0.256109013846068</v>
      </c>
      <c r="P64" s="252">
        <f t="shared" si="4"/>
        <v>1.06600660066007</v>
      </c>
      <c r="Q64" s="281">
        <f t="shared" si="5"/>
        <v>23.8414851485149</v>
      </c>
      <c r="R64" s="281">
        <f t="shared" si="6"/>
        <v>22.3652321981424</v>
      </c>
      <c r="S64" s="281">
        <f t="shared" si="59"/>
        <v>46.1428571428571</v>
      </c>
      <c r="T64" s="254">
        <f t="shared" si="8"/>
        <v>143</v>
      </c>
      <c r="U64" s="255">
        <f t="shared" si="9"/>
        <v>0.471947194719472</v>
      </c>
      <c r="V64" s="256">
        <f t="shared" si="10"/>
        <v>0.235704565730483</v>
      </c>
      <c r="W64" s="244">
        <v>180451</v>
      </c>
      <c r="X64" s="244">
        <v>1670</v>
      </c>
      <c r="Y64" s="244">
        <v>160</v>
      </c>
      <c r="Z64" s="257">
        <v>1669.75</v>
      </c>
      <c r="AA64" s="277">
        <v>3746.85</v>
      </c>
      <c r="AB64" s="245">
        <v>1</v>
      </c>
      <c r="AC64" s="259">
        <f t="shared" si="11"/>
        <v>0.44564100511096</v>
      </c>
      <c r="AD64" s="260">
        <f t="shared" ref="AD64:AF64" si="84">X64/W64</f>
        <v>0.00925458988866784</v>
      </c>
      <c r="AE64" s="260">
        <f t="shared" si="84"/>
        <v>0.0958083832335329</v>
      </c>
      <c r="AF64" s="253">
        <f t="shared" si="84"/>
        <v>10.4359375</v>
      </c>
      <c r="AG64" s="261">
        <v>89</v>
      </c>
      <c r="AH64" s="254">
        <v>102</v>
      </c>
      <c r="AI64" s="262">
        <v>132</v>
      </c>
      <c r="AJ64" s="263">
        <f>AG64*产品成本!$D$2+AH64*产品成本!$D$3+AI64*产品成本!$D$4</f>
        <v>840.422535211268</v>
      </c>
      <c r="AK64" s="263">
        <f>AG64*产品成本!$E$2+AH64*产品成本!$E$3+AI64*产品成本!$E$4</f>
        <v>62.8356211267605</v>
      </c>
      <c r="AL64" s="263">
        <f>AG64*产品成本!$F$2+AH64*产品成本!$F$3+AI64*产品成本!$F$4</f>
        <v>109.82</v>
      </c>
      <c r="AM64" s="263">
        <f>AG64*产品成本!$G$2+AH64*产品成本!$G$3+AI64*产品成本!$G$4</f>
        <v>1241.01</v>
      </c>
      <c r="AN64" s="263">
        <f t="shared" si="13"/>
        <v>1062.612</v>
      </c>
      <c r="AO64" s="264">
        <f t="shared" si="14"/>
        <v>3316.70015633803</v>
      </c>
      <c r="AP64" s="265">
        <v>4</v>
      </c>
      <c r="AQ64" s="265">
        <v>4</v>
      </c>
      <c r="AR64" s="266">
        <v>11</v>
      </c>
      <c r="AS64" s="267">
        <f t="shared" si="15"/>
        <v>398.5</v>
      </c>
      <c r="AT64" s="267">
        <f>AP64*产品成本!$D$2+AQ64*产品成本!$D$3+AR64*产品成本!$D$4</f>
        <v>53.3098591549296</v>
      </c>
      <c r="AU64" s="271">
        <f>AP64*产品成本!$E$2+AQ64*产品成本!$E$3+AR64*产品成本!$E$4</f>
        <v>3.77558873239436</v>
      </c>
      <c r="AV64" s="270">
        <f>AP64*产品成本!$F$2+AQ64*产品成本!$F$3+AR64*产品成本!$F$4</f>
        <v>6.46</v>
      </c>
      <c r="AW64" s="269"/>
      <c r="AX64" s="270">
        <f t="shared" si="16"/>
        <v>59.775</v>
      </c>
      <c r="AY64" s="269">
        <f t="shared" si="17"/>
        <v>-11.955</v>
      </c>
      <c r="AZ64" s="271">
        <f t="shared" si="18"/>
        <v>111.365447887324</v>
      </c>
      <c r="BA64" s="272">
        <f t="shared" si="19"/>
        <v>3205.3347084507</v>
      </c>
      <c r="BB64" s="272">
        <f t="shared" si="20"/>
        <v>7084.08</v>
      </c>
      <c r="BC64" s="272">
        <f t="shared" si="21"/>
        <v>6685.58</v>
      </c>
      <c r="BD64" s="273">
        <f t="shared" si="22"/>
        <v>1810.49529154929</v>
      </c>
      <c r="BE64" s="274">
        <f t="shared" si="23"/>
        <v>0.270806017061989</v>
      </c>
      <c r="BF64" s="280"/>
      <c r="BG64" s="280" t="s">
        <v>225</v>
      </c>
      <c r="BH64" s="191"/>
    </row>
    <row r="65" ht="23" customHeight="1" spans="1:61">
      <c r="A65" s="285" t="s">
        <v>226</v>
      </c>
      <c r="B65" s="285" t="s">
        <v>227</v>
      </c>
      <c r="C65" s="243">
        <v>434</v>
      </c>
      <c r="D65" s="244">
        <v>393</v>
      </c>
      <c r="E65" s="247">
        <v>10244.5</v>
      </c>
      <c r="F65" s="246">
        <v>114</v>
      </c>
      <c r="G65" s="246">
        <v>94</v>
      </c>
      <c r="H65" s="247">
        <v>2600.36</v>
      </c>
      <c r="I65" s="247">
        <v>161.25</v>
      </c>
      <c r="J65" s="289">
        <v>29</v>
      </c>
      <c r="K65" s="290">
        <f t="shared" si="0"/>
        <v>0.0668202764976959</v>
      </c>
      <c r="L65" s="291">
        <v>477.59</v>
      </c>
      <c r="M65" s="251">
        <f t="shared" si="1"/>
        <v>0.343653250773994</v>
      </c>
      <c r="N65" s="249">
        <f t="shared" si="2"/>
        <v>0.297029702970297</v>
      </c>
      <c r="O65" s="249">
        <f t="shared" si="3"/>
        <v>0.418126044266518</v>
      </c>
      <c r="P65" s="252">
        <f t="shared" si="4"/>
        <v>1.10432569974555</v>
      </c>
      <c r="Q65" s="281">
        <f t="shared" si="5"/>
        <v>26.0674300254453</v>
      </c>
      <c r="R65" s="281">
        <f t="shared" si="6"/>
        <v>23.6048387096774</v>
      </c>
      <c r="S65" s="281">
        <f t="shared" si="59"/>
        <v>62</v>
      </c>
      <c r="T65" s="254">
        <f t="shared" si="8"/>
        <v>165</v>
      </c>
      <c r="U65" s="255">
        <f t="shared" si="9"/>
        <v>0.419847328244275</v>
      </c>
      <c r="V65" s="256">
        <f t="shared" si="10"/>
        <v>0.202203654575658</v>
      </c>
      <c r="W65" s="244">
        <v>229389</v>
      </c>
      <c r="X65" s="244">
        <v>2108</v>
      </c>
      <c r="Y65" s="244">
        <v>228</v>
      </c>
      <c r="Z65" s="257">
        <v>2038.87</v>
      </c>
      <c r="AA65" s="277">
        <v>5774.96</v>
      </c>
      <c r="AB65" s="245">
        <v>0.97</v>
      </c>
      <c r="AC65" s="259">
        <f t="shared" si="11"/>
        <v>0.353053527643481</v>
      </c>
      <c r="AD65" s="260">
        <f t="shared" ref="AD65:AF65" si="85">X65/W65</f>
        <v>0.00918962984275619</v>
      </c>
      <c r="AE65" s="260">
        <f t="shared" si="85"/>
        <v>0.108159392789374</v>
      </c>
      <c r="AF65" s="253">
        <f t="shared" si="85"/>
        <v>8.94241228070175</v>
      </c>
      <c r="AG65" s="261">
        <v>123</v>
      </c>
      <c r="AH65" s="254">
        <v>112</v>
      </c>
      <c r="AI65" s="262">
        <v>199</v>
      </c>
      <c r="AJ65" s="263">
        <f>AG65*产品成本!$D$2+AH65*产品成本!$D$3+AI65*产品成本!$D$4</f>
        <v>1155.14084507042</v>
      </c>
      <c r="AK65" s="263">
        <f>AG65*产品成本!$E$2+AH65*产品成本!$E$3+AI65*产品成本!$E$4</f>
        <v>84.7361619718309</v>
      </c>
      <c r="AL65" s="263">
        <f>AG65*产品成本!$F$2+AH65*产品成本!$F$3+AI65*产品成本!$F$4</f>
        <v>147.56</v>
      </c>
      <c r="AM65" s="263">
        <f>AG65*产品成本!$G$2+AH65*产品成本!$G$3+AI65*产品成本!$G$4</f>
        <v>1666.77</v>
      </c>
      <c r="AN65" s="263">
        <f t="shared" si="13"/>
        <v>1512.4875</v>
      </c>
      <c r="AO65" s="264">
        <f t="shared" si="14"/>
        <v>4566.69450704225</v>
      </c>
      <c r="AP65" s="265">
        <v>8</v>
      </c>
      <c r="AQ65" s="265">
        <v>11</v>
      </c>
      <c r="AR65" s="266">
        <v>10</v>
      </c>
      <c r="AS65" s="267">
        <f t="shared" si="15"/>
        <v>542.715909090909</v>
      </c>
      <c r="AT65" s="267">
        <f>AP65*产品成本!$D$2+AQ65*产品成本!$D$3+AR65*产品成本!$D$4</f>
        <v>73.2394366197184</v>
      </c>
      <c r="AU65" s="271">
        <f>AP65*产品成本!$E$2+AQ65*产品成本!$E$3+AR65*产品成本!$E$4</f>
        <v>5.60954788732394</v>
      </c>
      <c r="AV65" s="270">
        <f>AP65*产品成本!$F$2+AQ65*产品成本!$F$3+AR65*产品成本!$F$4</f>
        <v>9.86</v>
      </c>
      <c r="AW65" s="269"/>
      <c r="AX65" s="270">
        <f t="shared" si="16"/>
        <v>81.4073863636363</v>
      </c>
      <c r="AY65" s="269">
        <f t="shared" si="17"/>
        <v>-16.2814772727273</v>
      </c>
      <c r="AZ65" s="271">
        <f t="shared" si="18"/>
        <v>153.834893597951</v>
      </c>
      <c r="BA65" s="272">
        <f t="shared" si="19"/>
        <v>4412.8596134443</v>
      </c>
      <c r="BB65" s="272">
        <f t="shared" si="20"/>
        <v>10083.25</v>
      </c>
      <c r="BC65" s="272">
        <f t="shared" si="21"/>
        <v>9540.53409090909</v>
      </c>
      <c r="BD65" s="273">
        <f t="shared" si="22"/>
        <v>3088.80447746479</v>
      </c>
      <c r="BE65" s="274">
        <f t="shared" si="23"/>
        <v>0.32375592896922</v>
      </c>
      <c r="BF65" s="278"/>
      <c r="BG65" s="278" t="s">
        <v>94</v>
      </c>
      <c r="BH65" s="191"/>
    </row>
    <row r="66" ht="23" customHeight="1" spans="1:61">
      <c r="A66" s="285" t="s">
        <v>228</v>
      </c>
      <c r="B66" s="285" t="s">
        <v>229</v>
      </c>
      <c r="C66" s="243">
        <v>444</v>
      </c>
      <c r="D66" s="244">
        <v>417</v>
      </c>
      <c r="E66" s="247">
        <v>10786.89</v>
      </c>
      <c r="F66" s="246">
        <v>58</v>
      </c>
      <c r="G66" s="246">
        <v>47</v>
      </c>
      <c r="H66" s="247">
        <v>1403.82</v>
      </c>
      <c r="I66" s="247">
        <v>152.15</v>
      </c>
      <c r="J66" s="289">
        <v>39</v>
      </c>
      <c r="K66" s="290">
        <f t="shared" si="0"/>
        <v>0.0878378378378378</v>
      </c>
      <c r="L66" s="291">
        <v>764.9</v>
      </c>
      <c r="M66" s="251">
        <f t="shared" si="1"/>
        <v>0.0230414746543779</v>
      </c>
      <c r="N66" s="249">
        <f t="shared" si="2"/>
        <v>0.0610687022900763</v>
      </c>
      <c r="O66" s="249">
        <f t="shared" si="3"/>
        <v>0.0529445068085313</v>
      </c>
      <c r="P66" s="252">
        <f t="shared" si="4"/>
        <v>1.06474820143885</v>
      </c>
      <c r="Q66" s="281">
        <f t="shared" si="5"/>
        <v>25.8678417266187</v>
      </c>
      <c r="R66" s="281">
        <f t="shared" si="6"/>
        <v>24.2947972972973</v>
      </c>
      <c r="S66" s="281">
        <f t="shared" si="59"/>
        <v>63.4285714285714</v>
      </c>
      <c r="T66" s="254">
        <f t="shared" si="8"/>
        <v>164</v>
      </c>
      <c r="U66" s="255">
        <f t="shared" si="9"/>
        <v>0.393285371702638</v>
      </c>
      <c r="V66" s="256">
        <f t="shared" si="10"/>
        <v>0.216572290436814</v>
      </c>
      <c r="W66" s="244">
        <v>215591</v>
      </c>
      <c r="X66" s="244">
        <v>2375</v>
      </c>
      <c r="Y66" s="244">
        <v>253</v>
      </c>
      <c r="Z66" s="257">
        <v>2303.19</v>
      </c>
      <c r="AA66" s="277">
        <v>6318.58</v>
      </c>
      <c r="AB66" s="245">
        <v>0.97</v>
      </c>
      <c r="AC66" s="259">
        <f t="shared" si="11"/>
        <v>0.364510697023698</v>
      </c>
      <c r="AD66" s="260">
        <f t="shared" ref="AD66:AF66" si="86">X66/W66</f>
        <v>0.0110162298055114</v>
      </c>
      <c r="AE66" s="260">
        <f t="shared" si="86"/>
        <v>0.106526315789474</v>
      </c>
      <c r="AF66" s="253">
        <f t="shared" si="86"/>
        <v>9.10351778656126</v>
      </c>
      <c r="AG66" s="261">
        <v>135</v>
      </c>
      <c r="AH66" s="254">
        <v>108</v>
      </c>
      <c r="AI66" s="262">
        <v>201</v>
      </c>
      <c r="AJ66" s="263">
        <f>AG66*产品成本!$D$2+AH66*产品成本!$D$3+AI66*产品成本!$D$4</f>
        <v>1178.66197183099</v>
      </c>
      <c r="AK66" s="263">
        <f>AG66*产品成本!$E$2+AH66*产品成本!$E$3+AI66*产品成本!$E$4</f>
        <v>86.4682859154929</v>
      </c>
      <c r="AL66" s="263">
        <f>AG66*产品成本!$F$2+AH66*产品成本!$F$3+AI66*产品成本!$F$4</f>
        <v>150.96</v>
      </c>
      <c r="AM66" s="263">
        <f>AG66*产品成本!$G$2+AH66*产品成本!$G$3+AI66*产品成本!$G$4</f>
        <v>1703.25</v>
      </c>
      <c r="AN66" s="263">
        <f t="shared" si="13"/>
        <v>1595.211</v>
      </c>
      <c r="AO66" s="264">
        <f t="shared" si="14"/>
        <v>4714.55125774648</v>
      </c>
      <c r="AP66" s="265">
        <v>14</v>
      </c>
      <c r="AQ66" s="265">
        <v>8</v>
      </c>
      <c r="AR66" s="266">
        <v>17</v>
      </c>
      <c r="AS66" s="267">
        <f t="shared" si="15"/>
        <v>869.204545454545</v>
      </c>
      <c r="AT66" s="267">
        <f>AP66*产品成本!$D$2+AQ66*产品成本!$D$3+AR66*产品成本!$D$4</f>
        <v>102.74647887324</v>
      </c>
      <c r="AU66" s="271">
        <f>AP66*产品成本!$E$2+AQ66*产品成本!$E$3+AR66*产品成本!$E$4</f>
        <v>7.54281971830985</v>
      </c>
      <c r="AV66" s="270">
        <f>AP66*产品成本!$F$2+AQ66*产品成本!$F$3+AR66*产品成本!$F$4</f>
        <v>13.26</v>
      </c>
      <c r="AW66" s="269"/>
      <c r="AX66" s="270">
        <f t="shared" si="16"/>
        <v>130.380681818182</v>
      </c>
      <c r="AY66" s="269">
        <f t="shared" si="17"/>
        <v>-26.0761363636364</v>
      </c>
      <c r="AZ66" s="271">
        <f t="shared" si="18"/>
        <v>227.853844046095</v>
      </c>
      <c r="BA66" s="272">
        <f t="shared" si="19"/>
        <v>4486.69741370038</v>
      </c>
      <c r="BB66" s="272">
        <f t="shared" si="20"/>
        <v>10634.74</v>
      </c>
      <c r="BC66" s="272">
        <f t="shared" si="21"/>
        <v>9765.53545454545</v>
      </c>
      <c r="BD66" s="273">
        <f t="shared" si="22"/>
        <v>2975.64804084507</v>
      </c>
      <c r="BE66" s="274">
        <f t="shared" si="23"/>
        <v>0.304709153399267</v>
      </c>
      <c r="BF66" s="280"/>
      <c r="BG66" s="280" t="s">
        <v>94</v>
      </c>
      <c r="BH66" s="191"/>
    </row>
    <row r="67" ht="23" customHeight="1" spans="1:61">
      <c r="A67" s="285" t="s">
        <v>230</v>
      </c>
      <c r="B67" s="285" t="s">
        <v>231</v>
      </c>
      <c r="C67" s="243">
        <v>429</v>
      </c>
      <c r="D67" s="244">
        <v>419</v>
      </c>
      <c r="E67" s="247">
        <v>10511.13</v>
      </c>
      <c r="F67" s="246">
        <v>51</v>
      </c>
      <c r="G67" s="246">
        <v>48</v>
      </c>
      <c r="H67" s="247">
        <v>1261.59</v>
      </c>
      <c r="I67" s="247">
        <v>138.23</v>
      </c>
      <c r="J67" s="289">
        <v>43</v>
      </c>
      <c r="K67" s="290">
        <f t="shared" si="0"/>
        <v>0.1002331002331</v>
      </c>
      <c r="L67" s="291">
        <v>860.16</v>
      </c>
      <c r="M67" s="251">
        <f t="shared" si="1"/>
        <v>-0.0337837837837838</v>
      </c>
      <c r="N67" s="249">
        <f t="shared" si="2"/>
        <v>0.00479616306954436</v>
      </c>
      <c r="O67" s="249">
        <f t="shared" si="3"/>
        <v>-0.0255643656327264</v>
      </c>
      <c r="P67" s="252">
        <f t="shared" si="4"/>
        <v>1.02386634844869</v>
      </c>
      <c r="Q67" s="281">
        <f t="shared" si="5"/>
        <v>25.0862291169451</v>
      </c>
      <c r="R67" s="281">
        <f t="shared" si="6"/>
        <v>24.5014685314685</v>
      </c>
      <c r="S67" s="281">
        <f t="shared" si="59"/>
        <v>61.2857142857143</v>
      </c>
      <c r="T67" s="254">
        <f t="shared" si="8"/>
        <v>142</v>
      </c>
      <c r="U67" s="255">
        <f t="shared" si="9"/>
        <v>0.33890214797136</v>
      </c>
      <c r="V67" s="256">
        <f t="shared" si="10"/>
        <v>0.207640100646878</v>
      </c>
      <c r="W67" s="244">
        <v>185443</v>
      </c>
      <c r="X67" s="244">
        <v>2245</v>
      </c>
      <c r="Y67" s="244">
        <v>277</v>
      </c>
      <c r="Z67" s="257">
        <v>2153.83</v>
      </c>
      <c r="AA67" s="277">
        <v>6835.68</v>
      </c>
      <c r="AB67" s="245">
        <v>0.96</v>
      </c>
      <c r="AC67" s="259">
        <f t="shared" si="11"/>
        <v>0.315086428855652</v>
      </c>
      <c r="AD67" s="260">
        <f t="shared" ref="AD67:AF67" si="87">X67/W67</f>
        <v>0.0121061458237841</v>
      </c>
      <c r="AE67" s="260">
        <f t="shared" si="87"/>
        <v>0.123385300668151</v>
      </c>
      <c r="AF67" s="253">
        <f t="shared" si="87"/>
        <v>7.775559566787</v>
      </c>
      <c r="AG67" s="261">
        <v>111</v>
      </c>
      <c r="AH67" s="254">
        <v>113</v>
      </c>
      <c r="AI67" s="262">
        <v>205</v>
      </c>
      <c r="AJ67" s="263">
        <f>AG67*产品成本!$D$2+AH67*产品成本!$D$3+AI67*产品成本!$D$4</f>
        <v>1151.76056338028</v>
      </c>
      <c r="AK67" s="263">
        <f>AG67*产品成本!$E$2+AH67*产品成本!$E$3+AI67*产品成本!$E$4</f>
        <v>84.1056676056337</v>
      </c>
      <c r="AL67" s="263">
        <f>AG67*产品成本!$F$2+AH67*产品成本!$F$3+AI67*产品成本!$F$4</f>
        <v>145.86</v>
      </c>
      <c r="AM67" s="263">
        <f>AG67*产品成本!$G$2+AH67*产品成本!$G$3+AI67*产品成本!$G$4</f>
        <v>1649.79</v>
      </c>
      <c r="AN67" s="263">
        <f t="shared" si="13"/>
        <v>1555.935</v>
      </c>
      <c r="AO67" s="264">
        <f t="shared" si="14"/>
        <v>4587.45123098592</v>
      </c>
      <c r="AP67" s="265">
        <v>15</v>
      </c>
      <c r="AQ67" s="265">
        <v>5</v>
      </c>
      <c r="AR67" s="266">
        <v>23</v>
      </c>
      <c r="AS67" s="267">
        <f t="shared" si="15"/>
        <v>977.454545454545</v>
      </c>
      <c r="AT67" s="267">
        <f>AP67*产品成本!$D$2+AQ67*产品成本!$D$3+AR67*产品成本!$D$4</f>
        <v>118.380281690141</v>
      </c>
      <c r="AU67" s="271">
        <f>AP67*产品成本!$E$2+AQ67*产品成本!$E$3+AR67*产品成本!$E$4</f>
        <v>8.39805633802817</v>
      </c>
      <c r="AV67" s="270">
        <f>AP67*产品成本!$F$2+AQ67*产品成本!$F$3+AR67*产品成本!$F$4</f>
        <v>14.62</v>
      </c>
      <c r="AW67" s="269"/>
      <c r="AX67" s="270">
        <f t="shared" si="16"/>
        <v>146.618181818182</v>
      </c>
      <c r="AY67" s="269">
        <f t="shared" si="17"/>
        <v>-29.3236363636364</v>
      </c>
      <c r="AZ67" s="271">
        <f t="shared" si="18"/>
        <v>258.692883482715</v>
      </c>
      <c r="BA67" s="272">
        <f t="shared" si="19"/>
        <v>4328.7583475032</v>
      </c>
      <c r="BB67" s="272">
        <f t="shared" si="20"/>
        <v>10372.9</v>
      </c>
      <c r="BC67" s="272">
        <f t="shared" si="21"/>
        <v>9395.44545454545</v>
      </c>
      <c r="BD67" s="273">
        <f t="shared" si="22"/>
        <v>2912.85710704225</v>
      </c>
      <c r="BE67" s="274">
        <f t="shared" si="23"/>
        <v>0.310028632610818</v>
      </c>
      <c r="BF67" s="278"/>
      <c r="BG67" s="278" t="s">
        <v>94</v>
      </c>
      <c r="BH67" s="191"/>
    </row>
    <row r="68" ht="23" customHeight="1" spans="1:61">
      <c r="A68" s="285" t="s">
        <v>232</v>
      </c>
      <c r="B68" s="285" t="s">
        <v>233</v>
      </c>
      <c r="C68" s="243">
        <v>401</v>
      </c>
      <c r="D68" s="244">
        <v>371</v>
      </c>
      <c r="E68" s="247">
        <v>8847.55</v>
      </c>
      <c r="F68" s="246">
        <v>33</v>
      </c>
      <c r="G68" s="246">
        <v>31</v>
      </c>
      <c r="H68" s="247">
        <v>742.44</v>
      </c>
      <c r="I68" s="247">
        <v>87.77</v>
      </c>
      <c r="J68" s="289">
        <v>43</v>
      </c>
      <c r="K68" s="290">
        <f t="shared" ref="K68:K75" si="88">J68/C68</f>
        <v>0.107231920199501</v>
      </c>
      <c r="L68" s="291">
        <v>854.28</v>
      </c>
      <c r="M68" s="251">
        <f t="shared" ref="M68:M74" si="89">(C68-C67)/C67</f>
        <v>-0.0652680652680653</v>
      </c>
      <c r="N68" s="249">
        <f t="shared" ref="N68:N74" si="90">(D68-D67)/D67</f>
        <v>-0.114558472553699</v>
      </c>
      <c r="O68" s="249">
        <f t="shared" ref="O68:O74" si="91">(E68-E67)/E67</f>
        <v>-0.158268425944689</v>
      </c>
      <c r="P68" s="252">
        <f t="shared" ref="P68:P75" si="92">C68/D68</f>
        <v>1.08086253369272</v>
      </c>
      <c r="Q68" s="281">
        <f t="shared" ref="Q68:Q75" si="93">E68/D68</f>
        <v>23.8478436657682</v>
      </c>
      <c r="R68" s="281">
        <f t="shared" ref="R68:R75" si="94">E68/C68</f>
        <v>22.0637157107232</v>
      </c>
      <c r="S68" s="281">
        <f t="shared" si="59"/>
        <v>57.2857142857143</v>
      </c>
      <c r="T68" s="254">
        <f t="shared" ref="T68:T75" si="95">D68-Y68</f>
        <v>161</v>
      </c>
      <c r="U68" s="255">
        <f t="shared" ref="U68:U75" si="96">T68/D68</f>
        <v>0.433962264150943</v>
      </c>
      <c r="V68" s="256">
        <f t="shared" ref="V68:V75" si="97">Z68/(E68-I68)</f>
        <v>0.22967357627703</v>
      </c>
      <c r="W68" s="244">
        <v>281209</v>
      </c>
      <c r="X68" s="244">
        <v>2093</v>
      </c>
      <c r="Y68" s="244">
        <v>210</v>
      </c>
      <c r="Z68" s="257">
        <v>2011.89</v>
      </c>
      <c r="AA68" s="277">
        <v>5176.69</v>
      </c>
      <c r="AB68" s="245">
        <v>0.96</v>
      </c>
      <c r="AC68" s="259">
        <f t="shared" ref="AC68:AC75" si="98">Z68/AA68</f>
        <v>0.388644094971884</v>
      </c>
      <c r="AD68" s="260">
        <f t="shared" ref="AD68:AF68" si="99">X68/W68</f>
        <v>0.00744286278177441</v>
      </c>
      <c r="AE68" s="260">
        <f t="shared" si="99"/>
        <v>0.100334448160535</v>
      </c>
      <c r="AF68" s="253">
        <f t="shared" si="99"/>
        <v>9.58042857142857</v>
      </c>
      <c r="AG68" s="261">
        <v>88</v>
      </c>
      <c r="AH68" s="254">
        <v>118</v>
      </c>
      <c r="AI68" s="262">
        <v>195</v>
      </c>
      <c r="AJ68" s="263">
        <f>AG68*产品成本!$D$2+AH68*产品成本!$D$3+AI68*产品成本!$D$4</f>
        <v>1080.6338028169</v>
      </c>
      <c r="AK68" s="263">
        <f>AG68*产品成本!$E$2+AH68*产品成本!$E$3+AI68*产品成本!$E$4</f>
        <v>78.9766563380281</v>
      </c>
      <c r="AL68" s="263">
        <f>AG68*产品成本!$F$2+AH68*产品成本!$F$3+AI68*产品成本!$F$4</f>
        <v>136.34</v>
      </c>
      <c r="AM68" s="263">
        <f>AG68*产品成本!$G$2+AH68*产品成本!$G$3+AI68*产品成本!$G$4</f>
        <v>1545.42</v>
      </c>
      <c r="AN68" s="263">
        <f t="shared" ref="AN68:AN74" si="100">(E68-I68)*0.15</f>
        <v>1313.967</v>
      </c>
      <c r="AO68" s="264">
        <f t="shared" ref="AO68:AO74" si="101">SUM(AJ68:AN68)</f>
        <v>4155.33745915493</v>
      </c>
      <c r="AP68" s="265">
        <v>15</v>
      </c>
      <c r="AQ68" s="265">
        <v>10</v>
      </c>
      <c r="AR68" s="266">
        <v>18</v>
      </c>
      <c r="AS68" s="267">
        <f t="shared" ref="AS68:AS74" si="102">L68/(1-0.15+0.15*0.2)</f>
        <v>970.772727272727</v>
      </c>
      <c r="AT68" s="267">
        <f>AP68*产品成本!$D$2+AQ68*产品成本!$D$3+AR68*产品成本!$D$4</f>
        <v>112.394366197183</v>
      </c>
      <c r="AU68" s="271">
        <f>AP68*产品成本!$E$2+AQ68*产品成本!$E$3+AR68*产品成本!$E$4</f>
        <v>8.31200704225351</v>
      </c>
      <c r="AV68" s="270">
        <f>AP68*产品成本!$F$2+AQ68*产品成本!$F$3+AR68*产品成本!$F$4</f>
        <v>14.62</v>
      </c>
      <c r="AW68" s="269"/>
      <c r="AX68" s="270">
        <f t="shared" ref="AX68:AX74" si="103">AS68*0.15</f>
        <v>145.615909090909</v>
      </c>
      <c r="AY68" s="269">
        <f t="shared" ref="AY68:AY74" si="104">-AX68*0.2</f>
        <v>-29.1231818181818</v>
      </c>
      <c r="AZ68" s="271">
        <f t="shared" ref="AZ68:AZ74" si="105">SUM(AT68:AY68)</f>
        <v>251.819100512164</v>
      </c>
      <c r="BA68" s="272">
        <f t="shared" ref="BA68:BA74" si="106">AO68-AZ68</f>
        <v>3903.51835864277</v>
      </c>
      <c r="BB68" s="272">
        <f t="shared" ref="BB68:BB74" si="107">E68-I68</f>
        <v>8759.78</v>
      </c>
      <c r="BC68" s="272">
        <f t="shared" ref="BC68:BC74" si="108">E68-AS68-I68</f>
        <v>7789.00727272727</v>
      </c>
      <c r="BD68" s="273">
        <f t="shared" ref="BD68:BD74" si="109">BC68-BA68-Z68</f>
        <v>1873.59891408451</v>
      </c>
      <c r="BE68" s="274">
        <f t="shared" ref="BE68:BE75" si="110">BD68/BC68</f>
        <v>0.240543993410405</v>
      </c>
      <c r="BF68" s="280" t="s">
        <v>234</v>
      </c>
      <c r="BG68" s="280" t="s">
        <v>235</v>
      </c>
      <c r="BH68" s="191"/>
    </row>
    <row r="69" ht="23" customHeight="1" spans="1:61">
      <c r="A69" s="285" t="s">
        <v>236</v>
      </c>
      <c r="B69" s="285" t="s">
        <v>237</v>
      </c>
      <c r="C69" s="243">
        <v>524</v>
      </c>
      <c r="D69" s="244">
        <v>498</v>
      </c>
      <c r="E69" s="247">
        <v>11077.72</v>
      </c>
      <c r="F69" s="246">
        <v>54</v>
      </c>
      <c r="G69" s="246">
        <v>41</v>
      </c>
      <c r="H69" s="247">
        <v>1165.01</v>
      </c>
      <c r="I69" s="247">
        <v>96.42</v>
      </c>
      <c r="J69" s="289">
        <v>33</v>
      </c>
      <c r="K69" s="290">
        <f t="shared" si="88"/>
        <v>0.0629770992366412</v>
      </c>
      <c r="L69" s="291">
        <v>645.56</v>
      </c>
      <c r="M69" s="251">
        <f t="shared" si="89"/>
        <v>0.306733167082294</v>
      </c>
      <c r="N69" s="249">
        <f t="shared" si="90"/>
        <v>0.342318059299191</v>
      </c>
      <c r="O69" s="249">
        <f t="shared" si="91"/>
        <v>0.252066391260858</v>
      </c>
      <c r="P69" s="252">
        <f t="shared" si="92"/>
        <v>1.05220883534137</v>
      </c>
      <c r="Q69" s="281">
        <f t="shared" si="93"/>
        <v>22.2444176706827</v>
      </c>
      <c r="R69" s="281">
        <f t="shared" si="94"/>
        <v>21.1406870229008</v>
      </c>
      <c r="S69" s="281">
        <f t="shared" si="59"/>
        <v>74.8571428571429</v>
      </c>
      <c r="T69" s="254">
        <f t="shared" si="95"/>
        <v>198</v>
      </c>
      <c r="U69" s="255">
        <f t="shared" si="96"/>
        <v>0.397590361445783</v>
      </c>
      <c r="V69" s="256">
        <f t="shared" si="97"/>
        <v>0.203948530683981</v>
      </c>
      <c r="W69" s="244">
        <v>320616</v>
      </c>
      <c r="X69" s="244">
        <v>2314</v>
      </c>
      <c r="Y69" s="244">
        <v>300</v>
      </c>
      <c r="Z69" s="257">
        <v>2239.62</v>
      </c>
      <c r="AA69" s="277">
        <v>6515.16</v>
      </c>
      <c r="AB69" s="245">
        <v>0.97</v>
      </c>
      <c r="AC69" s="259">
        <f t="shared" si="98"/>
        <v>0.343755180225812</v>
      </c>
      <c r="AD69" s="260">
        <f t="shared" ref="AD69:AF69" si="111">X69/W69</f>
        <v>0.00721735658856701</v>
      </c>
      <c r="AE69" s="260">
        <f t="shared" si="111"/>
        <v>0.129645635263613</v>
      </c>
      <c r="AF69" s="253">
        <f t="shared" si="111"/>
        <v>7.4654</v>
      </c>
      <c r="AG69" s="261">
        <v>148</v>
      </c>
      <c r="AH69" s="254">
        <v>136</v>
      </c>
      <c r="AI69" s="262">
        <v>240</v>
      </c>
      <c r="AJ69" s="263">
        <f>AG69*产品成本!$D$2+AH69*产品成本!$D$3+AI69*产品成本!$D$4</f>
        <v>1394.3661971831</v>
      </c>
      <c r="AK69" s="263">
        <f>AG69*产品成本!$E$2+AH69*产品成本!$E$3+AI69*产品成本!$E$4</f>
        <v>102.313301408451</v>
      </c>
      <c r="AL69" s="263">
        <f>AG69*产品成本!$F$2+AH69*产品成本!$F$3+AI69*产品成本!$F$4</f>
        <v>178.16</v>
      </c>
      <c r="AM69" s="263">
        <f>AG69*产品成本!$G$2+AH69*产品成本!$G$3+AI69*产品成本!$G$4</f>
        <v>2012.52</v>
      </c>
      <c r="AN69" s="263">
        <f t="shared" si="100"/>
        <v>1647.195</v>
      </c>
      <c r="AO69" s="264">
        <f t="shared" si="101"/>
        <v>5334.55449859155</v>
      </c>
      <c r="AP69" s="265">
        <v>7</v>
      </c>
      <c r="AQ69" s="265">
        <v>8</v>
      </c>
      <c r="AR69" s="266">
        <v>18</v>
      </c>
      <c r="AS69" s="267">
        <f t="shared" si="102"/>
        <v>733.590909090909</v>
      </c>
      <c r="AT69" s="267">
        <f>AP69*产品成本!$D$2+AQ69*产品成本!$D$3+AR69*产品成本!$D$4</f>
        <v>91.2676056338029</v>
      </c>
      <c r="AU69" s="271">
        <f>AP69*产品成本!$E$2+AQ69*产品成本!$E$3+AR69*产品成本!$E$4</f>
        <v>6.53757042253521</v>
      </c>
      <c r="AV69" s="270">
        <f>AP69*产品成本!$F$2+AQ69*产品成本!$F$3+AR69*产品成本!$F$4</f>
        <v>11.22</v>
      </c>
      <c r="AW69" s="269"/>
      <c r="AX69" s="270">
        <f t="shared" si="103"/>
        <v>110.038636363636</v>
      </c>
      <c r="AY69" s="269">
        <f t="shared" si="104"/>
        <v>-22.0077272727273</v>
      </c>
      <c r="AZ69" s="271">
        <f t="shared" si="105"/>
        <v>197.056085147247</v>
      </c>
      <c r="BA69" s="272">
        <f t="shared" si="106"/>
        <v>5137.4984134443</v>
      </c>
      <c r="BB69" s="272">
        <f t="shared" si="107"/>
        <v>10981.3</v>
      </c>
      <c r="BC69" s="272">
        <f t="shared" si="108"/>
        <v>10247.7090909091</v>
      </c>
      <c r="BD69" s="273">
        <f t="shared" si="109"/>
        <v>2870.59067746479</v>
      </c>
      <c r="BE69" s="274">
        <f t="shared" si="110"/>
        <v>0.280120234873893</v>
      </c>
      <c r="BF69" s="278" t="s">
        <v>238</v>
      </c>
      <c r="BG69" s="278" t="s">
        <v>239</v>
      </c>
      <c r="BH69" s="191"/>
    </row>
    <row r="70" ht="23" customHeight="1" spans="1:61">
      <c r="A70" s="285" t="s">
        <v>240</v>
      </c>
      <c r="B70" s="285" t="s">
        <v>241</v>
      </c>
      <c r="C70" s="243">
        <v>486</v>
      </c>
      <c r="D70" s="244">
        <v>450</v>
      </c>
      <c r="E70" s="247">
        <v>10769.75</v>
      </c>
      <c r="F70" s="246">
        <v>50</v>
      </c>
      <c r="G70" s="246">
        <v>30</v>
      </c>
      <c r="H70" s="247">
        <v>1102.63</v>
      </c>
      <c r="I70" s="247">
        <v>119.81</v>
      </c>
      <c r="J70" s="289">
        <v>34</v>
      </c>
      <c r="K70" s="290">
        <f t="shared" si="88"/>
        <v>0.0699588477366255</v>
      </c>
      <c r="L70" s="291">
        <v>647.63</v>
      </c>
      <c r="M70" s="251">
        <f t="shared" si="89"/>
        <v>-0.0725190839694656</v>
      </c>
      <c r="N70" s="249">
        <f t="shared" si="90"/>
        <v>-0.0963855421686747</v>
      </c>
      <c r="O70" s="249">
        <f t="shared" si="91"/>
        <v>-0.0278008471057221</v>
      </c>
      <c r="P70" s="252">
        <f t="shared" si="92"/>
        <v>1.08</v>
      </c>
      <c r="Q70" s="281">
        <f t="shared" si="93"/>
        <v>23.9327777777778</v>
      </c>
      <c r="R70" s="281">
        <f t="shared" si="94"/>
        <v>22.1599794238683</v>
      </c>
      <c r="S70" s="281">
        <f t="shared" si="59"/>
        <v>69.4285714285714</v>
      </c>
      <c r="T70" s="254">
        <f t="shared" si="95"/>
        <v>189</v>
      </c>
      <c r="U70" s="255">
        <f t="shared" si="96"/>
        <v>0.42</v>
      </c>
      <c r="V70" s="256">
        <f t="shared" si="97"/>
        <v>0.228713964585716</v>
      </c>
      <c r="W70" s="244">
        <v>224056</v>
      </c>
      <c r="X70" s="244">
        <v>2432</v>
      </c>
      <c r="Y70" s="244">
        <v>261</v>
      </c>
      <c r="Z70" s="257">
        <v>2435.79</v>
      </c>
      <c r="AA70" s="277">
        <v>6049.84</v>
      </c>
      <c r="AB70" s="245">
        <v>1</v>
      </c>
      <c r="AC70" s="259">
        <f t="shared" si="98"/>
        <v>0.402620565171971</v>
      </c>
      <c r="AD70" s="260">
        <f t="shared" ref="AD70:AF70" si="112">X70/W70</f>
        <v>0.0108544292498304</v>
      </c>
      <c r="AE70" s="260">
        <f t="shared" si="112"/>
        <v>0.107319078947368</v>
      </c>
      <c r="AF70" s="253">
        <f t="shared" si="112"/>
        <v>9.33252873563218</v>
      </c>
      <c r="AG70" s="261">
        <v>110</v>
      </c>
      <c r="AH70" s="254">
        <v>141</v>
      </c>
      <c r="AI70" s="262">
        <v>235</v>
      </c>
      <c r="AJ70" s="263">
        <f>AG70*产品成本!$D$2+AH70*产品成本!$D$3+AI70*产品成本!$D$4</f>
        <v>1308.0985915493</v>
      </c>
      <c r="AK70" s="263">
        <f>AG70*产品成本!$E$2+AH70*产品成本!$E$3+AI70*产品成本!$E$4</f>
        <v>95.6301845070422</v>
      </c>
      <c r="AL70" s="263">
        <f>AG70*产品成本!$F$2+AH70*产品成本!$F$3+AI70*产品成本!$F$4</f>
        <v>165.24</v>
      </c>
      <c r="AM70" s="263">
        <f>AG70*产品成本!$G$2+AH70*产品成本!$G$3+AI70*产品成本!$G$4</f>
        <v>1872.3</v>
      </c>
      <c r="AN70" s="263">
        <f t="shared" si="100"/>
        <v>1597.491</v>
      </c>
      <c r="AO70" s="264">
        <f t="shared" si="101"/>
        <v>5038.75977605634</v>
      </c>
      <c r="AP70" s="265">
        <v>8</v>
      </c>
      <c r="AQ70" s="265">
        <v>15</v>
      </c>
      <c r="AR70" s="266">
        <v>11</v>
      </c>
      <c r="AS70" s="267">
        <f t="shared" si="102"/>
        <v>735.943181818182</v>
      </c>
      <c r="AT70" s="267">
        <f>AP70*产品成本!$D$2+AQ70*产品成本!$D$3+AR70*产品成本!$D$4</f>
        <v>85.0000000000001</v>
      </c>
      <c r="AU70" s="271">
        <f>AP70*产品成本!$E$2+AQ70*产品成本!$E$3+AR70*产品成本!$E$4</f>
        <v>6.59070845070422</v>
      </c>
      <c r="AV70" s="270">
        <f>AP70*产品成本!$F$2+AQ70*产品成本!$F$3+AR70*产品成本!$F$4</f>
        <v>11.56</v>
      </c>
      <c r="AW70" s="269"/>
      <c r="AX70" s="270">
        <f t="shared" si="103"/>
        <v>110.391477272727</v>
      </c>
      <c r="AY70" s="269">
        <f t="shared" si="104"/>
        <v>-22.0782954545455</v>
      </c>
      <c r="AZ70" s="271">
        <f t="shared" si="105"/>
        <v>191.463890268886</v>
      </c>
      <c r="BA70" s="272">
        <f t="shared" si="106"/>
        <v>4847.29588578745</v>
      </c>
      <c r="BB70" s="272">
        <f t="shared" si="107"/>
        <v>10649.94</v>
      </c>
      <c r="BC70" s="272">
        <f t="shared" si="108"/>
        <v>9913.99681818182</v>
      </c>
      <c r="BD70" s="273">
        <f t="shared" si="109"/>
        <v>2630.91093239436</v>
      </c>
      <c r="BE70" s="274">
        <f t="shared" si="110"/>
        <v>0.265373388820278</v>
      </c>
      <c r="BF70" s="280" t="s">
        <v>242</v>
      </c>
      <c r="BG70" s="280" t="s">
        <v>243</v>
      </c>
      <c r="BH70" s="191"/>
    </row>
    <row r="71" ht="23" customHeight="1" spans="1:61">
      <c r="A71" s="285" t="s">
        <v>244</v>
      </c>
      <c r="B71" s="285" t="s">
        <v>245</v>
      </c>
      <c r="C71" s="243">
        <v>495</v>
      </c>
      <c r="D71" s="244">
        <v>481</v>
      </c>
      <c r="E71" s="247">
        <v>10972.88</v>
      </c>
      <c r="F71" s="246">
        <v>54</v>
      </c>
      <c r="G71" s="246">
        <v>48</v>
      </c>
      <c r="H71" s="247">
        <v>1187.26</v>
      </c>
      <c r="I71" s="247">
        <v>139.54</v>
      </c>
      <c r="J71" s="289">
        <v>43</v>
      </c>
      <c r="K71" s="290">
        <f t="shared" si="88"/>
        <v>0.0868686868686869</v>
      </c>
      <c r="L71" s="291">
        <v>835.32</v>
      </c>
      <c r="M71" s="251">
        <f t="shared" si="89"/>
        <v>0.0185185185185185</v>
      </c>
      <c r="N71" s="249">
        <f t="shared" si="90"/>
        <v>0.0688888888888889</v>
      </c>
      <c r="O71" s="249">
        <f t="shared" si="91"/>
        <v>0.0188611620511153</v>
      </c>
      <c r="P71" s="252">
        <f t="shared" si="92"/>
        <v>1.02910602910603</v>
      </c>
      <c r="Q71" s="281">
        <f t="shared" si="93"/>
        <v>22.8126403326403</v>
      </c>
      <c r="R71" s="281">
        <f t="shared" si="94"/>
        <v>22.1674343434343</v>
      </c>
      <c r="S71" s="281">
        <f t="shared" si="59"/>
        <v>70.7142857142857</v>
      </c>
      <c r="T71" s="254">
        <f t="shared" si="95"/>
        <v>148</v>
      </c>
      <c r="U71" s="255">
        <f t="shared" si="96"/>
        <v>0.307692307692308</v>
      </c>
      <c r="V71" s="256">
        <f t="shared" si="97"/>
        <v>0.230870627156537</v>
      </c>
      <c r="W71" s="244">
        <v>192638</v>
      </c>
      <c r="X71" s="244">
        <v>2449</v>
      </c>
      <c r="Y71" s="244">
        <v>333</v>
      </c>
      <c r="Z71" s="257">
        <v>2501.1</v>
      </c>
      <c r="AA71" s="277">
        <v>7556.87</v>
      </c>
      <c r="AB71" s="245">
        <v>1.02</v>
      </c>
      <c r="AC71" s="259">
        <f t="shared" si="98"/>
        <v>0.330970362067893</v>
      </c>
      <c r="AD71" s="260">
        <f t="shared" ref="AD71:AF71" si="113">X71/W71</f>
        <v>0.0127129642126683</v>
      </c>
      <c r="AE71" s="260">
        <f t="shared" si="113"/>
        <v>0.135973866884443</v>
      </c>
      <c r="AF71" s="253">
        <f t="shared" si="113"/>
        <v>7.51081081081081</v>
      </c>
      <c r="AG71" s="261">
        <v>101</v>
      </c>
      <c r="AH71" s="254">
        <v>148</v>
      </c>
      <c r="AI71" s="262">
        <v>246</v>
      </c>
      <c r="AJ71" s="263">
        <f>AG71*产品成本!$D$2+AH71*产品成本!$D$3+AI71*产品成本!$D$4</f>
        <v>1340.28169014085</v>
      </c>
      <c r="AK71" s="263">
        <f>AG71*产品成本!$E$2+AH71*产品成本!$E$3+AI71*产品成本!$E$4</f>
        <v>97.727252112676</v>
      </c>
      <c r="AL71" s="263">
        <f>AG71*产品成本!$F$2+AH71*产品成本!$F$3+AI71*产品成本!$F$4</f>
        <v>168.3</v>
      </c>
      <c r="AM71" s="263">
        <f>AG71*产品成本!$G$2+AH71*产品成本!$G$3+AI71*产品成本!$G$4</f>
        <v>1909.29</v>
      </c>
      <c r="AN71" s="263">
        <f t="shared" si="100"/>
        <v>1625.001</v>
      </c>
      <c r="AO71" s="264">
        <f t="shared" si="101"/>
        <v>5140.59994225352</v>
      </c>
      <c r="AP71" s="265">
        <v>9</v>
      </c>
      <c r="AQ71" s="265">
        <v>14</v>
      </c>
      <c r="AR71" s="266">
        <v>20</v>
      </c>
      <c r="AS71" s="267">
        <f t="shared" si="102"/>
        <v>949.227272727273</v>
      </c>
      <c r="AT71" s="267">
        <f>AP71*产品成本!$D$2+AQ71*产品成本!$D$3+AR71*产品成本!$D$4</f>
        <v>114.788732394366</v>
      </c>
      <c r="AU71" s="271">
        <f>AP71*产品成本!$E$2+AQ71*产品成本!$E$3+AR71*产品成本!$E$4</f>
        <v>8.46152535211267</v>
      </c>
      <c r="AV71" s="270">
        <f>AP71*产品成本!$F$2+AQ71*产品成本!$F$3+AR71*产品成本!$F$4</f>
        <v>14.62</v>
      </c>
      <c r="AW71" s="269"/>
      <c r="AX71" s="270">
        <f t="shared" si="103"/>
        <v>142.384090909091</v>
      </c>
      <c r="AY71" s="269">
        <f t="shared" si="104"/>
        <v>-28.4768181818182</v>
      </c>
      <c r="AZ71" s="271">
        <f t="shared" si="105"/>
        <v>251.777530473752</v>
      </c>
      <c r="BA71" s="272">
        <f t="shared" si="106"/>
        <v>4888.82241177977</v>
      </c>
      <c r="BB71" s="272">
        <f t="shared" si="107"/>
        <v>10833.34</v>
      </c>
      <c r="BC71" s="272">
        <f t="shared" si="108"/>
        <v>9884.11272727273</v>
      </c>
      <c r="BD71" s="273">
        <f t="shared" si="109"/>
        <v>2494.19031549296</v>
      </c>
      <c r="BE71" s="274">
        <f t="shared" si="110"/>
        <v>0.252343370043814</v>
      </c>
      <c r="BF71" s="278" t="s">
        <v>246</v>
      </c>
      <c r="BG71" s="278" t="s">
        <v>243</v>
      </c>
      <c r="BH71" s="191"/>
    </row>
    <row r="72" ht="23" customHeight="1" spans="1:61">
      <c r="A72" s="285" t="s">
        <v>247</v>
      </c>
      <c r="B72" s="285" t="s">
        <v>248</v>
      </c>
      <c r="C72" s="243">
        <v>580</v>
      </c>
      <c r="D72" s="244">
        <v>546</v>
      </c>
      <c r="E72" s="247">
        <v>12876</v>
      </c>
      <c r="F72" s="246">
        <v>65</v>
      </c>
      <c r="G72" s="246">
        <v>50</v>
      </c>
      <c r="H72" s="247">
        <v>1445.95</v>
      </c>
      <c r="I72" s="247">
        <v>138.16</v>
      </c>
      <c r="J72" s="289">
        <v>37</v>
      </c>
      <c r="K72" s="290">
        <f t="shared" si="88"/>
        <v>0.0637931034482759</v>
      </c>
      <c r="L72" s="291">
        <v>708.67</v>
      </c>
      <c r="M72" s="251">
        <f t="shared" si="89"/>
        <v>0.171717171717172</v>
      </c>
      <c r="N72" s="249">
        <f t="shared" si="90"/>
        <v>0.135135135135135</v>
      </c>
      <c r="O72" s="249">
        <f t="shared" si="91"/>
        <v>0.17343851386327</v>
      </c>
      <c r="P72" s="252">
        <f t="shared" si="92"/>
        <v>1.06227106227106</v>
      </c>
      <c r="Q72" s="281">
        <f t="shared" si="93"/>
        <v>23.5824175824176</v>
      </c>
      <c r="R72" s="281">
        <f t="shared" si="94"/>
        <v>22.2</v>
      </c>
      <c r="S72" s="281">
        <f t="shared" si="59"/>
        <v>82.8571428571429</v>
      </c>
      <c r="T72" s="254">
        <f t="shared" si="95"/>
        <v>204</v>
      </c>
      <c r="U72" s="255">
        <f t="shared" si="96"/>
        <v>0.373626373626374</v>
      </c>
      <c r="V72" s="256">
        <f t="shared" si="97"/>
        <v>0.234826312781445</v>
      </c>
      <c r="W72" s="244">
        <v>222786</v>
      </c>
      <c r="X72" s="244">
        <v>2899</v>
      </c>
      <c r="Y72" s="244">
        <v>342</v>
      </c>
      <c r="Z72" s="257">
        <v>2991.18</v>
      </c>
      <c r="AA72" s="277">
        <v>7818.94</v>
      </c>
      <c r="AB72" s="245">
        <v>1.03</v>
      </c>
      <c r="AC72" s="259">
        <f t="shared" si="98"/>
        <v>0.382555691692224</v>
      </c>
      <c r="AD72" s="260">
        <f t="shared" ref="AD72:AF72" si="114">X72/W72</f>
        <v>0.01301248731967</v>
      </c>
      <c r="AE72" s="260">
        <f t="shared" si="114"/>
        <v>0.11797171438427</v>
      </c>
      <c r="AF72" s="253">
        <f t="shared" si="114"/>
        <v>8.74614035087719</v>
      </c>
      <c r="AG72" s="261">
        <v>140</v>
      </c>
      <c r="AH72" s="254">
        <v>158</v>
      </c>
      <c r="AI72" s="262">
        <v>282</v>
      </c>
      <c r="AJ72" s="263">
        <f>AG72*产品成本!$D$2+AH72*产品成本!$D$3+AI72*产品成本!$D$4</f>
        <v>1562.95774647887</v>
      </c>
      <c r="AK72" s="263">
        <f>AG72*产品成本!$E$2+AH72*产品成本!$E$3+AI72*产品成本!$E$4</f>
        <v>113.985828169014</v>
      </c>
      <c r="AL72" s="263">
        <f>AG72*产品成本!$F$2+AH72*产品成本!$F$3+AI72*产品成本!$F$4</f>
        <v>197.2</v>
      </c>
      <c r="AM72" s="263">
        <f>AG72*产品成本!$G$2+AH72*产品成本!$G$3+AI72*产品成本!$G$4</f>
        <v>2232.6</v>
      </c>
      <c r="AN72" s="263">
        <f t="shared" si="100"/>
        <v>1910.676</v>
      </c>
      <c r="AO72" s="264">
        <f t="shared" si="101"/>
        <v>6017.41957464789</v>
      </c>
      <c r="AP72" s="265">
        <v>8</v>
      </c>
      <c r="AQ72" s="265">
        <v>13</v>
      </c>
      <c r="AR72" s="266">
        <v>16</v>
      </c>
      <c r="AS72" s="267">
        <f t="shared" si="102"/>
        <v>805.306818181818</v>
      </c>
      <c r="AT72" s="267">
        <f>AP72*产品成本!$D$2+AQ72*产品成本!$D$3+AR72*产品成本!$D$4</f>
        <v>97.3239436619719</v>
      </c>
      <c r="AU72" s="271">
        <f>AP72*产品成本!$E$2+AQ72*产品成本!$E$3+AR72*产品成本!$E$4</f>
        <v>7.25512816901408</v>
      </c>
      <c r="AV72" s="270">
        <f>AP72*产品成本!$F$2+AQ72*产品成本!$F$3+AR72*产品成本!$F$4</f>
        <v>12.58</v>
      </c>
      <c r="AW72" s="269"/>
      <c r="AX72" s="270">
        <f t="shared" si="103"/>
        <v>120.796022727273</v>
      </c>
      <c r="AY72" s="269">
        <f t="shared" si="104"/>
        <v>-24.1592045454545</v>
      </c>
      <c r="AZ72" s="271">
        <f t="shared" si="105"/>
        <v>213.795890012804</v>
      </c>
      <c r="BA72" s="272">
        <f t="shared" si="106"/>
        <v>5803.62368463508</v>
      </c>
      <c r="BB72" s="272">
        <f t="shared" si="107"/>
        <v>12737.84</v>
      </c>
      <c r="BC72" s="272">
        <f t="shared" si="108"/>
        <v>11932.5331818182</v>
      </c>
      <c r="BD72" s="273">
        <f t="shared" si="109"/>
        <v>3137.7294971831</v>
      </c>
      <c r="BE72" s="274">
        <f t="shared" si="110"/>
        <v>0.262955857685283</v>
      </c>
      <c r="BF72" s="280" t="s">
        <v>249</v>
      </c>
      <c r="BG72" s="280" t="s">
        <v>243</v>
      </c>
      <c r="BH72" s="191"/>
    </row>
    <row r="73" ht="23" customHeight="1" spans="1:61">
      <c r="A73" s="285" t="s">
        <v>250</v>
      </c>
      <c r="B73" s="285" t="s">
        <v>251</v>
      </c>
      <c r="C73" s="243">
        <v>596</v>
      </c>
      <c r="D73" s="244">
        <v>558</v>
      </c>
      <c r="E73" s="247">
        <v>13082.03</v>
      </c>
      <c r="F73" s="246">
        <v>90</v>
      </c>
      <c r="G73" s="246">
        <v>71</v>
      </c>
      <c r="H73" s="247">
        <v>1977.05</v>
      </c>
      <c r="I73" s="247">
        <v>183.86</v>
      </c>
      <c r="J73" s="289">
        <v>43</v>
      </c>
      <c r="K73" s="290">
        <f t="shared" si="88"/>
        <v>0.0721476510067114</v>
      </c>
      <c r="L73" s="291">
        <v>832.44</v>
      </c>
      <c r="M73" s="251">
        <f t="shared" si="89"/>
        <v>0.0275862068965517</v>
      </c>
      <c r="N73" s="249">
        <f t="shared" si="90"/>
        <v>0.021978021978022</v>
      </c>
      <c r="O73" s="249">
        <f t="shared" si="91"/>
        <v>0.0160010872941908</v>
      </c>
      <c r="P73" s="252">
        <f t="shared" si="92"/>
        <v>1.06810035842294</v>
      </c>
      <c r="Q73" s="281">
        <f t="shared" si="93"/>
        <v>23.4444982078853</v>
      </c>
      <c r="R73" s="281">
        <f t="shared" si="94"/>
        <v>21.9497147651007</v>
      </c>
      <c r="S73" s="281">
        <f t="shared" si="59"/>
        <v>85.1428571428571</v>
      </c>
      <c r="T73" s="254">
        <f t="shared" si="95"/>
        <v>220</v>
      </c>
      <c r="U73" s="255">
        <f t="shared" si="96"/>
        <v>0.39426523297491</v>
      </c>
      <c r="V73" s="256">
        <f t="shared" si="97"/>
        <v>0.196288310667327</v>
      </c>
      <c r="W73" s="244">
        <v>211323</v>
      </c>
      <c r="X73" s="244">
        <v>2479</v>
      </c>
      <c r="Y73" s="244">
        <v>338</v>
      </c>
      <c r="Z73" s="257">
        <v>2531.76</v>
      </c>
      <c r="AA73" s="277">
        <v>7647</v>
      </c>
      <c r="AB73" s="245">
        <v>1.02</v>
      </c>
      <c r="AC73" s="259">
        <f t="shared" si="98"/>
        <v>0.331078854452727</v>
      </c>
      <c r="AD73" s="260">
        <f t="shared" ref="AD73:AF73" si="115">X73/W73</f>
        <v>0.0117308575024962</v>
      </c>
      <c r="AE73" s="260">
        <f t="shared" si="115"/>
        <v>0.136345300524405</v>
      </c>
      <c r="AF73" s="253">
        <f t="shared" si="115"/>
        <v>7.49041420118343</v>
      </c>
      <c r="AG73" s="261">
        <v>157</v>
      </c>
      <c r="AH73" s="254">
        <v>176</v>
      </c>
      <c r="AI73" s="262">
        <v>263</v>
      </c>
      <c r="AJ73" s="263">
        <f>AG73*产品成本!$D$2+AH73*产品成本!$D$3+AI73*产品成本!$D$4</f>
        <v>1574.01408450704</v>
      </c>
      <c r="AK73" s="263">
        <f>AG73*产品成本!$E$2+AH73*产品成本!$E$3+AI73*产品成本!$E$4</f>
        <v>116.417370422535</v>
      </c>
      <c r="AL73" s="263">
        <f>AG73*产品成本!$F$2+AH73*产品成本!$F$3+AI73*产品成本!$F$4</f>
        <v>202.64</v>
      </c>
      <c r="AM73" s="263">
        <f>AG73*产品成本!$G$2+AH73*产品成本!$G$3+AI73*产品成本!$G$4</f>
        <v>2291.43</v>
      </c>
      <c r="AN73" s="263">
        <f t="shared" si="100"/>
        <v>1934.7255</v>
      </c>
      <c r="AO73" s="264">
        <f t="shared" si="101"/>
        <v>6119.22695492958</v>
      </c>
      <c r="AP73" s="265">
        <v>8</v>
      </c>
      <c r="AQ73" s="265">
        <v>15</v>
      </c>
      <c r="AR73" s="266">
        <v>20</v>
      </c>
      <c r="AS73" s="267">
        <f t="shared" si="102"/>
        <v>945.954545454545</v>
      </c>
      <c r="AT73" s="267">
        <f>AP73*产品成本!$D$2+AQ73*产品成本!$D$3+AR73*产品成本!$D$4</f>
        <v>114.788732394366</v>
      </c>
      <c r="AU73" s="271">
        <f>AP73*产品成本!$E$2+AQ73*产品成本!$E$3+AR73*产品成本!$E$4</f>
        <v>8.48070845070422</v>
      </c>
      <c r="AV73" s="270">
        <f>AP73*产品成本!$F$2+AQ73*产品成本!$F$3+AR73*产品成本!$F$4</f>
        <v>14.62</v>
      </c>
      <c r="AW73" s="269"/>
      <c r="AX73" s="270">
        <f t="shared" si="103"/>
        <v>141.893181818182</v>
      </c>
      <c r="AY73" s="269">
        <f t="shared" si="104"/>
        <v>-28.3786363636364</v>
      </c>
      <c r="AZ73" s="271">
        <f t="shared" si="105"/>
        <v>251.403986299616</v>
      </c>
      <c r="BA73" s="272">
        <f t="shared" si="106"/>
        <v>5867.82296862996</v>
      </c>
      <c r="BB73" s="272">
        <f t="shared" si="107"/>
        <v>12898.17</v>
      </c>
      <c r="BC73" s="272">
        <f t="shared" si="108"/>
        <v>11952.2154545455</v>
      </c>
      <c r="BD73" s="273">
        <f t="shared" si="109"/>
        <v>3552.63248591549</v>
      </c>
      <c r="BE73" s="274">
        <f t="shared" si="110"/>
        <v>0.297236315679401</v>
      </c>
      <c r="BF73" s="278" t="s">
        <v>252</v>
      </c>
      <c r="BG73" s="278" t="s">
        <v>253</v>
      </c>
      <c r="BH73" s="191"/>
    </row>
    <row r="74" ht="23" customHeight="1" spans="1:61">
      <c r="A74" s="285" t="s">
        <v>254</v>
      </c>
      <c r="B74" s="285" t="s">
        <v>255</v>
      </c>
      <c r="C74" s="243">
        <v>489</v>
      </c>
      <c r="D74" s="244">
        <v>463</v>
      </c>
      <c r="E74" s="247">
        <v>10803.14</v>
      </c>
      <c r="F74" s="246">
        <v>54</v>
      </c>
      <c r="G74" s="246">
        <v>44</v>
      </c>
      <c r="H74" s="247">
        <v>1212.76</v>
      </c>
      <c r="I74" s="247">
        <v>146.83</v>
      </c>
      <c r="J74" s="289">
        <v>42</v>
      </c>
      <c r="K74" s="290">
        <f t="shared" si="88"/>
        <v>0.0858895705521472</v>
      </c>
      <c r="L74" s="291">
        <v>812.8</v>
      </c>
      <c r="M74" s="251">
        <f t="shared" si="89"/>
        <v>-0.179530201342282</v>
      </c>
      <c r="N74" s="249">
        <f t="shared" si="90"/>
        <v>-0.170250896057348</v>
      </c>
      <c r="O74" s="249">
        <f t="shared" si="91"/>
        <v>-0.174200028588835</v>
      </c>
      <c r="P74" s="252">
        <f t="shared" si="92"/>
        <v>1.0561555075594</v>
      </c>
      <c r="Q74" s="281">
        <f t="shared" si="93"/>
        <v>23.3329157667387</v>
      </c>
      <c r="R74" s="281">
        <f t="shared" si="94"/>
        <v>22.0923108384458</v>
      </c>
      <c r="S74" s="281">
        <f t="shared" si="59"/>
        <v>69.8571428571429</v>
      </c>
      <c r="T74" s="254">
        <f t="shared" si="95"/>
        <v>179</v>
      </c>
      <c r="U74" s="255">
        <f t="shared" si="96"/>
        <v>0.386609071274298</v>
      </c>
      <c r="V74" s="256">
        <f t="shared" si="97"/>
        <v>0.224581492092479</v>
      </c>
      <c r="W74" s="244">
        <v>191264</v>
      </c>
      <c r="X74" s="244">
        <v>2364</v>
      </c>
      <c r="Y74" s="244">
        <v>284</v>
      </c>
      <c r="Z74" s="257">
        <v>2393.21</v>
      </c>
      <c r="AA74" s="277">
        <v>6412.56</v>
      </c>
      <c r="AB74" s="245">
        <v>1.01</v>
      </c>
      <c r="AC74" s="259">
        <f t="shared" si="98"/>
        <v>0.373206644460247</v>
      </c>
      <c r="AD74" s="260">
        <f t="shared" ref="AD74:AF74" si="116">X74/W74</f>
        <v>0.0123598795382299</v>
      </c>
      <c r="AE74" s="260">
        <f t="shared" si="116"/>
        <v>0.120135363790186</v>
      </c>
      <c r="AF74" s="253">
        <f t="shared" si="116"/>
        <v>8.42679577464789</v>
      </c>
      <c r="AG74" s="261">
        <v>107</v>
      </c>
      <c r="AH74" s="254">
        <v>158</v>
      </c>
      <c r="AI74" s="262">
        <v>224</v>
      </c>
      <c r="AJ74" s="263">
        <f>AG74*产品成本!$D$2+AH74*产品成本!$D$3+AI74*产品成本!$D$4</f>
        <v>1301.2676056338</v>
      </c>
      <c r="AK74" s="263">
        <f>AG74*产品成本!$E$2+AH74*产品成本!$E$3+AI74*产品成本!$E$4</f>
        <v>96.0767957746478</v>
      </c>
      <c r="AL74" s="263">
        <f>AG74*产品成本!$F$2+AH74*产品成本!$F$3+AI74*产品成本!$F$4</f>
        <v>166.26</v>
      </c>
      <c r="AM74" s="263">
        <f>AG74*产品成本!$G$2+AH74*产品成本!$G$3+AI74*产品成本!$G$4</f>
        <v>1884.63</v>
      </c>
      <c r="AN74" s="263">
        <f t="shared" si="100"/>
        <v>1598.4465</v>
      </c>
      <c r="AO74" s="264">
        <f t="shared" si="101"/>
        <v>5046.68090140845</v>
      </c>
      <c r="AP74" s="265">
        <v>8</v>
      </c>
      <c r="AQ74" s="265">
        <v>13</v>
      </c>
      <c r="AR74" s="266">
        <v>21</v>
      </c>
      <c r="AS74" s="267">
        <f t="shared" si="102"/>
        <v>923.636363636364</v>
      </c>
      <c r="AT74" s="267">
        <f>AP74*产品成本!$D$2+AQ74*产品成本!$D$3+AR74*产品成本!$D$4</f>
        <v>113.87323943662</v>
      </c>
      <c r="AU74" s="271">
        <f>AP74*产品成本!$E$2+AQ74*产品成本!$E$3+AR74*产品成本!$E$4</f>
        <v>8.30512816901408</v>
      </c>
      <c r="AV74" s="270">
        <f>AP74*产品成本!$F$2+AQ74*产品成本!$F$3+AR74*产品成本!$F$4</f>
        <v>14.28</v>
      </c>
      <c r="AW74" s="269"/>
      <c r="AX74" s="270">
        <f t="shared" si="103"/>
        <v>138.545454545455</v>
      </c>
      <c r="AY74" s="269">
        <f t="shared" si="104"/>
        <v>-27.7090909090909</v>
      </c>
      <c r="AZ74" s="271">
        <f t="shared" si="105"/>
        <v>247.294731241998</v>
      </c>
      <c r="BA74" s="272">
        <f t="shared" si="106"/>
        <v>4799.38617016645</v>
      </c>
      <c r="BB74" s="272">
        <f t="shared" si="107"/>
        <v>10656.31</v>
      </c>
      <c r="BC74" s="272">
        <f t="shared" si="108"/>
        <v>9732.67363636364</v>
      </c>
      <c r="BD74" s="273">
        <f t="shared" si="109"/>
        <v>2540.07746619718</v>
      </c>
      <c r="BE74" s="274">
        <f t="shared" si="110"/>
        <v>0.260984551737853</v>
      </c>
      <c r="BF74" s="280" t="s">
        <v>256</v>
      </c>
      <c r="BG74" s="280" t="s">
        <v>253</v>
      </c>
      <c r="BH74" s="191"/>
    </row>
    <row r="75" s="217" customFormat="1" ht="24" customHeight="1" spans="1:61">
      <c r="A75" s="217" t="s">
        <v>257</v>
      </c>
      <c r="C75" s="292">
        <f>SUBTOTAL(109,表22[销量])</f>
        <v>30314</v>
      </c>
      <c r="D75" s="293">
        <f>SUBTOTAL(109,表22[订单量])</f>
        <v>28630</v>
      </c>
      <c r="E75" s="293">
        <f>SUBTOTAL(109,表22[销售额])</f>
        <v>684127.9</v>
      </c>
      <c r="F75" s="293">
        <f>SUBTOTAL(109,表22[促销销量])</f>
        <v>2599</v>
      </c>
      <c r="G75" s="293">
        <f>SUBTOTAL(109,表22[促销订单量])</f>
        <v>2270</v>
      </c>
      <c r="H75" s="293">
        <f>SUBTOTAL(109,表22[促销销售额])</f>
        <v>59316.46</v>
      </c>
      <c r="I75" s="293">
        <f>SUBTOTAL(109,表22[促销折扣])</f>
        <v>4933.35</v>
      </c>
      <c r="J75" s="294">
        <f>SUBTOTAL(109,表22[退款量])</f>
        <v>2172</v>
      </c>
      <c r="K75" s="295">
        <f t="shared" si="88"/>
        <v>0.0716500626773108</v>
      </c>
      <c r="L75" s="296">
        <f>SUBTOTAL(109,表22[退款金额])</f>
        <v>42452.33</v>
      </c>
      <c r="M75" s="292"/>
      <c r="N75" s="293"/>
      <c r="O75" s="297"/>
      <c r="P75" s="298">
        <f t="shared" si="92"/>
        <v>1.05881942018861</v>
      </c>
      <c r="Q75" s="299">
        <f t="shared" si="93"/>
        <v>23.8954907439749</v>
      </c>
      <c r="R75" s="299">
        <f t="shared" si="94"/>
        <v>22.5680510655143</v>
      </c>
      <c r="S75" s="299">
        <f t="shared" si="59"/>
        <v>4330.57142857143</v>
      </c>
      <c r="T75" s="300">
        <f t="shared" si="95"/>
        <v>11017</v>
      </c>
      <c r="U75" s="301">
        <f t="shared" si="96"/>
        <v>0.384806147397834</v>
      </c>
      <c r="V75" s="302">
        <f t="shared" si="97"/>
        <v>0.260137320006469</v>
      </c>
      <c r="W75" s="303">
        <f>SUBTOTAL(109,表22[展示])</f>
        <v>16504832</v>
      </c>
      <c r="X75" s="293">
        <f>SUBTOTAL(109,表22[点击])</f>
        <v>173047</v>
      </c>
      <c r="Y75" s="293">
        <f>SUBTOTAL(109,表22[广告订单量])</f>
        <v>17613</v>
      </c>
      <c r="Z75" s="293">
        <f>SUBTOTAL(109,表22[广告花费])</f>
        <v>176683.85</v>
      </c>
      <c r="AA75" s="293">
        <f>SUBTOTAL(109,表22[广告销售额])</f>
        <v>419266.34</v>
      </c>
      <c r="AB75" s="304">
        <f>SUBTOTAL(101,表22[CPC])</f>
        <v>1.02366666666667</v>
      </c>
      <c r="AC75" s="305">
        <f t="shared" si="98"/>
        <v>0.421411959758086</v>
      </c>
      <c r="AD75" s="306">
        <f t="shared" ref="AD75:AF75" si="117">X75/W75</f>
        <v>0.0104846265626939</v>
      </c>
      <c r="AE75" s="306">
        <f t="shared" si="117"/>
        <v>0.101781596907199</v>
      </c>
      <c r="AF75" s="307">
        <f t="shared" si="117"/>
        <v>10.0314455231931</v>
      </c>
      <c r="AG75" s="292">
        <f>SUBTOTAL(109,表22[3.6FT])</f>
        <v>8033</v>
      </c>
      <c r="AH75" s="293">
        <f>SUBTOTAL(109,表22[5.0FT])</f>
        <v>12824</v>
      </c>
      <c r="AI75" s="296">
        <f>SUBTOTAL(109,表22[5.5FT])</f>
        <v>9430</v>
      </c>
      <c r="AJ75" s="308">
        <f>SUBTOTAL(109,表22[产品成本])</f>
        <v>75276.0563380282</v>
      </c>
      <c r="AK75" s="309">
        <f>SUBTOTAL(109,表22[头程])</f>
        <v>5847.22613661971</v>
      </c>
      <c r="AL75" s="309">
        <f>SUBTOTAL(109,表22[入仓费])</f>
        <v>10297.58</v>
      </c>
      <c r="AM75" s="309">
        <f>SUBTOTAL(109,表22[FBA物流])</f>
        <v>116432.37</v>
      </c>
      <c r="AN75" s="309">
        <f>SUBTOTAL(109,表22[佣金])</f>
        <v>101879.1825</v>
      </c>
      <c r="AO75" s="310">
        <f>SUBTOTAL(109,表22[成本小结])</f>
        <v>309732.414974648</v>
      </c>
      <c r="AP75" s="311">
        <f>SUBTOTAL(109,表22[退款3.6FT])</f>
        <v>612</v>
      </c>
      <c r="AQ75" s="312">
        <f>SUBTOTAL(109,表22[退款5.0FT])</f>
        <v>867</v>
      </c>
      <c r="AR75" s="313">
        <f>SUBTOTAL(109,表22[退款5.5FT])</f>
        <v>689</v>
      </c>
      <c r="AS75" s="308">
        <f>SUBTOTAL(109,表22[退款
销售金额])</f>
        <v>48241.2840909091</v>
      </c>
      <c r="AT75" s="309">
        <f>SUBTOTAL(109,表22[退款
产品成本])</f>
        <v>5405.14084507043</v>
      </c>
      <c r="AU75" s="309">
        <f>SUBTOTAL(109,表22[退款头程])</f>
        <v>418.086561971831</v>
      </c>
      <c r="AV75" s="309">
        <f>SUBTOTAL(109,表22[退款
入仓费])</f>
        <v>737.12</v>
      </c>
      <c r="AW75" s="309"/>
      <c r="AX75" s="309">
        <f>SUBTOTAL(109,表22[退款佣金])</f>
        <v>7236.19261363636</v>
      </c>
      <c r="AY75" s="314">
        <f>SUBTOTAL(109,表22[退款
管理费用
佣金的20%])</f>
        <v>-1447.23852272727</v>
      </c>
      <c r="AZ75" s="310">
        <f>SUBTOTAL(109,表22[退款
成本小结])</f>
        <v>12349.3014979513</v>
      </c>
      <c r="BA75" s="308">
        <f>SUBTOTAL(109,表22[净成本])</f>
        <v>297383.113476697</v>
      </c>
      <c r="BB75" s="309">
        <f>SUBTOTAL(109,表22[净销售额])</f>
        <v>679194.55</v>
      </c>
      <c r="BC75" s="309">
        <f>SUBTOTAL(109,表22[净销售额
(-退款金额)])</f>
        <v>630953.265909091</v>
      </c>
      <c r="BD75" s="309">
        <f>SUBTOTAL(109,表22[毛利])</f>
        <v>156886.302432394</v>
      </c>
      <c r="BE75" s="315">
        <f t="shared" si="110"/>
        <v>0.24864964001153</v>
      </c>
      <c r="BI75" s="217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36" operator="notEqual">
      <formula>SUM($AP$4:$AR$4)</formula>
    </cfRule>
    <cfRule type="cellIs" dxfId="55" priority="35" operator="notEqual">
      <formula>AP4+AQ4+AR4</formula>
    </cfRule>
  </conditionalFormatting>
  <conditionalFormatting sqref="C57">
    <cfRule type="cellIs" dxfId="55" priority="28" operator="notEqual">
      <formula>$AG57+$AH57+$AI57</formula>
    </cfRule>
  </conditionalFormatting>
  <conditionalFormatting sqref="J57">
    <cfRule type="cellIs" dxfId="55" priority="27" operator="notEqual">
      <formula>$AP57+$AQ57+$AR57</formula>
    </cfRule>
  </conditionalFormatting>
  <conditionalFormatting sqref="C58">
    <cfRule type="cellIs" dxfId="55" priority="30" operator="notEqual">
      <formula>$AG58+$AH58+$AI58</formula>
    </cfRule>
  </conditionalFormatting>
  <conditionalFormatting sqref="J58">
    <cfRule type="cellIs" dxfId="55" priority="29" operator="notEqual">
      <formula>$AP58+$AQ58+$AR58</formula>
    </cfRule>
  </conditionalFormatting>
  <conditionalFormatting sqref="C59">
    <cfRule type="cellIs" dxfId="55" priority="32" operator="notEqual">
      <formula>$AG59+$AH59+$AI59</formula>
    </cfRule>
  </conditionalFormatting>
  <conditionalFormatting sqref="J59">
    <cfRule type="cellIs" dxfId="55" priority="31" operator="notEqual">
      <formula>$AP59+$AQ59+$AR59</formula>
    </cfRule>
  </conditionalFormatting>
  <conditionalFormatting sqref="C62">
    <cfRule type="cellIs" dxfId="55" priority="26" operator="notEqual">
      <formula>$AG62+$AH62+$AI62</formula>
    </cfRule>
  </conditionalFormatting>
  <conditionalFormatting sqref="J62">
    <cfRule type="cellIs" dxfId="55" priority="25" operator="notEqual">
      <formula>$AP62+$AQ62+$AR62</formula>
    </cfRule>
  </conditionalFormatting>
  <conditionalFormatting sqref="C63">
    <cfRule type="cellIs" dxfId="55" priority="24" operator="notEqual">
      <formula>$AG63+$AH63+$AI63</formula>
    </cfRule>
  </conditionalFormatting>
  <conditionalFormatting sqref="J63">
    <cfRule type="cellIs" dxfId="55" priority="23" operator="notEqual">
      <formula>$AP63+$AQ63+$AR63</formula>
    </cfRule>
  </conditionalFormatting>
  <conditionalFormatting sqref="C64">
    <cfRule type="cellIs" dxfId="55" priority="22" operator="notEqual">
      <formula>$AG64+$AH64+$AI64</formula>
    </cfRule>
  </conditionalFormatting>
  <conditionalFormatting sqref="J64">
    <cfRule type="cellIs" dxfId="55" priority="21" operator="notEqual">
      <formula>$AP64+$AQ64+$AR64</formula>
    </cfRule>
  </conditionalFormatting>
  <conditionalFormatting sqref="C65">
    <cfRule type="cellIs" dxfId="55" priority="20" operator="notEqual">
      <formula>$AG65+$AH65+$AI65</formula>
    </cfRule>
  </conditionalFormatting>
  <conditionalFormatting sqref="J65">
    <cfRule type="cellIs" dxfId="55" priority="19" operator="notEqual">
      <formula>$AP65+$AQ65+$AR65</formula>
    </cfRule>
  </conditionalFormatting>
  <conditionalFormatting sqref="C66">
    <cfRule type="cellIs" dxfId="55" priority="18" operator="notEqual">
      <formula>$AG66+$AH66+$AI66</formula>
    </cfRule>
  </conditionalFormatting>
  <conditionalFormatting sqref="J66">
    <cfRule type="cellIs" dxfId="55" priority="17" operator="notEqual">
      <formula>$AP66+$AQ66+$AR66</formula>
    </cfRule>
  </conditionalFormatting>
  <conditionalFormatting sqref="C67">
    <cfRule type="cellIs" dxfId="55" priority="16" operator="notEqual">
      <formula>$AG67+$AH67+$AI67</formula>
    </cfRule>
  </conditionalFormatting>
  <conditionalFormatting sqref="J67">
    <cfRule type="cellIs" dxfId="55" priority="15" operator="notEqual">
      <formula>$AP67+$AQ67+$AR67</formula>
    </cfRule>
  </conditionalFormatting>
  <conditionalFormatting sqref="C68">
    <cfRule type="cellIs" dxfId="55" priority="14" operator="notEqual">
      <formula>$AG68+$AH68+$AI68</formula>
    </cfRule>
  </conditionalFormatting>
  <conditionalFormatting sqref="J68">
    <cfRule type="cellIs" dxfId="55" priority="13" operator="notEqual">
      <formula>$AP68+$AQ68+$AR68</formula>
    </cfRule>
  </conditionalFormatting>
  <conditionalFormatting sqref="C69">
    <cfRule type="cellIs" dxfId="55" priority="12" operator="notEqual">
      <formula>$AG69+$AH69+$AI69</formula>
    </cfRule>
  </conditionalFormatting>
  <conditionalFormatting sqref="J69">
    <cfRule type="cellIs" dxfId="55" priority="11" operator="notEqual">
      <formula>$AP69+$AQ69+$AR69</formula>
    </cfRule>
  </conditionalFormatting>
  <conditionalFormatting sqref="C70">
    <cfRule type="cellIs" dxfId="55" priority="10" operator="notEqual">
      <formula>$AG70+$AH70+$AI70</formula>
    </cfRule>
  </conditionalFormatting>
  <conditionalFormatting sqref="J70">
    <cfRule type="cellIs" dxfId="55" priority="9" operator="notEqual">
      <formula>$AP70+$AQ70+$AR70</formula>
    </cfRule>
  </conditionalFormatting>
  <conditionalFormatting sqref="C71">
    <cfRule type="cellIs" dxfId="55" priority="8" operator="notEqual">
      <formula>$AG71+$AH71+$AI71</formula>
    </cfRule>
  </conditionalFormatting>
  <conditionalFormatting sqref="J71">
    <cfRule type="cellIs" dxfId="55" priority="7" operator="notEqual">
      <formula>$AP71+$AQ71+$AR71</formula>
    </cfRule>
  </conditionalFormatting>
  <conditionalFormatting sqref="C72">
    <cfRule type="cellIs" dxfId="55" priority="6" operator="notEqual">
      <formula>$AG72+$AH72+$AI72</formula>
    </cfRule>
  </conditionalFormatting>
  <conditionalFormatting sqref="J72">
    <cfRule type="cellIs" dxfId="55" priority="5" operator="notEqual">
      <formula>$AP72+$AQ72+$AR72</formula>
    </cfRule>
  </conditionalFormatting>
  <conditionalFormatting sqref="C73">
    <cfRule type="cellIs" dxfId="55" priority="4" operator="notEqual">
      <formula>$AG73+$AH73+$AI73</formula>
    </cfRule>
  </conditionalFormatting>
  <conditionalFormatting sqref="J73">
    <cfRule type="cellIs" dxfId="55" priority="3" operator="notEqual">
      <formula>$AP73+$AQ73+$AR73</formula>
    </cfRule>
  </conditionalFormatting>
  <conditionalFormatting sqref="C74">
    <cfRule type="cellIs" dxfId="55" priority="2" operator="notEqual">
      <formula>$AG74+$AH74+$AI74</formula>
    </cfRule>
  </conditionalFormatting>
  <conditionalFormatting sqref="J74">
    <cfRule type="cellIs" dxfId="55" priority="1" operator="notEqual">
      <formula>$AP74+$AQ74+$AR74</formula>
    </cfRule>
  </conditionalFormatting>
  <conditionalFormatting sqref="C56 C60:C61">
    <cfRule type="cellIs" dxfId="55" priority="34" operator="notEqual">
      <formula>$AG56+$AH56+$AI56</formula>
    </cfRule>
  </conditionalFormatting>
  <conditionalFormatting sqref="J56 J60:J61">
    <cfRule type="cellIs" dxfId="55" priority="33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J75"/>
  <sheetViews>
    <sheetView tabSelected="1" workbookViewId="0">
      <pane xSplit="12" ySplit="3" topLeftCell="BB59" activePane="bottomRight" state="frozen"/>
      <selection/>
      <selection pane="topRight"/>
      <selection pane="bottomLeft"/>
      <selection pane="bottomRight" activeCell="BI71" sqref="BI71"/>
    </sheetView>
  </sheetViews>
  <sheetFormatPr defaultColWidth="9" defaultRowHeight="13.5" customHeight="1" zeroHeight="1"/>
  <cols>
    <col min="1" max="1" width="10.3666666666667" customWidth="1"/>
    <col min="2" max="2" width="8.36666666666667" customWidth="1"/>
    <col min="3" max="3" width="5.875" customWidth="1"/>
    <col min="4" max="4" width="7.375" customWidth="1"/>
    <col min="5" max="5" width="9.36666666666667" customWidth="1"/>
    <col min="6" max="6" width="9.375" customWidth="1"/>
    <col min="7" max="7" width="5.875" customWidth="1"/>
    <col min="8" max="8" width="8.375" customWidth="1"/>
    <col min="9" max="9" width="9.25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666666666667" customWidth="1"/>
    <col min="40" max="42" width="11.45" customWidth="1"/>
    <col min="43" max="45" width="7.375" customWidth="1"/>
    <col min="46" max="46" width="7" customWidth="1"/>
    <col min="47" max="47" width="10.3666666666667" customWidth="1"/>
    <col min="48" max="48" width="9.26666666666667" customWidth="1"/>
    <col min="49" max="49" width="8.63333333333333" customWidth="1"/>
    <col min="50" max="50" width="8.09166666666667" customWidth="1"/>
    <col min="51" max="51" width="8" customWidth="1"/>
    <col min="52" max="54" width="9.36666666666667" customWidth="1"/>
    <col min="55" max="56" width="11.45" customWidth="1"/>
    <col min="57" max="57" width="12" customWidth="1"/>
    <col min="58" max="58" width="10.3666666666667" customWidth="1"/>
    <col min="59" max="59" width="9.26666666666667" customWidth="1"/>
    <col min="60" max="60" width="9.375" customWidth="1"/>
    <col min="61" max="61" width="45.5" customWidth="1"/>
    <col min="62" max="62" width="21.5" customWidth="1"/>
  </cols>
  <sheetData>
    <row r="1" ht="29" customHeight="1" spans="1:62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3" customHeight="1" spans="1:62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3" t="s">
        <v>7</v>
      </c>
      <c r="AL2" s="203"/>
      <c r="AM2" s="203"/>
      <c r="AN2" s="203"/>
      <c r="AO2" s="203"/>
      <c r="AP2" s="203"/>
      <c r="AQ2" s="204" t="s">
        <v>6</v>
      </c>
      <c r="AR2" s="205"/>
      <c r="AS2" s="205"/>
      <c r="AT2" s="205"/>
      <c r="AU2" s="206" t="s">
        <v>7</v>
      </c>
      <c r="AV2" s="206"/>
      <c r="AW2" s="206"/>
      <c r="AX2" s="206"/>
      <c r="AY2" s="206"/>
      <c r="AZ2" s="206"/>
      <c r="BA2" s="206"/>
      <c r="BB2" s="206"/>
      <c r="BC2" s="116"/>
      <c r="BD2" s="117"/>
      <c r="BE2" s="117"/>
      <c r="BF2" s="117"/>
      <c r="BG2" s="117"/>
    </row>
    <row r="3" ht="29" customHeight="1" spans="1:62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258</v>
      </c>
      <c r="AH3" s="137" t="s">
        <v>259</v>
      </c>
      <c r="AI3" s="137" t="s">
        <v>260</v>
      </c>
      <c r="AJ3" s="197" t="s">
        <v>261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262</v>
      </c>
      <c r="AR3" s="143" t="s">
        <v>263</v>
      </c>
      <c r="AS3" s="143" t="s">
        <v>264</v>
      </c>
      <c r="AT3" s="143" t="s">
        <v>265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</row>
    <row r="4" ht="29" customHeight="1" spans="1:62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7">
        <v>0</v>
      </c>
      <c r="K4" s="208">
        <f t="shared" ref="K4:K35" si="0">J4/C4</f>
        <v>0</v>
      </c>
      <c r="L4" s="209">
        <v>0</v>
      </c>
      <c r="M4" s="210" t="e">
        <f t="shared" ref="M4:M35" si="1">(C4-C3)/C3</f>
        <v>#VALUE!</v>
      </c>
      <c r="N4" s="208" t="e">
        <f t="shared" ref="N4:N35" si="2">(D4-D3)/D3</f>
        <v>#VALUE!</v>
      </c>
      <c r="O4" s="208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1">
        <v>0</v>
      </c>
      <c r="AU4" s="212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3">
        <f t="shared" ref="BG4:BG35" si="25">BF4/BE4</f>
        <v>0.133888991065178</v>
      </c>
    </row>
    <row r="5" ht="29" customHeight="1" spans="1:62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7">
        <v>1</v>
      </c>
      <c r="K5" s="208">
        <f t="shared" si="0"/>
        <v>0.0172413793103448</v>
      </c>
      <c r="L5" s="209">
        <v>20.23</v>
      </c>
      <c r="M5" s="210">
        <f t="shared" si="1"/>
        <v>0.45</v>
      </c>
      <c r="N5" s="208">
        <f t="shared" si="2"/>
        <v>0.486486486486487</v>
      </c>
      <c r="O5" s="208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1">
        <v>0</v>
      </c>
      <c r="AU5" s="212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3">
        <f t="shared" si="25"/>
        <v>0.256464289424561</v>
      </c>
    </row>
    <row r="6" ht="29" customHeight="1" spans="1:62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7">
        <v>0</v>
      </c>
      <c r="K6" s="208">
        <f t="shared" si="0"/>
        <v>0</v>
      </c>
      <c r="L6" s="209">
        <v>0</v>
      </c>
      <c r="M6" s="210">
        <f t="shared" si="1"/>
        <v>-0.241379310344828</v>
      </c>
      <c r="N6" s="208">
        <f t="shared" si="2"/>
        <v>-0.236363636363636</v>
      </c>
      <c r="O6" s="208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1">
        <v>0</v>
      </c>
      <c r="AU6" s="212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3">
        <f t="shared" si="25"/>
        <v>0.0441530472565037</v>
      </c>
    </row>
    <row r="7" ht="29" customHeight="1" spans="1:62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7">
        <v>0</v>
      </c>
      <c r="K7" s="208">
        <f t="shared" si="0"/>
        <v>0</v>
      </c>
      <c r="L7" s="209">
        <v>0</v>
      </c>
      <c r="M7" s="210">
        <f t="shared" si="1"/>
        <v>0.295454545454545</v>
      </c>
      <c r="N7" s="208">
        <f t="shared" si="2"/>
        <v>0.30952380952381</v>
      </c>
      <c r="O7" s="208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1">
        <v>0</v>
      </c>
      <c r="AU7" s="212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3">
        <f t="shared" si="25"/>
        <v>0.112716424942545</v>
      </c>
    </row>
    <row r="8" ht="29" customHeight="1" spans="1:62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7">
        <v>1</v>
      </c>
      <c r="K8" s="208">
        <f t="shared" si="0"/>
        <v>0.0212765957446809</v>
      </c>
      <c r="L8" s="209">
        <v>21.11</v>
      </c>
      <c r="M8" s="210">
        <f t="shared" si="1"/>
        <v>-0.175438596491228</v>
      </c>
      <c r="N8" s="208">
        <f t="shared" si="2"/>
        <v>-0.163636363636364</v>
      </c>
      <c r="O8" s="208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1">
        <v>0</v>
      </c>
      <c r="AU8" s="212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3">
        <f t="shared" si="25"/>
        <v>0.131199122728991</v>
      </c>
    </row>
    <row r="9" ht="29" customHeight="1" spans="1:62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7">
        <v>4</v>
      </c>
      <c r="K9" s="208">
        <f t="shared" si="0"/>
        <v>0.0579710144927536</v>
      </c>
      <c r="L9" s="209">
        <v>64.72</v>
      </c>
      <c r="M9" s="210">
        <f t="shared" si="1"/>
        <v>0.468085106382979</v>
      </c>
      <c r="N9" s="208">
        <f t="shared" si="2"/>
        <v>0.434782608695652</v>
      </c>
      <c r="O9" s="208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1">
        <v>0</v>
      </c>
      <c r="AU9" s="212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3">
        <f t="shared" si="25"/>
        <v>0.217291778071606</v>
      </c>
    </row>
    <row r="10" ht="29" customHeight="1" spans="1:62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7">
        <v>3</v>
      </c>
      <c r="K10" s="214">
        <f t="shared" si="0"/>
        <v>0.0384615384615385</v>
      </c>
      <c r="L10" s="209">
        <v>57.52</v>
      </c>
      <c r="M10" s="210">
        <f t="shared" si="1"/>
        <v>0.130434782608696</v>
      </c>
      <c r="N10" s="208">
        <f t="shared" si="2"/>
        <v>0.151515151515152</v>
      </c>
      <c r="O10" s="208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1">
        <v>0</v>
      </c>
      <c r="AU10" s="212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3">
        <f t="shared" si="25"/>
        <v>0.14716111864022</v>
      </c>
    </row>
    <row r="11" ht="29" customHeight="1" spans="1:62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7">
        <v>1</v>
      </c>
      <c r="K11" s="215">
        <f t="shared" si="0"/>
        <v>0.0227272727272727</v>
      </c>
      <c r="L11" s="209">
        <v>21.59</v>
      </c>
      <c r="M11" s="210">
        <f t="shared" si="1"/>
        <v>-0.435897435897436</v>
      </c>
      <c r="N11" s="208">
        <f t="shared" si="2"/>
        <v>-0.447368421052632</v>
      </c>
      <c r="O11" s="208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1">
        <v>0</v>
      </c>
      <c r="AU11" s="212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3">
        <f t="shared" si="25"/>
        <v>0.147896659361749</v>
      </c>
      <c r="BI11" t="s">
        <v>266</v>
      </c>
    </row>
    <row r="12" ht="29" customHeight="1" spans="1:62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7">
        <v>1</v>
      </c>
      <c r="K12" s="215">
        <f t="shared" si="0"/>
        <v>0.025</v>
      </c>
      <c r="L12" s="209">
        <v>19</v>
      </c>
      <c r="M12" s="210">
        <f t="shared" si="1"/>
        <v>-0.0909090909090909</v>
      </c>
      <c r="N12" s="208">
        <f t="shared" si="2"/>
        <v>-0.0476190476190476</v>
      </c>
      <c r="O12" s="208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1">
        <v>0</v>
      </c>
      <c r="AU12" s="212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3">
        <f t="shared" si="25"/>
        <v>0.143341272655536</v>
      </c>
      <c r="BI12" t="s">
        <v>267</v>
      </c>
    </row>
    <row r="13" ht="29" customHeight="1" spans="1:62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7">
        <v>1</v>
      </c>
      <c r="K13" s="215">
        <f t="shared" si="0"/>
        <v>0.03125</v>
      </c>
      <c r="L13" s="209">
        <v>19</v>
      </c>
      <c r="M13" s="210">
        <f t="shared" si="1"/>
        <v>-0.2</v>
      </c>
      <c r="N13" s="208">
        <f t="shared" si="2"/>
        <v>-0.225</v>
      </c>
      <c r="O13" s="208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1">
        <v>0</v>
      </c>
      <c r="AU13" s="212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3">
        <f t="shared" si="25"/>
        <v>0.161623381749488</v>
      </c>
      <c r="BI13" t="s">
        <v>94</v>
      </c>
    </row>
    <row r="14" ht="29" customHeight="1" spans="1:62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7">
        <v>1</v>
      </c>
      <c r="K14" s="215">
        <f t="shared" si="0"/>
        <v>0.0256410256410256</v>
      </c>
      <c r="L14" s="209">
        <v>18.21</v>
      </c>
      <c r="M14" s="210">
        <f t="shared" si="1"/>
        <v>0.21875</v>
      </c>
      <c r="N14" s="208">
        <f t="shared" si="2"/>
        <v>0.193548387096774</v>
      </c>
      <c r="O14" s="208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9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1">
        <v>0</v>
      </c>
      <c r="AU14" s="212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3">
        <f t="shared" si="25"/>
        <v>0.191922692300726</v>
      </c>
      <c r="BH14" s="172"/>
      <c r="BI14" s="172" t="s">
        <v>268</v>
      </c>
    </row>
    <row r="15" ht="29" customHeight="1" spans="1:62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7">
        <v>3</v>
      </c>
      <c r="K15" s="215">
        <f t="shared" si="0"/>
        <v>0.0666666666666667</v>
      </c>
      <c r="L15" s="209">
        <v>62.45</v>
      </c>
      <c r="M15" s="210">
        <f t="shared" si="1"/>
        <v>0.153846153846154</v>
      </c>
      <c r="N15" s="208">
        <f t="shared" si="2"/>
        <v>0.135135135135135</v>
      </c>
      <c r="O15" s="208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1">
        <v>0</v>
      </c>
      <c r="AU15" s="212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3">
        <f t="shared" si="25"/>
        <v>0.0705430766299454</v>
      </c>
    </row>
    <row r="16" ht="29" customHeight="1" spans="1:62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7">
        <v>1</v>
      </c>
      <c r="K16" s="215">
        <f t="shared" si="0"/>
        <v>0.0175438596491228</v>
      </c>
      <c r="L16" s="209">
        <v>21.11</v>
      </c>
      <c r="M16" s="210">
        <f t="shared" si="1"/>
        <v>0.266666666666667</v>
      </c>
      <c r="N16" s="208">
        <f t="shared" si="2"/>
        <v>0.357142857142857</v>
      </c>
      <c r="O16" s="208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1">
        <v>0</v>
      </c>
      <c r="AU16" s="212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3">
        <f t="shared" si="25"/>
        <v>0.183452356203313</v>
      </c>
    </row>
    <row r="17" ht="29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7">
        <v>3</v>
      </c>
      <c r="K17" s="215">
        <f t="shared" si="0"/>
        <v>0.0441176470588235</v>
      </c>
      <c r="L17" s="209">
        <v>60.34</v>
      </c>
      <c r="M17" s="210">
        <f t="shared" si="1"/>
        <v>0.192982456140351</v>
      </c>
      <c r="N17" s="208">
        <f t="shared" si="2"/>
        <v>0</v>
      </c>
      <c r="O17" s="208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1">
        <v>0</v>
      </c>
      <c r="AU17" s="212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3">
        <f t="shared" si="25"/>
        <v>0.249212057192181</v>
      </c>
    </row>
    <row r="18" ht="29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7">
        <v>2</v>
      </c>
      <c r="K18" s="215">
        <f t="shared" si="0"/>
        <v>0.0526315789473684</v>
      </c>
      <c r="L18" s="209">
        <v>38</v>
      </c>
      <c r="M18" s="210">
        <f t="shared" si="1"/>
        <v>-0.441176470588235</v>
      </c>
      <c r="N18" s="208">
        <f t="shared" si="2"/>
        <v>-0.368421052631579</v>
      </c>
      <c r="O18" s="208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1">
        <v>0</v>
      </c>
      <c r="AU18" s="212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3">
        <f t="shared" si="25"/>
        <v>0.142765429013444</v>
      </c>
      <c r="BI18" t="s">
        <v>269</v>
      </c>
    </row>
    <row r="19" ht="29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7">
        <v>2</v>
      </c>
      <c r="K19" s="215">
        <f t="shared" si="0"/>
        <v>0.0540540540540541</v>
      </c>
      <c r="L19" s="209">
        <v>41.34</v>
      </c>
      <c r="M19" s="210">
        <f t="shared" si="1"/>
        <v>-0.0263157894736842</v>
      </c>
      <c r="N19" s="208">
        <f t="shared" si="2"/>
        <v>0.0277777777777778</v>
      </c>
      <c r="O19" s="208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1">
        <v>0</v>
      </c>
      <c r="AU19" s="212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3">
        <f t="shared" si="25"/>
        <v>0.148961842773573</v>
      </c>
      <c r="BH19" s="172"/>
      <c r="BI19" s="172" t="s">
        <v>270</v>
      </c>
    </row>
    <row r="20" ht="29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7">
        <v>2</v>
      </c>
      <c r="K20" s="215">
        <f t="shared" si="0"/>
        <v>0.0416666666666667</v>
      </c>
      <c r="L20" s="209">
        <v>42.22</v>
      </c>
      <c r="M20" s="210">
        <f t="shared" si="1"/>
        <v>0.297297297297297</v>
      </c>
      <c r="N20" s="208">
        <f t="shared" si="2"/>
        <v>0.243243243243243</v>
      </c>
      <c r="O20" s="208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1">
        <v>0</v>
      </c>
      <c r="AU20" s="212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3">
        <f t="shared" si="25"/>
        <v>0.310249348273476</v>
      </c>
    </row>
    <row r="21" ht="29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7">
        <v>0</v>
      </c>
      <c r="K21" s="215">
        <f t="shared" si="0"/>
        <v>0</v>
      </c>
      <c r="L21" s="209">
        <v>0</v>
      </c>
      <c r="M21" s="210">
        <f t="shared" si="1"/>
        <v>-0.291666666666667</v>
      </c>
      <c r="N21" s="208">
        <f t="shared" si="2"/>
        <v>-0.282608695652174</v>
      </c>
      <c r="O21" s="208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1">
        <v>0</v>
      </c>
      <c r="AU21" s="212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3">
        <f t="shared" si="25"/>
        <v>0.21867759004876</v>
      </c>
    </row>
    <row r="22" ht="29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7">
        <v>1</v>
      </c>
      <c r="K22" s="215">
        <f t="shared" si="0"/>
        <v>0.0263157894736842</v>
      </c>
      <c r="L22" s="209">
        <v>21.11</v>
      </c>
      <c r="M22" s="210">
        <f t="shared" si="1"/>
        <v>0.117647058823529</v>
      </c>
      <c r="N22" s="208">
        <f t="shared" si="2"/>
        <v>0.0909090909090909</v>
      </c>
      <c r="O22" s="208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1">
        <v>0</v>
      </c>
      <c r="AU22" s="212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3">
        <f t="shared" si="25"/>
        <v>0.282746805208922</v>
      </c>
    </row>
    <row r="23" ht="29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7">
        <v>0</v>
      </c>
      <c r="K23" s="215">
        <f t="shared" si="0"/>
        <v>0</v>
      </c>
      <c r="L23" s="209">
        <v>0</v>
      </c>
      <c r="M23" s="210">
        <f t="shared" si="1"/>
        <v>0.0789473684210526</v>
      </c>
      <c r="N23" s="208">
        <f t="shared" si="2"/>
        <v>0.111111111111111</v>
      </c>
      <c r="O23" s="208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1">
        <v>0</v>
      </c>
      <c r="AU23" s="212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3">
        <f t="shared" si="25"/>
        <v>0.211545309033278</v>
      </c>
      <c r="BI23" t="s">
        <v>271</v>
      </c>
    </row>
    <row r="24" ht="29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7">
        <v>1</v>
      </c>
      <c r="K24" s="215">
        <f t="shared" si="0"/>
        <v>0.0178571428571429</v>
      </c>
      <c r="L24" s="209">
        <v>21.11</v>
      </c>
      <c r="M24" s="210">
        <f t="shared" si="1"/>
        <v>0.365853658536585</v>
      </c>
      <c r="N24" s="208">
        <f t="shared" si="2"/>
        <v>0.325</v>
      </c>
      <c r="O24" s="208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1">
        <v>0</v>
      </c>
      <c r="AU24" s="212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3">
        <f t="shared" si="25"/>
        <v>0.167536368325204</v>
      </c>
      <c r="BI24" t="s">
        <v>272</v>
      </c>
    </row>
    <row r="25" ht="29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7">
        <v>1</v>
      </c>
      <c r="K25" s="215">
        <f t="shared" si="0"/>
        <v>0.0333333333333333</v>
      </c>
      <c r="L25" s="209">
        <v>21.11</v>
      </c>
      <c r="M25" s="210">
        <f t="shared" si="1"/>
        <v>-0.464285714285714</v>
      </c>
      <c r="N25" s="208">
        <f t="shared" si="2"/>
        <v>-0.452830188679245</v>
      </c>
      <c r="O25" s="208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1">
        <v>0</v>
      </c>
      <c r="AU25" s="212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3">
        <f t="shared" si="25"/>
        <v>0.205558302952865</v>
      </c>
    </row>
    <row r="26" ht="29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7">
        <v>1</v>
      </c>
      <c r="K26" s="215">
        <f t="shared" si="0"/>
        <v>0.025</v>
      </c>
      <c r="L26" s="209">
        <v>17.1</v>
      </c>
      <c r="M26" s="210">
        <f t="shared" si="1"/>
        <v>0.333333333333333</v>
      </c>
      <c r="N26" s="208">
        <f t="shared" si="2"/>
        <v>0.310344827586207</v>
      </c>
      <c r="O26" s="208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1">
        <v>0</v>
      </c>
      <c r="AU26" s="212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3">
        <f t="shared" si="25"/>
        <v>0.321402759719902</v>
      </c>
    </row>
    <row r="27" ht="29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7">
        <v>1</v>
      </c>
      <c r="K27" s="215">
        <f t="shared" si="0"/>
        <v>0.0454545454545455</v>
      </c>
      <c r="L27" s="209">
        <v>21.11</v>
      </c>
      <c r="M27" s="210">
        <f t="shared" si="1"/>
        <v>-0.45</v>
      </c>
      <c r="N27" s="208">
        <f t="shared" si="2"/>
        <v>-0.421052631578947</v>
      </c>
      <c r="O27" s="208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1">
        <v>0</v>
      </c>
      <c r="AU27" s="212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3">
        <f t="shared" si="25"/>
        <v>0.171602195143523</v>
      </c>
    </row>
    <row r="28" ht="29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7">
        <v>1</v>
      </c>
      <c r="K28" s="215">
        <f t="shared" si="0"/>
        <v>0.0454545454545455</v>
      </c>
      <c r="L28" s="209">
        <v>20.23</v>
      </c>
      <c r="M28" s="210">
        <f t="shared" si="1"/>
        <v>0</v>
      </c>
      <c r="N28" s="208">
        <f t="shared" si="2"/>
        <v>0</v>
      </c>
      <c r="O28" s="208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1">
        <v>0</v>
      </c>
      <c r="AU28" s="212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3">
        <f t="shared" si="25"/>
        <v>0.00653755767394887</v>
      </c>
      <c r="BI28" t="s">
        <v>273</v>
      </c>
    </row>
    <row r="29" ht="29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7">
        <v>0</v>
      </c>
      <c r="K29" s="215">
        <f t="shared" si="0"/>
        <v>0</v>
      </c>
      <c r="L29" s="209">
        <v>0</v>
      </c>
      <c r="M29" s="210">
        <f t="shared" si="1"/>
        <v>1.27272727272727</v>
      </c>
      <c r="N29" s="208">
        <f t="shared" si="2"/>
        <v>1.22727272727273</v>
      </c>
      <c r="O29" s="208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1">
        <v>0</v>
      </c>
      <c r="AU29" s="212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3">
        <f t="shared" si="25"/>
        <v>0.338329912274994</v>
      </c>
    </row>
    <row r="30" ht="29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7">
        <v>0</v>
      </c>
      <c r="K30" s="215">
        <f t="shared" si="0"/>
        <v>0</v>
      </c>
      <c r="L30" s="209">
        <v>0</v>
      </c>
      <c r="M30" s="210">
        <f t="shared" si="1"/>
        <v>-0.12</v>
      </c>
      <c r="N30" s="208">
        <f t="shared" si="2"/>
        <v>-0.102040816326531</v>
      </c>
      <c r="O30" s="208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1">
        <v>0</v>
      </c>
      <c r="AU30" s="212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3">
        <f t="shared" si="25"/>
        <v>0.318765324842126</v>
      </c>
      <c r="BI30" t="s">
        <v>274</v>
      </c>
    </row>
    <row r="31" ht="29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7">
        <v>0</v>
      </c>
      <c r="K31" s="215">
        <f t="shared" si="0"/>
        <v>0</v>
      </c>
      <c r="L31" s="209">
        <v>0</v>
      </c>
      <c r="M31" s="210">
        <f t="shared" si="1"/>
        <v>0.113636363636364</v>
      </c>
      <c r="N31" s="208">
        <f t="shared" si="2"/>
        <v>0.0681818181818182</v>
      </c>
      <c r="O31" s="208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1">
        <v>0</v>
      </c>
      <c r="AU31" s="212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3">
        <f t="shared" si="25"/>
        <v>0.328850598438903</v>
      </c>
    </row>
    <row r="32" ht="29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7">
        <v>1</v>
      </c>
      <c r="K32" s="215">
        <f t="shared" si="0"/>
        <v>0.0238095238095238</v>
      </c>
      <c r="L32" s="209">
        <v>21.11</v>
      </c>
      <c r="M32" s="210">
        <f t="shared" si="1"/>
        <v>-0.142857142857143</v>
      </c>
      <c r="N32" s="208">
        <f t="shared" si="2"/>
        <v>-0.106382978723404</v>
      </c>
      <c r="O32" s="208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1">
        <v>0</v>
      </c>
      <c r="AU32" s="212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3">
        <f t="shared" si="25"/>
        <v>0.336703363519943</v>
      </c>
    </row>
    <row r="33" ht="29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7">
        <v>2</v>
      </c>
      <c r="K33" s="215">
        <f t="shared" si="0"/>
        <v>0.0357142857142857</v>
      </c>
      <c r="L33" s="209">
        <v>38.44</v>
      </c>
      <c r="M33" s="210">
        <f t="shared" si="1"/>
        <v>0.333333333333333</v>
      </c>
      <c r="N33" s="208">
        <f t="shared" si="2"/>
        <v>0.285714285714286</v>
      </c>
      <c r="O33" s="208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1">
        <v>0</v>
      </c>
      <c r="AU33" s="212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3">
        <f t="shared" si="25"/>
        <v>0.207900188634868</v>
      </c>
      <c r="BI33" t="s">
        <v>275</v>
      </c>
    </row>
    <row r="34" customFormat="1" ht="29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7">
        <v>2</v>
      </c>
      <c r="K34" s="215">
        <f t="shared" si="0"/>
        <v>0.025</v>
      </c>
      <c r="L34" s="209">
        <v>36.52</v>
      </c>
      <c r="M34" s="210">
        <f t="shared" si="1"/>
        <v>0.428571428571429</v>
      </c>
      <c r="N34" s="208">
        <f t="shared" si="2"/>
        <v>0.351851851851852</v>
      </c>
      <c r="O34" s="208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1">
        <v>0</v>
      </c>
      <c r="AU34" s="212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3">
        <f t="shared" si="25"/>
        <v>0.221267905125377</v>
      </c>
    </row>
    <row r="35" customFormat="1" ht="29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7">
        <v>2</v>
      </c>
      <c r="K35" s="215">
        <f t="shared" si="0"/>
        <v>0.0363636363636364</v>
      </c>
      <c r="L35" s="209">
        <v>35.04</v>
      </c>
      <c r="M35" s="210">
        <f t="shared" si="1"/>
        <v>-0.3125</v>
      </c>
      <c r="N35" s="208">
        <f t="shared" si="2"/>
        <v>-0.287671232876712</v>
      </c>
      <c r="O35" s="208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1">
        <v>0</v>
      </c>
      <c r="AU35" s="212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3">
        <f t="shared" si="25"/>
        <v>0.230411576433967</v>
      </c>
    </row>
    <row r="36" customFormat="1" ht="29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7">
        <v>3</v>
      </c>
      <c r="K36" s="215">
        <f t="shared" ref="K36:K75" si="27">J36/C36</f>
        <v>0.0476190476190476</v>
      </c>
      <c r="L36" s="209">
        <v>35.73</v>
      </c>
      <c r="M36" s="210">
        <f t="shared" ref="M36:M74" si="28">(C36-C35)/C35</f>
        <v>0.145454545454545</v>
      </c>
      <c r="N36" s="208">
        <f t="shared" ref="N36:N74" si="29">(D36-D35)/D35</f>
        <v>0.192307692307692</v>
      </c>
      <c r="O36" s="208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75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5" si="37">Z36/AA36</f>
        <v>0.310079751245214</v>
      </c>
      <c r="AD36" s="72">
        <f t="shared" ref="AD36:AD74" si="38">X36/W36</f>
        <v>0.00845809016324114</v>
      </c>
      <c r="AE36" s="72">
        <f t="shared" ref="AE36:AE74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1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1">
        <v>0</v>
      </c>
      <c r="AU36" s="212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3">
        <f t="shared" ref="BG36:BG74" si="51">BF36/BE36</f>
        <v>0.283323194701108</v>
      </c>
    </row>
    <row r="37" customFormat="1" ht="29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7">
        <v>4</v>
      </c>
      <c r="K37" s="215">
        <f t="shared" si="27"/>
        <v>0.0851063829787234</v>
      </c>
      <c r="L37" s="209">
        <v>69.91</v>
      </c>
      <c r="M37" s="210">
        <f t="shared" si="28"/>
        <v>-0.253968253968254</v>
      </c>
      <c r="N37" s="208">
        <f t="shared" si="29"/>
        <v>-0.241935483870968</v>
      </c>
      <c r="O37" s="208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1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1">
        <v>0</v>
      </c>
      <c r="AU37" s="212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3">
        <f t="shared" si="51"/>
        <v>0.200723618840988</v>
      </c>
    </row>
    <row r="38" customFormat="1" ht="29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7">
        <v>4</v>
      </c>
      <c r="K38" s="215">
        <f t="shared" si="27"/>
        <v>0.0851063829787234</v>
      </c>
      <c r="L38" s="209">
        <v>68.29</v>
      </c>
      <c r="M38" s="210">
        <f t="shared" si="28"/>
        <v>0</v>
      </c>
      <c r="N38" s="208">
        <f t="shared" si="29"/>
        <v>-0.0425531914893617</v>
      </c>
      <c r="O38" s="208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1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1">
        <v>0</v>
      </c>
      <c r="AU38" s="212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3">
        <f t="shared" si="51"/>
        <v>0.161404235430291</v>
      </c>
    </row>
    <row r="39" customFormat="1" ht="29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7">
        <v>2</v>
      </c>
      <c r="K39" s="215">
        <f t="shared" si="27"/>
        <v>0.0392156862745098</v>
      </c>
      <c r="L39" s="209">
        <v>32.36</v>
      </c>
      <c r="M39" s="210">
        <f t="shared" si="28"/>
        <v>0.0851063829787234</v>
      </c>
      <c r="N39" s="208">
        <f t="shared" si="29"/>
        <v>0.0222222222222222</v>
      </c>
      <c r="O39" s="208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1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1">
        <v>0</v>
      </c>
      <c r="AU39" s="212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3">
        <f t="shared" si="51"/>
        <v>0.139930561046335</v>
      </c>
    </row>
    <row r="40" customFormat="1" ht="29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7">
        <v>4</v>
      </c>
      <c r="K40" s="215">
        <f t="shared" si="27"/>
        <v>0.0588235294117647</v>
      </c>
      <c r="L40" s="209">
        <v>65.13</v>
      </c>
      <c r="M40" s="210">
        <f t="shared" si="28"/>
        <v>0.333333333333333</v>
      </c>
      <c r="N40" s="208">
        <f t="shared" si="29"/>
        <v>0.369565217391304</v>
      </c>
      <c r="O40" s="208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1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1">
        <v>0</v>
      </c>
      <c r="AU40" s="212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3">
        <f t="shared" si="51"/>
        <v>0.128865750425611</v>
      </c>
    </row>
    <row r="41" customFormat="1" ht="29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7">
        <v>4</v>
      </c>
      <c r="K41" s="215">
        <f t="shared" si="27"/>
        <v>0.0714285714285714</v>
      </c>
      <c r="L41" s="209">
        <v>72.55</v>
      </c>
      <c r="M41" s="210">
        <f t="shared" si="28"/>
        <v>-0.176470588235294</v>
      </c>
      <c r="N41" s="208">
        <f t="shared" si="29"/>
        <v>-0.174603174603175</v>
      </c>
      <c r="O41" s="208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1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1">
        <v>0</v>
      </c>
      <c r="AU41" s="212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3">
        <f t="shared" si="51"/>
        <v>0.209492067509302</v>
      </c>
    </row>
    <row r="42" customFormat="1" ht="29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7">
        <v>3</v>
      </c>
      <c r="K42" s="215">
        <f t="shared" si="27"/>
        <v>0.0405405405405405</v>
      </c>
      <c r="L42" s="209">
        <v>52.93</v>
      </c>
      <c r="M42" s="210">
        <f t="shared" si="28"/>
        <v>0.321428571428571</v>
      </c>
      <c r="N42" s="208">
        <f t="shared" si="29"/>
        <v>0.384615384615385</v>
      </c>
      <c r="O42" s="208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1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1">
        <v>0</v>
      </c>
      <c r="AU42" s="212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3">
        <f t="shared" si="51"/>
        <v>0.180592802670992</v>
      </c>
    </row>
    <row r="43" customFormat="1" ht="29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7">
        <v>4</v>
      </c>
      <c r="K43" s="215">
        <f t="shared" si="27"/>
        <v>0.0909090909090909</v>
      </c>
      <c r="L43" s="209">
        <v>49.83</v>
      </c>
      <c r="M43" s="210">
        <f t="shared" si="28"/>
        <v>-0.405405405405405</v>
      </c>
      <c r="N43" s="208">
        <f t="shared" si="29"/>
        <v>-0.388888888888889</v>
      </c>
      <c r="O43" s="208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1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1">
        <v>0</v>
      </c>
      <c r="AU43" s="212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3">
        <f t="shared" si="51"/>
        <v>0.190882145217177</v>
      </c>
      <c r="BI43" t="s">
        <v>276</v>
      </c>
    </row>
    <row r="44" customFormat="1" ht="29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7">
        <v>5</v>
      </c>
      <c r="K44" s="215">
        <f t="shared" si="27"/>
        <v>0.0833333333333333</v>
      </c>
      <c r="L44" s="209">
        <v>84.76</v>
      </c>
      <c r="M44" s="210">
        <f t="shared" si="28"/>
        <v>0.363636363636364</v>
      </c>
      <c r="N44" s="208">
        <f t="shared" si="29"/>
        <v>0.363636363636364</v>
      </c>
      <c r="O44" s="208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1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1">
        <v>0</v>
      </c>
      <c r="AU44" s="212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3">
        <f t="shared" si="51"/>
        <v>0.125289181729869</v>
      </c>
    </row>
    <row r="45" customFormat="1" ht="29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7">
        <v>1</v>
      </c>
      <c r="K45" s="215">
        <f t="shared" si="27"/>
        <v>0.0175438596491228</v>
      </c>
      <c r="L45" s="209">
        <v>17.2</v>
      </c>
      <c r="M45" s="210">
        <f t="shared" si="28"/>
        <v>-0.05</v>
      </c>
      <c r="N45" s="208">
        <f t="shared" si="29"/>
        <v>-0.0666666666666667</v>
      </c>
      <c r="O45" s="208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1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1">
        <v>0</v>
      </c>
      <c r="AU45" s="212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3">
        <f t="shared" si="51"/>
        <v>0.169111941234404</v>
      </c>
    </row>
    <row r="46" customFormat="1" ht="29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7">
        <v>1</v>
      </c>
      <c r="K46" s="215">
        <f t="shared" si="27"/>
        <v>0.0108695652173913</v>
      </c>
      <c r="L46" s="209">
        <v>17.94</v>
      </c>
      <c r="M46" s="210">
        <f t="shared" si="28"/>
        <v>0.614035087719298</v>
      </c>
      <c r="N46" s="208">
        <f t="shared" si="29"/>
        <v>0.607142857142857</v>
      </c>
      <c r="O46" s="208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1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1">
        <v>0</v>
      </c>
      <c r="AU46" s="212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3">
        <f t="shared" si="51"/>
        <v>0.22973351331228</v>
      </c>
    </row>
    <row r="47" customFormat="1" ht="29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7">
        <v>2</v>
      </c>
      <c r="K47" s="215">
        <f t="shared" si="27"/>
        <v>0.0307692307692308</v>
      </c>
      <c r="L47" s="209">
        <v>39.05</v>
      </c>
      <c r="M47" s="210">
        <f t="shared" si="28"/>
        <v>-0.293478260869565</v>
      </c>
      <c r="N47" s="208">
        <f t="shared" si="29"/>
        <v>-0.277777777777778</v>
      </c>
      <c r="O47" s="208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1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1">
        <v>0</v>
      </c>
      <c r="AU47" s="212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3">
        <f t="shared" si="51"/>
        <v>0.178192364668114</v>
      </c>
    </row>
    <row r="48" customFormat="1" ht="29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7">
        <v>5</v>
      </c>
      <c r="K48" s="215">
        <f t="shared" si="27"/>
        <v>0.0980392156862745</v>
      </c>
      <c r="L48" s="209">
        <v>87.48</v>
      </c>
      <c r="M48" s="210">
        <f t="shared" si="28"/>
        <v>-0.215384615384615</v>
      </c>
      <c r="N48" s="208">
        <f t="shared" si="29"/>
        <v>-0.246153846153846</v>
      </c>
      <c r="O48" s="208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1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1">
        <v>0</v>
      </c>
      <c r="AU48" s="212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3">
        <f t="shared" si="51"/>
        <v>0.0574812100172246</v>
      </c>
    </row>
    <row r="49" customFormat="1" ht="29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7">
        <v>3</v>
      </c>
      <c r="K49" s="215">
        <f t="shared" si="27"/>
        <v>0.0476190476190476</v>
      </c>
      <c r="L49" s="209">
        <v>52.03</v>
      </c>
      <c r="M49" s="210">
        <f t="shared" si="28"/>
        <v>0.235294117647059</v>
      </c>
      <c r="N49" s="208">
        <f t="shared" si="29"/>
        <v>0.244897959183673</v>
      </c>
      <c r="O49" s="208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1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1">
        <v>0</v>
      </c>
      <c r="AU49" s="212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3">
        <f t="shared" si="51"/>
        <v>0.0978144813342798</v>
      </c>
    </row>
    <row r="50" customFormat="1" ht="29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7">
        <v>0</v>
      </c>
      <c r="K50" s="215">
        <f t="shared" si="27"/>
        <v>0</v>
      </c>
      <c r="L50" s="209">
        <v>0</v>
      </c>
      <c r="M50" s="210">
        <f t="shared" si="28"/>
        <v>0.238095238095238</v>
      </c>
      <c r="N50" s="208">
        <f t="shared" si="29"/>
        <v>0.229508196721311</v>
      </c>
      <c r="O50" s="208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1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1">
        <v>0</v>
      </c>
      <c r="AU50" s="212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3">
        <f t="shared" si="51"/>
        <v>0.15565511049349</v>
      </c>
    </row>
    <row r="51" customFormat="1" ht="29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7">
        <v>0</v>
      </c>
      <c r="K51" s="215">
        <f t="shared" si="27"/>
        <v>0</v>
      </c>
      <c r="L51" s="209">
        <v>0</v>
      </c>
      <c r="M51" s="210">
        <f t="shared" si="28"/>
        <v>-0.294871794871795</v>
      </c>
      <c r="N51" s="208">
        <f t="shared" si="29"/>
        <v>-0.32</v>
      </c>
      <c r="O51" s="208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1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1">
        <v>0</v>
      </c>
      <c r="AU51" s="212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3">
        <f t="shared" si="51"/>
        <v>0.15251785838369</v>
      </c>
    </row>
    <row r="52" customFormat="1" ht="29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7">
        <v>5</v>
      </c>
      <c r="K52" s="215">
        <f t="shared" si="27"/>
        <v>0.0819672131147541</v>
      </c>
      <c r="L52" s="209">
        <v>86.15</v>
      </c>
      <c r="M52" s="210">
        <f t="shared" si="28"/>
        <v>0.109090909090909</v>
      </c>
      <c r="N52" s="208">
        <f t="shared" si="29"/>
        <v>0.137254901960784</v>
      </c>
      <c r="O52" s="208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1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1">
        <v>0</v>
      </c>
      <c r="AU52" s="212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3">
        <f t="shared" si="51"/>
        <v>0.223710045840977</v>
      </c>
    </row>
    <row r="53" customFormat="1" ht="29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7">
        <v>3</v>
      </c>
      <c r="K53" s="215">
        <f t="shared" si="27"/>
        <v>0.0275229357798165</v>
      </c>
      <c r="L53" s="209">
        <v>57.49</v>
      </c>
      <c r="M53" s="210">
        <f t="shared" si="28"/>
        <v>0.786885245901639</v>
      </c>
      <c r="N53" s="208">
        <f t="shared" si="29"/>
        <v>0.775862068965517</v>
      </c>
      <c r="O53" s="208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1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1">
        <v>0</v>
      </c>
      <c r="AU53" s="212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3">
        <f t="shared" si="51"/>
        <v>0.204332166021116</v>
      </c>
      <c r="BI53" t="s">
        <v>197</v>
      </c>
    </row>
    <row r="54" customFormat="1" ht="29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7">
        <v>3</v>
      </c>
      <c r="K54" s="215">
        <f t="shared" si="27"/>
        <v>0.0447761194029851</v>
      </c>
      <c r="L54" s="209">
        <v>62.37</v>
      </c>
      <c r="M54" s="210">
        <f t="shared" si="28"/>
        <v>-0.385321100917431</v>
      </c>
      <c r="N54" s="208">
        <f t="shared" si="29"/>
        <v>-0.349514563106796</v>
      </c>
      <c r="O54" s="208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1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1">
        <v>1</v>
      </c>
      <c r="AU54" s="212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3">
        <f t="shared" si="51"/>
        <v>0.150448931434542</v>
      </c>
    </row>
    <row r="55" customFormat="1" ht="29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7">
        <v>0</v>
      </c>
      <c r="K55" s="215">
        <f t="shared" si="27"/>
        <v>0</v>
      </c>
      <c r="L55" s="209">
        <v>0</v>
      </c>
      <c r="M55" s="210">
        <f t="shared" si="28"/>
        <v>-0.134328358208955</v>
      </c>
      <c r="N55" s="208">
        <f t="shared" si="29"/>
        <v>-0.134328358208955</v>
      </c>
      <c r="O55" s="208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1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1">
        <v>0</v>
      </c>
      <c r="AU55" s="212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3">
        <f t="shared" si="51"/>
        <v>0.179792406613595</v>
      </c>
    </row>
    <row r="56" customFormat="1" ht="29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7">
        <v>2</v>
      </c>
      <c r="K56" s="215">
        <f t="shared" si="27"/>
        <v>0.0285714285714286</v>
      </c>
      <c r="L56" s="209">
        <v>50.24</v>
      </c>
      <c r="M56" s="210">
        <f t="shared" si="28"/>
        <v>0.206896551724138</v>
      </c>
      <c r="N56" s="208">
        <f t="shared" si="29"/>
        <v>0.189655172413793</v>
      </c>
      <c r="O56" s="208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1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1">
        <v>1</v>
      </c>
      <c r="AU56" s="212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3">
        <f t="shared" si="51"/>
        <v>0.270621331496859</v>
      </c>
    </row>
    <row r="57" customFormat="1" ht="29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7">
        <v>3</v>
      </c>
      <c r="K57" s="215">
        <f t="shared" si="27"/>
        <v>0.0517241379310345</v>
      </c>
      <c r="L57" s="209">
        <v>53.82</v>
      </c>
      <c r="M57" s="210">
        <f t="shared" si="28"/>
        <v>-0.171428571428571</v>
      </c>
      <c r="N57" s="208">
        <f t="shared" si="29"/>
        <v>-0.289855072463768</v>
      </c>
      <c r="O57" s="208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1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1">
        <v>0</v>
      </c>
      <c r="AU57" s="212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3">
        <f t="shared" si="51"/>
        <v>0.163271404232527</v>
      </c>
    </row>
    <row r="58" customFormat="1" ht="29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7">
        <v>3</v>
      </c>
      <c r="K58" s="215">
        <f t="shared" si="27"/>
        <v>0.0526315789473684</v>
      </c>
      <c r="L58" s="209">
        <v>56.11</v>
      </c>
      <c r="M58" s="210">
        <f t="shared" si="28"/>
        <v>-0.0172413793103448</v>
      </c>
      <c r="N58" s="208">
        <f t="shared" si="29"/>
        <v>0.142857142857143</v>
      </c>
      <c r="O58" s="208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1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1">
        <v>0</v>
      </c>
      <c r="AU58" s="212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3">
        <f t="shared" si="51"/>
        <v>0.177582539696286</v>
      </c>
    </row>
    <row r="59" customFormat="1" ht="29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7">
        <v>1</v>
      </c>
      <c r="K59" s="215">
        <f t="shared" si="27"/>
        <v>0.0140845070422535</v>
      </c>
      <c r="L59" s="209">
        <v>17.94</v>
      </c>
      <c r="M59" s="210">
        <f t="shared" si="28"/>
        <v>0.245614035087719</v>
      </c>
      <c r="N59" s="208">
        <f t="shared" si="29"/>
        <v>0.232142857142857</v>
      </c>
      <c r="O59" s="208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1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1">
        <v>0</v>
      </c>
      <c r="AU59" s="212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3">
        <f t="shared" si="51"/>
        <v>0.134749395626264</v>
      </c>
      <c r="BI59" t="s">
        <v>277</v>
      </c>
    </row>
    <row r="60" customFormat="1" ht="29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7">
        <v>1</v>
      </c>
      <c r="K60" s="215">
        <f t="shared" si="27"/>
        <v>0.0101010101010101</v>
      </c>
      <c r="L60" s="209">
        <v>14.3</v>
      </c>
      <c r="M60" s="210">
        <f t="shared" si="28"/>
        <v>0.394366197183099</v>
      </c>
      <c r="N60" s="208">
        <f t="shared" si="29"/>
        <v>0.376811594202899</v>
      </c>
      <c r="O60" s="208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1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1">
        <v>0</v>
      </c>
      <c r="AU60" s="212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3">
        <f t="shared" si="51"/>
        <v>0.109527306293551</v>
      </c>
      <c r="BI60" t="s">
        <v>215</v>
      </c>
    </row>
    <row r="61" customFormat="1" ht="29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7">
        <v>2</v>
      </c>
      <c r="K61" s="215">
        <f t="shared" si="27"/>
        <v>0.0238095238095238</v>
      </c>
      <c r="L61" s="209">
        <v>35.14</v>
      </c>
      <c r="M61" s="210">
        <f t="shared" si="28"/>
        <v>-0.151515151515152</v>
      </c>
      <c r="N61" s="208">
        <f t="shared" si="29"/>
        <v>-0.115789473684211</v>
      </c>
      <c r="O61" s="208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1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1">
        <v>0</v>
      </c>
      <c r="AU61" s="212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3">
        <f t="shared" si="51"/>
        <v>0.11787957757113</v>
      </c>
      <c r="BI61" t="s">
        <v>278</v>
      </c>
    </row>
    <row r="62" customFormat="1" ht="29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7">
        <v>2</v>
      </c>
      <c r="K62" s="215">
        <f t="shared" si="27"/>
        <v>0.0222222222222222</v>
      </c>
      <c r="L62" s="209">
        <v>31.45</v>
      </c>
      <c r="M62" s="210">
        <f t="shared" si="28"/>
        <v>0.0714285714285714</v>
      </c>
      <c r="N62" s="208">
        <f t="shared" si="29"/>
        <v>0.0595238095238095</v>
      </c>
      <c r="O62" s="208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1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1">
        <v>0</v>
      </c>
      <c r="AU62" s="212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3">
        <f t="shared" si="51"/>
        <v>0.195811881712906</v>
      </c>
    </row>
    <row r="63" customFormat="1" ht="29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7">
        <v>2</v>
      </c>
      <c r="K63" s="215">
        <f t="shared" si="27"/>
        <v>0.0263157894736842</v>
      </c>
      <c r="L63" s="209">
        <v>27.91</v>
      </c>
      <c r="M63" s="210">
        <f t="shared" si="28"/>
        <v>-0.155555555555556</v>
      </c>
      <c r="N63" s="208">
        <f t="shared" si="29"/>
        <v>-0.146067415730337</v>
      </c>
      <c r="O63" s="208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1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1">
        <v>0</v>
      </c>
      <c r="AU63" s="212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3">
        <f t="shared" si="51"/>
        <v>0.0614526832398783</v>
      </c>
    </row>
    <row r="64" customFormat="1" ht="29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7">
        <v>2</v>
      </c>
      <c r="K64" s="215">
        <f t="shared" si="27"/>
        <v>0.0350877192982456</v>
      </c>
      <c r="L64" s="209">
        <v>34.78</v>
      </c>
      <c r="M64" s="210">
        <f t="shared" si="28"/>
        <v>-0.25</v>
      </c>
      <c r="N64" s="208">
        <f t="shared" si="29"/>
        <v>-0.289473684210526</v>
      </c>
      <c r="O64" s="208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1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1">
        <v>0</v>
      </c>
      <c r="AU64" s="212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3">
        <f t="shared" si="51"/>
        <v>0.139744632163407</v>
      </c>
      <c r="BI64" t="s">
        <v>279</v>
      </c>
      <c r="BJ64" t="s">
        <v>280</v>
      </c>
    </row>
    <row r="65" customFormat="1" ht="29" customHeight="1" spans="1:62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7">
        <v>3</v>
      </c>
      <c r="K65" s="215">
        <f t="shared" si="27"/>
        <v>0.0410958904109589</v>
      </c>
      <c r="L65" s="209">
        <v>115.19</v>
      </c>
      <c r="M65" s="210">
        <f t="shared" si="28"/>
        <v>0.280701754385965</v>
      </c>
      <c r="N65" s="208">
        <f t="shared" si="29"/>
        <v>0.333333333333333</v>
      </c>
      <c r="O65" s="208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1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1">
        <v>0</v>
      </c>
      <c r="AU65" s="212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3">
        <f t="shared" si="51"/>
        <v>0.137883800542772</v>
      </c>
      <c r="BI65" t="s">
        <v>281</v>
      </c>
      <c r="BJ65" t="s">
        <v>280</v>
      </c>
    </row>
    <row r="66" customFormat="1" ht="29" customHeight="1" spans="1:62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7">
        <v>4</v>
      </c>
      <c r="K66" s="215">
        <f t="shared" si="27"/>
        <v>0.0465116279069767</v>
      </c>
      <c r="L66" s="209">
        <v>62.54</v>
      </c>
      <c r="M66" s="210">
        <f t="shared" si="28"/>
        <v>0.178082191780822</v>
      </c>
      <c r="N66" s="208">
        <f t="shared" si="29"/>
        <v>0.180555555555556</v>
      </c>
      <c r="O66" s="208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1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1">
        <v>0</v>
      </c>
      <c r="AU66" s="212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3">
        <f t="shared" si="51"/>
        <v>0.117116935851626</v>
      </c>
      <c r="BI66" t="s">
        <v>282</v>
      </c>
      <c r="BJ66" t="s">
        <v>280</v>
      </c>
    </row>
    <row r="67" customFormat="1" ht="29" customHeight="1" spans="1:62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7">
        <v>0</v>
      </c>
      <c r="K67" s="215">
        <f t="shared" si="27"/>
        <v>0</v>
      </c>
      <c r="L67" s="209">
        <v>0</v>
      </c>
      <c r="M67" s="210">
        <f t="shared" si="28"/>
        <v>0.197674418604651</v>
      </c>
      <c r="N67" s="208">
        <f t="shared" si="29"/>
        <v>0.152941176470588</v>
      </c>
      <c r="O67" s="208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1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1">
        <v>0</v>
      </c>
      <c r="AU67" s="212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3">
        <f t="shared" si="51"/>
        <v>0.185458827596593</v>
      </c>
      <c r="BI67" s="172" t="s">
        <v>283</v>
      </c>
      <c r="BJ67" t="s">
        <v>280</v>
      </c>
    </row>
    <row r="68" customFormat="1" ht="29" customHeight="1" spans="1:62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7">
        <v>2</v>
      </c>
      <c r="K68" s="215">
        <f t="shared" si="27"/>
        <v>0.0210526315789474</v>
      </c>
      <c r="L68" s="209">
        <v>33.95</v>
      </c>
      <c r="M68" s="210">
        <f t="shared" si="28"/>
        <v>-0.0776699029126214</v>
      </c>
      <c r="N68" s="208">
        <f t="shared" si="29"/>
        <v>-0.0408163265306122</v>
      </c>
      <c r="O68" s="208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1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1">
        <v>0</v>
      </c>
      <c r="AU68" s="212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3">
        <f t="shared" si="51"/>
        <v>0.189743452893356</v>
      </c>
      <c r="BH68" t="s">
        <v>284</v>
      </c>
      <c r="BI68" s="172" t="s">
        <v>285</v>
      </c>
      <c r="BJ68" t="s">
        <v>280</v>
      </c>
    </row>
    <row r="69" customFormat="1" ht="29" customHeight="1" spans="1:62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7">
        <v>4</v>
      </c>
      <c r="K69" s="215">
        <f t="shared" si="27"/>
        <v>0.0540540540540541</v>
      </c>
      <c r="L69" s="209">
        <v>67.3</v>
      </c>
      <c r="M69" s="210">
        <f t="shared" si="28"/>
        <v>-0.221052631578947</v>
      </c>
      <c r="N69" s="208">
        <f t="shared" si="29"/>
        <v>-0.223404255319149</v>
      </c>
      <c r="O69" s="208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1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1">
        <v>0</v>
      </c>
      <c r="AU69" s="212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3">
        <f t="shared" si="51"/>
        <v>0.162061812204756</v>
      </c>
      <c r="BH69" t="s">
        <v>286</v>
      </c>
      <c r="BI69" t="s">
        <v>287</v>
      </c>
    </row>
    <row r="70" customFormat="1" ht="29" customHeight="1" spans="1:62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7">
        <v>4</v>
      </c>
      <c r="K70" s="215">
        <f t="shared" si="27"/>
        <v>0.0597014925373134</v>
      </c>
      <c r="L70" s="209">
        <v>72.09</v>
      </c>
      <c r="M70" s="210">
        <f t="shared" si="28"/>
        <v>-0.0945945945945946</v>
      </c>
      <c r="N70" s="208">
        <f t="shared" si="29"/>
        <v>-0.0821917808219178</v>
      </c>
      <c r="O70" s="208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1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1">
        <v>0</v>
      </c>
      <c r="AU70" s="212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3">
        <f t="shared" si="51"/>
        <v>0.0788610601166462</v>
      </c>
      <c r="BH70" t="s">
        <v>288</v>
      </c>
      <c r="BI70" t="s">
        <v>289</v>
      </c>
      <c r="BJ70" t="s">
        <v>290</v>
      </c>
    </row>
    <row r="71" customFormat="1" ht="29" customHeight="1" spans="1:62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7">
        <v>2</v>
      </c>
      <c r="K71" s="215">
        <f t="shared" si="27"/>
        <v>0.0208333333333333</v>
      </c>
      <c r="L71" s="209">
        <v>33.06</v>
      </c>
      <c r="M71" s="210">
        <f t="shared" si="28"/>
        <v>0.432835820895522</v>
      </c>
      <c r="N71" s="208">
        <f t="shared" si="29"/>
        <v>0.343283582089552</v>
      </c>
      <c r="O71" s="208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1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1"/>
      <c r="AU71" s="212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3">
        <f t="shared" si="51"/>
        <v>0.149431499005039</v>
      </c>
      <c r="BH71" t="s">
        <v>291</v>
      </c>
      <c r="BI71" t="s">
        <v>289</v>
      </c>
      <c r="BJ71" t="s">
        <v>290</v>
      </c>
    </row>
    <row r="72" customFormat="1" ht="29" customHeight="1" spans="1:62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7">
        <v>3</v>
      </c>
      <c r="K72" s="215">
        <f t="shared" si="27"/>
        <v>0.0297029702970297</v>
      </c>
      <c r="L72" s="209">
        <v>48.06</v>
      </c>
      <c r="M72" s="210">
        <f t="shared" si="28"/>
        <v>0.0520833333333333</v>
      </c>
      <c r="N72" s="208">
        <f t="shared" si="29"/>
        <v>0.0888888888888889</v>
      </c>
      <c r="O72" s="208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1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1">
        <v>0</v>
      </c>
      <c r="AU72" s="212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3">
        <f t="shared" si="51"/>
        <v>0.183605679574864</v>
      </c>
      <c r="BH72" t="s">
        <v>292</v>
      </c>
      <c r="BI72" t="s">
        <v>289</v>
      </c>
      <c r="BJ72" t="s">
        <v>290</v>
      </c>
    </row>
    <row r="73" customFormat="1" ht="29" customHeight="1" spans="1:62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7">
        <v>2</v>
      </c>
      <c r="K73" s="215">
        <f t="shared" si="27"/>
        <v>0.0227272727272727</v>
      </c>
      <c r="L73" s="209">
        <v>31.3</v>
      </c>
      <c r="M73" s="210">
        <f t="shared" si="28"/>
        <v>-0.128712871287129</v>
      </c>
      <c r="N73" s="208">
        <f t="shared" si="29"/>
        <v>-0.122448979591837</v>
      </c>
      <c r="O73" s="208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1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1">
        <v>0</v>
      </c>
      <c r="AU73" s="212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3">
        <f t="shared" si="51"/>
        <v>0.16573758795227</v>
      </c>
      <c r="BH73" t="s">
        <v>293</v>
      </c>
      <c r="BI73" t="s">
        <v>289</v>
      </c>
      <c r="BJ73" t="s">
        <v>290</v>
      </c>
    </row>
    <row r="74" customFormat="1" ht="29" customHeight="1" spans="1:62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7">
        <v>2</v>
      </c>
      <c r="K74" s="215">
        <f t="shared" si="27"/>
        <v>0.0307692307692308</v>
      </c>
      <c r="L74" s="209">
        <v>30.1</v>
      </c>
      <c r="M74" s="210">
        <f t="shared" si="28"/>
        <v>-0.261363636363636</v>
      </c>
      <c r="N74" s="208">
        <f t="shared" si="29"/>
        <v>-0.267441860465116</v>
      </c>
      <c r="O74" s="208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1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1">
        <v>0</v>
      </c>
      <c r="AU74" s="212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3">
        <f t="shared" si="51"/>
        <v>0.245929098859863</v>
      </c>
      <c r="BH74" t="s">
        <v>294</v>
      </c>
      <c r="BI74" t="s">
        <v>295</v>
      </c>
      <c r="BJ74" t="s">
        <v>296</v>
      </c>
    </row>
    <row r="75" ht="29" customHeight="1" spans="1:62">
      <c r="A75" s="174" t="s">
        <v>257</v>
      </c>
      <c r="B75" s="175"/>
      <c r="C75" s="175">
        <f>SUBTOTAL(109,表3_38[销量])</f>
        <v>4276</v>
      </c>
      <c r="D75" s="175">
        <f>SUBTOTAL(109,表3_38[订单量])</f>
        <v>4127</v>
      </c>
      <c r="E75" s="175">
        <f>SUBTOTAL(109,表3_38[销售额])</f>
        <v>91463.9</v>
      </c>
      <c r="F75" s="175">
        <f>SUBTOTAL(109,表3_38[促销销量])</f>
        <v>612</v>
      </c>
      <c r="G75" s="175">
        <f>SUBTOTAL(109,表3_38[促销订单量])</f>
        <v>596</v>
      </c>
      <c r="H75" s="175">
        <f>SUBTOTAL(109,表3_38[促销销售额])</f>
        <v>12582.44</v>
      </c>
      <c r="I75" s="175">
        <f>SUBTOTAL(109,表3_38[促销折扣])</f>
        <v>1268.21</v>
      </c>
      <c r="J75" s="175">
        <f>SUBTOTAL(109,表3_38[退款量])</f>
        <v>139</v>
      </c>
      <c r="K75" s="176">
        <f t="shared" si="27"/>
        <v>0.0325070159027128</v>
      </c>
      <c r="L75" s="177">
        <f>SUBTOTAL(109,表3_38[退款金额])</f>
        <v>2526.2</v>
      </c>
      <c r="M75" s="175"/>
      <c r="N75" s="175"/>
      <c r="O75" s="175"/>
      <c r="P75" s="178">
        <f>SUBTOTAL(101,表3_38[客单
销量])</f>
        <v>1.03691937204457</v>
      </c>
      <c r="Q75" s="178">
        <f>SUBTOTAL(101,表3_38[客单
价格($)])</f>
        <v>22.5668738240481</v>
      </c>
      <c r="R75" s="178">
        <f>SUBTOTAL(101,表3_38[销售
均价($)])</f>
        <v>21.7657464949523</v>
      </c>
      <c r="S75" s="178">
        <f>SUBTOTAL(101,表3_38[日均
销量])</f>
        <v>6.22837022132797</v>
      </c>
      <c r="T75" s="179">
        <f>SUBTOTAL(109,表3_38[自然
订单])</f>
        <v>1669</v>
      </c>
      <c r="U75" s="180">
        <f t="shared" si="35"/>
        <v>0.404409983038527</v>
      </c>
      <c r="V75" s="176">
        <f>SUBTOTAL(101,表3_38[TAcos
(%)])</f>
        <v>0.251495100890614</v>
      </c>
      <c r="W75" s="175">
        <f>SUBTOTAL(109,表3_38[展示])</f>
        <v>2873073</v>
      </c>
      <c r="X75" s="175">
        <f>SUBTOTAL(109,表3_38[点击])</f>
        <v>19077</v>
      </c>
      <c r="Y75" s="175">
        <f>SUBTOTAL(109,表3_38[广告订单量])</f>
        <v>2458</v>
      </c>
      <c r="Z75" s="175">
        <f>SUBTOTAL(109,表3_38[广告花费])</f>
        <v>22076.83</v>
      </c>
      <c r="AA75" s="175">
        <f>SUBTOTAL(109,表3_38[广告销售额])</f>
        <v>54118.29</v>
      </c>
      <c r="AB75" s="175">
        <f>SUBTOTAL(101,表3_38[CPC])</f>
        <v>1.15295774647887</v>
      </c>
      <c r="AC75" s="176">
        <f t="shared" si="37"/>
        <v>0.40793657744914</v>
      </c>
      <c r="AD75" s="176">
        <f t="shared" ref="AD75:AF75" si="54">X75/W75</f>
        <v>0.00663992874528423</v>
      </c>
      <c r="AE75" s="176">
        <f t="shared" si="54"/>
        <v>0.128846254652199</v>
      </c>
      <c r="AF75" s="178">
        <f t="shared" si="54"/>
        <v>8.98162327095199</v>
      </c>
      <c r="AG75" s="175">
        <f>SUBTOTAL(109,表3_38[Short w/oBall 1Pack])</f>
        <v>1324</v>
      </c>
      <c r="AH75" s="175">
        <f>SUBTOTAL(109,表3_38[Long w/oBall 1Pack])</f>
        <v>1572</v>
      </c>
      <c r="AI75" s="175">
        <f>SUBTOTAL(109,表3_38[w/Ball 1Pack])</f>
        <v>1267</v>
      </c>
      <c r="AJ75" s="216">
        <f>SUBTOTAL(109,表3_38[Long w/oBall 2Pack])</f>
        <v>117</v>
      </c>
      <c r="AK75" s="177">
        <f>SUBTOTAL(109,表3_38[产品成本])</f>
        <v>13270.1408450704</v>
      </c>
      <c r="AL75" s="177">
        <f>SUBTOTAL(109,表3_38[头程])</f>
        <v>1460.92</v>
      </c>
      <c r="AM75" s="177">
        <f>SUBTOTAL(109,表3_38[入仓费])</f>
        <v>1644.76</v>
      </c>
      <c r="AN75" s="177">
        <f>SUBTOTAL(109,表3_38[FBA物流])</f>
        <v>20236.96</v>
      </c>
      <c r="AO75" s="177">
        <f>SUBTOTAL(109,表3_38[佣金])</f>
        <v>13529.3535</v>
      </c>
      <c r="AP75" s="177">
        <f>SUBTOTAL(109,表3_38[成本小结])</f>
        <v>50142.1343450704</v>
      </c>
      <c r="AQ75" s="182">
        <f>SUBTOTAL(109,表3_38[退款Short w/oBall 1Pack])</f>
        <v>53</v>
      </c>
      <c r="AR75" s="182">
        <f>SUBTOTAL(109,表3_38[退款Long w/oBall 1Pack])</f>
        <v>34</v>
      </c>
      <c r="AS75" s="182">
        <f>SUBTOTAL(109,表3_38[退款w/Ball 1Pack])</f>
        <v>49</v>
      </c>
      <c r="AT75" s="177">
        <f>SUBTOTAL(109,表3_38[退款Long w/oBall 2Pack])</f>
        <v>2</v>
      </c>
      <c r="AU75" s="177">
        <f>SUBTOTAL(109,表3_38[退款
销售金额])</f>
        <v>3080.73170731707</v>
      </c>
      <c r="AV75" s="177">
        <f>SUBTOTAL(109,表3_38[退款
产品成本])</f>
        <v>417.042253521127</v>
      </c>
      <c r="AW75" s="177">
        <f>SUBTOTAL(109,表3_38[退款头程])</f>
        <v>44.79</v>
      </c>
      <c r="AX75" s="177">
        <f>SUBTOTAL(109,表3_38[退款
入仓费])</f>
        <v>53.38</v>
      </c>
      <c r="AY75" s="177">
        <f>SUBTOTAL(109,表3_38[退款
FBA物流])</f>
        <v>0</v>
      </c>
      <c r="AZ75" s="177">
        <f>SUBTOTAL(109,表3_38[退款佣金])</f>
        <v>462.109756097561</v>
      </c>
      <c r="BA75" s="177">
        <f>SUBTOTAL(109,表3_38[退款
管理费用
佣金的20%])</f>
        <v>-92.4219512195122</v>
      </c>
      <c r="BB75" s="177">
        <f>SUBTOTAL(109,表3_38[退款
成本小结])</f>
        <v>884.900058399176</v>
      </c>
      <c r="BC75" s="177">
        <f>SUBTOTAL(109,表3_38[净成本])</f>
        <v>49257.2342866712</v>
      </c>
      <c r="BD75" s="177">
        <f>SUBTOTAL(109,表3_38[净销售额])</f>
        <v>90195.69</v>
      </c>
      <c r="BE75" s="177">
        <f>SUBTOTAL(109,表3_38[净销售额
(-退款金额)])</f>
        <v>87114.958292683</v>
      </c>
      <c r="BF75" s="177">
        <f>SUBTOTAL(109,表3_38[毛利])</f>
        <v>15780.8940060117</v>
      </c>
      <c r="BG75" s="176">
        <f>SUBTOTAL(101,表3_38[毛利率])</f>
        <v>0.179809052665008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20"/>
  <sheetViews>
    <sheetView workbookViewId="0">
      <pane xSplit="12" ySplit="3" topLeftCell="M4" activePane="bottomRight" state="frozen"/>
      <selection/>
      <selection pane="topRight"/>
      <selection pane="bottomLeft"/>
      <selection pane="bottomRight" activeCell="A21" sqref="$A21:$XFD47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3" width="5.36666666666667" customWidth="1"/>
    <col min="4" max="4" width="7.375" customWidth="1"/>
    <col min="5" max="5" width="9.36666666666667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4" width="7.36666666666667" customWidth="1"/>
    <col min="35" max="35" width="10.3666666666667" customWidth="1"/>
    <col min="36" max="37" width="8.36666666666667" customWidth="1"/>
    <col min="38" max="40" width="11.45" customWidth="1"/>
    <col min="41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11.875" customWidth="1"/>
    <col min="57" max="57" width="32.25" customWidth="1"/>
    <col min="58" max="58" width="21.5" customWidth="1"/>
  </cols>
  <sheetData>
    <row r="1" ht="29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3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297</v>
      </c>
      <c r="AH3" s="184" t="s">
        <v>298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299</v>
      </c>
      <c r="AP3" s="143" t="s">
        <v>300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301</v>
      </c>
      <c r="BF3" s="1" t="s">
        <v>67</v>
      </c>
    </row>
    <row r="4" customFormat="1" ht="29" customHeight="1" spans="1:58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0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0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0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277</v>
      </c>
    </row>
    <row r="5" customFormat="1" ht="29" customHeight="1" spans="1:58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customFormat="1" ht="29" customHeight="1" spans="1:58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278</v>
      </c>
    </row>
    <row r="7" customFormat="1" ht="29" customHeight="1" spans="1:58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customFormat="1" ht="29" customHeight="1" spans="1:58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customFormat="1" ht="29" customHeight="1" spans="1:58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customFormat="1" ht="29" customHeight="1" spans="1:58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customFormat="1" ht="29" customHeight="1" spans="1:58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customFormat="1" ht="29" customHeight="1" spans="1:58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customFormat="1" ht="29" customHeight="1" spans="1:58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customFormat="1" ht="29" customHeight="1" spans="1:58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customFormat="1" ht="29" customHeight="1" spans="1:58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302</v>
      </c>
      <c r="BF15" t="s">
        <v>303</v>
      </c>
    </row>
    <row r="16" customFormat="1" ht="29" customHeight="1" spans="1:58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302</v>
      </c>
      <c r="BF16" t="s">
        <v>303</v>
      </c>
    </row>
    <row r="17" customFormat="1" ht="29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>
        <v>62218257</v>
      </c>
      <c r="BE17" t="s">
        <v>302</v>
      </c>
      <c r="BF17" t="s">
        <v>303</v>
      </c>
    </row>
    <row r="18" customFormat="1" ht="29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1">
        <v>40945146</v>
      </c>
      <c r="BE18" t="s">
        <v>302</v>
      </c>
      <c r="BF18" t="s">
        <v>303</v>
      </c>
    </row>
    <row r="19" customFormat="1" ht="29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1">
        <v>45001172</v>
      </c>
      <c r="BE19" t="s">
        <v>304</v>
      </c>
      <c r="BF19" t="s">
        <v>296</v>
      </c>
    </row>
    <row r="20" ht="29" customHeight="1" spans="1:58">
      <c r="A20" s="174" t="s">
        <v>257</v>
      </c>
      <c r="B20" s="175"/>
      <c r="C20" s="175">
        <f>SUBTOTAL(109,表3_391418[销量])</f>
        <v>314</v>
      </c>
      <c r="D20" s="175">
        <f>SUBTOTAL(109,表3_391418[订单量])</f>
        <v>310</v>
      </c>
      <c r="E20" s="175">
        <f>SUBTOTAL(109,表3_391418[销售额])</f>
        <v>6053.94</v>
      </c>
      <c r="F20" s="175">
        <f>SUBTOTAL(109,表3_391418[促销销量])</f>
        <v>97</v>
      </c>
      <c r="G20" s="175">
        <f>SUBTOTAL(109,表3_391418[促销订单量])</f>
        <v>96</v>
      </c>
      <c r="H20" s="175">
        <f>SUBTOTAL(109,表3_391418[促销销售额])</f>
        <v>1898.022</v>
      </c>
      <c r="I20" s="175">
        <f>SUBTOTAL(109,表3_391418[促销折扣])</f>
        <v>185.14</v>
      </c>
      <c r="J20" s="175">
        <f>SUBTOTAL(109,表3_391418[退款量])</f>
        <v>11</v>
      </c>
      <c r="K20" s="176">
        <f t="shared" si="0"/>
        <v>0.035031847133758</v>
      </c>
      <c r="L20" s="177">
        <f>SUBTOTAL(109,表3_391418[退款金额])</f>
        <v>188.24</v>
      </c>
      <c r="M20" s="175"/>
      <c r="N20" s="175"/>
      <c r="O20" s="175"/>
      <c r="P20" s="178">
        <f>SUBTOTAL(101,表3_391418[客单
销量])</f>
        <v>1.01053124078986</v>
      </c>
      <c r="Q20" s="178">
        <f>SUBTOTAL(101,表3_391418[客单
价格($)])</f>
        <v>19.7459161024344</v>
      </c>
      <c r="R20" s="178">
        <f>SUBTOTAL(101,表3_391418[销售
均价($)])</f>
        <v>19.5527694068382</v>
      </c>
      <c r="S20" s="178">
        <f>SUBTOTAL(101,表3_391418[日均
销量])</f>
        <v>2.80357142857143</v>
      </c>
      <c r="T20" s="179">
        <f>SUBTOTAL(109,表3_391418[自然
订单])</f>
        <v>92</v>
      </c>
      <c r="U20" s="180">
        <f t="shared" si="6"/>
        <v>0.296774193548387</v>
      </c>
      <c r="V20" s="176">
        <f>SUBTOTAL(101,表3_391418[TAcos
(%)])</f>
        <v>0.253926051352353</v>
      </c>
      <c r="W20" s="175">
        <f>SUBTOTAL(109,表3_391418[展示])</f>
        <v>240141</v>
      </c>
      <c r="X20" s="175">
        <f>SUBTOTAL(109,表3_391418[点击])</f>
        <v>1388</v>
      </c>
      <c r="Y20" s="175">
        <f>SUBTOTAL(109,表3_391418[广告订单量])</f>
        <v>218</v>
      </c>
      <c r="Z20" s="175">
        <f>SUBTOTAL(109,表3_391418[广告花费])</f>
        <v>1425.68</v>
      </c>
      <c r="AA20" s="175">
        <f>SUBTOTAL(109,表3_391418[广告销售额])</f>
        <v>4221.93</v>
      </c>
      <c r="AB20" s="175">
        <f>SUBTOTAL(101,表3_391418[CPC])</f>
        <v>1.026875</v>
      </c>
      <c r="AC20" s="176">
        <f t="shared" si="8"/>
        <v>0.337684423948289</v>
      </c>
      <c r="AD20" s="176">
        <f t="shared" ref="AD20:AF20" si="39">X20/W20</f>
        <v>0.00577993761998159</v>
      </c>
      <c r="AE20" s="176">
        <f t="shared" si="39"/>
        <v>0.157060518731988</v>
      </c>
      <c r="AF20" s="178">
        <f t="shared" si="39"/>
        <v>6.53981651376147</v>
      </c>
      <c r="AG20" s="175">
        <f>SUBTOTAL(109,表3_391418[1Pack])</f>
        <v>267</v>
      </c>
      <c r="AH20" s="175">
        <f>SUBTOTAL(109,表3_391418[2Pack])</f>
        <v>47</v>
      </c>
      <c r="AI20" s="177">
        <f>SUBTOTAL(109,表3_391418[产品成本])</f>
        <v>813.521126760562</v>
      </c>
      <c r="AJ20" s="177">
        <f>SUBTOTAL(109,表3_391418[头程])</f>
        <v>104.69</v>
      </c>
      <c r="AK20" s="177">
        <f>SUBTOTAL(109,表3_391418[入仓费])</f>
        <v>106.76</v>
      </c>
      <c r="AL20" s="177">
        <f>SUBTOTAL(109,表3_391418[FBA物流])</f>
        <v>1538.6</v>
      </c>
      <c r="AM20" s="177">
        <f>SUBTOTAL(109,表3_391418[佣金])</f>
        <v>880.32</v>
      </c>
      <c r="AN20" s="177">
        <f>SUBTOTAL(109,表3_391418[成本小结])</f>
        <v>3443.89112676056</v>
      </c>
      <c r="AO20" s="182">
        <f>SUBTOTAL(109,表3_391418[退款1Pack])</f>
        <v>9</v>
      </c>
      <c r="AP20" s="182">
        <f>SUBTOTAL(109,表3_391418[退款2Pack])</f>
        <v>2</v>
      </c>
      <c r="AQ20" s="177">
        <f>SUBTOTAL(109,表3_391418[退款
销售金额])</f>
        <v>229.560975609756</v>
      </c>
      <c r="AR20" s="177">
        <f>SUBTOTAL(109,表3_391418[退款
产品成本])</f>
        <v>29.2957746478873</v>
      </c>
      <c r="AS20" s="177">
        <f>SUBTOTAL(109,表3_391418[退款头程])</f>
        <v>3.77</v>
      </c>
      <c r="AT20" s="177">
        <f>SUBTOTAL(109,表3_391418[退款
入仓费])</f>
        <v>3.74</v>
      </c>
      <c r="AU20" s="177">
        <f>SUBTOTAL(109,表3_391418[退款
FBA物流])</f>
        <v>0</v>
      </c>
      <c r="AV20" s="177">
        <f>SUBTOTAL(109,表3_391418[退款佣金])</f>
        <v>34.4341463414634</v>
      </c>
      <c r="AW20" s="177">
        <f>SUBTOTAL(109,表3_391418[退款
管理费用
佣金的20%])</f>
        <v>-6.88682926829268</v>
      </c>
      <c r="AX20" s="177">
        <f>SUBTOTAL(109,表3_391418[退款
成本小结])</f>
        <v>64.353091721058</v>
      </c>
      <c r="AY20" s="177">
        <f>SUBTOTAL(109,表3_391418[净成本])</f>
        <v>3379.5380350395</v>
      </c>
      <c r="AZ20" s="177">
        <f>SUBTOTAL(109,表3_391418[净销售额])</f>
        <v>5868.8</v>
      </c>
      <c r="BA20" s="177">
        <f>SUBTOTAL(109,表3_391418[净销售额
(-退款金额)])</f>
        <v>5639.23902439024</v>
      </c>
      <c r="BB20" s="177">
        <f>SUBTOTAL(109,表3_391418[毛利])</f>
        <v>834.020989350739</v>
      </c>
      <c r="BC20" s="176">
        <f>SUBTOTAL(101,表3_391418[毛利率])</f>
        <v>0.134691463689967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975585192419"/>
  </sheetPr>
  <dimension ref="A1:BI75"/>
  <sheetViews>
    <sheetView workbookViewId="0">
      <pane xSplit="12" ySplit="3" topLeftCell="AH59" activePane="bottomRight" state="frozen"/>
      <selection/>
      <selection pane="topRight"/>
      <selection pane="bottomLeft"/>
      <selection pane="bottomRight" activeCell="A76" sqref="$A76:$XFD102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3" width="5.36666666666667" customWidth="1"/>
    <col min="4" max="4" width="7.375" customWidth="1"/>
    <col min="5" max="5" width="9.36666666666667" customWidth="1"/>
    <col min="6" max="6" width="6.5" customWidth="1"/>
    <col min="7" max="7" width="7.25" customWidth="1"/>
    <col min="8" max="9" width="9.36666666666667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7" width="10.3666666666667" customWidth="1"/>
    <col min="38" max="39" width="10.375" customWidth="1"/>
    <col min="40" max="42" width="11.45" customWidth="1"/>
    <col min="43" max="46" width="8.875" customWidth="1"/>
    <col min="47" max="47" width="10.3666666666667" customWidth="1"/>
    <col min="48" max="48" width="9.26666666666667" customWidth="1"/>
    <col min="49" max="49" width="8.63333333333333" customWidth="1"/>
    <col min="50" max="50" width="8.09166666666667" customWidth="1"/>
    <col min="51" max="51" width="8" customWidth="1"/>
    <col min="52" max="54" width="9.36666666666667" customWidth="1"/>
    <col min="55" max="55" width="10.3666666666667" customWidth="1"/>
    <col min="56" max="56" width="12.875" customWidth="1"/>
    <col min="57" max="57" width="12" customWidth="1"/>
    <col min="58" max="58" width="12.875" customWidth="1"/>
    <col min="59" max="59" width="9.26666666666667" customWidth="1"/>
    <col min="60" max="60" width="8.375" customWidth="1"/>
    <col min="61" max="61" width="67.375" customWidth="1"/>
  </cols>
  <sheetData>
    <row r="1" ht="29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3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305</v>
      </c>
      <c r="AH3" s="195" t="s">
        <v>306</v>
      </c>
      <c r="AI3" s="196" t="s">
        <v>307</v>
      </c>
      <c r="AJ3" s="197" t="s">
        <v>308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309</v>
      </c>
      <c r="AR3" s="142" t="s">
        <v>310</v>
      </c>
      <c r="AS3" s="143" t="s">
        <v>311</v>
      </c>
      <c r="AT3" s="143" t="s">
        <v>312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266</v>
      </c>
    </row>
    <row r="13" ht="29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313</v>
      </c>
    </row>
    <row r="14" ht="29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314</v>
      </c>
    </row>
    <row r="15" ht="29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315</v>
      </c>
    </row>
    <row r="16" ht="29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316</v>
      </c>
    </row>
    <row r="17" ht="29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317</v>
      </c>
    </row>
    <row r="18" ht="29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318</v>
      </c>
    </row>
    <row r="19" ht="29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319</v>
      </c>
    </row>
    <row r="20" ht="29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320</v>
      </c>
    </row>
    <row r="21" ht="29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321</v>
      </c>
    </row>
    <row r="22" ht="29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322</v>
      </c>
    </row>
    <row r="23" ht="29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323</v>
      </c>
    </row>
    <row r="24" ht="29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324</v>
      </c>
    </row>
    <row r="25" ht="29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325</v>
      </c>
    </row>
    <row r="29" ht="29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326</v>
      </c>
    </row>
    <row r="30" ht="29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274</v>
      </c>
    </row>
    <row r="31" ht="29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327</v>
      </c>
    </row>
    <row r="32" ht="29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328</v>
      </c>
    </row>
    <row r="33" ht="29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275</v>
      </c>
    </row>
    <row r="34" customFormat="1" ht="29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customFormat="1" ht="29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customFormat="1" ht="29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75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2" si="30">G36/7</f>
        <v>0.571428571428571</v>
      </c>
      <c r="T36" s="193">
        <f t="shared" ref="T36:T74" si="31">D36-Y36</f>
        <v>36</v>
      </c>
      <c r="U36" s="157">
        <f t="shared" ref="U36:U75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5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329</v>
      </c>
    </row>
    <row r="37" customFormat="1" ht="29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330</v>
      </c>
    </row>
    <row r="38" customFormat="1" ht="29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331</v>
      </c>
    </row>
    <row r="39" customFormat="1" ht="29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customFormat="1" ht="29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customFormat="1" ht="29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customFormat="1" ht="29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customFormat="1" ht="29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customFormat="1" ht="29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customFormat="1" ht="29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customFormat="1" ht="29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customFormat="1" ht="29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6" si="49">(C47-C45)/C45</f>
        <v>-0.0597014925373134</v>
      </c>
      <c r="N47" s="150">
        <f t="shared" ref="N47:N76" si="50">(D47-D45)/D45</f>
        <v>-0.0606060606060606</v>
      </c>
      <c r="O47" s="150">
        <f t="shared" ref="O47:O76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customFormat="1" ht="29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customFormat="1" ht="29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customFormat="1" ht="29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customFormat="1" ht="29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6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332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customFormat="1" ht="29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customFormat="1" ht="29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customFormat="1" ht="29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customFormat="1" ht="29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customFormat="1" ht="29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customFormat="1" ht="29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customFormat="1" ht="29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customFormat="1" ht="29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277</v>
      </c>
    </row>
    <row r="60" customFormat="1" ht="29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customFormat="1" ht="29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278</v>
      </c>
    </row>
    <row r="62" customFormat="1" ht="29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customFormat="1" ht="29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customFormat="1" ht="29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customFormat="1" ht="29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customFormat="1" ht="29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customFormat="1" ht="29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customFormat="1" ht="29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333</v>
      </c>
      <c r="BI68" t="s">
        <v>94</v>
      </c>
    </row>
    <row r="69" customFormat="1" ht="29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334</v>
      </c>
      <c r="BI69" t="s">
        <v>335</v>
      </c>
    </row>
    <row r="70" customFormat="1" ht="29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335</v>
      </c>
    </row>
    <row r="71" customFormat="1" ht="29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335</v>
      </c>
    </row>
    <row r="72" customFormat="1" ht="29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335</v>
      </c>
    </row>
    <row r="73" customFormat="1" ht="29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336</v>
      </c>
      <c r="BI73" t="s">
        <v>337</v>
      </c>
    </row>
    <row r="74" customFormat="1" ht="29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338</v>
      </c>
      <c r="BI74" t="s">
        <v>337</v>
      </c>
    </row>
    <row r="75" ht="29" customHeight="1" spans="1:61">
      <c r="A75" s="174" t="s">
        <v>257</v>
      </c>
      <c r="B75" s="175"/>
      <c r="C75" s="175">
        <f>SUBTOTAL(109,表3_39[销量])</f>
        <v>7292</v>
      </c>
      <c r="D75" s="175">
        <f>SUBTOTAL(109,表3_39[订单量])</f>
        <v>7190</v>
      </c>
      <c r="E75" s="175">
        <f>SUBTOTAL(109,表3_39[销售额])</f>
        <v>152648.56</v>
      </c>
      <c r="F75" s="175">
        <f>SUBTOTAL(109,表3_39[促销销量])</f>
        <v>887</v>
      </c>
      <c r="G75" s="175">
        <f>SUBTOTAL(109,表3_39[促销订单量])</f>
        <v>862</v>
      </c>
      <c r="H75" s="175">
        <f>SUBTOTAL(109,表3_39[促销销售额])</f>
        <v>18950.65</v>
      </c>
      <c r="I75" s="175">
        <f>SUBTOTAL(109,表3_39[促销折扣])</f>
        <v>2314.37</v>
      </c>
      <c r="J75" s="175">
        <f>SUBTOTAL(109,表3_39[退款量])</f>
        <v>516</v>
      </c>
      <c r="K75" s="176">
        <f t="shared" si="26"/>
        <v>0.0707624794295118</v>
      </c>
      <c r="L75" s="177">
        <f>SUBTOTAL(109,表3_39[退款金额])</f>
        <v>9403.26</v>
      </c>
      <c r="M75" s="175"/>
      <c r="N75" s="175"/>
      <c r="O75" s="175"/>
      <c r="P75" s="178">
        <f>SUBTOTAL(101,表3_39[客单
销量])</f>
        <v>1.01533519455475</v>
      </c>
      <c r="Q75" s="178">
        <f>SUBTOTAL(101,表3_39[客单
价格($)])</f>
        <v>21.1064702168904</v>
      </c>
      <c r="R75" s="178">
        <f>SUBTOTAL(101,表3_39[销售
均价($)])</f>
        <v>20.8025177920226</v>
      </c>
      <c r="S75" s="178">
        <f>SUBTOTAL(101,表3_39[日均
销量])</f>
        <v>5.53319919517103</v>
      </c>
      <c r="T75" s="179">
        <f>SUBTOTAL(109,表3_39[自然
订单])</f>
        <v>1454</v>
      </c>
      <c r="U75" s="180">
        <f t="shared" si="32"/>
        <v>0.202225312934631</v>
      </c>
      <c r="V75" s="176">
        <f>SUBTOTAL(101,表3_39[TAcos
(%)])</f>
        <v>0.416093937560042</v>
      </c>
      <c r="W75" s="175">
        <f>SUBTOTAL(109,表3_39[展示])</f>
        <v>5866703</v>
      </c>
      <c r="X75" s="175">
        <f>SUBTOTAL(109,表3_39[点击])</f>
        <v>55590</v>
      </c>
      <c r="Y75" s="175">
        <f>SUBTOTAL(109,表3_39[广告订单量])</f>
        <v>5736</v>
      </c>
      <c r="Z75" s="175">
        <f>SUBTOTAL(109,表3_39[广告花费])</f>
        <v>58172.21</v>
      </c>
      <c r="AA75" s="175">
        <f>SUBTOTAL(109,表3_39[广告销售额])</f>
        <v>121923.17</v>
      </c>
      <c r="AB75" s="175">
        <f>SUBTOTAL(101,表3_39[CPC])</f>
        <v>1.02857142857143</v>
      </c>
      <c r="AC75" s="176">
        <f t="shared" si="34"/>
        <v>0.477121862891196</v>
      </c>
      <c r="AD75" s="176">
        <f t="shared" ref="AD75:AF75" si="53">X75/W75</f>
        <v>0.00947550949826504</v>
      </c>
      <c r="AE75" s="176">
        <f t="shared" si="53"/>
        <v>0.10318402590394</v>
      </c>
      <c r="AF75" s="178">
        <f t="shared" si="53"/>
        <v>10.1415986750349</v>
      </c>
      <c r="AG75" s="175">
        <f>SUBTOTAL(109,表3_39[w/oHandle AL])</f>
        <v>1572</v>
      </c>
      <c r="AH75" s="175">
        <f>SUBTOTAL(109,表3_39[w/Handle AL])</f>
        <v>4720</v>
      </c>
      <c r="AI75" s="175">
        <f>SUBTOTAL(109,表3_39[w/oHandle ZN])</f>
        <v>205</v>
      </c>
      <c r="AJ75" s="175">
        <f>SUBTOTAL(109,表3_39[w/Handle ZN])</f>
        <v>816</v>
      </c>
      <c r="AK75" s="177">
        <f>SUBTOTAL(109,表3_39[产品成本])</f>
        <v>41150.4169014084</v>
      </c>
      <c r="AL75" s="177">
        <f>SUBTOTAL(109,表3_39[头程])</f>
        <v>2775.26490140845</v>
      </c>
      <c r="AM75" s="177">
        <f>SUBTOTAL(109,表3_39[入仓费])</f>
        <v>2486.42</v>
      </c>
      <c r="AN75" s="177">
        <f>SUBTOTAL(109,表3_39[FBA物流])</f>
        <v>28520.7</v>
      </c>
      <c r="AO75" s="177">
        <f>SUBTOTAL(109,表3_39[佣金])</f>
        <v>22550.1285</v>
      </c>
      <c r="AP75" s="177">
        <f>SUBTOTAL(109,表3_39[成本小结])</f>
        <v>97482.9303028169</v>
      </c>
      <c r="AQ75" s="182">
        <f>SUBTOTAL(109,表3_39[退款w/oHandle AL])</f>
        <v>108</v>
      </c>
      <c r="AR75" s="182">
        <f>SUBTOTAL(109,表3_39[退款w/Handle AL])</f>
        <v>354</v>
      </c>
      <c r="AS75" s="182">
        <f>SUBTOTAL(109,表3_39[退款w/oHandle ZN])</f>
        <v>10</v>
      </c>
      <c r="AT75" s="182">
        <f>SUBTOTAL(109,表3_39[退款w/Handle ZN])</f>
        <v>43</v>
      </c>
      <c r="AU75" s="177">
        <f>SUBTOTAL(109,表3_39[退款
销售金额])</f>
        <v>11467.3902439024</v>
      </c>
      <c r="AV75" s="177">
        <f>SUBTOTAL(109,表3_39[退款
产品成本])</f>
        <v>2949.61971830986</v>
      </c>
      <c r="AW75" s="177">
        <f>SUBTOTAL(109,表3_39[退款头程])</f>
        <v>192.618140845071</v>
      </c>
      <c r="AX75" s="177">
        <f>SUBTOTAL(109,表3_39[退款
入仓费])</f>
        <v>175.1</v>
      </c>
      <c r="AY75" s="177">
        <f>SUBTOTAL(109,表3_39[退款
FBA物流])</f>
        <v>0</v>
      </c>
      <c r="AZ75" s="177">
        <f>SUBTOTAL(109,表3_39[退款佣金])</f>
        <v>1720.10853658537</v>
      </c>
      <c r="BA75" s="177">
        <f>SUBTOTAL(109,表3_39[退款
管理费用
佣金的20%])</f>
        <v>-344.021707317073</v>
      </c>
      <c r="BB75" s="177">
        <f>SUBTOTAL(109,表3_39[退款
成本小结])</f>
        <v>4693.42468842322</v>
      </c>
      <c r="BC75" s="177">
        <f>SUBTOTAL(109,表3_39[净成本])</f>
        <v>92789.5056143937</v>
      </c>
      <c r="BD75" s="177">
        <f>SUBTOTAL(109,表3_39[净销售额])</f>
        <v>150334.19</v>
      </c>
      <c r="BE75" s="177">
        <f>SUBTOTAL(109,表3_39[净销售额
(-退款金额)])</f>
        <v>138866.799756098</v>
      </c>
      <c r="BF75" s="177">
        <f>SUBTOTAL(109,表3_39[毛利])</f>
        <v>-12094.9158582961</v>
      </c>
      <c r="BG75" s="176">
        <f>SUBTOTAL(101,表3_39[毛利率])</f>
        <v>-0.142109909606464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E63"/>
  <sheetViews>
    <sheetView workbookViewId="0">
      <pane xSplit="12" ySplit="3" topLeftCell="AC64" activePane="bottomRight" state="frozen"/>
      <selection/>
      <selection pane="topRight"/>
      <selection pane="bottomLeft"/>
      <selection pane="bottomRight" activeCell="A64" sqref="$A64:$XFD90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3" width="5.36666666666667" customWidth="1"/>
    <col min="4" max="4" width="7.375" customWidth="1"/>
    <col min="5" max="5" width="9.36666666666667" customWidth="1"/>
    <col min="6" max="7" width="7.125" customWidth="1"/>
    <col min="8" max="8" width="8.375" customWidth="1"/>
    <col min="9" max="9" width="7.125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8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4" width="7.36666666666667" customWidth="1"/>
    <col min="35" max="35" width="10.3666666666667" customWidth="1"/>
    <col min="36" max="37" width="8.36666666666667" customWidth="1"/>
    <col min="38" max="40" width="11.45" customWidth="1"/>
    <col min="41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28.45" customWidth="1"/>
  </cols>
  <sheetData>
    <row r="1" ht="29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3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339</v>
      </c>
      <c r="AH3" s="184" t="s">
        <v>340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341</v>
      </c>
      <c r="AP3" s="186" t="s">
        <v>342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343</v>
      </c>
    </row>
    <row r="4" ht="29" customHeight="1" spans="1:57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D4" t="s">
        <v>344</v>
      </c>
    </row>
    <row r="5" ht="29" customHeight="1" spans="1:57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</row>
    <row r="6" ht="29" customHeight="1" spans="1:57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D6" t="s">
        <v>345</v>
      </c>
    </row>
    <row r="7" ht="29" customHeight="1" spans="1:57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D7" t="s">
        <v>346</v>
      </c>
    </row>
    <row r="8" ht="29" customHeight="1" spans="1:57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D8" t="s">
        <v>347</v>
      </c>
    </row>
    <row r="9" ht="29" customHeight="1" spans="1:57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D9" t="s">
        <v>348</v>
      </c>
    </row>
    <row r="10" ht="29" customHeight="1" spans="1:57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D10" t="s">
        <v>348</v>
      </c>
    </row>
    <row r="11" ht="29" customHeight="1" spans="1:57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D11" t="s">
        <v>348</v>
      </c>
    </row>
    <row r="12" ht="29" customHeight="1" spans="1:57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D12" t="s">
        <v>349</v>
      </c>
    </row>
    <row r="13" ht="29" customHeight="1" spans="1:57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D13" t="s">
        <v>349</v>
      </c>
    </row>
    <row r="14" ht="29" customHeight="1" spans="1:57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D14" t="s">
        <v>349</v>
      </c>
    </row>
    <row r="15" ht="29" customHeight="1" spans="1:57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D15" t="s">
        <v>349</v>
      </c>
    </row>
    <row r="16" ht="29" customHeight="1" spans="1:57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E16" t="s">
        <v>91</v>
      </c>
    </row>
    <row r="17" ht="29" customHeight="1" spans="1:57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D17" t="s">
        <v>350</v>
      </c>
      <c r="BE17" t="s">
        <v>94</v>
      </c>
    </row>
    <row r="18" ht="29" customHeight="1" spans="1:57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D18" t="s">
        <v>351</v>
      </c>
    </row>
    <row r="19" ht="29" customHeight="1" spans="1:57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" customHeight="1" spans="1:57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" customHeight="1" spans="1:57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" customHeight="1" spans="1:57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9" si="26">(C22-C21)/C21</f>
        <v>-0.107142857142857</v>
      </c>
      <c r="N22" s="150">
        <f t="shared" ref="N22:N39" si="27">(D22-D21)/D21</f>
        <v>-0.107142857142857</v>
      </c>
      <c r="O22" s="150">
        <f t="shared" ref="O22:O39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9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9" si="30">BB22/BA22</f>
        <v>0.15107411962871</v>
      </c>
    </row>
    <row r="23" ht="29" customHeight="1" spans="1:57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customFormat="1" ht="29" customHeight="1" spans="1:57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customFormat="1" ht="29" customHeight="1" spans="1:57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customFormat="1" ht="29" customHeight="1" spans="1:57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customFormat="1" ht="29" customHeight="1" spans="1:57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customFormat="1" ht="29" customHeight="1" spans="1:57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customFormat="1" ht="29" customHeight="1" spans="1:57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customFormat="1" ht="29" customHeight="1" spans="1:57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customFormat="1" ht="29" customHeight="1" spans="1:57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customFormat="1" ht="29" customHeight="1" spans="1:57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customFormat="1" ht="29" customHeight="1" spans="1:56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customFormat="1" ht="29" customHeight="1" spans="1:56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customFormat="1" ht="29" customHeight="1" spans="1:56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customFormat="1" ht="29" customHeight="1" spans="1:56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3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3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3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customFormat="1" ht="29" customHeight="1" spans="1:56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customFormat="1" ht="29" customHeight="1" spans="1:56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customFormat="1" ht="29" customHeight="1" spans="1:56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customFormat="1" ht="29" customHeight="1" spans="1:56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customFormat="1" ht="29" customHeight="1" spans="1:56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D41" t="s">
        <v>197</v>
      </c>
    </row>
    <row r="42" customFormat="1" ht="29" customHeight="1" spans="1:56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customFormat="1" ht="29" customHeight="1" spans="1:56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customFormat="1" ht="29" customHeight="1" spans="1:56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customFormat="1" ht="29" customHeight="1" spans="1:56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customFormat="1" ht="29" customHeight="1" spans="1:56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customFormat="1" ht="29" customHeight="1" spans="1:56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D47" t="s">
        <v>277</v>
      </c>
    </row>
    <row r="48" customFormat="1" ht="29" customHeight="1" spans="1:56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D48" t="s">
        <v>215</v>
      </c>
    </row>
    <row r="49" customFormat="1" ht="29" customHeight="1" spans="1:57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D49" t="s">
        <v>278</v>
      </c>
    </row>
    <row r="50" customFormat="1" ht="29" customHeight="1" spans="1:57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customFormat="1" ht="29" customHeight="1" spans="1:57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customFormat="1" ht="29" customHeight="1" spans="1:57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D52" t="s">
        <v>225</v>
      </c>
    </row>
    <row r="53" customFormat="1" ht="29" customHeight="1" spans="1:57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customFormat="1" ht="29" customHeight="1" spans="1:57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customFormat="1" ht="29" customHeight="1" spans="1:57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customFormat="1" ht="29" customHeight="1" spans="1:57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customFormat="1" ht="29" customHeight="1" spans="1:57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customFormat="1" ht="29" customHeight="1" spans="1:57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customFormat="1" ht="29" customHeight="1" spans="1:57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customFormat="1" ht="29" customHeight="1" spans="1:57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customFormat="1" ht="29" customHeight="1" spans="1:57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customFormat="1" ht="29" customHeight="1" spans="1:57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 t="s">
        <v>352</v>
      </c>
      <c r="BE62" s="191"/>
    </row>
    <row r="63" ht="29" customHeight="1" spans="1:57">
      <c r="A63" s="174" t="s">
        <v>257</v>
      </c>
      <c r="B63" s="175"/>
      <c r="C63" s="175">
        <f>SUBTOTAL(109,表3_3914[销量])</f>
        <v>1471</v>
      </c>
      <c r="D63" s="175">
        <f>SUBTOTAL(109,表3_3914[订单量])</f>
        <v>1452</v>
      </c>
      <c r="E63" s="175">
        <f>SUBTOTAL(109,表3_3914[销售额])</f>
        <v>37606.1</v>
      </c>
      <c r="F63" s="175">
        <f>SUBTOTAL(109,表3_3914[促销销量])</f>
        <v>152</v>
      </c>
      <c r="G63" s="175">
        <f>SUBTOTAL(109,表3_3914[促销订单量])</f>
        <v>150</v>
      </c>
      <c r="H63" s="175">
        <f>SUBTOTAL(109,表3_3914[促销销售额])</f>
        <v>3814.22</v>
      </c>
      <c r="I63" s="175">
        <f>SUBTOTAL(109,表3_3914[促销折扣])</f>
        <v>479.04</v>
      </c>
      <c r="J63" s="175">
        <f>SUBTOTAL(109,表3_3914[退款量])</f>
        <v>131</v>
      </c>
      <c r="K63" s="176">
        <f t="shared" si="31"/>
        <v>0.0890550645819171</v>
      </c>
      <c r="L63" s="177">
        <f>SUBTOTAL(109,表3_3914[退款金额])</f>
        <v>2815.34</v>
      </c>
      <c r="M63" s="175"/>
      <c r="N63" s="175"/>
      <c r="O63" s="175"/>
      <c r="P63" s="178">
        <f>SUBTOTAL(101,表3_3914[客单
销量])</f>
        <v>1.01099588052813</v>
      </c>
      <c r="Q63" s="178">
        <f>SUBTOTAL(101,表3_3914[客单
价格($)])</f>
        <v>26.0958878351372</v>
      </c>
      <c r="R63" s="178">
        <f>SUBTOTAL(101,表3_3914[销售
均价($)])</f>
        <v>25.806636518919</v>
      </c>
      <c r="S63" s="178">
        <f>SUBTOTAL(101,表3_3914[日均
销量])</f>
        <v>3.56174334140436</v>
      </c>
      <c r="T63" s="179">
        <f>SUBTOTAL(109,表3_3914[自然
订单])</f>
        <v>398</v>
      </c>
      <c r="U63" s="180">
        <f t="shared" si="37"/>
        <v>0.274104683195592</v>
      </c>
      <c r="V63" s="176">
        <f>SUBTOTAL(101,表3_3914[TAcos
(%)])</f>
        <v>0.353715509254589</v>
      </c>
      <c r="W63" s="175">
        <f>SUBTOTAL(109,表3_3914[展示])</f>
        <v>2019600</v>
      </c>
      <c r="X63" s="175">
        <f>SUBTOTAL(109,表3_3914[点击])</f>
        <v>12670</v>
      </c>
      <c r="Y63" s="175">
        <f>SUBTOTAL(109,表3_3914[广告订单量])</f>
        <v>1054</v>
      </c>
      <c r="Z63" s="175">
        <f>SUBTOTAL(109,表3_3914[广告花费])</f>
        <v>12109.18</v>
      </c>
      <c r="AA63" s="175">
        <f>SUBTOTAL(109,表3_3914[广告销售额])</f>
        <v>26777.88</v>
      </c>
      <c r="AB63" s="175">
        <f>SUBTOTAL(101,表3_3914[CPC])</f>
        <v>0.926440677966102</v>
      </c>
      <c r="AC63" s="176">
        <f t="shared" si="39"/>
        <v>0.452208315221369</v>
      </c>
      <c r="AD63" s="176">
        <f t="shared" ref="AD63:AF63" si="57">X63/W63</f>
        <v>0.00627351950881363</v>
      </c>
      <c r="AE63" s="176">
        <f t="shared" si="57"/>
        <v>0.08318863456985</v>
      </c>
      <c r="AF63" s="178">
        <f t="shared" si="57"/>
        <v>11.4887855787476</v>
      </c>
      <c r="AG63" s="175">
        <f>SUBTOTAL(109,表3_3914[3FT])</f>
        <v>224</v>
      </c>
      <c r="AH63" s="175">
        <f>SUBTOTAL(109,表3_3914[6FT])</f>
        <v>1245</v>
      </c>
      <c r="AI63" s="177">
        <f>SUBTOTAL(109,表3_3914[产品成本])</f>
        <v>7609.85915492958</v>
      </c>
      <c r="AJ63" s="177">
        <f>SUBTOTAL(109,表3_3914[头程])</f>
        <v>452.16</v>
      </c>
      <c r="AK63" s="177">
        <f>SUBTOTAL(109,表3_3914[入仓费])</f>
        <v>499.46</v>
      </c>
      <c r="AL63" s="177">
        <f>SUBTOTAL(109,表3_3914[FBA物流])</f>
        <v>5729.1</v>
      </c>
      <c r="AM63" s="177">
        <f>SUBTOTAL(109,表3_3914[佣金])</f>
        <v>5569.059</v>
      </c>
      <c r="AN63" s="177">
        <f>SUBTOTAL(109,表3_3914[成本小结])</f>
        <v>19859.6381549296</v>
      </c>
      <c r="AO63" s="182">
        <f>SUBTOTAL(109,表3_3914[退款3FT])</f>
        <v>30</v>
      </c>
      <c r="AP63" s="182">
        <f>SUBTOTAL(109,表3_3914[退款6FT])</f>
        <v>102</v>
      </c>
      <c r="AQ63" s="177">
        <f>SUBTOTAL(109,表3_3914[退款
销售金额])</f>
        <v>3433.34146341463</v>
      </c>
      <c r="AR63" s="177">
        <f>SUBTOTAL(109,表3_3914[退款
产品成本])</f>
        <v>672.676056338029</v>
      </c>
      <c r="AS63" s="177">
        <f>SUBTOTAL(109,表3_3914[退款头程])</f>
        <v>39.84</v>
      </c>
      <c r="AT63" s="177">
        <f>SUBTOTAL(109,表3_3914[退款
入仓费])</f>
        <v>44.88</v>
      </c>
      <c r="AU63" s="177">
        <f>SUBTOTAL(109,表3_3914[退款
FBA物流])</f>
        <v>0</v>
      </c>
      <c r="AV63" s="177">
        <f>SUBTOTAL(109,表3_3914[退款佣金])</f>
        <v>515.001219512195</v>
      </c>
      <c r="AW63" s="177">
        <f>SUBTOTAL(109,表3_3914[退款
管理费用
佣金的20%])</f>
        <v>-103.000243902439</v>
      </c>
      <c r="AX63" s="177">
        <f>SUBTOTAL(109,表3_3914[退款
成本小结])</f>
        <v>1169.39703194778</v>
      </c>
      <c r="AY63" s="177">
        <f>SUBTOTAL(109,表3_3914[净成本])</f>
        <v>18690.2411229818</v>
      </c>
      <c r="AZ63" s="177">
        <f>SUBTOTAL(109,表3_3914[净销售额])</f>
        <v>37127.06</v>
      </c>
      <c r="BA63" s="177">
        <f>SUBTOTAL(109,表3_3914[净销售额
(-退款金额)])</f>
        <v>33693.7185365854</v>
      </c>
      <c r="BB63" s="177">
        <f>SUBTOTAL(109,表3_3914[毛利])</f>
        <v>2894.29741360357</v>
      </c>
      <c r="BC63" s="176">
        <f>SUBTOTAL(101,表3_3914[毛利率])</f>
        <v>0.0444311325449693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BE54"/>
  <sheetViews>
    <sheetView workbookViewId="0">
      <pane xSplit="12" ySplit="3" topLeftCell="M55" activePane="bottomRight" state="frozen"/>
      <selection/>
      <selection pane="topRight"/>
      <selection pane="bottomLeft"/>
      <selection pane="bottomRight" activeCell="A55" sqref="$A55:$XFD81"/>
    </sheetView>
  </sheetViews>
  <sheetFormatPr defaultColWidth="9" defaultRowHeight="13.5" customHeight="1" zeroHeight="1"/>
  <cols>
    <col min="1" max="1" width="10.3666666666667" customWidth="1"/>
    <col min="2" max="2" width="8.375" customWidth="1"/>
    <col min="3" max="3" width="5.36666666666667" customWidth="1"/>
    <col min="4" max="4" width="7.375" customWidth="1"/>
    <col min="5" max="5" width="9.36666666666667" customWidth="1"/>
    <col min="6" max="7" width="6.5" customWidth="1"/>
    <col min="8" max="8" width="8.375" customWidth="1"/>
    <col min="9" max="9" width="7.375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9.36666666666667" customWidth="1"/>
    <col min="22" max="22" width="8.09166666666667" customWidth="1"/>
    <col min="23" max="23" width="9.26666666666667" customWidth="1"/>
    <col min="24" max="24" width="7.36666666666667" customWidth="1"/>
    <col min="25" max="25" width="9.36666666666667" customWidth="1"/>
    <col min="26" max="26" width="13.0916666666667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7.375" customWidth="1"/>
    <col min="34" max="34" width="7.36666666666667" customWidth="1"/>
    <col min="35" max="35" width="10.3666666666667" customWidth="1"/>
    <col min="36" max="37" width="8.36666666666667" customWidth="1"/>
    <col min="38" max="40" width="11.45" customWidth="1"/>
    <col min="41" max="41" width="8.875" customWidth="1"/>
    <col min="42" max="42" width="8.45" customWidth="1"/>
    <col min="43" max="43" width="10.3666666666667" customWidth="1"/>
    <col min="44" max="44" width="9.26666666666667" customWidth="1"/>
    <col min="45" max="45" width="8.63333333333333" customWidth="1"/>
    <col min="46" max="46" width="8.09166666666667" customWidth="1"/>
    <col min="47" max="47" width="8" customWidth="1"/>
    <col min="48" max="50" width="9.36666666666667" customWidth="1"/>
    <col min="51" max="52" width="10.3666666666667" customWidth="1"/>
    <col min="53" max="53" width="12" customWidth="1"/>
    <col min="54" max="54" width="10.3666666666667" customWidth="1"/>
    <col min="55" max="55" width="9.26666666666667" customWidth="1"/>
    <col min="56" max="56" width="33.9083333333333" customWidth="1"/>
  </cols>
  <sheetData>
    <row r="1" ht="29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3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353</v>
      </c>
      <c r="AH3" s="184" t="s">
        <v>354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355</v>
      </c>
      <c r="AP3" s="186" t="s">
        <v>356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343</v>
      </c>
    </row>
    <row r="4" ht="29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30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30" si="16">SUM(AR4:AW4)</f>
        <v>0</v>
      </c>
      <c r="AY4" s="169">
        <f t="shared" ref="AY4:AY30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357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358</v>
      </c>
      <c r="BE7" t="s">
        <v>91</v>
      </c>
    </row>
    <row r="8" ht="29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359</v>
      </c>
      <c r="BE8" t="s">
        <v>94</v>
      </c>
    </row>
    <row r="9" ht="29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360</v>
      </c>
      <c r="BE9" t="s">
        <v>94</v>
      </c>
    </row>
    <row r="10" ht="29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0.459393452096786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-0.195357150381696</v>
      </c>
      <c r="BD10" t="s">
        <v>361</v>
      </c>
      <c r="BE10" t="s">
        <v>362</v>
      </c>
    </row>
    <row r="11" ht="29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-0.291695935429665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363</v>
      </c>
    </row>
    <row r="12" ht="29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364</v>
      </c>
    </row>
    <row r="13" ht="29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30" si="25">(C13-C12)/C12</f>
        <v>5</v>
      </c>
      <c r="N13" s="150">
        <f t="shared" ref="N13:N30" si="26">(D13-D12)/D12</f>
        <v>5</v>
      </c>
      <c r="O13" s="150">
        <f t="shared" ref="O13:O30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30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30" si="29">BA13-AY13-Z13</f>
        <v>-200.7594</v>
      </c>
      <c r="BC13" s="170">
        <f t="shared" ref="BC13:BC30" si="30">BB13/BA13</f>
        <v>-0.250614053703172</v>
      </c>
    </row>
    <row r="14" ht="29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customFormat="1" ht="29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customFormat="1" ht="29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customFormat="1" ht="29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customFormat="1" ht="29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customFormat="1" ht="29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customFormat="1" ht="29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customFormat="1" ht="29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customFormat="1" ht="29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customFormat="1" ht="29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customFormat="1" ht="29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customFormat="1" ht="29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customFormat="1" ht="29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customFormat="1" ht="29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customFormat="1" ht="29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customFormat="1" ht="29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customFormat="1" ht="29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customFormat="1" ht="29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customFormat="1" ht="29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customFormat="1" ht="29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365</v>
      </c>
    </row>
    <row r="34" customFormat="1" ht="29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customFormat="1" ht="29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366</v>
      </c>
    </row>
    <row r="36" customFormat="1" ht="29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4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4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4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customFormat="1" ht="29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customFormat="1" ht="29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277</v>
      </c>
    </row>
    <row r="39" customFormat="1" ht="29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customFormat="1" ht="29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278</v>
      </c>
    </row>
    <row r="41" customFormat="1" ht="29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customFormat="1" ht="29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customFormat="1" ht="29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customFormat="1" ht="29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customFormat="1" ht="29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customFormat="1" ht="29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customFormat="1" ht="29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customFormat="1" ht="29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customFormat="1" ht="29" customHeight="1" spans="1:56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customFormat="1" ht="29" customHeight="1" spans="1:56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customFormat="1" ht="29" customHeight="1" spans="1:56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customFormat="1" ht="29" customHeight="1" spans="1:56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367</v>
      </c>
    </row>
    <row r="53" customFormat="1" ht="29" customHeight="1" spans="1:56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</row>
    <row r="54" ht="29" customHeight="1" spans="1:56">
      <c r="A54" s="174" t="s">
        <v>257</v>
      </c>
      <c r="B54" s="175"/>
      <c r="C54" s="175">
        <f>SUBTOTAL(109,表3_391410[销量])</f>
        <v>1084</v>
      </c>
      <c r="D54" s="175">
        <f>SUBTOTAL(109,表3_391410[订单量])</f>
        <v>1068</v>
      </c>
      <c r="E54" s="175">
        <f>SUBTOTAL(109,表3_391410[销售额])</f>
        <v>24993.024</v>
      </c>
      <c r="F54" s="175">
        <f>SUBTOTAL(109,表3_391410[促销销量])</f>
        <v>188</v>
      </c>
      <c r="G54" s="175">
        <f>SUBTOTAL(109,表3_391410[促销订单量])</f>
        <v>276.65</v>
      </c>
      <c r="H54" s="175">
        <f>SUBTOTAL(109,表3_391410[促销销售额])</f>
        <v>4103.06</v>
      </c>
      <c r="I54" s="175">
        <f>SUBTOTAL(109,表3_391410[促销折扣])</f>
        <v>494.95</v>
      </c>
      <c r="J54" s="175">
        <f>SUBTOTAL(109,表3_391410[退款量])</f>
        <v>156</v>
      </c>
      <c r="K54" s="176">
        <f t="shared" si="40"/>
        <v>0.143911439114391</v>
      </c>
      <c r="L54" s="177">
        <f>SUBTOTAL(109,表3_391410[退款金额])</f>
        <v>3091.97</v>
      </c>
      <c r="M54" s="175"/>
      <c r="N54" s="175"/>
      <c r="O54" s="175"/>
      <c r="P54" s="178">
        <f>SUBTOTAL(101,表3_391410[客单
销量])</f>
        <v>1.01237000485977</v>
      </c>
      <c r="Q54" s="178">
        <f>SUBTOTAL(101,表3_391410[客单
价格($)])</f>
        <v>23.5635679712954</v>
      </c>
      <c r="R54" s="178">
        <f>SUBTOTAL(101,表3_391410[销售
均价($)])</f>
        <v>23.2700560731384</v>
      </c>
      <c r="S54" s="178">
        <f>SUBTOTAL(101,表3_391410[日均
销量])</f>
        <v>3.09714285714286</v>
      </c>
      <c r="T54" s="179">
        <f>SUBTOTAL(109,表3_391410[自然
订单])</f>
        <v>295</v>
      </c>
      <c r="U54" s="180">
        <f t="shared" si="44"/>
        <v>0.276217228464419</v>
      </c>
      <c r="V54" s="176">
        <f>SUBTOTAL(101,表3_391410[TAcos
(%)])</f>
        <v>0.49994320900311</v>
      </c>
      <c r="W54" s="175">
        <f>SUBTOTAL(109,表3_391410[展示])</f>
        <v>855429</v>
      </c>
      <c r="X54" s="175">
        <f>SUBTOTAL(109,表3_391410[点击])</f>
        <v>14821</v>
      </c>
      <c r="Y54" s="175">
        <f>SUBTOTAL(109,表3_391410[广告订单量])</f>
        <v>773</v>
      </c>
      <c r="Z54" s="175">
        <f>SUBTOTAL(109,表3_391410[广告花费])</f>
        <v>11806.08</v>
      </c>
      <c r="AA54" s="175">
        <f>SUBTOTAL(109,表3_391410[广告销售额])</f>
        <v>17899.1</v>
      </c>
      <c r="AB54" s="175">
        <f>SUBTOTAL(101,表3_391410[CPC])</f>
        <v>0.7772</v>
      </c>
      <c r="AC54" s="176">
        <f t="shared" si="46"/>
        <v>0.659590705677939</v>
      </c>
      <c r="AD54" s="176">
        <f t="shared" ref="AD54:AF54" si="56">X54/W54</f>
        <v>0.0173258096230079</v>
      </c>
      <c r="AE54" s="176">
        <f t="shared" si="56"/>
        <v>0.0521557249848188</v>
      </c>
      <c r="AF54" s="178">
        <f t="shared" si="56"/>
        <v>15.2730659767141</v>
      </c>
      <c r="AG54" s="175">
        <f>SUBTOTAL(109,表3_391410[AL])</f>
        <v>924</v>
      </c>
      <c r="AH54" s="175">
        <f>SUBTOTAL(109,表3_391410[ZN])</f>
        <v>161</v>
      </c>
      <c r="AI54" s="177">
        <f>SUBTOTAL(109,表3_391410[产品成本])</f>
        <v>5618.7558</v>
      </c>
      <c r="AJ54" s="177">
        <f>SUBTOTAL(109,表3_391410[头程])</f>
        <v>354.361098591549</v>
      </c>
      <c r="AK54" s="177">
        <f>SUBTOTAL(109,表3_391410[入仓费])</f>
        <v>368.9</v>
      </c>
      <c r="AL54" s="177">
        <f>SUBTOTAL(109,表3_391410[FBA物流])</f>
        <v>4231.5</v>
      </c>
      <c r="AM54" s="177">
        <f>SUBTOTAL(109,表3_391410[佣金])</f>
        <v>3674.7111</v>
      </c>
      <c r="AN54" s="177">
        <f>SUBTOTAL(109,表3_391410[成本小结])</f>
        <v>14248.2279985916</v>
      </c>
      <c r="AO54" s="182">
        <f>SUBTOTAL(109,表3_391410[退款AL])</f>
        <v>135</v>
      </c>
      <c r="AP54" s="182">
        <f>SUBTOTAL(109,表3_391410[退款ZN])</f>
        <v>20</v>
      </c>
      <c r="AQ54" s="177">
        <f>SUBTOTAL(109,表3_391410[退款
销售金额])</f>
        <v>811.806</v>
      </c>
      <c r="AR54" s="177">
        <f>SUBTOTAL(109,表3_391410[退款
产品成本])</f>
        <v>50.4895774647887</v>
      </c>
      <c r="AS54" s="177">
        <f>SUBTOTAL(109,表3_391410[退款头程])</f>
        <v>52.7</v>
      </c>
      <c r="AT54" s="177">
        <f>SUBTOTAL(109,表3_391410[退款
入仓费])</f>
        <v>604.5</v>
      </c>
      <c r="AU54" s="177">
        <f>SUBTOTAL(109,表3_391410[退款
FBA物流])</f>
        <v>0</v>
      </c>
      <c r="AV54" s="177">
        <f>SUBTOTAL(109,表3_391410[退款佣金])</f>
        <v>121.7709</v>
      </c>
      <c r="AW54" s="177">
        <f>SUBTOTAL(109,表3_391410[退款
管理费用
佣金的20%])</f>
        <v>-24.35418</v>
      </c>
      <c r="AX54" s="177">
        <f>SUBTOTAL(109,表3_391410[退款
成本小结])</f>
        <v>805.106297464789</v>
      </c>
      <c r="AY54" s="177">
        <f>SUBTOTAL(109,表3_391410[净成本])</f>
        <v>13443.1217011268</v>
      </c>
      <c r="AZ54" s="177">
        <f>SUBTOTAL(110,表3_391410[净销售额])</f>
        <v>54026.0190793159</v>
      </c>
      <c r="BA54" s="177">
        <f>SUBTOTAL(109,表3_391410[净销售额
(-退款金额)])</f>
        <v>23686.268</v>
      </c>
      <c r="BB54" s="177">
        <f>SUBTOTAL(109,表3_391410[毛利])</f>
        <v>-1562.93370112676</v>
      </c>
      <c r="BC54" s="176">
        <f>SUBTOTAL(101,表3_391410[毛利率])</f>
        <v>-0.0853403924958456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BG41"/>
  <sheetViews>
    <sheetView workbookViewId="0">
      <pane xSplit="12" ySplit="3" topLeftCell="AX27" activePane="bottomRight" state="frozen"/>
      <selection/>
      <selection pane="topRight"/>
      <selection pane="bottomLeft"/>
      <selection pane="bottomRight" activeCell="I38" sqref="I38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6666666666667" customWidth="1"/>
    <col min="4" max="4" width="7.375" customWidth="1"/>
    <col min="5" max="5" width="9.36666666666667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6666666666667" customWidth="1"/>
    <col min="12" max="12" width="9.36666666666667" style="105" customWidth="1"/>
    <col min="13" max="14" width="9.36666666666667" customWidth="1"/>
    <col min="15" max="15" width="11.45" customWidth="1"/>
    <col min="16" max="16" width="7" customWidth="1"/>
    <col min="17" max="19" width="8.09166666666667" customWidth="1"/>
    <col min="20" max="20" width="5.90833333333333" customWidth="1"/>
    <col min="21" max="21" width="9.36666666666667" customWidth="1"/>
    <col min="22" max="22" width="9.5" customWidth="1"/>
    <col min="23" max="23" width="9.26666666666667" customWidth="1"/>
    <col min="24" max="24" width="7.36666666666667" customWidth="1"/>
    <col min="25" max="25" width="9.36666666666667" customWidth="1"/>
    <col min="26" max="26" width="13.125" customWidth="1"/>
    <col min="27" max="27" width="15.2666666666667" customWidth="1"/>
    <col min="28" max="28" width="8.09166666666667" customWidth="1"/>
    <col min="29" max="29" width="9.26666666666667" customWidth="1"/>
    <col min="30" max="32" width="8.09166666666667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666666666667" customWidth="1"/>
    <col min="46" max="46" width="9.26666666666667" customWidth="1"/>
    <col min="47" max="47" width="8.63333333333333" customWidth="1"/>
    <col min="48" max="48" width="8.09166666666667" customWidth="1"/>
    <col min="49" max="49" width="9.375" customWidth="1"/>
    <col min="50" max="52" width="9.36666666666667" customWidth="1"/>
    <col min="53" max="53" width="10.3666666666667" customWidth="1"/>
    <col min="54" max="54" width="12.875" customWidth="1"/>
    <col min="55" max="55" width="12" customWidth="1"/>
    <col min="56" max="56" width="10.3666666666667" customWidth="1"/>
    <col min="57" max="57" width="9.26666666666667" customWidth="1"/>
    <col min="58" max="58" width="33.9083333333333" customWidth="1"/>
  </cols>
  <sheetData>
    <row r="1" ht="29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3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368</v>
      </c>
      <c r="AH3" s="137" t="s">
        <v>369</v>
      </c>
      <c r="AI3" s="138" t="s">
        <v>370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371</v>
      </c>
      <c r="AQ3" s="142" t="s">
        <v>372</v>
      </c>
      <c r="AR3" s="143" t="s">
        <v>373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343</v>
      </c>
    </row>
    <row r="4" customFormat="1" ht="29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374</v>
      </c>
    </row>
    <row r="5" customFormat="1" ht="29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>(C5-C4)/C4</f>
        <v>-0.625</v>
      </c>
      <c r="N5" s="150">
        <f>(D5-D4)/D4</f>
        <v>-0.625</v>
      </c>
      <c r="O5" s="150">
        <f>(E5-E4)/E4</f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375</v>
      </c>
    </row>
    <row r="6" customFormat="1" ht="29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>(C6-C5)/C5</f>
        <v>3.16666666666667</v>
      </c>
      <c r="N6" s="150">
        <f>(D6-D5)/D5</f>
        <v>3.16666666666667</v>
      </c>
      <c r="O6" s="150">
        <f>(E6-E5)/E5</f>
        <v>3.26687171257912</v>
      </c>
      <c r="P6" s="153">
        <f t="shared" ref="P6:P17" si="8">C6/D6</f>
        <v>1</v>
      </c>
      <c r="Q6" s="154">
        <f t="shared" ref="Q6:Q17" si="9">E6/D6</f>
        <v>38.2892</v>
      </c>
      <c r="R6" s="155">
        <f t="shared" ref="R6:R17" si="10">E6/C6</f>
        <v>38.2892</v>
      </c>
      <c r="S6" s="155">
        <f t="shared" ref="S6:S17" si="11">C6/7</f>
        <v>3.57142857142857</v>
      </c>
      <c r="T6" s="156">
        <f t="shared" ref="T6:T17" si="12">D6-Y6</f>
        <v>15</v>
      </c>
      <c r="U6" s="157">
        <f t="shared" ref="U6:U18" si="13">T6/D6</f>
        <v>0.6</v>
      </c>
      <c r="V6" s="95">
        <f t="shared" ref="V6:V17" si="14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438.058457746479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438.058457746479</v>
      </c>
      <c r="BB6" s="169">
        <f>E6-I6</f>
        <v>269.97</v>
      </c>
      <c r="BC6" s="168">
        <f t="shared" si="6"/>
        <v>269.97</v>
      </c>
      <c r="BD6" s="168">
        <f t="shared" si="7"/>
        <v>-502.568457746479</v>
      </c>
      <c r="BE6" s="170">
        <f>BD6/BC6</f>
        <v>-1.86157149959802</v>
      </c>
      <c r="BF6" s="171" t="s">
        <v>376</v>
      </c>
    </row>
    <row r="7" customFormat="1" ht="29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8" si="15">J7/C7</f>
        <v>0</v>
      </c>
      <c r="L7" s="151">
        <v>0</v>
      </c>
      <c r="M7" s="152">
        <f t="shared" ref="M6:M17" si="16">(C7-C6)/C6</f>
        <v>-0.64</v>
      </c>
      <c r="N7" s="150">
        <f t="shared" ref="N6:N17" si="17">(D7-D6)/D6</f>
        <v>-0.64</v>
      </c>
      <c r="O7" s="150">
        <f t="shared" ref="O6:O17" si="18">(E7-E6)/E6</f>
        <v>-0.679272484146966</v>
      </c>
      <c r="P7" s="153">
        <f t="shared" si="8"/>
        <v>1</v>
      </c>
      <c r="Q7" s="154">
        <f t="shared" si="9"/>
        <v>34.1122222222222</v>
      </c>
      <c r="R7" s="155">
        <f t="shared" si="10"/>
        <v>34.1122222222222</v>
      </c>
      <c r="S7" s="155">
        <f t="shared" si="11"/>
        <v>1.28571428571429</v>
      </c>
      <c r="T7" s="156">
        <f t="shared" si="12"/>
        <v>0</v>
      </c>
      <c r="U7" s="157">
        <f t="shared" si="13"/>
        <v>0</v>
      </c>
      <c r="V7" s="95">
        <f t="shared" si="14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8" si="19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7" si="20">AS7*0.15</f>
        <v>0</v>
      </c>
      <c r="AY7" s="163">
        <f t="shared" ref="AY7:AY17" si="21">-AX7*0.2</f>
        <v>0</v>
      </c>
      <c r="AZ7" s="164">
        <f t="shared" ref="AZ7:AZ17" si="22">SUM(AT7:AY7)</f>
        <v>0</v>
      </c>
      <c r="BA7" s="168">
        <f t="shared" ref="BA7:BA17" si="23">AO7-AZ7</f>
        <v>161.477669014084</v>
      </c>
      <c r="BB7" s="169">
        <f t="shared" ref="BB7:BB17" si="24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7" si="25">BD7/BC7</f>
        <v>-0.644889967799369</v>
      </c>
      <c r="BF7" s="171"/>
    </row>
    <row r="8" customFormat="1" ht="29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5"/>
        <v>0.25</v>
      </c>
      <c r="L8" s="151">
        <v>26.66</v>
      </c>
      <c r="M8" s="152">
        <f t="shared" si="16"/>
        <v>-0.111111111111111</v>
      </c>
      <c r="N8" s="150">
        <f t="shared" si="17"/>
        <v>-0.111111111111111</v>
      </c>
      <c r="O8" s="150">
        <f t="shared" si="18"/>
        <v>-0.305169212729227</v>
      </c>
      <c r="P8" s="153">
        <f t="shared" si="8"/>
        <v>1</v>
      </c>
      <c r="Q8" s="154">
        <f t="shared" si="9"/>
        <v>26.665</v>
      </c>
      <c r="R8" s="155">
        <f t="shared" si="10"/>
        <v>26.665</v>
      </c>
      <c r="S8" s="155">
        <f t="shared" si="11"/>
        <v>1.14285714285714</v>
      </c>
      <c r="T8" s="156">
        <f t="shared" si="12"/>
        <v>-1</v>
      </c>
      <c r="U8" s="157">
        <f t="shared" si="13"/>
        <v>-0.125</v>
      </c>
      <c r="V8" s="95">
        <f t="shared" si="14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19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0"/>
        <v>4.87682926829268</v>
      </c>
      <c r="AY8" s="163">
        <f t="shared" si="21"/>
        <v>-0.975365853658537</v>
      </c>
      <c r="AZ8" s="164">
        <f t="shared" si="22"/>
        <v>24.9331817244933</v>
      </c>
      <c r="BA8" s="168">
        <f t="shared" si="23"/>
        <v>100.977409824802</v>
      </c>
      <c r="BB8" s="169">
        <f t="shared" si="24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5"/>
        <v>-1.86481698505093</v>
      </c>
      <c r="BF8" s="171"/>
    </row>
    <row r="9" customFormat="1" ht="29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5"/>
        <v>0.125</v>
      </c>
      <c r="L9" s="151">
        <v>37.05</v>
      </c>
      <c r="M9" s="152">
        <f t="shared" si="16"/>
        <v>1</v>
      </c>
      <c r="N9" s="150">
        <f t="shared" si="17"/>
        <v>0.75</v>
      </c>
      <c r="O9" s="150">
        <f t="shared" si="18"/>
        <v>1.71113819613726</v>
      </c>
      <c r="P9" s="153">
        <f t="shared" si="8"/>
        <v>1.14285714285714</v>
      </c>
      <c r="Q9" s="154">
        <f t="shared" si="9"/>
        <v>41.31</v>
      </c>
      <c r="R9" s="155">
        <f t="shared" si="10"/>
        <v>36.14625</v>
      </c>
      <c r="S9" s="155">
        <f t="shared" si="11"/>
        <v>2.28571428571429</v>
      </c>
      <c r="T9" s="156">
        <f t="shared" si="12"/>
        <v>3</v>
      </c>
      <c r="U9" s="157">
        <f t="shared" si="13"/>
        <v>0.214285714285714</v>
      </c>
      <c r="V9" s="95">
        <f t="shared" si="14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19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0"/>
        <v>6.77743902439024</v>
      </c>
      <c r="AY9" s="163">
        <f t="shared" si="21"/>
        <v>-1.35548780487805</v>
      </c>
      <c r="AZ9" s="164">
        <f t="shared" si="22"/>
        <v>26.4536695293713</v>
      </c>
      <c r="BA9" s="168">
        <f t="shared" si="23"/>
        <v>304.473105118516</v>
      </c>
      <c r="BB9" s="169">
        <f t="shared" si="24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5"/>
        <v>-0.249168657104625</v>
      </c>
      <c r="BF9" s="171"/>
    </row>
    <row r="10" customFormat="1" ht="29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5"/>
        <v>0.0263157894736842</v>
      </c>
      <c r="L10" s="151">
        <v>17.51</v>
      </c>
      <c r="M10" s="152">
        <f t="shared" si="16"/>
        <v>1.375</v>
      </c>
      <c r="N10" s="150">
        <f t="shared" si="17"/>
        <v>1.57142857142857</v>
      </c>
      <c r="O10" s="150">
        <f t="shared" si="18"/>
        <v>0.596811564131825</v>
      </c>
      <c r="P10" s="153">
        <f t="shared" si="8"/>
        <v>1.05555555555556</v>
      </c>
      <c r="Q10" s="154">
        <f t="shared" si="9"/>
        <v>25.6527777777778</v>
      </c>
      <c r="R10" s="155">
        <f t="shared" si="10"/>
        <v>24.3026315789474</v>
      </c>
      <c r="S10" s="155">
        <f t="shared" si="11"/>
        <v>5.42857142857143</v>
      </c>
      <c r="T10" s="156">
        <f t="shared" si="12"/>
        <v>2</v>
      </c>
      <c r="U10" s="157">
        <f t="shared" si="13"/>
        <v>0.0555555555555556</v>
      </c>
      <c r="V10" s="95">
        <f t="shared" si="14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19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0"/>
        <v>3.2030487804878</v>
      </c>
      <c r="AY10" s="163">
        <f t="shared" si="21"/>
        <v>-0.640609756097561</v>
      </c>
      <c r="AZ10" s="164">
        <f t="shared" si="22"/>
        <v>13.0782981793198</v>
      </c>
      <c r="BA10" s="168">
        <f t="shared" si="23"/>
        <v>588.989659567159</v>
      </c>
      <c r="BB10" s="169">
        <f t="shared" si="24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5"/>
        <v>-0.321182168331716</v>
      </c>
      <c r="BF10" s="171"/>
    </row>
    <row r="11" customFormat="1" ht="29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5"/>
        <v>0.0303030303030303</v>
      </c>
      <c r="L11" s="151">
        <v>17.94</v>
      </c>
      <c r="M11" s="152">
        <f t="shared" si="16"/>
        <v>-0.131578947368421</v>
      </c>
      <c r="N11" s="150">
        <f t="shared" si="17"/>
        <v>-0.0833333333333333</v>
      </c>
      <c r="O11" s="150">
        <f t="shared" si="18"/>
        <v>-0.170102869518138</v>
      </c>
      <c r="P11" s="153">
        <f t="shared" si="8"/>
        <v>1</v>
      </c>
      <c r="Q11" s="154">
        <f t="shared" si="9"/>
        <v>23.2245454545455</v>
      </c>
      <c r="R11" s="155">
        <f t="shared" si="10"/>
        <v>23.2245454545455</v>
      </c>
      <c r="S11" s="155">
        <f t="shared" si="11"/>
        <v>4.71428571428571</v>
      </c>
      <c r="T11" s="156">
        <f t="shared" si="12"/>
        <v>4</v>
      </c>
      <c r="U11" s="157">
        <f t="shared" si="13"/>
        <v>0.121212121212121</v>
      </c>
      <c r="V11" s="95">
        <f t="shared" si="14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19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0"/>
        <v>3.28170731707317</v>
      </c>
      <c r="AY11" s="163">
        <f t="shared" si="21"/>
        <v>-0.656341463414634</v>
      </c>
      <c r="AZ11" s="164">
        <f t="shared" si="22"/>
        <v>13.1412250085881</v>
      </c>
      <c r="BA11" s="168">
        <f t="shared" si="23"/>
        <v>350.50433132944</v>
      </c>
      <c r="BB11" s="169">
        <f t="shared" si="24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5"/>
        <v>-0.433685054860364</v>
      </c>
      <c r="BF11" s="171" t="s">
        <v>377</v>
      </c>
    </row>
    <row r="12" customFormat="1" ht="29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5"/>
        <v>0</v>
      </c>
      <c r="L12" s="151">
        <v>0</v>
      </c>
      <c r="M12" s="152">
        <f t="shared" si="16"/>
        <v>-0.666666666666667</v>
      </c>
      <c r="N12" s="150">
        <f t="shared" si="17"/>
        <v>-0.666666666666667</v>
      </c>
      <c r="O12" s="150">
        <f t="shared" si="18"/>
        <v>-0.630732897535262</v>
      </c>
      <c r="P12" s="153">
        <f t="shared" si="8"/>
        <v>1</v>
      </c>
      <c r="Q12" s="154">
        <f t="shared" si="9"/>
        <v>25.7281818181818</v>
      </c>
      <c r="R12" s="155">
        <f t="shared" si="10"/>
        <v>25.7281818181818</v>
      </c>
      <c r="S12" s="155">
        <f t="shared" si="11"/>
        <v>1.57142857142857</v>
      </c>
      <c r="T12" s="156">
        <f t="shared" si="12"/>
        <v>2</v>
      </c>
      <c r="U12" s="157">
        <f t="shared" si="13"/>
        <v>0.181818181818182</v>
      </c>
      <c r="V12" s="95">
        <f t="shared" si="14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19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0"/>
        <v>0</v>
      </c>
      <c r="AY12" s="163">
        <f t="shared" si="21"/>
        <v>0</v>
      </c>
      <c r="AZ12" s="164">
        <f t="shared" si="22"/>
        <v>0</v>
      </c>
      <c r="BA12" s="168">
        <f t="shared" si="23"/>
        <v>201.282823943662</v>
      </c>
      <c r="BB12" s="169">
        <f t="shared" si="24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5"/>
        <v>-0.566350390246499</v>
      </c>
      <c r="BF12" s="171" t="s">
        <v>378</v>
      </c>
    </row>
    <row r="13" customFormat="1" ht="29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5"/>
        <v>0</v>
      </c>
      <c r="L13" s="151">
        <v>0</v>
      </c>
      <c r="M13" s="152">
        <f t="shared" si="16"/>
        <v>5</v>
      </c>
      <c r="N13" s="150">
        <f t="shared" si="17"/>
        <v>4.72727272727273</v>
      </c>
      <c r="O13" s="150">
        <f t="shared" si="18"/>
        <v>4.81491820077029</v>
      </c>
      <c r="P13" s="153">
        <f t="shared" si="8"/>
        <v>1.04761904761905</v>
      </c>
      <c r="Q13" s="154">
        <f t="shared" si="9"/>
        <v>26.1219047619048</v>
      </c>
      <c r="R13" s="155">
        <f t="shared" si="10"/>
        <v>24.9345454545455</v>
      </c>
      <c r="S13" s="155">
        <f t="shared" si="11"/>
        <v>9.42857142857143</v>
      </c>
      <c r="T13" s="156">
        <f t="shared" si="12"/>
        <v>27</v>
      </c>
      <c r="U13" s="157">
        <f t="shared" si="13"/>
        <v>0.428571428571429</v>
      </c>
      <c r="V13" s="95">
        <f t="shared" si="14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19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0"/>
        <v>0</v>
      </c>
      <c r="AY13" s="163">
        <f t="shared" si="21"/>
        <v>0</v>
      </c>
      <c r="AZ13" s="164">
        <f t="shared" si="22"/>
        <v>0</v>
      </c>
      <c r="BA13" s="168">
        <f t="shared" si="23"/>
        <v>1112.4661971831</v>
      </c>
      <c r="BB13" s="169">
        <f t="shared" si="24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5"/>
        <v>-0.116119900091815</v>
      </c>
      <c r="BF13" s="171" t="s">
        <v>379</v>
      </c>
    </row>
    <row r="14" customFormat="1" ht="29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5"/>
        <v>0.0357142857142857</v>
      </c>
      <c r="L14" s="151">
        <v>15.75</v>
      </c>
      <c r="M14" s="152">
        <f t="shared" si="16"/>
        <v>-0.575757575757576</v>
      </c>
      <c r="N14" s="150">
        <f t="shared" si="17"/>
        <v>-0.587301587301587</v>
      </c>
      <c r="O14" s="150">
        <f t="shared" si="18"/>
        <v>-0.561804238977201</v>
      </c>
      <c r="P14" s="153">
        <f t="shared" si="8"/>
        <v>1.07692307692308</v>
      </c>
      <c r="Q14" s="154">
        <f t="shared" si="9"/>
        <v>27.7357692307692</v>
      </c>
      <c r="R14" s="155">
        <f t="shared" si="10"/>
        <v>25.7546428571429</v>
      </c>
      <c r="S14" s="155">
        <f t="shared" si="11"/>
        <v>4</v>
      </c>
      <c r="T14" s="156">
        <f t="shared" si="12"/>
        <v>6</v>
      </c>
      <c r="U14" s="157">
        <f t="shared" si="13"/>
        <v>0.230769230769231</v>
      </c>
      <c r="V14" s="95">
        <f t="shared" si="14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19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0"/>
        <v>2.88109756097561</v>
      </c>
      <c r="AY14" s="163">
        <f t="shared" si="21"/>
        <v>-0.576219512195122</v>
      </c>
      <c r="AZ14" s="164">
        <f t="shared" si="22"/>
        <v>12.8207372037101</v>
      </c>
      <c r="BA14" s="168">
        <f t="shared" si="23"/>
        <v>464.666347303332</v>
      </c>
      <c r="BB14" s="169">
        <f t="shared" si="24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5"/>
        <v>-0.35016868591015</v>
      </c>
      <c r="BF14" s="171" t="s">
        <v>380</v>
      </c>
    </row>
    <row r="15" customFormat="1" ht="29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5"/>
        <v>0.05</v>
      </c>
      <c r="L15" s="151">
        <v>17.51</v>
      </c>
      <c r="M15" s="152">
        <f t="shared" si="16"/>
        <v>-0.285714285714286</v>
      </c>
      <c r="N15" s="150">
        <f t="shared" si="17"/>
        <v>-0.230769230769231</v>
      </c>
      <c r="O15" s="150">
        <f t="shared" si="18"/>
        <v>-0.360032171730479</v>
      </c>
      <c r="P15" s="153">
        <f t="shared" si="8"/>
        <v>1</v>
      </c>
      <c r="Q15" s="154">
        <f t="shared" si="9"/>
        <v>23.075</v>
      </c>
      <c r="R15" s="155">
        <f t="shared" si="10"/>
        <v>23.075</v>
      </c>
      <c r="S15" s="155">
        <f t="shared" si="11"/>
        <v>2.85714285714286</v>
      </c>
      <c r="T15" s="156">
        <f t="shared" si="12"/>
        <v>8</v>
      </c>
      <c r="U15" s="157">
        <f t="shared" si="13"/>
        <v>0.4</v>
      </c>
      <c r="V15" s="95">
        <f t="shared" si="14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19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0"/>
        <v>3.2030487804878</v>
      </c>
      <c r="AY15" s="163">
        <f t="shared" si="21"/>
        <v>-0.640609756097561</v>
      </c>
      <c r="AZ15" s="164">
        <f t="shared" si="22"/>
        <v>18.2741573342494</v>
      </c>
      <c r="BA15" s="168">
        <f t="shared" si="23"/>
        <v>281.83146238406</v>
      </c>
      <c r="BB15" s="169">
        <f t="shared" si="24"/>
        <v>456.5</v>
      </c>
      <c r="BC15" s="168">
        <f t="shared" si="6"/>
        <v>435.146341463415</v>
      </c>
      <c r="BD15" s="168">
        <f t="shared" si="7"/>
        <v>-99.9251209206457</v>
      </c>
      <c r="BE15" s="170">
        <f t="shared" si="25"/>
        <v>-0.229635668277926</v>
      </c>
    </row>
    <row r="16" customFormat="1" ht="29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5"/>
        <v>3</v>
      </c>
      <c r="L16" s="151">
        <v>78.57</v>
      </c>
      <c r="M16" s="152">
        <f t="shared" si="16"/>
        <v>-0.95</v>
      </c>
      <c r="N16" s="150">
        <f t="shared" si="17"/>
        <v>-0.95</v>
      </c>
      <c r="O16" s="150">
        <f t="shared" si="18"/>
        <v>-0.920498374864572</v>
      </c>
      <c r="P16" s="153">
        <f t="shared" si="8"/>
        <v>1</v>
      </c>
      <c r="Q16" s="154">
        <f t="shared" si="9"/>
        <v>36.69</v>
      </c>
      <c r="R16" s="155">
        <f t="shared" si="10"/>
        <v>36.69</v>
      </c>
      <c r="S16" s="155">
        <f t="shared" si="11"/>
        <v>0.142857142857143</v>
      </c>
      <c r="T16" s="156">
        <f t="shared" si="12"/>
        <v>-22</v>
      </c>
      <c r="U16" s="157">
        <f t="shared" si="13"/>
        <v>-22</v>
      </c>
      <c r="V16" s="95">
        <f t="shared" si="14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19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0"/>
        <v>14.3725609756098</v>
      </c>
      <c r="AY16" s="163">
        <f t="shared" si="21"/>
        <v>-2.87451219512195</v>
      </c>
      <c r="AZ16" s="164">
        <f t="shared" si="22"/>
        <v>53.4373445551357</v>
      </c>
      <c r="BA16" s="168">
        <f t="shared" si="23"/>
        <v>-32.2221262452766</v>
      </c>
      <c r="BB16" s="169">
        <f t="shared" si="24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5"/>
        <v>6.92804370246128</v>
      </c>
      <c r="BF16" t="s">
        <v>381</v>
      </c>
    </row>
    <row r="17" customFormat="1" ht="29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1" si="26">J17/C17</f>
        <v>#DIV/0!</v>
      </c>
      <c r="L17" s="151">
        <v>35.02</v>
      </c>
      <c r="M17" s="152">
        <f t="shared" ref="M17:M40" si="27">(C17-C16)/C16</f>
        <v>-1</v>
      </c>
      <c r="N17" s="150">
        <f t="shared" ref="N17:N40" si="28">(D17-D16)/D16</f>
        <v>-1</v>
      </c>
      <c r="O17" s="150">
        <f t="shared" ref="O17:O40" si="29">(E17-E16)/E16</f>
        <v>-1</v>
      </c>
      <c r="P17" s="153" t="e">
        <f t="shared" ref="P17:P40" si="30">C17/D17</f>
        <v>#DIV/0!</v>
      </c>
      <c r="Q17" s="154" t="e">
        <f t="shared" ref="Q17:Q40" si="31">E17/D17</f>
        <v>#DIV/0!</v>
      </c>
      <c r="R17" s="155" t="e">
        <f t="shared" ref="R17:R40" si="32">E17/C17</f>
        <v>#DIV/0!</v>
      </c>
      <c r="S17" s="155">
        <f t="shared" ref="S17:S40" si="33">C17/7</f>
        <v>0</v>
      </c>
      <c r="T17" s="156">
        <f t="shared" ref="T17:T40" si="34">D17-Y17</f>
        <v>-19</v>
      </c>
      <c r="U17" s="157" t="e">
        <f t="shared" ref="U17:U41" si="35">T17/D17</f>
        <v>#DIV/0!</v>
      </c>
      <c r="V17" s="95" t="e">
        <f t="shared" ref="V17:V40" si="36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1" si="37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8">AS17*0.15</f>
        <v>6.40609756097561</v>
      </c>
      <c r="AY17" s="163">
        <f t="shared" ref="AY17:AY40" si="39">-AX17*0.2</f>
        <v>-1.28121951219512</v>
      </c>
      <c r="AZ17" s="164">
        <f t="shared" ref="AZ17:AZ40" si="40">SUM(AT17:AY17)</f>
        <v>26.1565963586396</v>
      </c>
      <c r="BA17" s="168">
        <f t="shared" ref="BA17:BA40" si="41">AO17-AZ17</f>
        <v>-26.1565963586396</v>
      </c>
      <c r="BB17" s="169">
        <f t="shared" ref="BB17:BB40" si="42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3">BD17/BC17</f>
        <v>8.62804657298446</v>
      </c>
      <c r="BF17" t="s">
        <v>381</v>
      </c>
    </row>
    <row r="18" customFormat="1" ht="29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6"/>
        <v>0</v>
      </c>
      <c r="L18" s="151">
        <v>0</v>
      </c>
      <c r="M18" s="152" t="e">
        <f t="shared" si="27"/>
        <v>#DIV/0!</v>
      </c>
      <c r="N18" s="150" t="e">
        <f t="shared" si="28"/>
        <v>#DIV/0!</v>
      </c>
      <c r="O18" s="150" t="e">
        <f t="shared" si="29"/>
        <v>#DIV/0!</v>
      </c>
      <c r="P18" s="153">
        <f t="shared" si="30"/>
        <v>1</v>
      </c>
      <c r="Q18" s="154">
        <f t="shared" si="31"/>
        <v>34.793</v>
      </c>
      <c r="R18" s="155">
        <f t="shared" si="32"/>
        <v>34.793</v>
      </c>
      <c r="S18" s="155">
        <f t="shared" si="33"/>
        <v>1.42857142857143</v>
      </c>
      <c r="T18" s="156">
        <f t="shared" si="34"/>
        <v>1</v>
      </c>
      <c r="U18" s="157">
        <f t="shared" si="35"/>
        <v>0.1</v>
      </c>
      <c r="V18" s="95">
        <f t="shared" si="36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7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8"/>
        <v>0</v>
      </c>
      <c r="AY18" s="163">
        <f t="shared" si="39"/>
        <v>0</v>
      </c>
      <c r="AZ18" s="164">
        <f t="shared" si="40"/>
        <v>0</v>
      </c>
      <c r="BA18" s="168">
        <f t="shared" si="41"/>
        <v>194.338605633803</v>
      </c>
      <c r="BB18" s="169">
        <f t="shared" si="42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3"/>
        <v>-0.323137719304758</v>
      </c>
    </row>
    <row r="19" customFormat="1" ht="29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6"/>
        <v>0.0588235294117647</v>
      </c>
      <c r="L19" s="151">
        <v>57.99</v>
      </c>
      <c r="M19" s="152">
        <f t="shared" si="27"/>
        <v>0.7</v>
      </c>
      <c r="N19" s="150">
        <f t="shared" si="28"/>
        <v>0.6</v>
      </c>
      <c r="O19" s="150">
        <f t="shared" si="29"/>
        <v>0.351593711378726</v>
      </c>
      <c r="P19" s="153">
        <f t="shared" si="30"/>
        <v>1.0625</v>
      </c>
      <c r="Q19" s="154">
        <f t="shared" si="31"/>
        <v>29.39125</v>
      </c>
      <c r="R19" s="155">
        <f t="shared" si="32"/>
        <v>27.6623529411765</v>
      </c>
      <c r="S19" s="155">
        <f t="shared" si="33"/>
        <v>2.42857142857143</v>
      </c>
      <c r="T19" s="156">
        <f t="shared" si="34"/>
        <v>1</v>
      </c>
      <c r="U19" s="157">
        <f t="shared" si="35"/>
        <v>0.0625</v>
      </c>
      <c r="V19" s="95">
        <f t="shared" si="36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7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8"/>
        <v>10.6079268292683</v>
      </c>
      <c r="AY19" s="163">
        <f t="shared" si="39"/>
        <v>-2.12158536585366</v>
      </c>
      <c r="AZ19" s="164">
        <f t="shared" si="40"/>
        <v>29.9239189282033</v>
      </c>
      <c r="BA19" s="168">
        <f t="shared" si="41"/>
        <v>273.993278254895</v>
      </c>
      <c r="BB19" s="169">
        <f t="shared" si="42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3"/>
        <v>-0.816169575808471</v>
      </c>
      <c r="BF19" t="s">
        <v>197</v>
      </c>
    </row>
    <row r="20" customFormat="1" ht="29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6"/>
        <v>0</v>
      </c>
      <c r="L20" s="151">
        <v>0</v>
      </c>
      <c r="M20" s="152">
        <f t="shared" si="27"/>
        <v>-0.411764705882353</v>
      </c>
      <c r="N20" s="150">
        <f t="shared" si="28"/>
        <v>-0.375</v>
      </c>
      <c r="O20" s="150">
        <f t="shared" si="29"/>
        <v>-0.403734104537915</v>
      </c>
      <c r="P20" s="153">
        <f t="shared" si="30"/>
        <v>1</v>
      </c>
      <c r="Q20" s="154">
        <f t="shared" si="31"/>
        <v>28.04</v>
      </c>
      <c r="R20" s="155">
        <f t="shared" si="32"/>
        <v>28.04</v>
      </c>
      <c r="S20" s="155">
        <f t="shared" si="33"/>
        <v>1.42857142857143</v>
      </c>
      <c r="T20" s="156">
        <f t="shared" si="34"/>
        <v>1</v>
      </c>
      <c r="U20" s="157">
        <f t="shared" si="35"/>
        <v>0.1</v>
      </c>
      <c r="V20" s="95">
        <f t="shared" si="36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7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8"/>
        <v>0</v>
      </c>
      <c r="AY20" s="163">
        <f t="shared" si="39"/>
        <v>0</v>
      </c>
      <c r="AZ20" s="164">
        <f t="shared" si="40"/>
        <v>0</v>
      </c>
      <c r="BA20" s="168">
        <f t="shared" si="41"/>
        <v>179.453746478873</v>
      </c>
      <c r="BB20" s="169">
        <f t="shared" si="42"/>
        <v>280.4</v>
      </c>
      <c r="BC20" s="168">
        <f t="shared" si="6"/>
        <v>280.4</v>
      </c>
      <c r="BD20" s="168">
        <f t="shared" si="7"/>
        <v>-33.5137464788731</v>
      </c>
      <c r="BE20" s="170">
        <f t="shared" si="43"/>
        <v>-0.119521207128649</v>
      </c>
      <c r="BF20" t="s">
        <v>382</v>
      </c>
    </row>
    <row r="21" customFormat="1" ht="29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6"/>
        <v>0</v>
      </c>
      <c r="L21" s="151">
        <v>0</v>
      </c>
      <c r="M21" s="152">
        <f t="shared" si="27"/>
        <v>-0.2</v>
      </c>
      <c r="N21" s="150">
        <f t="shared" si="28"/>
        <v>-0.2</v>
      </c>
      <c r="O21" s="150">
        <f t="shared" si="29"/>
        <v>-0.358131241084165</v>
      </c>
      <c r="P21" s="153">
        <f t="shared" si="30"/>
        <v>1</v>
      </c>
      <c r="Q21" s="154">
        <f t="shared" si="31"/>
        <v>22.4975</v>
      </c>
      <c r="R21" s="155">
        <f t="shared" si="32"/>
        <v>22.4975</v>
      </c>
      <c r="S21" s="155">
        <f t="shared" si="33"/>
        <v>1.14285714285714</v>
      </c>
      <c r="T21" s="156">
        <f t="shared" si="34"/>
        <v>2</v>
      </c>
      <c r="U21" s="157">
        <f t="shared" si="35"/>
        <v>0.25</v>
      </c>
      <c r="V21" s="95">
        <f t="shared" si="36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7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8"/>
        <v>0</v>
      </c>
      <c r="AY21" s="163">
        <f t="shared" si="39"/>
        <v>0</v>
      </c>
      <c r="AZ21" s="164">
        <f t="shared" si="40"/>
        <v>0</v>
      </c>
      <c r="BA21" s="168">
        <f t="shared" si="41"/>
        <v>138.163169014084</v>
      </c>
      <c r="BB21" s="169">
        <f t="shared" si="42"/>
        <v>179.98</v>
      </c>
      <c r="BC21" s="168">
        <f t="shared" si="6"/>
        <v>179.98</v>
      </c>
      <c r="BD21" s="168">
        <f t="shared" si="7"/>
        <v>-89.6231690140845</v>
      </c>
      <c r="BE21" s="170">
        <f t="shared" si="43"/>
        <v>-0.497961823614204</v>
      </c>
    </row>
    <row r="22" customFormat="1" ht="29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6"/>
        <v>0.5</v>
      </c>
      <c r="L22" s="151">
        <v>51.58</v>
      </c>
      <c r="M22" s="152">
        <f t="shared" si="27"/>
        <v>-0.25</v>
      </c>
      <c r="N22" s="150">
        <f t="shared" si="28"/>
        <v>-0.25</v>
      </c>
      <c r="O22" s="150">
        <f t="shared" si="29"/>
        <v>-0.236970774530503</v>
      </c>
      <c r="P22" s="153">
        <f t="shared" si="30"/>
        <v>1</v>
      </c>
      <c r="Q22" s="154">
        <f t="shared" si="31"/>
        <v>22.8883333333333</v>
      </c>
      <c r="R22" s="155">
        <f t="shared" si="32"/>
        <v>22.8883333333333</v>
      </c>
      <c r="S22" s="155">
        <f t="shared" si="33"/>
        <v>0.857142857142857</v>
      </c>
      <c r="T22" s="156">
        <f t="shared" si="34"/>
        <v>0</v>
      </c>
      <c r="U22" s="157">
        <f t="shared" si="35"/>
        <v>0</v>
      </c>
      <c r="V22" s="95">
        <f t="shared" si="36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7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8"/>
        <v>9.43536585365854</v>
      </c>
      <c r="AY22" s="163">
        <f t="shared" si="39"/>
        <v>-1.88707317073171</v>
      </c>
      <c r="AZ22" s="164">
        <f t="shared" si="40"/>
        <v>39.0958701477156</v>
      </c>
      <c r="BA22" s="168">
        <f t="shared" si="41"/>
        <v>55.520503091721</v>
      </c>
      <c r="BB22" s="169">
        <f t="shared" si="42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3"/>
        <v>-1.44426259180167</v>
      </c>
    </row>
    <row r="23" customFormat="1" ht="29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6"/>
        <v>0</v>
      </c>
      <c r="L23" s="151">
        <v>0</v>
      </c>
      <c r="M23" s="152">
        <f t="shared" si="27"/>
        <v>-0.833333333333333</v>
      </c>
      <c r="N23" s="150">
        <f t="shared" si="28"/>
        <v>-0.833333333333333</v>
      </c>
      <c r="O23" s="150">
        <f t="shared" si="29"/>
        <v>-0.804194276560111</v>
      </c>
      <c r="P23" s="153">
        <f t="shared" si="30"/>
        <v>1</v>
      </c>
      <c r="Q23" s="154">
        <f t="shared" si="31"/>
        <v>26.89</v>
      </c>
      <c r="R23" s="155">
        <f t="shared" si="32"/>
        <v>26.89</v>
      </c>
      <c r="S23" s="155">
        <f t="shared" si="33"/>
        <v>0.142857142857143</v>
      </c>
      <c r="T23" s="156">
        <f t="shared" si="34"/>
        <v>0</v>
      </c>
      <c r="U23" s="157">
        <f t="shared" si="35"/>
        <v>0</v>
      </c>
      <c r="V23" s="95">
        <f t="shared" si="36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7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8"/>
        <v>0</v>
      </c>
      <c r="AY23" s="163">
        <f t="shared" si="39"/>
        <v>0</v>
      </c>
      <c r="AZ23" s="164">
        <f t="shared" si="40"/>
        <v>0</v>
      </c>
      <c r="BA23" s="168">
        <f t="shared" si="41"/>
        <v>14.5493591549296</v>
      </c>
      <c r="BB23" s="169">
        <f t="shared" si="42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3"/>
        <v>-1.43285084250389</v>
      </c>
    </row>
    <row r="24" customFormat="1" ht="29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6"/>
        <v>0</v>
      </c>
      <c r="L24" s="151">
        <v>0</v>
      </c>
      <c r="M24" s="152">
        <f t="shared" si="27"/>
        <v>3</v>
      </c>
      <c r="N24" s="150">
        <f t="shared" si="28"/>
        <v>3</v>
      </c>
      <c r="O24" s="150">
        <f t="shared" si="29"/>
        <v>4.88508739308293</v>
      </c>
      <c r="P24" s="153">
        <f t="shared" si="30"/>
        <v>1</v>
      </c>
      <c r="Q24" s="154">
        <f t="shared" si="31"/>
        <v>39.5625</v>
      </c>
      <c r="R24" s="155">
        <f t="shared" si="32"/>
        <v>39.5625</v>
      </c>
      <c r="S24" s="155">
        <f t="shared" si="33"/>
        <v>0.571428571428571</v>
      </c>
      <c r="T24" s="156">
        <f t="shared" si="34"/>
        <v>1</v>
      </c>
      <c r="U24" s="157">
        <f t="shared" si="35"/>
        <v>0.25</v>
      </c>
      <c r="V24" s="95">
        <f t="shared" si="36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7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8"/>
        <v>0</v>
      </c>
      <c r="AY24" s="163">
        <f t="shared" si="39"/>
        <v>0</v>
      </c>
      <c r="AZ24" s="164">
        <f t="shared" si="40"/>
        <v>0</v>
      </c>
      <c r="BA24" s="168">
        <f t="shared" si="41"/>
        <v>97.5280915492957</v>
      </c>
      <c r="BB24" s="169">
        <f t="shared" si="42"/>
        <v>151.33</v>
      </c>
      <c r="BC24" s="168">
        <f t="shared" si="6"/>
        <v>151.33</v>
      </c>
      <c r="BD24" s="168">
        <f t="shared" si="7"/>
        <v>18.4519084507043</v>
      </c>
      <c r="BE24" s="170">
        <f t="shared" si="43"/>
        <v>0.121931596185187</v>
      </c>
      <c r="BF24" t="s">
        <v>383</v>
      </c>
    </row>
    <row r="25" customFormat="1" ht="29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6"/>
        <v>0</v>
      </c>
      <c r="L25" s="151">
        <v>0</v>
      </c>
      <c r="M25" s="152">
        <f t="shared" si="27"/>
        <v>-0.5</v>
      </c>
      <c r="N25" s="150">
        <f t="shared" si="28"/>
        <v>-0.5</v>
      </c>
      <c r="O25" s="150">
        <f t="shared" si="29"/>
        <v>-0.666350710900474</v>
      </c>
      <c r="P25" s="153">
        <f t="shared" si="30"/>
        <v>1</v>
      </c>
      <c r="Q25" s="154">
        <f t="shared" si="31"/>
        <v>26.4</v>
      </c>
      <c r="R25" s="155">
        <f t="shared" si="32"/>
        <v>26.4</v>
      </c>
      <c r="S25" s="155">
        <f t="shared" si="33"/>
        <v>0.285714285714286</v>
      </c>
      <c r="T25" s="156">
        <f t="shared" si="34"/>
        <v>1</v>
      </c>
      <c r="U25" s="157">
        <f t="shared" si="35"/>
        <v>0.5</v>
      </c>
      <c r="V25" s="95">
        <f t="shared" si="36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7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8"/>
        <v>0</v>
      </c>
      <c r="AY25" s="163">
        <f t="shared" si="39"/>
        <v>0</v>
      </c>
      <c r="AZ25" s="164">
        <f t="shared" si="40"/>
        <v>0</v>
      </c>
      <c r="BA25" s="168">
        <f t="shared" si="41"/>
        <v>39.2644366197183</v>
      </c>
      <c r="BB25" s="169">
        <f t="shared" si="42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3"/>
        <v>-0.894223155923642</v>
      </c>
      <c r="BF25" t="s">
        <v>277</v>
      </c>
    </row>
    <row r="26" customFormat="1" ht="29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6"/>
        <v>0</v>
      </c>
      <c r="L26" s="151">
        <v>0</v>
      </c>
      <c r="M26" s="152">
        <f t="shared" si="27"/>
        <v>4.5</v>
      </c>
      <c r="N26" s="150">
        <f t="shared" si="28"/>
        <v>4.5</v>
      </c>
      <c r="O26" s="150">
        <f t="shared" si="29"/>
        <v>4.08238636363636</v>
      </c>
      <c r="P26" s="153">
        <f t="shared" si="30"/>
        <v>1</v>
      </c>
      <c r="Q26" s="154">
        <f t="shared" si="31"/>
        <v>24.3954545454545</v>
      </c>
      <c r="R26" s="155">
        <f t="shared" si="32"/>
        <v>24.3954545454545</v>
      </c>
      <c r="S26" s="155">
        <f t="shared" si="33"/>
        <v>1.57142857142857</v>
      </c>
      <c r="T26" s="156">
        <f t="shared" si="34"/>
        <v>4</v>
      </c>
      <c r="U26" s="157">
        <f t="shared" si="35"/>
        <v>0.363636363636364</v>
      </c>
      <c r="V26" s="95">
        <f t="shared" si="36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7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8"/>
        <v>0</v>
      </c>
      <c r="AY26" s="163">
        <f t="shared" si="39"/>
        <v>0</v>
      </c>
      <c r="AZ26" s="164">
        <f t="shared" si="40"/>
        <v>0</v>
      </c>
      <c r="BA26" s="168">
        <f t="shared" si="41"/>
        <v>203.980183098591</v>
      </c>
      <c r="BB26" s="169">
        <f t="shared" si="42"/>
        <v>262.82</v>
      </c>
      <c r="BC26" s="168">
        <f t="shared" si="6"/>
        <v>262.82</v>
      </c>
      <c r="BD26" s="168">
        <f t="shared" si="7"/>
        <v>-8.41018309859126</v>
      </c>
      <c r="BE26" s="170">
        <f t="shared" si="43"/>
        <v>-0.0319997834966565</v>
      </c>
      <c r="BF26" t="s">
        <v>215</v>
      </c>
    </row>
    <row r="27" customFormat="1" ht="29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6"/>
        <v>0</v>
      </c>
      <c r="L27" s="151">
        <v>0</v>
      </c>
      <c r="M27" s="152">
        <f t="shared" si="27"/>
        <v>-0.545454545454545</v>
      </c>
      <c r="N27" s="150">
        <f t="shared" si="28"/>
        <v>-0.545454545454545</v>
      </c>
      <c r="O27" s="150">
        <f t="shared" si="29"/>
        <v>-0.621725358673374</v>
      </c>
      <c r="P27" s="153">
        <f t="shared" si="30"/>
        <v>1</v>
      </c>
      <c r="Q27" s="154">
        <f t="shared" si="31"/>
        <v>20.302</v>
      </c>
      <c r="R27" s="155">
        <f t="shared" si="32"/>
        <v>20.302</v>
      </c>
      <c r="S27" s="155">
        <f t="shared" si="33"/>
        <v>0.714285714285714</v>
      </c>
      <c r="T27" s="156">
        <f t="shared" si="34"/>
        <v>4</v>
      </c>
      <c r="U27" s="157">
        <f t="shared" si="35"/>
        <v>0.8</v>
      </c>
      <c r="V27" s="95">
        <f t="shared" si="36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7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8"/>
        <v>0</v>
      </c>
      <c r="AY27" s="163">
        <f t="shared" si="39"/>
        <v>0</v>
      </c>
      <c r="AZ27" s="164">
        <f t="shared" si="40"/>
        <v>0</v>
      </c>
      <c r="BA27" s="168">
        <f t="shared" si="41"/>
        <v>67.4472957746479</v>
      </c>
      <c r="BB27" s="169">
        <f t="shared" si="42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3"/>
        <v>-0.167446486830588</v>
      </c>
      <c r="BF27" t="s">
        <v>278</v>
      </c>
    </row>
    <row r="28" customFormat="1" ht="29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6"/>
        <v>0</v>
      </c>
      <c r="L28" s="151">
        <v>0</v>
      </c>
      <c r="M28" s="152">
        <f t="shared" si="27"/>
        <v>-0.6</v>
      </c>
      <c r="N28" s="150">
        <f t="shared" si="28"/>
        <v>-0.6</v>
      </c>
      <c r="O28" s="150">
        <f t="shared" si="29"/>
        <v>-0.470199980297508</v>
      </c>
      <c r="P28" s="153">
        <f t="shared" si="30"/>
        <v>1</v>
      </c>
      <c r="Q28" s="154">
        <f t="shared" si="31"/>
        <v>26.89</v>
      </c>
      <c r="R28" s="155">
        <f t="shared" si="32"/>
        <v>26.89</v>
      </c>
      <c r="S28" s="155">
        <f t="shared" si="33"/>
        <v>0.285714285714286</v>
      </c>
      <c r="T28" s="156">
        <f t="shared" si="34"/>
        <v>0</v>
      </c>
      <c r="U28" s="157">
        <f t="shared" si="35"/>
        <v>0</v>
      </c>
      <c r="V28" s="95">
        <f t="shared" si="36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7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8"/>
        <v>0</v>
      </c>
      <c r="AY28" s="163">
        <f t="shared" si="39"/>
        <v>0</v>
      </c>
      <c r="AZ28" s="164">
        <f t="shared" si="40"/>
        <v>0</v>
      </c>
      <c r="BA28" s="168">
        <f t="shared" si="41"/>
        <v>29.0987183098592</v>
      </c>
      <c r="BB28" s="169">
        <f t="shared" si="42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3"/>
        <v>-0.331697997580126</v>
      </c>
    </row>
    <row r="29" customFormat="1" ht="29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6"/>
        <v>0</v>
      </c>
      <c r="L29" s="151">
        <v>0</v>
      </c>
      <c r="M29" s="152">
        <f t="shared" si="27"/>
        <v>-0.5</v>
      </c>
      <c r="N29" s="150">
        <f t="shared" si="28"/>
        <v>-0.5</v>
      </c>
      <c r="O29" s="150">
        <f t="shared" si="29"/>
        <v>-0.5</v>
      </c>
      <c r="P29" s="153">
        <f t="shared" si="30"/>
        <v>1</v>
      </c>
      <c r="Q29" s="154">
        <f t="shared" si="31"/>
        <v>26.89</v>
      </c>
      <c r="R29" s="155">
        <f t="shared" si="32"/>
        <v>26.89</v>
      </c>
      <c r="S29" s="155">
        <f t="shared" si="33"/>
        <v>0.142857142857143</v>
      </c>
      <c r="T29" s="156">
        <f t="shared" si="34"/>
        <v>0</v>
      </c>
      <c r="U29" s="157">
        <f t="shared" si="35"/>
        <v>0</v>
      </c>
      <c r="V29" s="95">
        <f t="shared" si="36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7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8"/>
        <v>0</v>
      </c>
      <c r="AY29" s="163">
        <f t="shared" si="39"/>
        <v>0</v>
      </c>
      <c r="AZ29" s="164">
        <f t="shared" si="40"/>
        <v>0</v>
      </c>
      <c r="BA29" s="168">
        <f t="shared" si="41"/>
        <v>14.5493591549296</v>
      </c>
      <c r="BB29" s="169">
        <f t="shared" si="42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3"/>
        <v>-1.11823574395424</v>
      </c>
    </row>
    <row r="30" customFormat="1" ht="29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6"/>
        <v>0</v>
      </c>
      <c r="L30" s="151">
        <v>0</v>
      </c>
      <c r="M30" s="152">
        <f t="shared" si="27"/>
        <v>3</v>
      </c>
      <c r="N30" s="150">
        <f t="shared" si="28"/>
        <v>3</v>
      </c>
      <c r="O30" s="150">
        <f t="shared" si="29"/>
        <v>3.511342506508</v>
      </c>
      <c r="P30" s="153">
        <f t="shared" si="30"/>
        <v>1</v>
      </c>
      <c r="Q30" s="154">
        <f t="shared" si="31"/>
        <v>30.3275</v>
      </c>
      <c r="R30" s="155">
        <f t="shared" si="32"/>
        <v>30.3275</v>
      </c>
      <c r="S30" s="155">
        <f t="shared" si="33"/>
        <v>0.571428571428571</v>
      </c>
      <c r="T30" s="156">
        <f t="shared" si="34"/>
        <v>0</v>
      </c>
      <c r="U30" s="157">
        <f t="shared" si="35"/>
        <v>0</v>
      </c>
      <c r="V30" s="95">
        <f t="shared" si="36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7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8"/>
        <v>0</v>
      </c>
      <c r="AY30" s="163">
        <f t="shared" si="39"/>
        <v>0</v>
      </c>
      <c r="AZ30" s="164">
        <f t="shared" si="40"/>
        <v>0</v>
      </c>
      <c r="BA30" s="168">
        <f t="shared" si="41"/>
        <v>81.5733732394366</v>
      </c>
      <c r="BB30" s="169">
        <f t="shared" si="42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3"/>
        <v>0.0259387252540057</v>
      </c>
      <c r="BF30" t="s">
        <v>225</v>
      </c>
    </row>
    <row r="31" customFormat="1" ht="29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6"/>
        <v>0.5</v>
      </c>
      <c r="L31" s="151">
        <v>11.9</v>
      </c>
      <c r="M31" s="152">
        <f t="shared" si="27"/>
        <v>-0.5</v>
      </c>
      <c r="N31" s="150">
        <f t="shared" si="28"/>
        <v>-0.5</v>
      </c>
      <c r="O31" s="150">
        <f t="shared" si="29"/>
        <v>-0.598961338718984</v>
      </c>
      <c r="P31" s="153">
        <f t="shared" si="30"/>
        <v>1</v>
      </c>
      <c r="Q31" s="154">
        <f t="shared" si="31"/>
        <v>24.325</v>
      </c>
      <c r="R31" s="155">
        <f t="shared" si="32"/>
        <v>24.325</v>
      </c>
      <c r="S31" s="155">
        <f t="shared" si="33"/>
        <v>0.285714285714286</v>
      </c>
      <c r="T31" s="156">
        <f t="shared" si="34"/>
        <v>1</v>
      </c>
      <c r="U31" s="157">
        <f t="shared" si="35"/>
        <v>0.5</v>
      </c>
      <c r="V31" s="95">
        <f t="shared" si="36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7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8"/>
        <v>2.17682926829268</v>
      </c>
      <c r="AY31" s="163">
        <f t="shared" si="39"/>
        <v>-0.435365853658537</v>
      </c>
      <c r="AZ31" s="164">
        <f t="shared" si="40"/>
        <v>12.2573225695637</v>
      </c>
      <c r="BA31" s="168">
        <f t="shared" si="41"/>
        <v>21.267754895225</v>
      </c>
      <c r="BB31" s="169">
        <f t="shared" si="42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3"/>
        <v>-1.44824631208104</v>
      </c>
      <c r="BF31" s="172" t="s">
        <v>384</v>
      </c>
    </row>
    <row r="32" customFormat="1" ht="29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6"/>
        <v>0.0666666666666667</v>
      </c>
      <c r="L32" s="151">
        <v>40.58</v>
      </c>
      <c r="M32" s="152">
        <f t="shared" si="27"/>
        <v>6.5</v>
      </c>
      <c r="N32" s="150">
        <f t="shared" si="28"/>
        <v>6</v>
      </c>
      <c r="O32" s="150">
        <f t="shared" si="29"/>
        <v>3.92394655704008</v>
      </c>
      <c r="P32" s="153">
        <f t="shared" si="30"/>
        <v>1.07142857142857</v>
      </c>
      <c r="Q32" s="154">
        <f t="shared" si="31"/>
        <v>17.1107142857143</v>
      </c>
      <c r="R32" s="155">
        <f t="shared" si="32"/>
        <v>15.97</v>
      </c>
      <c r="S32" s="155">
        <f t="shared" si="33"/>
        <v>2.14285714285714</v>
      </c>
      <c r="T32" s="156">
        <f t="shared" si="34"/>
        <v>5</v>
      </c>
      <c r="U32" s="157">
        <f t="shared" si="35"/>
        <v>0.357142857142857</v>
      </c>
      <c r="V32" s="95">
        <f t="shared" si="36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7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8"/>
        <v>7.42317073170732</v>
      </c>
      <c r="AY32" s="163">
        <f t="shared" si="39"/>
        <v>-1.48463414634146</v>
      </c>
      <c r="AZ32" s="164">
        <f t="shared" si="40"/>
        <v>27.3761140501545</v>
      </c>
      <c r="BA32" s="168">
        <f t="shared" si="41"/>
        <v>193.333569048437</v>
      </c>
      <c r="BB32" s="169">
        <f t="shared" si="42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3"/>
        <v>-0.596180496883037</v>
      </c>
      <c r="BF32" s="172" t="s">
        <v>385</v>
      </c>
    </row>
    <row r="33" customFormat="1" ht="29" customHeight="1" spans="1:58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6"/>
        <v>0</v>
      </c>
      <c r="L33" s="151">
        <v>0</v>
      </c>
      <c r="M33" s="152">
        <f t="shared" si="27"/>
        <v>-0.466666666666667</v>
      </c>
      <c r="N33" s="150">
        <f t="shared" si="28"/>
        <v>-0.428571428571429</v>
      </c>
      <c r="O33" s="150">
        <f t="shared" si="29"/>
        <v>-0.231475683573367</v>
      </c>
      <c r="P33" s="153">
        <f t="shared" si="30"/>
        <v>1</v>
      </c>
      <c r="Q33" s="154">
        <f t="shared" si="31"/>
        <v>23.0125</v>
      </c>
      <c r="R33" s="155">
        <f t="shared" si="32"/>
        <v>23.0125</v>
      </c>
      <c r="S33" s="155">
        <f t="shared" si="33"/>
        <v>1.14285714285714</v>
      </c>
      <c r="T33" s="156">
        <f t="shared" si="34"/>
        <v>3</v>
      </c>
      <c r="U33" s="157">
        <f t="shared" si="35"/>
        <v>0.375</v>
      </c>
      <c r="V33" s="95">
        <f t="shared" si="36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7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8"/>
        <v>0</v>
      </c>
      <c r="AY33" s="163">
        <f t="shared" si="39"/>
        <v>0</v>
      </c>
      <c r="AZ33" s="164">
        <f t="shared" si="40"/>
        <v>0</v>
      </c>
      <c r="BA33" s="168">
        <f t="shared" si="41"/>
        <v>166.350464788732</v>
      </c>
      <c r="BB33" s="169">
        <f t="shared" si="42"/>
        <v>184.1</v>
      </c>
      <c r="BC33" s="168">
        <f t="shared" si="6"/>
        <v>184.1</v>
      </c>
      <c r="BD33" s="168">
        <f t="shared" si="7"/>
        <v>-87.8104647887321</v>
      </c>
      <c r="BE33" s="170">
        <f t="shared" si="43"/>
        <v>-0.47697156321962</v>
      </c>
      <c r="BF33" s="172" t="s">
        <v>386</v>
      </c>
    </row>
    <row r="34" customFormat="1" ht="29" customHeight="1" spans="1:58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6"/>
        <v>0.1</v>
      </c>
      <c r="L34" s="151">
        <v>11.83</v>
      </c>
      <c r="M34" s="152">
        <f t="shared" si="27"/>
        <v>0.25</v>
      </c>
      <c r="N34" s="150">
        <f t="shared" si="28"/>
        <v>0.25</v>
      </c>
      <c r="O34" s="150">
        <f t="shared" si="29"/>
        <v>-0.147202607278653</v>
      </c>
      <c r="P34" s="153">
        <f t="shared" si="30"/>
        <v>1</v>
      </c>
      <c r="Q34" s="154">
        <f t="shared" si="31"/>
        <v>15.7</v>
      </c>
      <c r="R34" s="155">
        <f t="shared" si="32"/>
        <v>15.7</v>
      </c>
      <c r="S34" s="155">
        <f t="shared" si="33"/>
        <v>1.42857142857143</v>
      </c>
      <c r="T34" s="156">
        <f t="shared" si="34"/>
        <v>1</v>
      </c>
      <c r="U34" s="157">
        <f t="shared" si="35"/>
        <v>0.1</v>
      </c>
      <c r="V34" s="95">
        <f t="shared" si="36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7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144.179669014085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8"/>
        <v>2.1640243902439</v>
      </c>
      <c r="AY34" s="163">
        <f t="shared" si="39"/>
        <v>-0.432804878048781</v>
      </c>
      <c r="AZ34" s="164">
        <f t="shared" si="40"/>
        <v>12.2470786671247</v>
      </c>
      <c r="BA34" s="168">
        <f t="shared" si="41"/>
        <v>131.93259034696</v>
      </c>
      <c r="BB34" s="169">
        <f t="shared" si="42"/>
        <v>152.69</v>
      </c>
      <c r="BC34" s="168">
        <f t="shared" si="6"/>
        <v>138.263170731707</v>
      </c>
      <c r="BD34" s="168">
        <f t="shared" si="7"/>
        <v>-140.039419615253</v>
      </c>
      <c r="BE34" s="170">
        <f t="shared" si="43"/>
        <v>-1.01284686930109</v>
      </c>
      <c r="BF34" s="172" t="s">
        <v>386</v>
      </c>
    </row>
    <row r="35" customFormat="1" ht="29" customHeight="1" spans="1:58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6"/>
        <v>0</v>
      </c>
      <c r="L35" s="151">
        <v>0</v>
      </c>
      <c r="M35" s="152">
        <f t="shared" si="27"/>
        <v>0.8</v>
      </c>
      <c r="N35" s="150">
        <f t="shared" si="28"/>
        <v>0.7</v>
      </c>
      <c r="O35" s="150">
        <f t="shared" si="29"/>
        <v>1.16687898089172</v>
      </c>
      <c r="P35" s="153">
        <f t="shared" si="30"/>
        <v>1.05882352941176</v>
      </c>
      <c r="Q35" s="154">
        <f t="shared" si="31"/>
        <v>20.0117647058824</v>
      </c>
      <c r="R35" s="155">
        <f t="shared" si="32"/>
        <v>18.9</v>
      </c>
      <c r="S35" s="155">
        <f t="shared" si="33"/>
        <v>2.57142857142857</v>
      </c>
      <c r="T35" s="156">
        <f t="shared" si="34"/>
        <v>3</v>
      </c>
      <c r="U35" s="157">
        <f t="shared" si="35"/>
        <v>0.176470588235294</v>
      </c>
      <c r="V35" s="95">
        <f t="shared" si="36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7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8"/>
        <v>0</v>
      </c>
      <c r="AY35" s="163">
        <f t="shared" si="39"/>
        <v>0</v>
      </c>
      <c r="AZ35" s="164">
        <f t="shared" si="40"/>
        <v>0</v>
      </c>
      <c r="BA35" s="168">
        <f t="shared" si="41"/>
        <v>310.511633802817</v>
      </c>
      <c r="BB35" s="169">
        <f t="shared" si="42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3"/>
        <v>-0.367876642571479</v>
      </c>
      <c r="BF35" s="172" t="s">
        <v>386</v>
      </c>
    </row>
    <row r="36" customFormat="1" ht="29" customHeight="1" spans="1:58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6"/>
        <v>0.117647058823529</v>
      </c>
      <c r="L36" s="151">
        <v>30</v>
      </c>
      <c r="M36" s="152">
        <f t="shared" si="27"/>
        <v>-0.0555555555555556</v>
      </c>
      <c r="N36" s="150">
        <f t="shared" si="28"/>
        <v>-0.470588235294118</v>
      </c>
      <c r="O36" s="150">
        <f t="shared" si="29"/>
        <v>-0.306731334509112</v>
      </c>
      <c r="P36" s="153">
        <f t="shared" si="30"/>
        <v>1.88888888888889</v>
      </c>
      <c r="Q36" s="154">
        <f t="shared" si="31"/>
        <v>26.2055555555556</v>
      </c>
      <c r="R36" s="155">
        <f t="shared" si="32"/>
        <v>13.8735294117647</v>
      </c>
      <c r="S36" s="155">
        <f t="shared" si="33"/>
        <v>2.42857142857143</v>
      </c>
      <c r="T36" s="156">
        <f t="shared" si="34"/>
        <v>2</v>
      </c>
      <c r="U36" s="157">
        <f t="shared" si="35"/>
        <v>0.222222222222222</v>
      </c>
      <c r="V36" s="95">
        <f t="shared" si="36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387</v>
      </c>
      <c r="AC36" s="71">
        <f t="shared" si="37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8"/>
        <v>5.48780487804878</v>
      </c>
      <c r="AY36" s="163">
        <f t="shared" si="39"/>
        <v>-1.09756097560976</v>
      </c>
      <c r="AZ36" s="164">
        <f t="shared" si="40"/>
        <v>30.6178213672278</v>
      </c>
      <c r="BA36" s="168">
        <f t="shared" si="41"/>
        <v>188.009643421504</v>
      </c>
      <c r="BB36" s="169">
        <f t="shared" si="42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3"/>
        <v>-0.591815860526804</v>
      </c>
      <c r="BF36" s="172" t="s">
        <v>386</v>
      </c>
    </row>
    <row r="37" customFormat="1" ht="29" customHeight="1" spans="1:58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6"/>
        <v>0</v>
      </c>
      <c r="L37" s="151">
        <v>0</v>
      </c>
      <c r="M37" s="152">
        <f t="shared" si="27"/>
        <v>-0.0588235294117647</v>
      </c>
      <c r="N37" s="150">
        <f t="shared" si="28"/>
        <v>0.666666666666667</v>
      </c>
      <c r="O37" s="150">
        <f t="shared" si="29"/>
        <v>0.103243587025652</v>
      </c>
      <c r="P37" s="153">
        <f t="shared" si="30"/>
        <v>1.06666666666667</v>
      </c>
      <c r="Q37" s="154">
        <f t="shared" si="31"/>
        <v>17.3466666666667</v>
      </c>
      <c r="R37" s="155">
        <f t="shared" si="32"/>
        <v>16.2625</v>
      </c>
      <c r="S37" s="155">
        <f t="shared" si="33"/>
        <v>2.28571428571429</v>
      </c>
      <c r="T37" s="156">
        <f t="shared" si="34"/>
        <v>5</v>
      </c>
      <c r="U37" s="157">
        <f t="shared" si="35"/>
        <v>0.333333333333333</v>
      </c>
      <c r="V37" s="95">
        <f t="shared" si="36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7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8"/>
        <v>0</v>
      </c>
      <c r="AY37" s="163">
        <f t="shared" si="39"/>
        <v>0</v>
      </c>
      <c r="AZ37" s="164">
        <f t="shared" si="40"/>
        <v>0</v>
      </c>
      <c r="BA37" s="168">
        <f t="shared" si="41"/>
        <v>236.724401408451</v>
      </c>
      <c r="BB37" s="169">
        <f t="shared" si="42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3"/>
        <v>-0.450322479647517</v>
      </c>
      <c r="BF37" s="172" t="s">
        <v>386</v>
      </c>
    </row>
    <row r="38" customFormat="1" ht="29" customHeight="1" spans="1:58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6"/>
        <v>0.0714285714285714</v>
      </c>
      <c r="L38" s="151">
        <v>11.83</v>
      </c>
      <c r="M38" s="152">
        <f t="shared" si="27"/>
        <v>-0.125</v>
      </c>
      <c r="N38" s="150">
        <f t="shared" si="28"/>
        <v>-0.133333333333333</v>
      </c>
      <c r="O38" s="150">
        <f t="shared" si="29"/>
        <v>0.0142198308993082</v>
      </c>
      <c r="P38" s="153">
        <f t="shared" si="30"/>
        <v>1.07692307692308</v>
      </c>
      <c r="Q38" s="154">
        <f t="shared" si="31"/>
        <v>20.3</v>
      </c>
      <c r="R38" s="155">
        <f t="shared" si="32"/>
        <v>18.85</v>
      </c>
      <c r="S38" s="155">
        <f t="shared" si="33"/>
        <v>2</v>
      </c>
      <c r="T38" s="156">
        <f t="shared" si="34"/>
        <v>3</v>
      </c>
      <c r="U38" s="157">
        <f t="shared" si="35"/>
        <v>0.230769230769231</v>
      </c>
      <c r="V38" s="95">
        <f t="shared" si="36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7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8"/>
        <v>2.1640243902439</v>
      </c>
      <c r="AY38" s="163">
        <f t="shared" si="39"/>
        <v>-0.432804878048781</v>
      </c>
      <c r="AZ38" s="164">
        <f t="shared" si="40"/>
        <v>12.2470786671247</v>
      </c>
      <c r="BA38" s="168">
        <f t="shared" si="41"/>
        <v>225.884541051185</v>
      </c>
      <c r="BB38" s="169">
        <f t="shared" si="42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3"/>
        <v>-0.520962825001645</v>
      </c>
      <c r="BF38" s="172" t="s">
        <v>386</v>
      </c>
    </row>
    <row r="39" customFormat="1" ht="29" customHeight="1" spans="1:58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6"/>
        <v>0</v>
      </c>
      <c r="L39" s="151">
        <v>0</v>
      </c>
      <c r="M39" s="152">
        <f t="shared" si="27"/>
        <v>-0.428571428571429</v>
      </c>
      <c r="N39" s="150">
        <f t="shared" si="28"/>
        <v>-0.461538461538462</v>
      </c>
      <c r="O39" s="150">
        <f t="shared" si="29"/>
        <v>-0.363774156877605</v>
      </c>
      <c r="P39" s="153">
        <f t="shared" si="30"/>
        <v>1.14285714285714</v>
      </c>
      <c r="Q39" s="154">
        <f t="shared" si="31"/>
        <v>23.9857142857143</v>
      </c>
      <c r="R39" s="155">
        <f t="shared" si="32"/>
        <v>20.9875</v>
      </c>
      <c r="S39" s="155">
        <f t="shared" si="33"/>
        <v>1.14285714285714</v>
      </c>
      <c r="T39" s="156">
        <f t="shared" si="34"/>
        <v>3</v>
      </c>
      <c r="U39" s="157">
        <f t="shared" si="35"/>
        <v>0.428571428571429</v>
      </c>
      <c r="V39" s="95">
        <f t="shared" si="36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7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8"/>
        <v>0</v>
      </c>
      <c r="AY39" s="163">
        <f t="shared" si="39"/>
        <v>0</v>
      </c>
      <c r="AZ39" s="164">
        <f t="shared" si="40"/>
        <v>0</v>
      </c>
      <c r="BA39" s="168">
        <f t="shared" si="41"/>
        <v>151.118746478873</v>
      </c>
      <c r="BB39" s="169">
        <f t="shared" si="42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3"/>
        <v>-0.485265868337779</v>
      </c>
    </row>
    <row r="40" customFormat="1" ht="29" customHeight="1" spans="1:58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6"/>
        <v>0.666666666666667</v>
      </c>
      <c r="L40" s="151">
        <v>32.14</v>
      </c>
      <c r="M40" s="152">
        <f t="shared" si="27"/>
        <v>-0.625</v>
      </c>
      <c r="N40" s="150">
        <f t="shared" si="28"/>
        <v>-0.571428571428571</v>
      </c>
      <c r="O40" s="150">
        <f t="shared" si="29"/>
        <v>-0.508457415128052</v>
      </c>
      <c r="P40" s="153">
        <f t="shared" si="30"/>
        <v>1</v>
      </c>
      <c r="Q40" s="154">
        <f t="shared" si="31"/>
        <v>27.51</v>
      </c>
      <c r="R40" s="155">
        <f t="shared" si="32"/>
        <v>27.51</v>
      </c>
      <c r="S40" s="155">
        <f t="shared" si="33"/>
        <v>0.428571428571429</v>
      </c>
      <c r="T40" s="156">
        <f t="shared" si="34"/>
        <v>3</v>
      </c>
      <c r="U40" s="157">
        <f t="shared" si="35"/>
        <v>1</v>
      </c>
      <c r="V40" s="95">
        <f t="shared" si="36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7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54.4452957746479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8"/>
        <v>5.87926829268293</v>
      </c>
      <c r="AY40" s="163">
        <f t="shared" si="39"/>
        <v>-1.17585365853659</v>
      </c>
      <c r="AZ40" s="164">
        <f t="shared" si="40"/>
        <v>79.532006183442</v>
      </c>
      <c r="BA40" s="168">
        <f t="shared" si="41"/>
        <v>-25.0867104087941</v>
      </c>
      <c r="BB40" s="169">
        <f t="shared" si="42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3"/>
        <v>0.918235956146371</v>
      </c>
      <c r="BF40" s="172" t="s">
        <v>388</v>
      </c>
    </row>
    <row r="41" ht="29" customHeight="1" spans="1:58">
      <c r="A41" s="174" t="s">
        <v>257</v>
      </c>
      <c r="B41" s="175"/>
      <c r="C41" s="175">
        <f>SUBTOTAL(109,表3_39141016[销量])</f>
        <v>469</v>
      </c>
      <c r="D41" s="175">
        <f>SUBTOTAL(109,表3_39141016[订单量])</f>
        <v>446</v>
      </c>
      <c r="E41" s="175">
        <f>SUBTOTAL(109,表3_39141016[销售额])</f>
        <v>12050.71</v>
      </c>
      <c r="F41" s="175">
        <f>SUBTOTAL(109,表3_39141016[促销销量])</f>
        <v>75</v>
      </c>
      <c r="G41" s="175">
        <f>SUBTOTAL(109,表3_39141016[促销订单量])</f>
        <v>73</v>
      </c>
      <c r="H41" s="175">
        <f>SUBTOTAL(109,表3_39141016[促销销售额])</f>
        <v>2497.35</v>
      </c>
      <c r="I41" s="175">
        <f>SUBTOTAL(109,表3_39141016[促销折扣])</f>
        <v>1528.35</v>
      </c>
      <c r="J41" s="175">
        <f>SUBTOTAL(109,表3_39141016[退款量])</f>
        <v>25</v>
      </c>
      <c r="K41" s="176">
        <f t="shared" si="26"/>
        <v>0.0533049040511727</v>
      </c>
      <c r="L41" s="177">
        <f>SUBTOTAL(109,表3_39141016[退款金额])</f>
        <v>493.86</v>
      </c>
      <c r="M41" s="175"/>
      <c r="N41" s="175"/>
      <c r="O41" s="175"/>
      <c r="P41" s="178" t="e">
        <f>SUBTOTAL(101,表3_39141016[客单
销量])</f>
        <v>#DIV/0!</v>
      </c>
      <c r="Q41" s="178" t="e">
        <f>SUBTOTAL(101,表3_39141016[客单
价格($)])</f>
        <v>#DIV/0!</v>
      </c>
      <c r="R41" s="178" t="e">
        <f>SUBTOTAL(101,表3_39141016[销售
均价($)])</f>
        <v>#DIV/0!</v>
      </c>
      <c r="S41" s="178">
        <f>SUBTOTAL(101,表3_39141016[日均
销量])</f>
        <v>1.81081081081081</v>
      </c>
      <c r="T41" s="179">
        <f>SUBTOTAL(109,表3_39141016[自然
订单])</f>
        <v>85</v>
      </c>
      <c r="U41" s="180">
        <f t="shared" si="35"/>
        <v>0.190582959641256</v>
      </c>
      <c r="V41" s="181" t="e">
        <f>SUBTOTAL(101,表3_39141016[TAcos
(%)])</f>
        <v>#DIV/0!</v>
      </c>
      <c r="W41" s="175">
        <f>SUBTOTAL(109,表3_39141016[展示])</f>
        <v>1064277</v>
      </c>
      <c r="X41" s="175">
        <f>SUBTOTAL(109,表3_39141016[点击])</f>
        <v>6709</v>
      </c>
      <c r="Y41" s="175">
        <f>SUBTOTAL(109,表3_39141016[广告订单量])</f>
        <v>361</v>
      </c>
      <c r="Z41" s="175">
        <f>SUBTOTAL(109,表3_39141016[广告花费])</f>
        <v>8330.06</v>
      </c>
      <c r="AA41" s="175">
        <f>SUBTOTAL(109,表3_39141016[广告销售额])</f>
        <v>9008.73</v>
      </c>
      <c r="AB41" s="175">
        <f>SUBTOTAL(101,表3_39141016[CPC])</f>
        <v>1.15722222222222</v>
      </c>
      <c r="AC41" s="176">
        <f t="shared" si="37"/>
        <v>0.924665296884245</v>
      </c>
      <c r="AD41" s="176">
        <f t="shared" ref="AD41:AF41" si="44">X41/W41</f>
        <v>0.00630381000435037</v>
      </c>
      <c r="AE41" s="176">
        <f t="shared" si="44"/>
        <v>0.0538083171858697</v>
      </c>
      <c r="AF41" s="178">
        <f t="shared" si="44"/>
        <v>23.0749584487535</v>
      </c>
      <c r="AG41" s="175">
        <f>SUBTOTAL(109,表3_39141016[SFM 1])</f>
        <v>290</v>
      </c>
      <c r="AH41" s="175">
        <f>SUBTOTAL(109,表3_39141016[SFM 2])</f>
        <v>62</v>
      </c>
      <c r="AI41" s="175">
        <f>SUBTOTAL(109,表3_39141016[SFM 3])</f>
        <v>103</v>
      </c>
      <c r="AJ41" s="177">
        <f>SUBTOTAL(109,表3_39141016[产品成本])</f>
        <v>2545.77464788732</v>
      </c>
      <c r="AK41" s="177">
        <f>SUBTOTAL(109,表3_39141016[头程])</f>
        <v>711.96152112676</v>
      </c>
      <c r="AL41" s="177">
        <f>SUBTOTAL(109,表3_39141016[入仓费])</f>
        <v>242.52</v>
      </c>
      <c r="AM41" s="177">
        <f>SUBTOTAL(109,表3_39141016[FBA物流])</f>
        <v>2731.54</v>
      </c>
      <c r="AN41" s="177">
        <f>SUBTOTAL(109,表3_39141016[佣金])</f>
        <v>1578.354</v>
      </c>
      <c r="AO41" s="177">
        <f>SUBTOTAL(109,表3_39141016[成本小结])</f>
        <v>7810.15016901408</v>
      </c>
      <c r="AP41" s="182">
        <f>SUBTOTAL(109,表3_39141016[退款SFM 1])</f>
        <v>18</v>
      </c>
      <c r="AQ41" s="182">
        <f>SUBTOTAL(109,表3_39141016[退款SFM 2])</f>
        <v>4</v>
      </c>
      <c r="AR41" s="182">
        <f>SUBTOTAL(109,表3_39141016[退款SFM 3])</f>
        <v>5</v>
      </c>
      <c r="AS41" s="177">
        <f>SUBTOTAL(109,表3_39141016[退款
销售金额])</f>
        <v>602.268292682927</v>
      </c>
      <c r="AT41" s="177">
        <f>SUBTOTAL(109,表3_39141016[退款
产品成本])</f>
        <v>144.366197183098</v>
      </c>
      <c r="AU41" s="177">
        <f>SUBTOTAL(109,表3_39141016[退款头程])</f>
        <v>40.3740281690141</v>
      </c>
      <c r="AV41" s="177">
        <f>SUBTOTAL(109,表3_39141016[退款
入仓费])</f>
        <v>14.18</v>
      </c>
      <c r="AW41" s="177">
        <f>SUBTOTAL(109,表3_39141016[退款
FBA物流])</f>
        <v>160.4</v>
      </c>
      <c r="AX41" s="177">
        <f>SUBTOTAL(109,表3_39141016[退款佣金])</f>
        <v>90.340243902439</v>
      </c>
      <c r="AY41" s="177">
        <f>SUBTOTAL(109,表3_39141016[退款
管理费用
佣金的20%])</f>
        <v>-18.0680487804878</v>
      </c>
      <c r="AZ41" s="177">
        <f>SUBTOTAL(109,表3_39141016[退款
成本小结])</f>
        <v>431.592420474064</v>
      </c>
      <c r="BA41" s="177">
        <f>SUBTOTAL(109,表3_39141016[净成本])</f>
        <v>7378.55774854002</v>
      </c>
      <c r="BB41" s="177">
        <f>SUBTOTAL(110,表3_39141016[净销售额])</f>
        <v>98859.9409268769</v>
      </c>
      <c r="BC41" s="177">
        <f>SUBTOTAL(109,表3_39141016[净销售额
(-退款金额)])</f>
        <v>9920.09170731707</v>
      </c>
      <c r="BD41" s="177">
        <f>SUBTOTAL(109,表3_39141016[毛利])</f>
        <v>-5788.52604122294</v>
      </c>
      <c r="BE41" s="176">
        <f>SUBTOTAL(101,表3_39141016[毛利率])</f>
        <v>-0.459219376758111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workbookViewId="0">
      <pane xSplit="2" ySplit="3" topLeftCell="C6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6.90833333333333" customWidth="1"/>
    <col min="4" max="4" width="7.375" customWidth="1"/>
    <col min="5" max="5" width="12.908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9" customWidth="1"/>
    <col min="11" max="11" width="8.45" customWidth="1"/>
    <col min="12" max="12" width="9" customWidth="1"/>
    <col min="13" max="13" width="8.09166666666667" customWidth="1"/>
    <col min="14" max="14" width="9.875" customWidth="1"/>
    <col min="15" max="15" width="7.36666666666667" customWidth="1"/>
    <col min="16" max="16" width="9.36666666666667" customWidth="1"/>
    <col min="17" max="17" width="10.3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389</v>
      </c>
      <c r="D1" s="26"/>
      <c r="E1" s="27"/>
      <c r="F1" s="28" t="s">
        <v>390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399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4:X74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19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257</v>
      </c>
      <c r="B75" s="1"/>
      <c r="C75" s="97">
        <f>SL!C75</f>
        <v>30314</v>
      </c>
      <c r="D75" s="98">
        <f>SUBTOTAL(109,表3_3212[订单量])</f>
        <v>28630</v>
      </c>
      <c r="E75" s="99">
        <f>SL!E75</f>
        <v>684127.9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0.258261430355347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11.5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257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8.091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257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625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257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257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257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" customHeight="1"/>
  <cols>
    <col min="1" max="1" width="10.3666666666667" customWidth="1"/>
    <col min="2" max="2" width="8.36666666666667" customWidth="1"/>
    <col min="3" max="3" width="5.36666666666667" customWidth="1"/>
    <col min="4" max="4" width="7.375" customWidth="1"/>
    <col min="5" max="5" width="11.6333333333333" customWidth="1"/>
    <col min="6" max="6" width="10.2666666666667" customWidth="1"/>
    <col min="7" max="7" width="10.3666666666667" customWidth="1"/>
    <col min="8" max="8" width="10.45" customWidth="1"/>
    <col min="9" max="9" width="10.0916666666667" customWidth="1"/>
    <col min="10" max="10" width="7.725" customWidth="1"/>
    <col min="11" max="11" width="8.45" customWidth="1"/>
    <col min="12" max="12" width="7" customWidth="1"/>
    <col min="13" max="13" width="9.36666666666667" customWidth="1"/>
    <col min="14" max="14" width="9.26666666666667" customWidth="1"/>
    <col min="15" max="15" width="7.36666666666667" customWidth="1"/>
    <col min="16" max="16" width="9.36666666666667" customWidth="1"/>
    <col min="17" max="17" width="8.36666666666667" customWidth="1"/>
    <col min="18" max="18" width="11.45" customWidth="1"/>
    <col min="19" max="19" width="8.09166666666667" customWidth="1"/>
    <col min="20" max="20" width="9.26666666666667" customWidth="1"/>
    <col min="21" max="23" width="8.09166666666667" customWidth="1"/>
  </cols>
  <sheetData>
    <row r="1" customHeight="1" spans="1:23">
      <c r="A1" s="23" t="s">
        <v>0</v>
      </c>
      <c r="B1" s="24"/>
      <c r="C1" s="25" t="s">
        <v>389</v>
      </c>
      <c r="D1" s="26"/>
      <c r="E1" s="27"/>
      <c r="F1" s="28" t="s">
        <v>400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3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391</v>
      </c>
      <c r="G3" s="52" t="s">
        <v>392</v>
      </c>
      <c r="H3" s="53" t="s">
        <v>393</v>
      </c>
      <c r="I3" s="52" t="s">
        <v>394</v>
      </c>
      <c r="J3" s="52" t="s">
        <v>395</v>
      </c>
      <c r="K3" s="54" t="s">
        <v>396</v>
      </c>
      <c r="L3" s="55" t="s">
        <v>397</v>
      </c>
      <c r="M3" s="56" t="s">
        <v>398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257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.01666666666667" style="2" customWidth="1"/>
    <col min="6" max="7" width="9" style="1"/>
    <col min="8" max="8" width="5.75833333333333" customWidth="1"/>
    <col min="10" max="10" width="12.6333333333333"/>
    <col min="11" max="11" width="12.625"/>
    <col min="12" max="12" width="12.625" style="2"/>
  </cols>
  <sheetData>
    <row r="1" ht="18" customHeight="1" spans="1:12">
      <c r="A1" s="3" t="s">
        <v>401</v>
      </c>
      <c r="B1" s="3" t="s">
        <v>0</v>
      </c>
      <c r="C1" s="4" t="s">
        <v>402</v>
      </c>
      <c r="D1" s="5" t="s">
        <v>403</v>
      </c>
      <c r="E1" s="5" t="s">
        <v>44</v>
      </c>
      <c r="F1" s="4" t="s">
        <v>45</v>
      </c>
      <c r="G1" s="6" t="s">
        <v>404</v>
      </c>
      <c r="H1" s="1"/>
      <c r="I1" s="1" t="s">
        <v>405</v>
      </c>
      <c r="J1" s="1" t="s">
        <v>406</v>
      </c>
      <c r="K1" s="1" t="s">
        <v>405</v>
      </c>
      <c r="L1" s="2" t="s">
        <v>406</v>
      </c>
    </row>
    <row r="2" customHeight="1" spans="1:12">
      <c r="A2" s="7" t="s">
        <v>407</v>
      </c>
      <c r="B2" s="8" t="s">
        <v>408</v>
      </c>
      <c r="C2" s="1" t="s">
        <v>409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407</v>
      </c>
      <c r="B3" s="8" t="s">
        <v>408</v>
      </c>
      <c r="C3" s="1" t="s">
        <v>410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407</v>
      </c>
      <c r="B4" s="8" t="s">
        <v>411</v>
      </c>
      <c r="C4" s="1" t="s">
        <v>410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412</v>
      </c>
      <c r="B5" s="8" t="s">
        <v>413</v>
      </c>
      <c r="C5" s="1" t="s">
        <v>414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412</v>
      </c>
      <c r="B6" s="8" t="s">
        <v>413</v>
      </c>
      <c r="C6" s="1" t="s">
        <v>415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412</v>
      </c>
      <c r="B7" s="8" t="s">
        <v>413</v>
      </c>
      <c r="C7" s="1" t="s">
        <v>416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412</v>
      </c>
      <c r="B8" s="8" t="s">
        <v>413</v>
      </c>
      <c r="C8" s="1" t="s">
        <v>417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418</v>
      </c>
      <c r="B9" s="10" t="s">
        <v>419</v>
      </c>
      <c r="C9" s="1" t="s">
        <v>420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418</v>
      </c>
      <c r="B10" s="10" t="s">
        <v>419</v>
      </c>
      <c r="C10" s="1" t="s">
        <v>421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422</v>
      </c>
      <c r="B11" s="8" t="s">
        <v>423</v>
      </c>
      <c r="C11" s="1" t="s">
        <v>424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422</v>
      </c>
      <c r="B12" s="8" t="s">
        <v>423</v>
      </c>
      <c r="C12" s="11" t="s">
        <v>425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426</v>
      </c>
      <c r="B13" s="8" t="s">
        <v>423</v>
      </c>
      <c r="C13" s="1" t="s">
        <v>427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422</v>
      </c>
      <c r="B14" s="8" t="s">
        <v>423</v>
      </c>
      <c r="C14" s="11" t="s">
        <v>428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429</v>
      </c>
      <c r="B15" s="8" t="s">
        <v>430</v>
      </c>
      <c r="C15" s="11" t="s">
        <v>431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429</v>
      </c>
      <c r="B16" s="8" t="s">
        <v>430</v>
      </c>
      <c r="C16" s="11" t="s">
        <v>432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433</v>
      </c>
      <c r="B17" s="8" t="s">
        <v>430</v>
      </c>
      <c r="C17" s="12" t="s">
        <v>434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433</v>
      </c>
      <c r="B18" s="8" t="s">
        <v>430</v>
      </c>
      <c r="C18" s="15" t="s">
        <v>435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436</v>
      </c>
      <c r="B19" s="8" t="s">
        <v>430</v>
      </c>
      <c r="C19" s="11" t="s">
        <v>420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436</v>
      </c>
      <c r="B20" s="8" t="s">
        <v>430</v>
      </c>
      <c r="C20" s="11" t="s">
        <v>421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436</v>
      </c>
      <c r="B21" s="18" t="s">
        <v>430</v>
      </c>
      <c r="C21" s="19" t="s">
        <v>437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2026-03-13T07:49:43Z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