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06" firstSheet="2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<sst xmlns="http://schemas.openxmlformats.org/spreadsheetml/2006/main" count="2649" uniqueCount="472">
  <si>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</si>
  <si>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</si>
  <si>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</si>
  <si>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</si>
  <si>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884029663991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</si>
  <si>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</si>
  <si>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</si>
  <si>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</si>
  <si>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</si>
  <si>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</si>
  <si>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</si>
  <si>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</si>
  <si>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</si>
  <si>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</si>
  <si>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</si>
  <si>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</si>
  <si>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</si>
  <si>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</si>
  <si>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</si>
  <si>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</si>
  <si>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</si>
  <si>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</si>
  <si>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</si>
  <si>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</si>
  <si>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</si>
  <si>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</si>
  <si>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</si>
  <si>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</si>
  <si>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</si>
  <si>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</si>
  <si>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</si>
  <si>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</si>
  <si>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</si>
  <si>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</si>
  <si>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</si>
  <si>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</si>
  <si>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</si>
  <si>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</si>
  <si>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</si>
  <si>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</si>
  <si>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</si>
  <si>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</si>
  <si>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</si>
  <si>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</si>
  <si>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</si>
  <si>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</si>
  <si>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</si>
  <si>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</si>
  <si>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</si>
  <si>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</si>
  <si>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</si>
  <si>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</si>
  <si>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</si>
  <si>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</si>
  <si>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</si>
  <si>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</si>
  <si>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</si>
  <si>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</si>
  <si>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</si>
  <si>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</si>
  <si>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</si>
  <si>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</si>
  <si>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</si>
  <si>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</si>
  <si>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</si>
  <si>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</si>
  <si>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</si>
  <si>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</si>
  <si>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</si>
  <si>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</si>
  <si>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</si>
  <si>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</si>
  <si>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</si>
  <si>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</si>
  <si>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</si>
  <si>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</si>
  <si>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</si>
  <si>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</si>
  <si>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</si>
  <si>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</si>
  <si>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</si>
  <si>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</si>
  <si>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</si>
  <si>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</si>
  <si>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</si>
  <si>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</si>
  <si>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</si>
  <si>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</si>
  <si>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</si>
  <si>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</si>
  <si>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</si>
  <si>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</si>
  <si>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</si>
  <si>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</si>
  <si>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</si>
  <si>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</si>
  <si>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</si>
  <si>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</si>
  <si>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</si>
  <si>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</si>
  <si>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</si>
  <si>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</si>
  <si>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</si>
  <si>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</si>
  <si>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</si>
  <si>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</si>
  <si>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</si>
  <si>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</si>
  <si>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</si>
  <si>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</si>
  <si>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</si>
  <si>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</si>
  <si>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</si>
  <si>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</si>
  <si>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</si>
  <si>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</si>
  <si>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</si>
  <si>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</si>
  <si>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</si>
  <si>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</si>
  <si>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</si>
  <si>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</si>
  <si>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</si>
  <si>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</si>
  <si>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</si>
  <si>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</si>
  <si>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</si>
  <si>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</si>
  <si>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</si>
  <si>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</si>
  <si>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</si>
  <si>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</si>
  <si>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</si>
  <si>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</si>
  <si>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</si>
  <si>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</si>
  <si>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</si>
  <si>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</si>
  <si>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</si>
  <si>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</si>
  <si>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</si>
  <si>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</si>
  <si>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</si>
  <si>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</si>
  <si>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</si>
  <si>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</si>
  <si>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</si>
  <si>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</si>
  <si>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</si>
  <si>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</si>
  <si>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</si>
  <si>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</si>
  <si>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</si>
  <si>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</si>
  <si>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</si>
  <si>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</si>
  <si>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</si>
  <si>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</si>
  <si>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</si>
  <si>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</si>
  <si>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</si>
  <si>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</si>
  <si>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</si>
  <si>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</si>
  <si>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</si>
  <si>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</si>
  <si>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</si>
  <si>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</si>
  <si>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</si>
  <si>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</si>
  <si>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</si>
  <si>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charset val="134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</si>
  <si>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</si>
  <si>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</si>
  <si>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</si>
  <si>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</si>
  <si>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</si>
  <si>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</si>
  <si>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</si>
  <si>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</si>
  <si>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</si>
  <si>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</si>
  <si>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</si>
  <si>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</si>
  <si>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</si>
  <si>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</si>
  <si>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</si>
  <si>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</si>
  <si>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</si>
  <si>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</si>
  <si>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</si>
  <si>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</si>
  <si>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</si>
  <si>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</si>
  <si>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</si>
  <si>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</si>
  <si>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</si>
  <si>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</si>
  <si>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</si>
  <si>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</si>
  <si>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</si>
  <si>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</si>
  <si>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</si>
  <si>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</si>
  <si>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</si>
  <si>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</si>
  <si>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</si>
  <si>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</si>
  <si>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</si>
  <si>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</si>
  <si>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</si>
  <si>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</si>
  <si>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</si>
  <si>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</si>
  <si>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</si>
  <si>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</si>
  <si>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</si>
  <si>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</si>
  <si>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</si>
  <si>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</si>
  <si>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</si>
  <si>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</si>
  <si>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</si>
  <si>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</si>
  <si>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</si>
  <si>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</si>
  <si>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</si>
  <si>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</si>
  <si>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</si>
  <si>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</si>
  <si>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</si>
  <si>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</si>
  <si>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</si>
  <si>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</si>
  <si>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</si>
  <si>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</si>
  <si>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</si>
  <si>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</si>
  <si>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</si>
  <si>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</si>
  <si>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</si>
  <si>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</si>
  <si>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</si>
  <si>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</si>
  <si>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</si>
  <si>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</si>
  <si>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</si>
  <si>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</si>
  <si>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</si>
  <si>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</si>
  <si>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</si>
  <si>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</si>
  <si>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</si>
  <si>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</si>
  <si>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</si>
  <si>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</si>
  <si>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</si>
  <si>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</si>
  <si>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</si>
  <si>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</si>
  <si>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</si>
  <si>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</si>
  <si>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</si>
  <si>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</si>
  <si>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</si>
  <si>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 0317~0324 6天</t>
  </si>
  <si>
    <t>0323~0329</t>
  </si>
  <si>
    <t>2026W13</t>
  </si>
  <si>
    <t>4825,43</t>
  </si>
  <si>
    <t>19.79/22.39/23.29,0317-0324,整体10%off Z划算 0317~0324 2天</t>
  </si>
  <si>
    <t>汇总</t>
  </si>
  <si>
    <t>20.89/23.64/54.59 0402-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</si>
  <si>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</si>
  <si>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</si>
  <si>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</si>
  <si>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</si>
  <si>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</si>
  <si>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</si>
  <si>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</si>
  <si>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</si>
  <si>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</si>
  <si>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</si>
  <si>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</si>
  <si>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</si>
  <si>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</si>
  <si>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</si>
  <si>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</si>
  <si>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</si>
  <si>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</si>
  <si>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</si>
  <si>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</si>
  <si>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</si>
  <si>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</si>
  <si>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</si>
  <si>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</si>
  <si>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</si>
  <si>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</si>
  <si>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</si>
  <si>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</si>
  <si>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</si>
  <si>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</si>
  <si>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</si>
  <si>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</si>
  <si>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</si>
  <si>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</si>
  <si>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</si>
  <si>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</si>
  <si>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</si>
  <si>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</si>
  <si>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</si>
  <si>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</si>
  <si>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</si>
  <si>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</si>
  <si>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</si>
  <si>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</si>
  <si>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</si>
  <si>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20550,70</t>
  </si>
  <si>
    <t>排名下滑，广告无异常，下周降价一周; 本周退货率偏高</t>
  </si>
  <si>
    <t>1Pack</t>
  </si>
  <si>
    <t>2Pack</t>
  </si>
  <si>
    <t>退款1Pack</t>
  </si>
  <si>
    <t>退款2Pack</t>
  </si>
  <si>
    <t>17.47/29.93,0201-0304</t>
  </si>
  <si>
    <t>10%coupon 0202-0304</t>
  </si>
  <si>
    <t>17.47/29.93,0307-0331,2天</t>
  </si>
  <si>
    <t>17.47/29.93,0307-0331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</si>
  <si>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</si>
  <si>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</si>
  <si>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</si>
  <si>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</si>
  <si>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</si>
  <si>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</si>
  <si>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</si>
  <si>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</si>
  <si>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</si>
  <si>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</si>
  <si>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</si>
  <si>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</si>
  <si>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</si>
  <si>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</si>
  <si>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</si>
  <si>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</si>
  <si>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</si>
  <si>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</si>
  <si>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</si>
  <si>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</si>
  <si>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</si>
  <si>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</si>
  <si>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</si>
  <si>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</si>
  <si>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</si>
  <si>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</si>
  <si>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</si>
  <si>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</si>
  <si>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</si>
  <si>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</si>
  <si>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</si>
  <si>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</si>
  <si>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</si>
  <si>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</si>
  <si>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</si>
  <si>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</si>
  <si>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</si>
  <si>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</si>
  <si>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9515,10</t>
  </si>
  <si>
    <t>原价 0301-0331,coupon10%off;高退货率标签B0DHL1BPBL;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</si>
  <si>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</si>
  <si>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</si>
  <si>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</si>
  <si>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</si>
  <si>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</si>
  <si>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</si>
  <si>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</si>
  <si>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</si>
  <si>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</si>
  <si>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</si>
  <si>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</si>
  <si>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</si>
  <si>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</si>
  <si>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47272,54</t>
  </si>
  <si>
    <t>24.99/26.92,0402-0430</t>
  </si>
  <si>
    <t>B0DPL8PXC5 B0DPL8PXC5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</si>
  <si>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</si>
  <si>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</si>
  <si>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</si>
  <si>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</si>
  <si>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</si>
  <si>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</si>
  <si>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</si>
  <si>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</si>
  <si>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</si>
  <si>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</si>
  <si>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</si>
  <si>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</si>
  <si>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</si>
  <si>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</si>
  <si>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</si>
  <si>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广告效果差，调整</t>
  </si>
  <si>
    <t>24.20/19.69,0402-0430,整体10%off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</si>
  <si>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</si>
  <si>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</si>
  <si>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</si>
  <si>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</si>
  <si>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</si>
  <si>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</si>
  <si>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</si>
  <si>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</si>
  <si>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</si>
  <si>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</si>
  <si>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</si>
  <si>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</si>
  <si>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</si>
  <si>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</si>
  <si>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</si>
  <si>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</si>
  <si>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</si>
  <si>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</si>
  <si>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</si>
  <si>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charset val="134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</si>
  <si>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</si>
  <si>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</si>
  <si>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11.43/15.79/17.55/24.44 Big Spring Deal 0324`0331</t>
  </si>
  <si>
    <t>春促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</si>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</sst>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5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charset val="134"/>
    </font>
    <font>
      <sz val="11"/>
      <color theme="1" tint="0.0499893185216834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4" tint="0.399884029663991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5961485641"/>
        <bgColor theme="4" tint="0.79985961485641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890133365886"/>
        <bgColor theme="7" tint="0.79989013336588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7" borderId="5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52" applyNumberFormat="0" applyFill="0" applyAlignment="0" applyProtection="0">
      <alignment vertical="center"/>
    </xf>
    <xf numFmtId="0" fontId="40" fillId="0" borderId="52" applyNumberFormat="0" applyFill="0" applyAlignment="0" applyProtection="0">
      <alignment vertical="center"/>
    </xf>
    <xf numFmtId="0" fontId="41" fillId="0" borderId="5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8" borderId="54" applyNumberFormat="0" applyAlignment="0" applyProtection="0">
      <alignment vertical="center"/>
    </xf>
    <xf numFmtId="0" fontId="43" fillId="19" borderId="55" applyNumberFormat="0" applyAlignment="0" applyProtection="0">
      <alignment vertical="center"/>
    </xf>
    <xf numFmtId="0" fontId="44" fillId="19" borderId="54" applyNumberFormat="0" applyAlignment="0" applyProtection="0">
      <alignment vertical="center"/>
    </xf>
    <xf numFmtId="0" fontId="45" fillId="20" borderId="56" applyNumberFormat="0" applyAlignment="0" applyProtection="0">
      <alignment vertical="center"/>
    </xf>
    <xf numFmtId="0" fontId="46" fillId="0" borderId="57" applyNumberFormat="0" applyFill="0" applyAlignment="0" applyProtection="0">
      <alignment vertical="center"/>
    </xf>
    <xf numFmtId="0" fontId="47" fillId="0" borderId="58" applyNumberFormat="0" applyFill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3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3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3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>
      <alignment horizontal="center" vertical="center"/>
    </xf>
    <xf numFmtId="10" fontId="7" fillId="8" borderId="17" xfId="3" applyNumberFormat="1" applyFont="1" applyFill="1" applyBorder="1" applyAlignment="1">
      <alignment horizontal="center" vertical="center"/>
    </xf>
    <xf numFmtId="178" fontId="7" fillId="8" borderId="17" xfId="3" applyNumberFormat="1" applyFont="1" applyFill="1" applyBorder="1" applyAlignment="1">
      <alignment horizontal="center" vertical="center"/>
    </xf>
    <xf numFmtId="10" fontId="7" fillId="8" borderId="32" xfId="3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3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179" fontId="7" fillId="8" borderId="17" xfId="3" applyNumberFormat="1" applyFont="1" applyFill="1" applyBorder="1" applyAlignment="1" applyProtection="1">
      <alignment horizontal="center" vertical="center"/>
    </xf>
    <xf numFmtId="10" fontId="7" fillId="8" borderId="17" xfId="3" applyNumberFormat="1" applyFont="1" applyFill="1" applyBorder="1" applyAlignment="1" applyProtection="1">
      <alignment horizontal="center" vertical="center"/>
    </xf>
    <xf numFmtId="178" fontId="7" fillId="8" borderId="17" xfId="3" applyNumberFormat="1" applyFont="1" applyFill="1" applyBorder="1" applyAlignment="1" applyProtection="1">
      <alignment horizontal="center" vertical="center"/>
    </xf>
    <xf numFmtId="10" fontId="7" fillId="8" borderId="32" xfId="3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3" applyNumberFormat="1" applyFont="1" applyFill="1" applyBorder="1" applyAlignment="1" applyProtection="1">
      <alignment horizontal="center" vertical="center"/>
    </xf>
    <xf numFmtId="10" fontId="7" fillId="8" borderId="16" xfId="3" applyNumberFormat="1" applyFont="1" applyFill="1" applyBorder="1" applyAlignment="1" applyProtection="1">
      <alignment horizontal="center" vertical="center"/>
    </xf>
    <xf numFmtId="10" fontId="7" fillId="8" borderId="40" xfId="3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3" applyNumberFormat="1" applyFont="1" applyFill="1" applyBorder="1" applyAlignment="1">
      <alignment horizontal="center" vertical="center"/>
    </xf>
    <xf numFmtId="178" fontId="25" fillId="8" borderId="17" xfId="3" applyNumberFormat="1" applyFont="1" applyFill="1" applyBorder="1" applyAlignment="1">
      <alignment horizontal="center" vertical="center"/>
    </xf>
    <xf numFmtId="10" fontId="25" fillId="8" borderId="32" xfId="3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3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3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3" applyNumberFormat="1" applyFont="1" applyFill="1" applyBorder="1" applyAlignment="1">
      <alignment horizontal="center" vertical="center"/>
    </xf>
    <xf numFmtId="10" fontId="30" fillId="8" borderId="17" xfId="3" applyNumberFormat="1" applyFont="1" applyFill="1" applyBorder="1" applyAlignment="1">
      <alignment horizontal="center" vertical="center"/>
    </xf>
    <xf numFmtId="178" fontId="30" fillId="8" borderId="17" xfId="3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24">
    <dxf>
      <font>
        <name val="宋体"/>
        <scheme val="none"/>
        <sz val="10"/>
        <color rgb="FF000000"/>
      </font>
      <fill>
        <patternFill patternType="solid">
          <bgColor theme="6" tint="0.799890133365886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theme="6" tint="0.799890133365886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B1019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auto="1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name val="宋体"/>
        <scheme val="none"/>
        <sz val="10"/>
        <color rgb="FF000000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0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name val="宋体"/>
        <scheme val="none"/>
        <sz val="10"/>
        <color rgb="FF08090C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90133365886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90133365886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90133365886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90133365886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43" formatCode="_ * #,##0.00_ ;_ * \-#,##0.00_ ;_ * &quot;-&quot;??_ ;_ @_ "/>
      <fill>
        <patternFill patternType="solid">
          <bgColor theme="6" tint="0.799890133365886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0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b val="0"/>
        <i val="0"/>
        <strike val="0"/>
        <u val="none"/>
        <sz val="10"/>
        <color theme="1"/>
      </font>
    </dxf>
    <dxf>
      <font>
        <color rgb="FFFF0000"/>
      </font>
    </dxf>
    <dxf>
      <protection locked="0"/>
    </dxf>
    <dxf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numFmt numFmtId="10" formatCode="0.00%"/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protection locked="0"/>
    </dxf>
    <dxf>
      <protection locked="0"/>
    </dxf>
    <dxf>
      <protection locked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8" formatCode="0.00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fill>
        <patternFill patternType="solid">
          <bgColor theme="6" tint="0.799920651875362"/>
        </patternFill>
      </fill>
    </dxf>
    <dxf>
      <fill>
        <patternFill patternType="solid">
          <bgColor theme="6" tint="0.799920651875362"/>
        </patternFill>
      </fill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80" formatCode="0_ "/>
    </dxf>
    <dxf>
      <numFmt numFmtId="180" formatCode="0_ 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79" formatCode="0_);[Red]\(0\)"/>
    </dxf>
    <dxf>
      <numFmt numFmtId="179" formatCode="0_);[Red]\(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0" formatCode="0.00%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numFmt numFmtId="178" formatCode="0.00_ "/>
    </dxf>
    <dxf>
      <numFmt numFmtId="180" formatCode="0_ "/>
    </dxf>
    <dxf>
      <numFmt numFmtId="180" formatCode="0_ "/>
    </dxf>
    <dxf>
      <numFmt numFmtId="10" formatCode="0.00%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font>
        <color auto="1"/>
      </font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176" formatCode="0.00_);[Red]\(0.00\)"/>
    </dxf>
    <dxf>
      <font>
        <color auto="1"/>
      </font>
    </dxf>
    <dxf>
      <font>
        <color rgb="FFFF0000"/>
      </font>
    </dxf>
    <dxf>
      <numFmt numFmtId="10" formatCode="0.00%"/>
    </dxf>
    <dxf>
      <numFmt numFmtId="10" formatCode="0.00%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6" formatCode="0.00_);[Red]\(0.00\)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78" formatCode="0.00_ "/>
    </dxf>
    <dxf>
      <numFmt numFmtId="178" formatCode="0.00_ "/>
    </dxf>
    <dxf>
      <numFmt numFmtId="178" formatCode="0.00_ "/>
    </dxf>
    <dxf>
      <alignment horizontal="left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0" formatCode="0.00%"/>
    </dxf>
    <dxf>
      <numFmt numFmtId="10" formatCode="0.00%"/>
    </dxf>
    <dxf>
      <numFmt numFmtId="10" formatCode="0.00%"/>
    </dxf>
    <dxf>
      <numFmt numFmtId="176" formatCode="0.00_);[Red]\(0.00\)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299"/>
      <tableStyleElement type="headerRow" dxfId="298"/>
      <tableStyleElement type="totalRow" dxfId="297"/>
      <tableStyleElement type="firstColumn" dxfId="296"/>
      <tableStyleElement type="lastColumn" dxfId="295"/>
      <tableStyleElement type="firstRowStripe" dxfId="294"/>
      <tableStyleElement type="firstColumnStripe" dxfId="293"/>
    </tableStyle>
    <tableStyle name="TableStylePreset1_Accent4" pivot="0" count="7" xr9:uid="{E1C7B2B3-B766-4CA6-BF19-1F9A17DF7709}">
      <tableStyleElement type="wholeTable" dxfId="306"/>
      <tableStyleElement type="headerRow" dxfId="305"/>
      <tableStyleElement type="totalRow" dxfId="304"/>
      <tableStyleElement type="firstColumn" dxfId="303"/>
      <tableStyleElement type="lastColumn" dxfId="302"/>
      <tableStyleElement type="firstRowStripe" dxfId="301"/>
      <tableStyleElement type="firstColumnStripe" dxfId="300"/>
    </tableStyle>
    <tableStyle name="TableStylePreset3_Accent1" pivot="0" count="7" xr9:uid="{59DB682C-5494-4EDE-A608-00C9E5F0F923}">
      <tableStyleElement type="wholeTable" dxfId="313"/>
      <tableStyleElement type="headerRow" dxfId="312"/>
      <tableStyleElement type="totalRow" dxfId="311"/>
      <tableStyleElement type="firstColumn" dxfId="310"/>
      <tableStyleElement type="lastColumn" dxfId="309"/>
      <tableStyleElement type="firstRowStripe" dxfId="308"/>
      <tableStyleElement type="firstColumnStripe" dxfId="307"/>
    </tableStyle>
    <tableStyle name="PivotStylePreset2_Accent1" table="0" count="10" xr9:uid="{267968C8-6FFD-4C36-ACC1-9EA1FD1885CA}">
      <tableStyleElement type="headerRow" dxfId="323"/>
      <tableStyleElement type="totalRow" dxfId="322"/>
      <tableStyleElement type="firstRowStripe" dxfId="321"/>
      <tableStyleElement type="firstColumnStripe" dxfId="320"/>
      <tableStyleElement type="firstSubtotalRow" dxfId="319"/>
      <tableStyleElement type="secondSubtotalRow" dxfId="318"/>
      <tableStyleElement type="firstRowSubheading" dxfId="317"/>
      <tableStyleElement type="secondRowSubheading" dxfId="316"/>
      <tableStyleElement type="pageFieldLabels" dxfId="315"/>
      <tableStyleElement type="pageFieldValues" dxfId="3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0.0625592417061611</c:v>
                </c:pt>
                <c:pt idx="1">
                  <c:v>0.065668202764977</c:v>
                </c:pt>
                <c:pt idx="2">
                  <c:v>0.0717647058823529</c:v>
                </c:pt>
                <c:pt idx="3">
                  <c:v>0.0618726044898704</c:v>
                </c:pt>
                <c:pt idx="4">
                  <c:v>0.0664157626743414</c:v>
                </c:pt>
                <c:pt idx="5">
                  <c:v>0.0742380828340714</c:v>
                </c:pt>
                <c:pt idx="6">
                  <c:v>0.0853825136612022</c:v>
                </c:pt>
                <c:pt idx="7">
                  <c:v>0.0918884664131812</c:v>
                </c:pt>
                <c:pt idx="8">
                  <c:v>0.0634585889570552</c:v>
                </c:pt>
                <c:pt idx="9">
                  <c:v>0.0595211948166044</c:v>
                </c:pt>
                <c:pt idx="10">
                  <c:v>0.0637569533590073</c:v>
                </c:pt>
                <c:pt idx="11">
                  <c:v>0.0689390056381343</c:v>
                </c:pt>
                <c:pt idx="12">
                  <c:v>0.0551020408163265</c:v>
                </c:pt>
                <c:pt idx="13">
                  <c:v>0.0589052997393571</c:v>
                </c:pt>
                <c:pt idx="14">
                  <c:v>0.0611196712891628</c:v>
                </c:pt>
                <c:pt idx="15">
                  <c:v>0.0565141681177774</c:v>
                </c:pt>
                <c:pt idx="16">
                  <c:v>0.0634920634920635</c:v>
                </c:pt>
                <c:pt idx="17">
                  <c:v>0.0562958027981346</c:v>
                </c:pt>
                <c:pt idx="18">
                  <c:v>0.0586858123926955</c:v>
                </c:pt>
                <c:pt idx="19">
                  <c:v>0.0885694412242059</c:v>
                </c:pt>
                <c:pt idx="20">
                  <c:v>0.0802255775877752</c:v>
                </c:pt>
                <c:pt idx="21">
                  <c:v>0.0669161030364081</c:v>
                </c:pt>
                <c:pt idx="22">
                  <c:v>0.0628516315704871</c:v>
                </c:pt>
                <c:pt idx="23">
                  <c:v>0.0738152435029482</c:v>
                </c:pt>
                <c:pt idx="24">
                  <c:v>0.060431166185707</c:v>
                </c:pt>
                <c:pt idx="25">
                  <c:v>0.0659563673262303</c:v>
                </c:pt>
                <c:pt idx="26">
                  <c:v>0.0701160541586073</c:v>
                </c:pt>
                <c:pt idx="27">
                  <c:v>0.0733645812105156</c:v>
                </c:pt>
                <c:pt idx="28">
                  <c:v>0.0634817813765182</c:v>
                </c:pt>
                <c:pt idx="29">
                  <c:v>0.0643205926923724</c:v>
                </c:pt>
                <c:pt idx="30">
                  <c:v>0.0686240444753301</c:v>
                </c:pt>
                <c:pt idx="31">
                  <c:v>0.065932174212429</c:v>
                </c:pt>
                <c:pt idx="32">
                  <c:v>0.0649083747216989</c:v>
                </c:pt>
                <c:pt idx="33">
                  <c:v>0.0689182238985085</c:v>
                </c:pt>
                <c:pt idx="34">
                  <c:v>0.0674339147635317</c:v>
                </c:pt>
                <c:pt idx="35">
                  <c:v>0.086321155480034</c:v>
                </c:pt>
                <c:pt idx="36">
                  <c:v>0.0764738292011019</c:v>
                </c:pt>
                <c:pt idx="37">
                  <c:v>0.0616396451514225</c:v>
                </c:pt>
                <c:pt idx="38">
                  <c:v>0.0683345780433159</c:v>
                </c:pt>
                <c:pt idx="39">
                  <c:v>0.080071527915756</c:v>
                </c:pt>
                <c:pt idx="40">
                  <c:v>0.0793863854266539</c:v>
                </c:pt>
                <c:pt idx="41">
                  <c:v>0.0854233452762587</c:v>
                </c:pt>
                <c:pt idx="42">
                  <c:v>0.0973468219125787</c:v>
                </c:pt>
                <c:pt idx="43">
                  <c:v>0.0711702827087442</c:v>
                </c:pt>
                <c:pt idx="44">
                  <c:v>0.0852498017446471</c:v>
                </c:pt>
                <c:pt idx="45">
                  <c:v>0.0923234390992835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28808481216870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delete val="1"/>
            </c:dLbl>
            <c:dLbl>
              <c:idx val="24"/>
              <c:delete val="1"/>
            </c:dLbl>
            <c:dLbl>
              <c:idx val="25"/>
              <c:delete val="1"/>
            </c:dLbl>
            <c:dLbl>
              <c:idx val="26"/>
              <c:delete val="1"/>
            </c:dLbl>
            <c:dLbl>
              <c:idx val="27"/>
              <c:delete val="1"/>
            </c:dLbl>
            <c:dLbl>
              <c:idx val="28"/>
              <c:delete val="1"/>
            </c:dLbl>
            <c:dLbl>
              <c:idx val="29"/>
              <c:delete val="1"/>
            </c:dLbl>
            <c:dLbl>
              <c:idx val="30"/>
              <c:delete val="1"/>
            </c:dLbl>
            <c:dLbl>
              <c:idx val="31"/>
              <c:delete val="1"/>
            </c:dLbl>
            <c:dLbl>
              <c:idx val="32"/>
              <c:delete val="1"/>
            </c:dLbl>
            <c:dLbl>
              <c:idx val="33"/>
              <c:delete val="1"/>
            </c:dLbl>
            <c:dLbl>
              <c:idx val="34"/>
              <c:delete val="1"/>
            </c:dLbl>
            <c:dLbl>
              <c:idx val="35"/>
              <c:delete val="1"/>
            </c:dLbl>
            <c:dLbl>
              <c:idx val="36"/>
              <c:delete val="1"/>
            </c:dLbl>
            <c:dLbl>
              <c:idx val="37"/>
              <c:delete val="1"/>
            </c:dLbl>
            <c:dLbl>
              <c:idx val="38"/>
              <c:delete val="1"/>
            </c:dLbl>
            <c:dLbl>
              <c:idx val="39"/>
              <c:delete val="1"/>
            </c:dLbl>
            <c:dLbl>
              <c:idx val="40"/>
              <c:delete val="1"/>
            </c:dLbl>
            <c:dLbl>
              <c:idx val="41"/>
              <c:delete val="1"/>
            </c:dLbl>
            <c:dLbl>
              <c:idx val="42"/>
              <c:delete val="1"/>
            </c:dLbl>
            <c:dLbl>
              <c:idx val="43"/>
              <c:delete val="1"/>
            </c:dLbl>
            <c:dLbl>
              <c:idx val="4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0.0733899330441826</c:v>
                </c:pt>
                <c:pt idx="1">
                  <c:v>0.0733899330441826</c:v>
                </c:pt>
                <c:pt idx="2">
                  <c:v>0.0733899330441826</c:v>
                </c:pt>
                <c:pt idx="3">
                  <c:v>0.0733899330441826</c:v>
                </c:pt>
                <c:pt idx="4">
                  <c:v>0.0733899330441826</c:v>
                </c:pt>
                <c:pt idx="5">
                  <c:v>0.0733899330441826</c:v>
                </c:pt>
                <c:pt idx="6">
                  <c:v>0.0733899330441826</c:v>
                </c:pt>
                <c:pt idx="7">
                  <c:v>0.0733899330441826</c:v>
                </c:pt>
                <c:pt idx="8">
                  <c:v>0.0733899330441826</c:v>
                </c:pt>
                <c:pt idx="9">
                  <c:v>0.0733899330441826</c:v>
                </c:pt>
                <c:pt idx="10">
                  <c:v>0.0733899330441826</c:v>
                </c:pt>
                <c:pt idx="11">
                  <c:v>0.0733899330441826</c:v>
                </c:pt>
                <c:pt idx="12">
                  <c:v>0.0733899330441826</c:v>
                </c:pt>
                <c:pt idx="13">
                  <c:v>0.0733899330441826</c:v>
                </c:pt>
                <c:pt idx="14">
                  <c:v>0.0733899330441826</c:v>
                </c:pt>
                <c:pt idx="15">
                  <c:v>0.0733899330441826</c:v>
                </c:pt>
                <c:pt idx="16">
                  <c:v>0.0733899330441826</c:v>
                </c:pt>
                <c:pt idx="17">
                  <c:v>0.0733899330441826</c:v>
                </c:pt>
                <c:pt idx="18">
                  <c:v>0.0733899330441826</c:v>
                </c:pt>
                <c:pt idx="19">
                  <c:v>0.0733899330441826</c:v>
                </c:pt>
                <c:pt idx="20">
                  <c:v>0.0733899330441826</c:v>
                </c:pt>
                <c:pt idx="21">
                  <c:v>0.0733899330441826</c:v>
                </c:pt>
                <c:pt idx="22">
                  <c:v>0.0733899330441826</c:v>
                </c:pt>
                <c:pt idx="23">
                  <c:v>0.0733899330441826</c:v>
                </c:pt>
                <c:pt idx="24">
                  <c:v>0.0733899330441826</c:v>
                </c:pt>
                <c:pt idx="25">
                  <c:v>0.0733899330441826</c:v>
                </c:pt>
                <c:pt idx="26">
                  <c:v>0.0733899330441826</c:v>
                </c:pt>
                <c:pt idx="27">
                  <c:v>0.0733899330441826</c:v>
                </c:pt>
                <c:pt idx="28">
                  <c:v>0.0733899330441826</c:v>
                </c:pt>
                <c:pt idx="29">
                  <c:v>0.0733899330441826</c:v>
                </c:pt>
                <c:pt idx="30">
                  <c:v>0.0733899330441826</c:v>
                </c:pt>
                <c:pt idx="31">
                  <c:v>0.0733899330441826</c:v>
                </c:pt>
                <c:pt idx="32">
                  <c:v>0.0733899330441826</c:v>
                </c:pt>
                <c:pt idx="33">
                  <c:v>0.0733899330441826</c:v>
                </c:pt>
                <c:pt idx="34">
                  <c:v>0.0733899330441826</c:v>
                </c:pt>
                <c:pt idx="35">
                  <c:v>0.0733899330441826</c:v>
                </c:pt>
                <c:pt idx="36">
                  <c:v>0.0733899330441826</c:v>
                </c:pt>
                <c:pt idx="37">
                  <c:v>0.0733899330441826</c:v>
                </c:pt>
                <c:pt idx="38">
                  <c:v>0.0733899330441826</c:v>
                </c:pt>
                <c:pt idx="39">
                  <c:v>0.0733899330441826</c:v>
                </c:pt>
                <c:pt idx="40">
                  <c:v>0.0733899330441826</c:v>
                </c:pt>
                <c:pt idx="41">
                  <c:v>0.0733899330441826</c:v>
                </c:pt>
                <c:pt idx="42">
                  <c:v>0.0733899330441826</c:v>
                </c:pt>
                <c:pt idx="43">
                  <c:v>0.0733899330441826</c:v>
                </c:pt>
                <c:pt idx="44">
                  <c:v>0.0733899330441826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{2,2,3,5}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0.04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>
      <xdr:nvGraphicFramePr>
        <xdr:cNvPr id="2" name="图表 1" descr="7b0a202020202263686172745265734964223a20223230343736313638220a7d0a"/>
        <xdr:cNvGraphicFramePr/>
      </xdr:nvGraphicFramePr>
      <xdr:xfrm>
        <a:off x="391160" y="27753945"/>
        <a:ext cx="16855440" cy="6403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2" name="表22" displayName="表22" ref="A3:BI78" totalsRowCount="1">
  <autoFilter xmlns:etc="http://www.wps.cn/officeDocument/2017/etCustomData" ref="A3:BI77" etc:filterBottomFollowUsedRange="0"/>
  <tableColumns count="61">
    <tableColumn id="1" name="日期" dataDxfId="0" totalsRowLabel="汇总"/>
    <tableColumn id="2" name="周数" dataDxfId="1"/>
    <tableColumn id="3" name="销量" dataDxfId="2" totalsRowFunction="sum"/>
    <tableColumn id="4" name="订单量" dataDxfId="3" totalsRowFunction="sum"/>
    <tableColumn id="5" name="销售额" dataDxfId="4" totalsRowFunction="sum"/>
    <tableColumn id="6" name="促销销量" dataDxfId="5" totalsRowFunction="sum"/>
    <tableColumn id="7" name="促销订单量" dataDxfId="6" totalsRowFunction="sum"/>
    <tableColumn id="8" name="促销销售额" dataDxfId="7" totalsRowFunction="sum"/>
    <tableColumn id="9" name="促销折扣" dataDxfId="8" totalsRowFunction="sum"/>
    <tableColumn id="10" name="退款量" dataDxfId="9" totalsRowFunction="sum"/>
    <tableColumn id="11" name="退款率" dataDxfId="10" totalsRowFunction="custom">
      <calculatedColumnFormula>J4/C4</calculatedColumnFormula>
      <totalsRowFormula>J78/C78</totalsRowFormula>
    </tableColumn>
    <tableColumn id="12" name="退款金额" dataDxfId="11" totalsRowFunction="sum"/>
    <tableColumn id="13" name="销量环比" dataDxfId="12">
      <calculatedColumnFormula>(C4-C3)/C3</calculatedColumnFormula>
    </tableColumn>
    <tableColumn id="14" name="订单环比" dataDxfId="13">
      <calculatedColumnFormula>(D4-D3)/D3</calculatedColumnFormula>
    </tableColumn>
    <tableColumn id="15" name="销售额环比" dataDxfId="14">
      <calculatedColumnFormula>(E4-E3)/E3</calculatedColumnFormula>
    </tableColumn>
    <tableColumn id="16" name="客单&#10;销量" dataDxfId="15" totalsRowFunction="custom">
      <calculatedColumnFormula>C4/D4</calculatedColumnFormula>
      <totalsRowFormula>C78/D78</totalsRowFormula>
    </tableColumn>
    <tableColumn id="17" name="客单&#10;价格($)" dataDxfId="16" totalsRowFunction="custom">
      <calculatedColumnFormula>E4/D4</calculatedColumnFormula>
      <totalsRowFormula>E78/D78</totalsRowFormula>
    </tableColumn>
    <tableColumn id="18" name="销售&#10;均价($)" dataDxfId="17" totalsRowFunction="custom">
      <calculatedColumnFormula>E4/C4</calculatedColumnFormula>
      <totalsRowFormula>E78/C78</totalsRowFormula>
    </tableColumn>
    <tableColumn id="19" name="日均&#10;销量" dataDxfId="18" totalsRowFunction="custom">
      <calculatedColumnFormula>C4/7</calculatedColumnFormula>
      <totalsRowFormula>C78/7</totalsRowFormula>
    </tableColumn>
    <tableColumn id="20" name="自然&#10;订单" dataDxfId="19" totalsRowFunction="custom">
      <calculatedColumnFormula>D4-Y4</calculatedColumnFormula>
      <totalsRowFormula>D78-Y78</totalsRowFormula>
    </tableColumn>
    <tableColumn id="21" name="自然单&#10;占比(%)" dataDxfId="20" totalsRowFunction="custom">
      <calculatedColumnFormula>T4/D4</calculatedColumnFormula>
      <totalsRowFormula>T78/D78</totalsRowFormula>
    </tableColumn>
    <tableColumn id="22" name="TAcos&#10;(%)" dataDxfId="21" totalsRowFunction="custom">
      <calculatedColumnFormula>Z4/(E4-I4)</calculatedColumnFormula>
      <totalsRowFormula>Z78/(E78-I78)</totalsRowFormula>
    </tableColumn>
    <tableColumn id="23" name="展示" dataDxfId="22" totalsRowFunction="sum"/>
    <tableColumn id="24" name="点击" dataDxfId="23" totalsRowFunction="sum"/>
    <tableColumn id="25" name="广告订单量" dataDxfId="24" totalsRowFunction="sum"/>
    <tableColumn id="26" name="广告花费" dataDxfId="25" totalsRowFunction="sum"/>
    <tableColumn id="27" name="广告销售额" dataDxfId="26" totalsRowFunction="sum"/>
    <tableColumn id="28" name="CPC" dataDxfId="27" totalsRowFunction="average"/>
    <tableColumn id="29" name="Acos(%)" dataDxfId="28" totalsRowFunction="custom">
      <calculatedColumnFormula>Z4/AA4</calculatedColumnFormula>
      <totalsRowFormula>Z78/AA78</totalsRowFormula>
    </tableColumn>
    <tableColumn id="30" name="CTR(%)" dataDxfId="29" totalsRowFunction="custom">
      <calculatedColumnFormula>X4/W4</calculatedColumnFormula>
      <totalsRowFormula>X78/W78</totalsRowFormula>
    </tableColumn>
    <tableColumn id="31" name="CVR(%)" dataDxfId="30" totalsRowFunction="custom">
      <calculatedColumnFormula>Y4/X4</calculatedColumnFormula>
      <totalsRowFormula>Y78/X78</totalsRowFormula>
    </tableColumn>
    <tableColumn id="32" name="CPS(%)" dataDxfId="31" totalsRowFunction="custom">
      <calculatedColumnFormula>Z4/Y4</calculatedColumnFormula>
      <totalsRowFormula>Z78/Y78</totalsRowFormula>
    </tableColumn>
    <tableColumn id="33" name="3.6FT" totalsRowFunction="sum"/>
    <tableColumn id="34" name="5.0FT" totalsRowFunction="sum"/>
    <tableColumn id="35" name="5.5FT" totalsRowFunction="sum"/>
    <tableColumn id="36" name="产品成本" dataDxfId="32" totalsRowFunction="sum">
      <calculatedColumnFormula>AG4*产品成本!$D$2+AH4*产品成本!$D$3+AI4*产品成本!$D$4</calculatedColumnFormula>
    </tableColumn>
    <tableColumn id="37" name="头程" dataDxfId="33" totalsRowFunction="sum">
      <calculatedColumnFormula>AG4*产品成本!$E$2+AH4*产品成本!$E$3+AI4*产品成本!$E$4</calculatedColumnFormula>
    </tableColumn>
    <tableColumn id="38" name="入仓费" dataDxfId="34" totalsRowFunction="sum">
      <calculatedColumnFormula>AG4*产品成本!$F$2+AH4*产品成本!$F$3+AI4*产品成本!$F$4</calculatedColumnFormula>
    </tableColumn>
    <tableColumn id="39" name="FBA物流" dataDxfId="35" totalsRowFunction="sum">
      <calculatedColumnFormula>AG4*产品成本!$G$2+AH4*产品成本!$G$3+AI4*产品成本!$G$4</calculatedColumnFormula>
    </tableColumn>
    <tableColumn id="40" name="佣金" dataDxfId="36" totalsRowFunction="sum">
      <calculatedColumnFormula>(E4-I4)*0.15</calculatedColumnFormula>
    </tableColumn>
    <tableColumn id="41" name="成本小结" dataDxfId="37" totalsRowFunction="sum">
      <calculatedColumnFormula>SUM(AJ4:AN4)</calculatedColumnFormula>
    </tableColumn>
    <tableColumn id="42" name="退款3.6FT" dataDxfId="38" totalsRowFunction="sum"/>
    <tableColumn id="43" name="退款5.0FT" dataDxfId="39" totalsRowFunction="sum"/>
    <tableColumn id="44" name="退款5.5FT" dataDxfId="40" totalsRowFunction="sum"/>
    <tableColumn id="45" name="退款&#10;销售金额" dataDxfId="41" totalsRowFunction="sum">
      <calculatedColumnFormula>L4/(1-0.15+0.15*0.2)</calculatedColumnFormula>
    </tableColumn>
    <tableColumn id="46" name="退款&#10;产品成本" dataDxfId="42" totalsRowFunction="sum">
      <calculatedColumnFormula>AP4*产品成本!$D$2+AQ4*产品成本!$D$3+AR4*产品成本!$D$4</calculatedColumnFormula>
    </tableColumn>
    <tableColumn id="47" name="退款头程" dataDxfId="43" totalsRowFunction="sum">
      <calculatedColumnFormula>AP4*产品成本!$E$2+AQ4*产品成本!$E$3+AR4*产品成本!$E$4</calculatedColumnFormula>
    </tableColumn>
    <tableColumn id="48" name="退款&#10;入仓费" dataDxfId="44" totalsRowFunction="sum">
      <calculatedColumnFormula>AP4*产品成本!$F$2+AQ4*产品成本!$F$3+AR4*产品成本!$F$4</calculatedColumnFormula>
    </tableColumn>
    <tableColumn id="49" name="退款&#10;FBA物流" dataDxfId="45"/>
    <tableColumn id="50" name="退款佣金" dataDxfId="46" totalsRowFunction="sum">
      <calculatedColumnFormula>AS4*0.15</calculatedColumnFormula>
    </tableColumn>
    <tableColumn id="51" name="退款&#10;管理费用&#10;佣金的20%" dataDxfId="47" totalsRowFunction="sum">
      <calculatedColumnFormula>-AX4*0.2</calculatedColumnFormula>
    </tableColumn>
    <tableColumn id="52" name="退款&#10;成本小结" dataDxfId="48" totalsRowFunction="sum">
      <calculatedColumnFormula>SUM(AT4:AY4)</calculatedColumnFormula>
    </tableColumn>
    <tableColumn id="53" name="净成本" dataDxfId="49" totalsRowFunction="sum">
      <calculatedColumnFormula>AO4-AZ4</calculatedColumnFormula>
    </tableColumn>
    <tableColumn id="54" name="净销售额" dataDxfId="50" totalsRowFunction="sum">
      <calculatedColumnFormula>E4-I4</calculatedColumnFormula>
    </tableColumn>
    <tableColumn id="55" name="净销售额&#10;(-退款金额)" dataDxfId="51" totalsRowFunction="sum">
      <calculatedColumnFormula>E4-AS4-I4</calculatedColumnFormula>
    </tableColumn>
    <tableColumn id="56" name="毛利" dataDxfId="52" totalsRowFunction="sum">
      <calculatedColumnFormula>BC4-BA4-Z4</calculatedColumnFormula>
    </tableColumn>
    <tableColumn id="57" name="毛利率" dataDxfId="53" totalsRowFunction="custom">
      <calculatedColumnFormula>BD4/BC4</calculatedColumnFormula>
      <totalsRowFormula>BD78/BC78</totalsRowFormula>
    </tableColumn>
    <tableColumn id="58" name="BSR"/>
    <tableColumn id="59" name="备注" totalsRowLabel="20.89/23.64/54.59 0402-"/>
    <tableColumn id="60" name="促销" dataDxfId="54"/>
    <tableColumn id="61" name="备用" totalsRowFunction="count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id="7" name="表3_38" displayName="表3_38" ref="A3:BK78" totalsRowCount="1">
  <tableColumns count="63">
    <tableColumn id="1" name="日期" totalsRowLabel="汇总"/>
    <tableColumn id="2" name="周数"/>
    <tableColumn id="3" name="销量" dataDxfId="56" totalsRowFunction="sum"/>
    <tableColumn id="4" name="订单量" dataDxfId="57" totalsRowFunction="sum"/>
    <tableColumn id="5" name="销售额" dataDxfId="58" totalsRowFunction="sum"/>
    <tableColumn id="54" name="促销销量" dataDxfId="59" totalsRowFunction="sum"/>
    <tableColumn id="55" name="促销订单量" dataDxfId="60" totalsRowFunction="sum"/>
    <tableColumn id="56" name="促销销售额" totalsRowFunction="sum"/>
    <tableColumn id="57" name="促销折扣" totalsRowFunction="sum"/>
    <tableColumn id="6" name="退款量" dataDxfId="61" totalsRowFunction="sum"/>
    <tableColumn id="7" name="退款率" dataDxfId="62" totalsRowFunction="custom">
      <calculatedColumnFormula>J4/C4</calculatedColumnFormula>
      <totalsRowFormula>J78/C78</totalsRowFormula>
    </tableColumn>
    <tableColumn id="8" name="退款金额" dataDxfId="63" totalsRowFunction="sum"/>
    <tableColumn id="9" name="销量环比" dataDxfId="64">
      <calculatedColumnFormula>(C4-C3)/C3</calculatedColumnFormula>
    </tableColumn>
    <tableColumn id="10" name="订单环比" dataDxfId="65">
      <calculatedColumnFormula>(D4-D3)/D3</calculatedColumnFormula>
    </tableColumn>
    <tableColumn id="11" name="销售额环比" dataDxfId="66">
      <calculatedColumnFormula>(E4-E3)/E3</calculatedColumnFormula>
    </tableColumn>
    <tableColumn id="12" name="客单&#10;销量" dataDxfId="67" totalsRowFunction="average">
      <calculatedColumnFormula>C4/D4</calculatedColumnFormula>
    </tableColumn>
    <tableColumn id="13" name="客单&#10;价格($)" dataDxfId="68" totalsRowFunction="average">
      <calculatedColumnFormula>E4/D4</calculatedColumnFormula>
    </tableColumn>
    <tableColumn id="14" name="销售&#10;均价($)" dataDxfId="69" totalsRowFunction="average">
      <calculatedColumnFormula>E4/C4</calculatedColumnFormula>
    </tableColumn>
    <tableColumn id="53" name="日均&#10;销量" dataDxfId="70" totalsRowFunction="average">
      <calculatedColumnFormula>G4/7</calculatedColumnFormula>
    </tableColumn>
    <tableColumn id="15" name="自然&#10;订单" dataDxfId="71" totalsRowFunction="sum">
      <calculatedColumnFormula>D4-Y4</calculatedColumnFormula>
    </tableColumn>
    <tableColumn id="16" name="自然单&#10;占比(%)" dataDxfId="72" totalsRowFunction="custom">
      <calculatedColumnFormula>T4/D4</calculatedColumnFormula>
      <totalsRowFormula>T78/D78</totalsRowFormula>
    </tableColumn>
    <tableColumn id="17" name="TAcos&#10;(%)" dataDxfId="73" totalsRowFunction="average">
      <calculatedColumnFormula>Z4/(E4-I4)</calculatedColumnFormula>
    </tableColumn>
    <tableColumn id="18" name="展示" dataDxfId="74" totalsRowFunction="sum"/>
    <tableColumn id="19" name="点击" dataDxfId="75" totalsRowFunction="sum"/>
    <tableColumn id="20" name="广告订单量" dataDxfId="76" totalsRowFunction="sum"/>
    <tableColumn id="21" name="广告花费" dataDxfId="77" totalsRowFunction="sum"/>
    <tableColumn id="22" name="广告销售额" dataDxfId="78" totalsRowFunction="sum"/>
    <tableColumn id="23" name="CPC" dataDxfId="79" totalsRowFunction="average"/>
    <tableColumn id="24" name="Acos(%)" dataDxfId="80" totalsRowFunction="custom">
      <calculatedColumnFormula>Z4/AA4</calculatedColumnFormula>
      <totalsRowFormula>Z78/AA78</totalsRowFormula>
    </tableColumn>
    <tableColumn id="25" name="CTR(%)" dataDxfId="81" totalsRowFunction="custom">
      <calculatedColumnFormula>X4/W4</calculatedColumnFormula>
      <totalsRowFormula>X78/W78</totalsRowFormula>
    </tableColumn>
    <tableColumn id="26" name="CVR(%)" dataDxfId="82" totalsRowFunction="custom">
      <calculatedColumnFormula>Y4/X4</calculatedColumnFormula>
      <totalsRowFormula>Y78/X78</totalsRowFormula>
    </tableColumn>
    <tableColumn id="27" name="CPS(%)" dataDxfId="83" totalsRowFunction="custom">
      <calculatedColumnFormula>Z4/Y4</calculatedColumnFormula>
      <totalsRowFormula>Z78/Y78</totalsRowFormula>
    </tableColumn>
    <tableColumn id="28" name="Short w/oBall 1Pack" dataDxfId="84" totalsRowFunction="sum"/>
    <tableColumn id="50" name="Long w/oBall 1Pack" dataDxfId="85" totalsRowFunction="sum"/>
    <tableColumn id="29" name="w/Ball 1Pack" dataDxfId="86" totalsRowFunction="sum"/>
    <tableColumn id="59" name="Long w/oBall 2Pack" totalsRowFunction="sum"/>
    <tableColumn id="30" name="产品成本" dataDxfId="87" totalsRowFunction="sum">
      <calculatedColumnFormula>AG4*产品成本!$D$5+AH4*产品成本!$D$6+AI4*产品成本!$D$7+AJ4*产品成本!$D$8</calculatedColumnFormula>
    </tableColumn>
    <tableColumn id="31" name="头程" dataDxfId="88" totalsRowFunction="sum">
      <calculatedColumnFormula>AG4*产品成本!$E$5+AH4*产品成本!$E$6+AI4*产品成本!$E$7+AJ4*产品成本!$E$8</calculatedColumnFormula>
    </tableColumn>
    <tableColumn id="32" name="入仓费" dataDxfId="89" totalsRowFunction="sum">
      <calculatedColumnFormula>AG4*产品成本!$F$5+AH4*产品成本!$F$6+AI4*产品成本!$F$7+AJ4*产品成本!$F$8</calculatedColumnFormula>
    </tableColumn>
    <tableColumn id="33" name="FBA物流" dataDxfId="90" totalsRowFunction="sum">
      <calculatedColumnFormula>AG4*产品成本!$G$5+AH4*产品成本!$G$6+AI4*产品成本!$G$7+AJ4*产品成本!$G$8</calculatedColumnFormula>
    </tableColumn>
    <tableColumn id="34" name="佣金" dataDxfId="91" totalsRowFunction="sum">
      <calculatedColumnFormula>(E4-I4)*0.15</calculatedColumnFormula>
    </tableColumn>
    <tableColumn id="35" name="成本小结" dataDxfId="92" totalsRowFunction="sum">
      <calculatedColumnFormula>SUM(AK4:AO4)</calculatedColumnFormula>
    </tableColumn>
    <tableColumn id="36" name="退款Short w/oBall 1Pack" dataDxfId="93" totalsRowFunction="sum"/>
    <tableColumn id="51" name="退款Long w/oBall 1Pack" dataDxfId="94" totalsRowFunction="sum"/>
    <tableColumn id="37" name="退款w/Ball 1Pack" dataDxfId="95" totalsRowFunction="sum"/>
    <tableColumn id="60" name="退款Long w/oBall 2Pack" totalsRowFunction="sum"/>
    <tableColumn id="38" name="退款&#10;销售金额" dataDxfId="96" totalsRowFunction="sum">
      <calculatedColumnFormula>L4/(1-0.15-0.15*0.2)</calculatedColumnFormula>
    </tableColumn>
    <tableColumn id="39" name="退款&#10;产品成本" dataDxfId="97" totalsRowFunction="sum">
      <calculatedColumnFormula>AQ4*产品成本!$D$5+AR4*产品成本!$D$6+AS4*产品成本!$D$7+AT4*产品成本!D8</calculatedColumnFormula>
    </tableColumn>
    <tableColumn id="40" name="退款头程" dataDxfId="98" totalsRowFunction="sum">
      <calculatedColumnFormula>AQ4*产品成本!$E$5+AR4*产品成本!$E$6+AS4*产品成本!$E$7+AT4*产品成本!E8</calculatedColumnFormula>
    </tableColumn>
    <tableColumn id="41" name="退款&#10;入仓费" dataDxfId="99" totalsRowFunction="sum">
      <calculatedColumnFormula>AQ4*产品成本!$F$5+AR4*产品成本!$F$6+AS4*产品成本!$F$7+AT4*产品成本!F8</calculatedColumnFormula>
    </tableColumn>
    <tableColumn id="42" name="退款&#10;FBA物流" totalsRowFunction="sum"/>
    <tableColumn id="43" name="退款佣金" dataDxfId="100" totalsRowFunction="sum">
      <calculatedColumnFormula>AU4*0.15</calculatedColumnFormula>
    </tableColumn>
    <tableColumn id="44" name="退款&#10;管理费用&#10;佣金的20%" dataDxfId="101" totalsRowFunction="sum">
      <calculatedColumnFormula>-AZ4*0.2</calculatedColumnFormula>
    </tableColumn>
    <tableColumn id="45" name="退款&#10;成本小结" dataDxfId="102" totalsRowFunction="sum">
      <calculatedColumnFormula>SUM(AV4:BA4)</calculatedColumnFormula>
    </tableColumn>
    <tableColumn id="46" name="净成本" dataDxfId="103" totalsRowFunction="sum">
      <calculatedColumnFormula>AP4-BB4</calculatedColumnFormula>
    </tableColumn>
    <tableColumn id="58" name="净销售额" dataDxfId="104" totalsRowFunction="sum">
      <calculatedColumnFormula>E4-I4</calculatedColumnFormula>
    </tableColumn>
    <tableColumn id="47" name="净销售额&#10;(-退款金额)" dataDxfId="105" totalsRowFunction="sum">
      <calculatedColumnFormula>E4-AU4-I4</calculatedColumnFormula>
    </tableColumn>
    <tableColumn id="48" name="毛利" dataDxfId="106" totalsRowFunction="sum">
      <calculatedColumnFormula>BE4-BC4-Z4</calculatedColumnFormula>
    </tableColumn>
    <tableColumn id="49" name="毛利率" dataDxfId="107" totalsRowFunction="average">
      <calculatedColumnFormula>BF4/BE4</calculatedColumnFormula>
    </tableColumn>
    <tableColumn id="61" name="BSR"/>
    <tableColumn id="52" name="备注"/>
    <tableColumn id="62" name="促销"/>
    <tableColumn id="63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id="17" name="表3_391418" displayName="表3_391418" ref="A3:BG23" totalsRowCount="1">
  <tableColumns count="59">
    <tableColumn id="1" name="日期" dataDxfId="108" totalsRowLabel="汇总"/>
    <tableColumn id="2" name="周数" dataDxfId="109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#REF!/#REF!</calculatedColumnFormula>
      <totalsRowFormula>J23/C23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T23/D23</totalsRowFormula>
    </tableColumn>
    <tableColumn id="22" name="TAcos&#10;(%)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#REF!/#REF!</calculatedColumnFormula>
      <totalsRowFormula>Z23/AA23</totalsRowFormula>
    </tableColumn>
    <tableColumn id="30" name="CTR(%)" totalsRowFunction="custom">
      <calculatedColumnFormula>#REF!/#REF!</calculatedColumnFormula>
      <totalsRowFormula>X23/W23</totalsRowFormula>
    </tableColumn>
    <tableColumn id="31" name="CVR(%)" totalsRowFunction="custom">
      <calculatedColumnFormula>#REF!/#REF!</calculatedColumnFormula>
      <totalsRowFormula>Y23/X23</totalsRowFormula>
    </tableColumn>
    <tableColumn id="32" name="CPS(%)" totalsRowFunction="custom">
      <calculatedColumnFormula>#REF!/#REF!</calculatedColumnFormula>
      <totalsRowFormula>Z23/Y23</totalsRowFormula>
    </tableColumn>
    <tableColumn id="33" name="1Pack" totalsRowFunction="sum"/>
    <tableColumn id="34" name="2Pack" totalsRowFunction="sum"/>
    <tableColumn id="35" name="产品成本" dataDxfId="110" totalsRowFunction="sum">
      <calculatedColumnFormula>AG4*产品成本!$D$9+AH4*产品成本!$D$10</calculatedColumnFormula>
    </tableColumn>
    <tableColumn id="36" name="头程" dataDxfId="111" totalsRowFunction="sum">
      <calculatedColumnFormula>AG4*产品成本!$E$9+AH4*产品成本!$E$10</calculatedColumnFormula>
    </tableColumn>
    <tableColumn id="37" name="入仓费" dataDxfId="112" totalsRowFunction="sum">
      <calculatedColumnFormula>AG4*产品成本!$F$9+AH4*产品成本!$F$10</calculatedColumnFormula>
    </tableColumn>
    <tableColumn id="38" name="FBA物流" dataDxfId="113" totalsRowFunction="sum">
      <calculatedColumnFormula>AG4*产品成本!$G$9+AH4*产品成本!$G$10</calculatedColumnFormula>
    </tableColumn>
    <tableColumn id="39" name="佣金" dataDxfId="114" totalsRowFunction="sum">
      <calculatedColumnFormula>(E4-I4)*0.15</calculatedColumnFormula>
    </tableColumn>
    <tableColumn id="40" name="成本小结" dataDxfId="115" totalsRowFunction="sum">
      <calculatedColumnFormula>SUM(AI4:AM4)</calculatedColumnFormula>
    </tableColumn>
    <tableColumn id="41" name="退款1Pack" totalsRowFunction="sum"/>
    <tableColumn id="42" name="退款2Pack" totalsRowFunction="sum"/>
    <tableColumn id="43" name="退款&#10;销售金额" totalsRowFunction="sum">
      <calculatedColumnFormula>#REF!/(1-0.15-0.15*0.2)</calculatedColumnFormula>
    </tableColumn>
    <tableColumn id="44" name="退款&#10;产品成本" dataDxfId="116" totalsRowFunction="sum">
      <calculatedColumnFormula>AO4*产品成本!$D$9+AP4*产品成本!$D$10</calculatedColumnFormula>
    </tableColumn>
    <tableColumn id="45" name="退款头程" dataDxfId="117" totalsRowFunction="sum">
      <calculatedColumnFormula>AO4*产品成本!$E$9+AP4*产品成本!$E$10</calculatedColumnFormula>
    </tableColumn>
    <tableColumn id="46" name="退款&#10;入仓费" dataDxfId="118" totalsRowFunction="sum">
      <calculatedColumnFormula>AO4*产品成本!$F$9+AP4*产品成本!$F$10</calculatedColumnFormula>
    </tableColumn>
    <tableColumn id="47" name="退款&#10;FBA物流" totalsRowFunction="sum"/>
    <tableColumn id="48" name="退款佣金" totalsRowFunction="sum">
      <calculatedColumnFormula>#REF!*0.15</calculatedColumnFormula>
    </tableColumn>
    <tableColumn id="49" name="退款&#10;管理费用&#10;佣金的20%" totalsRowFunction="sum">
      <calculatedColumnFormula>-#REF!*0.2</calculatedColumnFormula>
    </tableColumn>
    <tableColumn id="50" name="退款&#10;成本小结" totalsRowFunction="sum">
      <calculatedColumnFormula>SUM(#REF!)</calculatedColumnFormula>
    </tableColumn>
    <tableColumn id="51" name="净成本" totalsRowFunction="sum">
      <calculatedColumnFormula>#REF!-#REF!</calculatedColumnFormula>
    </tableColumn>
    <tableColumn id="52" name="净销售额" totalsRowFunction="sum">
      <calculatedColumnFormula>#REF!-#REF!</calculatedColumnFormula>
    </tableColumn>
    <tableColumn id="53" name="净销售额&#10;(-退款金额)" totalsRowFunction="sum">
      <calculatedColumnFormula>#REF!-#REF!-#REF!</calculatedColumnFormula>
    </tableColumn>
    <tableColumn id="54" name="毛利" totalsRowFunction="sum">
      <calculatedColumnFormula>#REF!-#REF!-#REF!</calculatedColumnFormula>
    </tableColumn>
    <tableColumn id="55" name="毛利率" totalsRowFunction="average">
      <calculatedColumnFormula>#REF!/#REF!</calculatedColumnFormula>
    </tableColumn>
    <tableColumn id="56" name="BSR"/>
    <tableColumn id="58" name="备注"/>
    <tableColumn id="57" name="促销"/>
    <tableColumn id="59" name="列1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id="8" name="表3_39" displayName="表3_39" ref="A3:BI78" totalsRowCount="1">
  <tableColumns count="61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2" name="促销销量" dataDxfId="119" totalsRowFunction="sum"/>
    <tableColumn id="53" name="促销订单量" dataDxfId="120" totalsRowFunction="sum"/>
    <tableColumn id="54" name="促销销售额" totalsRowFunction="sum"/>
    <tableColumn id="55" name="促销折扣" totalsRowFunction="sum"/>
    <tableColumn id="6" name="退款量" totalsRowFunction="sum"/>
    <tableColumn id="7" name="退款率" dataDxfId="121" totalsRowFunction="custom">
      <calculatedColumnFormula>J4/C4</calculatedColumnFormula>
      <totalsRowFormula>J78/C78</totalsRowFormula>
    </tableColumn>
    <tableColumn id="8" name="退款金额" totalsRowFunction="sum"/>
    <tableColumn id="9" name="销量环比" dataDxfId="122">
      <calculatedColumnFormula>(C4-C3)/C3</calculatedColumnFormula>
    </tableColumn>
    <tableColumn id="10" name="订单环比" dataDxfId="123">
      <calculatedColumnFormula>(D4-D3)/D3</calculatedColumnFormula>
    </tableColumn>
    <tableColumn id="11" name="销售额环比" dataDxfId="124">
      <calculatedColumnFormula>(E4-E3)/E3</calculatedColumnFormula>
    </tableColumn>
    <tableColumn id="12" name="客单&#10;销量" dataDxfId="125" totalsRowFunction="average">
      <calculatedColumnFormula>C4/D4</calculatedColumnFormula>
    </tableColumn>
    <tableColumn id="13" name="客单&#10;价格($)" dataDxfId="126" totalsRowFunction="average">
      <calculatedColumnFormula>E4/D4</calculatedColumnFormula>
    </tableColumn>
    <tableColumn id="14" name="销售&#10;均价($)" dataDxfId="127" totalsRowFunction="average">
      <calculatedColumnFormula>E4/C4</calculatedColumnFormula>
    </tableColumn>
    <tableColumn id="51" name="日均&#10;销量" dataDxfId="128" totalsRowFunction="average">
      <calculatedColumnFormula>G4/7</calculatedColumnFormula>
    </tableColumn>
    <tableColumn id="15" name="自然&#10;订单" dataDxfId="129" totalsRowFunction="sum">
      <calculatedColumnFormula>D4-Y4</calculatedColumnFormula>
    </tableColumn>
    <tableColumn id="16" name="自然单&#10;占比(%)" dataDxfId="130" totalsRowFunction="custom">
      <calculatedColumnFormula>T4/D4</calculatedColumnFormula>
      <totalsRowFormula>T78/D78</totalsRowFormula>
    </tableColumn>
    <tableColumn id="17" name="TAcos&#10;(%)" dataDxfId="131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32" totalsRowFunction="custom">
      <calculatedColumnFormula>Z4/AA4</calculatedColumnFormula>
      <totalsRowFormula>Z78/AA78</totalsRowFormula>
    </tableColumn>
    <tableColumn id="25" name="CTR(%)" dataDxfId="133" totalsRowFunction="custom">
      <calculatedColumnFormula>X4/W4</calculatedColumnFormula>
      <totalsRowFormula>X78/W78</totalsRowFormula>
    </tableColumn>
    <tableColumn id="26" name="CVR(%)" dataDxfId="134" totalsRowFunction="custom">
      <calculatedColumnFormula>Y4/X4</calculatedColumnFormula>
      <totalsRowFormula>Y78/X78</totalsRowFormula>
    </tableColumn>
    <tableColumn id="27" name="CPS(%)" dataDxfId="135" totalsRowFunction="custom">
      <calculatedColumnFormula>Z4/Y4</calculatedColumnFormula>
      <totalsRowFormula>Z78/Y78</totalsRowFormula>
    </tableColumn>
    <tableColumn id="28" name="w/oHandle AL" totalsRowFunction="sum"/>
    <tableColumn id="29" name="w/Handle AL" totalsRowFunction="sum"/>
    <tableColumn id="57" name="w/oHandle ZN" dataDxfId="136" totalsRowFunction="sum"/>
    <tableColumn id="58" name="w/Handle ZN" dataDxfId="137" totalsRowFunction="sum"/>
    <tableColumn id="30" name="产品成本" dataDxfId="138" totalsRowFunction="sum">
      <calculatedColumnFormula>AG4*产品成本!$D$11+AH4*产品成本!$D$12+AI4*产品成本!$D$13+AJ4*产品成本!$D$14</calculatedColumnFormula>
    </tableColumn>
    <tableColumn id="31" name="头程" dataDxfId="139" totalsRowFunction="sum">
      <calculatedColumnFormula>AG4*产品成本!$E$11+AH4*产品成本!$E$12+AI4*产品成本!$E$13+AJ4*产品成本!$E$14</calculatedColumnFormula>
    </tableColumn>
    <tableColumn id="32" name="入仓费" dataDxfId="140" totalsRowFunction="sum">
      <calculatedColumnFormula>AG4*产品成本!$F$11+AH4*产品成本!$F$12+AI4*产品成本!$F$13+AJ4*产品成本!$F$14</calculatedColumnFormula>
    </tableColumn>
    <tableColumn id="33" name="FBA物流" dataDxfId="141" totalsRowFunction="sum">
      <calculatedColumnFormula>AG4*产品成本!$G$11+AH4*产品成本!$G$12+AI4*产品成本!$G$13+AJ4*产品成本!$G$14</calculatedColumnFormula>
    </tableColumn>
    <tableColumn id="34" name="佣金" dataDxfId="142" totalsRowFunction="sum">
      <calculatedColumnFormula>(E4-I4)*0.15</calculatedColumnFormula>
    </tableColumn>
    <tableColumn id="35" name="成本小结" dataDxfId="143" totalsRowFunction="sum">
      <calculatedColumnFormula>SUM(AK4:AO4)</calculatedColumnFormula>
    </tableColumn>
    <tableColumn id="36" name="退款w/oHandle AL" totalsRowFunction="sum"/>
    <tableColumn id="37" name="退款w/Handle AL" totalsRowFunction="sum"/>
    <tableColumn id="59" name="退款w/oHandle ZN" totalsRowFunction="sum"/>
    <tableColumn id="60" name="退款w/Handle ZN" totalsRowFunction="sum"/>
    <tableColumn id="38" name="退款&#10;销售金额" dataDxfId="144" totalsRowFunction="sum">
      <calculatedColumnFormula>L4/(1-0.15-0.15*0.2)</calculatedColumnFormula>
    </tableColumn>
    <tableColumn id="39" name="退款&#10;产品成本" dataDxfId="145" totalsRowFunction="sum">
      <calculatedColumnFormula>AQ4*产品成本!$D$11+AR4*产品成本!$D$12+AS4*产品成本!$D$13+AT4*产品成本!$D$14</calculatedColumnFormula>
    </tableColumn>
    <tableColumn id="40" name="退款头程" dataDxfId="146" totalsRowFunction="sum">
      <calculatedColumnFormula>AQ4*产品成本!$E$11+AR4*产品成本!$E$12+AS4*产品成本!$E$13+AT4*产品成本!$E$14</calculatedColumnFormula>
    </tableColumn>
    <tableColumn id="41" name="退款&#10;入仓费" dataDxfId="147" totalsRowFunction="sum">
      <calculatedColumnFormula>AQ4*产品成本!$F$11+AR4*产品成本!$F$12+AS4*产品成本!$F$13+AT4*产品成本!$F$14</calculatedColumnFormula>
    </tableColumn>
    <tableColumn id="42" name="退款&#10;FBA物流" totalsRowFunction="sum"/>
    <tableColumn id="43" name="退款佣金" dataDxfId="148" totalsRowFunction="sum">
      <calculatedColumnFormula>AU4*0.15</calculatedColumnFormula>
    </tableColumn>
    <tableColumn id="44" name="退款&#10;管理费用&#10;佣金的20%" dataDxfId="149" totalsRowFunction="sum">
      <calculatedColumnFormula>-AZ4*0.2</calculatedColumnFormula>
    </tableColumn>
    <tableColumn id="45" name="退款&#10;成本小结" dataDxfId="150" totalsRowFunction="sum">
      <calculatedColumnFormula>SUM(AV4:BA4)</calculatedColumnFormula>
    </tableColumn>
    <tableColumn id="46" name="净成本" dataDxfId="151" totalsRowFunction="sum">
      <calculatedColumnFormula>AP4-BB4</calculatedColumnFormula>
    </tableColumn>
    <tableColumn id="56" name="净销售额" dataDxfId="152" totalsRowFunction="sum">
      <calculatedColumnFormula>E4-I4</calculatedColumnFormula>
    </tableColumn>
    <tableColumn id="47" name="净销售额&#10;(-退款金额)" dataDxfId="153" totalsRowFunction="sum">
      <calculatedColumnFormula>E4-AU4-I4</calculatedColumnFormula>
    </tableColumn>
    <tableColumn id="48" name="毛利" dataDxfId="154" totalsRowFunction="sum">
      <calculatedColumnFormula>BE4-BC4-Z4</calculatedColumnFormula>
    </tableColumn>
    <tableColumn id="49" name="毛利率" dataDxfId="155" totalsRowFunction="average">
      <calculatedColumnFormula>BF4/BE4</calculatedColumnFormula>
    </tableColumn>
    <tableColumn id="61" name="BSR"/>
    <tableColumn id="50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id="13" name="表3_3914" displayName="表3_3914" ref="A3:BF66" totalsRowCount="1">
  <tableColumns count="58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56" totalsRowFunction="sum"/>
    <tableColumn id="54" name="促销订单量" dataDxfId="15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58" totalsRowFunction="custom">
      <calculatedColumnFormula>J4/C4</calculatedColumnFormula>
      <totalsRowFormula>J66/C66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59" totalsRowFunction="average">
      <calculatedColumnFormula>C4/D4</calculatedColumnFormula>
    </tableColumn>
    <tableColumn id="13" name="客单&#10;价格($)" dataDxfId="160" totalsRowFunction="average">
      <calculatedColumnFormula>E4/D4</calculatedColumnFormula>
    </tableColumn>
    <tableColumn id="14" name="销售&#10;均价($)" dataDxfId="161" totalsRowFunction="average">
      <calculatedColumnFormula>E4/C4</calculatedColumnFormula>
    </tableColumn>
    <tableColumn id="52" name="日均&#10;销量" dataDxfId="162" totalsRowFunction="average">
      <calculatedColumnFormula>C4/7</calculatedColumnFormula>
    </tableColumn>
    <tableColumn id="15" name="自然&#10;订单" dataDxfId="163" totalsRowFunction="sum">
      <calculatedColumnFormula>D4-Y4</calculatedColumnFormula>
    </tableColumn>
    <tableColumn id="16" name="自然单&#10;占比(%)" dataDxfId="164" totalsRowFunction="custom">
      <calculatedColumnFormula>T4/D4</calculatedColumnFormula>
      <totalsRowFormula>T66/D66</totalsRowFormula>
    </tableColumn>
    <tableColumn id="17" name="TAcos&#10;(%)" dataDxfId="165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66" totalsRowFunction="custom">
      <calculatedColumnFormula>Z4/AA4</calculatedColumnFormula>
      <totalsRowFormula>Z66/AA66</totalsRowFormula>
    </tableColumn>
    <tableColumn id="25" name="CTR(%)" dataDxfId="167" totalsRowFunction="custom">
      <calculatedColumnFormula>X4/W4</calculatedColumnFormula>
      <totalsRowFormula>X66/W66</totalsRowFormula>
    </tableColumn>
    <tableColumn id="26" name="CVR(%)" dataDxfId="168" totalsRowFunction="custom">
      <calculatedColumnFormula>Y4/X4</calculatedColumnFormula>
      <totalsRowFormula>Y66/X66</totalsRowFormula>
    </tableColumn>
    <tableColumn id="27" name="CPS(%)" dataDxfId="169" totalsRowFunction="custom">
      <calculatedColumnFormula>Z4/Y4</calculatedColumnFormula>
      <totalsRowFormula>Z66/Y66</totalsRowFormula>
    </tableColumn>
    <tableColumn id="28" name="3FT" totalsRowFunction="sum"/>
    <tableColumn id="29" name="6FT" totalsRowFunction="sum"/>
    <tableColumn id="30" name="产品成本" dataDxfId="170" totalsRowFunction="sum">
      <calculatedColumnFormula>AG4*产品成本!$D$15+AH4*产品成本!$D$16</calculatedColumnFormula>
    </tableColumn>
    <tableColumn id="31" name="头程" dataDxfId="171" totalsRowFunction="sum">
      <calculatedColumnFormula>AG4*产品成本!$E$15+AH4*产品成本!$E$16</calculatedColumnFormula>
    </tableColumn>
    <tableColumn id="32" name="入仓费" dataDxfId="172" totalsRowFunction="sum">
      <calculatedColumnFormula>AG4*产品成本!$F$15+AH4*产品成本!$F$16</calculatedColumnFormula>
    </tableColumn>
    <tableColumn id="33" name="FBA物流" dataDxfId="173" totalsRowFunction="sum">
      <calculatedColumnFormula>AG4*产品成本!$G$15+AH4*产品成本!$G$16</calculatedColumnFormula>
    </tableColumn>
    <tableColumn id="34" name="佣金" dataDxfId="174" totalsRowFunction="sum">
      <calculatedColumnFormula>(E4-I4)*0.15</calculatedColumnFormula>
    </tableColumn>
    <tableColumn id="35" name="成本小结" dataDxfId="175" totalsRowFunction="sum">
      <calculatedColumnFormula>SUM(AI4:AM4)</calculatedColumnFormula>
    </tableColumn>
    <tableColumn id="36" name="退款3FT" totalsRowFunction="sum"/>
    <tableColumn id="37" name="退款6FT" totalsRowFunction="sum"/>
    <tableColumn id="38" name="退款&#10;销售金额" dataDxfId="176" totalsRowFunction="sum">
      <calculatedColumnFormula>L4/(1-0.15-0.15*0.2)</calculatedColumnFormula>
    </tableColumn>
    <tableColumn id="39" name="退款&#10;产品成本" dataDxfId="177" totalsRowFunction="sum">
      <calculatedColumnFormula>AO4*产品成本!$D$15+AP4*产品成本!$D$16</calculatedColumnFormula>
    </tableColumn>
    <tableColumn id="40" name="退款头程" dataDxfId="178" totalsRowFunction="sum">
      <calculatedColumnFormula>AO4*产品成本!$E$15+AP4*产品成本!$E$16</calculatedColumnFormula>
    </tableColumn>
    <tableColumn id="41" name="退款&#10;入仓费" dataDxfId="179" totalsRowFunction="sum">
      <calculatedColumnFormula>AO4*产品成本!$F$15+AP4*产品成本!$F$16</calculatedColumnFormula>
    </tableColumn>
    <tableColumn id="42" name="退款&#10;FBA物流" totalsRowFunction="sum"/>
    <tableColumn id="43" name="退款佣金" dataDxfId="180" totalsRowFunction="sum">
      <calculatedColumnFormula>AQ4*0.15</calculatedColumnFormula>
    </tableColumn>
    <tableColumn id="44" name="退款&#10;管理费用&#10;佣金的20%" dataDxfId="181" totalsRowFunction="sum">
      <calculatedColumnFormula>-AV4*0.2</calculatedColumnFormula>
    </tableColumn>
    <tableColumn id="45" name="退款&#10;成本小结" dataDxfId="182" totalsRowFunction="sum">
      <calculatedColumnFormula>SUM(AR4:AW4)</calculatedColumnFormula>
    </tableColumn>
    <tableColumn id="46" name="净成本" totalsRowFunction="sum">
      <calculatedColumnFormula>#REF!-#REF!</calculatedColumnFormula>
    </tableColumn>
    <tableColumn id="57" name="净销售额" dataDxfId="183" totalsRowFunction="sum">
      <calculatedColumnFormula>E4-I4</calculatedColumnFormula>
    </tableColumn>
    <tableColumn id="47" name="净销售额&#10;(-退款金额)" dataDxfId="184" totalsRowFunction="sum">
      <calculatedColumnFormula>E4-AQ4-I4</calculatedColumnFormula>
    </tableColumn>
    <tableColumn id="48" name="毛利" dataDxfId="185" totalsRowFunction="sum">
      <calculatedColumnFormula>BA4-AY4-Z4</calculatedColumnFormula>
    </tableColumn>
    <tableColumn id="49" name="毛利率" totalsRowFunction="average">
      <calculatedColumnFormula>#REF!/#REF!</calculatedColumnFormula>
    </tableColumn>
    <tableColumn id="58" name="BSR"/>
    <tableColumn id="50" name="备注" totalsRowLabel="B0DPL8PXC5 B0DPL8PXC5"/>
    <tableColumn id="51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id="9" name="表3_391410" displayName="表3_391410" ref="A3:BE57" totalsRowCount="1">
  <tableColumns count="57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53" name="促销销量" dataDxfId="186" totalsRowFunction="sum"/>
    <tableColumn id="54" name="促销订单量" dataDxfId="187" totalsRowFunction="sum"/>
    <tableColumn id="55" name="促销销售额" totalsRowFunction="sum"/>
    <tableColumn id="56" name="促销折扣" totalsRowFunction="sum"/>
    <tableColumn id="6" name="退款量" totalsRowFunction="sum"/>
    <tableColumn id="7" name="退款率" dataDxfId="188" totalsRowFunction="custom">
      <calculatedColumnFormula>J4/C4</calculatedColumnFormula>
      <totalsRowFormula>J57/C57</totalsRowFormula>
    </tableColumn>
    <tableColumn id="8" name="退款金额" totalsRowFunction="sum"/>
    <tableColumn id="9" name="销量环比">
      <calculatedColumnFormula>(#REF!-C3)/C3</calculatedColumnFormula>
    </tableColumn>
    <tableColumn id="10" name="订单环比">
      <calculatedColumnFormula>(#REF!-D3)/D3</calculatedColumnFormula>
    </tableColumn>
    <tableColumn id="11" name="销售额环比">
      <calculatedColumnFormula>(#REF!-E3)/E3</calculatedColumnFormula>
    </tableColumn>
    <tableColumn id="12" name="客单&#10;销量" dataDxfId="189" totalsRowFunction="average">
      <calculatedColumnFormula>C4/D4</calculatedColumnFormula>
    </tableColumn>
    <tableColumn id="13" name="客单&#10;价格($)" dataDxfId="190" totalsRowFunction="average">
      <calculatedColumnFormula>E4/D4</calculatedColumnFormula>
    </tableColumn>
    <tableColumn id="14" name="销售&#10;均价($)" dataDxfId="191" totalsRowFunction="average">
      <calculatedColumnFormula>E4/C4</calculatedColumnFormula>
    </tableColumn>
    <tableColumn id="52" name="日均&#10;销量" dataDxfId="192" totalsRowFunction="average">
      <calculatedColumnFormula>G4/7</calculatedColumnFormula>
    </tableColumn>
    <tableColumn id="15" name="自然&#10;订单" totalsRowFunction="sum">
      <calculatedColumnFormula>#REF!-#REF!</calculatedColumnFormula>
    </tableColumn>
    <tableColumn id="16" name="自然单&#10;占比(%)" dataDxfId="193" totalsRowFunction="custom">
      <calculatedColumnFormula>T4/D4</calculatedColumnFormula>
      <totalsRowFormula>T57/D57</totalsRowFormula>
    </tableColumn>
    <tableColumn id="17" name="TAcos&#10;(%)" dataDxfId="194" totalsRowFunction="average">
      <calculatedColumnFormula>Z4/(E4-I4)</calculatedColumnFormula>
    </tableColumn>
    <tableColumn id="18" name="展示" totalsRowFunction="sum"/>
    <tableColumn id="19" name="点击" totalsRowFunction="sum"/>
    <tableColumn id="20" name="广告订单量" totalsRowFunction="sum"/>
    <tableColumn id="21" name="广告花费" totalsRowFunction="sum"/>
    <tableColumn id="22" name="广告销售额" totalsRowFunction="sum"/>
    <tableColumn id="23" name="CPC" totalsRowFunction="average"/>
    <tableColumn id="24" name="Acos(%)" dataDxfId="195" totalsRowFunction="custom">
      <calculatedColumnFormula>Z4/AA4</calculatedColumnFormula>
      <totalsRowFormula>Z57/AA57</totalsRowFormula>
    </tableColumn>
    <tableColumn id="25" name="CTR(%)" dataDxfId="196" totalsRowFunction="custom">
      <calculatedColumnFormula>X4/W4</calculatedColumnFormula>
      <totalsRowFormula>X57/W57</totalsRowFormula>
    </tableColumn>
    <tableColumn id="26" name="CVR(%)" dataDxfId="197" totalsRowFunction="custom">
      <calculatedColumnFormula>Y4/X4</calculatedColumnFormula>
      <totalsRowFormula>Y57/X57</totalsRowFormula>
    </tableColumn>
    <tableColumn id="27" name="CPS(%)" dataDxfId="198" totalsRowFunction="custom">
      <calculatedColumnFormula>Z4/Y4</calculatedColumnFormula>
      <totalsRowFormula>Z57/Y57</totalsRowFormula>
    </tableColumn>
    <tableColumn id="28" name="AL" totalsRowFunction="sum"/>
    <tableColumn id="29" name="ZN" totalsRowFunction="sum"/>
    <tableColumn id="30" name="产品成本" dataDxfId="199" totalsRowFunction="sum">
      <calculatedColumnFormula>AG4*产品成本!$D$17+AH4*产品成本!$D$18</calculatedColumnFormula>
    </tableColumn>
    <tableColumn id="31" name="头程" dataDxfId="200" totalsRowFunction="sum">
      <calculatedColumnFormula>AG4*产品成本!$E$17+AH4*产品成本!$E$18</calculatedColumnFormula>
    </tableColumn>
    <tableColumn id="32" name="入仓费" dataDxfId="201" totalsRowFunction="sum">
      <calculatedColumnFormula>AG4*产品成本!$F$17+AH4*产品成本!$F$18</calculatedColumnFormula>
    </tableColumn>
    <tableColumn id="33" name="FBA物流" dataDxfId="202" totalsRowFunction="sum">
      <calculatedColumnFormula>AG4*产品成本!$G$17+AH4*产品成本!$G$18</calculatedColumnFormula>
    </tableColumn>
    <tableColumn id="34" name="佣金" dataDxfId="203" totalsRowFunction="sum">
      <calculatedColumnFormula>(E4-I4)*0.15</calculatedColumnFormula>
    </tableColumn>
    <tableColumn id="35" name="成本小结" dataDxfId="204" totalsRowFunction="sum">
      <calculatedColumnFormula>SUM(AI4:AM4)</calculatedColumnFormula>
    </tableColumn>
    <tableColumn id="36" name="退款AL" totalsRowFunction="sum"/>
    <tableColumn id="37" name="退款ZN" totalsRowFunction="sum"/>
    <tableColumn id="38" name="退款&#10;销售金额" dataDxfId="205" totalsRowFunction="sum">
      <calculatedColumnFormula>AO4*产品成本!$D$17+AP4*产品成本!$D$18</calculatedColumnFormula>
    </tableColumn>
    <tableColumn id="39" name="退款&#10;产品成本" dataDxfId="206" totalsRowFunction="sum">
      <calculatedColumnFormula>AO4*产品成本!$E$17+AP4*产品成本!$E$18</calculatedColumnFormula>
    </tableColumn>
    <tableColumn id="40" name="退款头程" dataDxfId="207" totalsRowFunction="sum">
      <calculatedColumnFormula>AO4*产品成本!$F$17+AP4*产品成本!$F$18</calculatedColumnFormula>
    </tableColumn>
    <tableColumn id="41" name="退款&#10;入仓费" dataDxfId="208" totalsRowFunction="sum">
      <calculatedColumnFormula>AO4*产品成本!$G$17+AP4*产品成本!$G$18</calculatedColumnFormula>
    </tableColumn>
    <tableColumn id="42" name="退款&#10;FBA物流" totalsRowFunction="sum"/>
    <tableColumn id="43" name="退款佣金" dataDxfId="209" totalsRowFunction="sum">
      <calculatedColumnFormula>AQ4*0.15</calculatedColumnFormula>
    </tableColumn>
    <tableColumn id="44" name="退款&#10;管理费用&#10;佣金的20%" dataDxfId="210" totalsRowFunction="sum">
      <calculatedColumnFormula>-AV4*0.2</calculatedColumnFormula>
    </tableColumn>
    <tableColumn id="45" name="退款&#10;成本小结" totalsRowFunction="sum">
      <calculatedColumnFormula>SUM(#REF!)</calculatedColumnFormula>
    </tableColumn>
    <tableColumn id="46" name="净成本" totalsRowFunction="sum">
      <calculatedColumnFormula>#REF!-#REF!</calculatedColumnFormula>
    </tableColumn>
    <tableColumn id="57" name="净销售额" dataDxfId="211" totalsRowFunction="var">
      <calculatedColumnFormula>E4-I4</calculatedColumnFormula>
    </tableColumn>
    <tableColumn id="47" name="净销售额&#10;(-退款金额)" dataDxfId="212" totalsRowFunction="sum">
      <calculatedColumnFormula>E4-AQ4-I4</calculatedColumnFormula>
    </tableColumn>
    <tableColumn id="48" name="毛利" totalsRowFunction="sum">
      <calculatedColumnFormula>#REF!-#REF!-#REF!</calculatedColumnFormula>
    </tableColumn>
    <tableColumn id="49" name="毛利率" totalsRowFunction="average">
      <calculatedColumnFormula>#REF!/#REF!</calculatedColumnFormula>
    </tableColumn>
    <tableColumn id="50" name="备注" totalsRowLabel="24.20/19.69,0402-0430,整体10%off 划线价"/>
    <tableColumn id="51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id="15" name="表3_39141016" displayName="表3_39141016" ref="A3:BG44" totalsRowCount="1">
  <tableColumns count="59">
    <tableColumn id="1" name="日期" totalsRowLabel="汇总"/>
    <tableColumn id="2" name="周数"/>
    <tableColumn id="3" name="销量" totalsRowFunction="sum"/>
    <tableColumn id="4" name="订单量" totalsRowFunction="sum"/>
    <tableColumn id="5" name="销售额" totalsRowFunction="sum"/>
    <tableColumn id="6" name="促销销量" totalsRowFunction="sum"/>
    <tableColumn id="7" name="促销订单量" totalsRowFunction="sum"/>
    <tableColumn id="8" name="促销销售额" totalsRowFunction="sum"/>
    <tableColumn id="9" name="促销折扣" totalsRowFunction="sum"/>
    <tableColumn id="10" name="退款量" totalsRowFunction="sum"/>
    <tableColumn id="11" name="退款率" totalsRowFunction="custom">
      <calculatedColumnFormula>J6/C6</calculatedColumnFormula>
      <totalsRowFormula>J44/C44</totalsRowFormula>
    </tableColumn>
    <tableColumn id="12" name="退款金额" totalsRowFunction="sum"/>
    <tableColumn id="13" name="销量环比">
      <calculatedColumnFormula>(#REF!-C3)/C3</calculatedColumnFormula>
    </tableColumn>
    <tableColumn id="14" name="订单环比">
      <calculatedColumnFormula>(#REF!-D3)/D3</calculatedColumnFormula>
    </tableColumn>
    <tableColumn id="15" name="销售额环比">
      <calculatedColumnFormula>(#REF!-E3)/E3</calculatedColumnFormula>
    </tableColumn>
    <tableColumn id="16" name="客单&#10;销量" totalsRowFunction="average">
      <calculatedColumnFormula>#REF!/#REF!</calculatedColumnFormula>
    </tableColumn>
    <tableColumn id="17" name="客单&#10;价格($)" totalsRowFunction="average">
      <calculatedColumnFormula>#REF!/#REF!</calculatedColumnFormula>
    </tableColumn>
    <tableColumn id="18" name="销售&#10;均价($)" dataDxfId="213" totalsRowFunction="average">
      <calculatedColumnFormula>#REF!/#REF!</calculatedColumnFormula>
    </tableColumn>
    <tableColumn id="19" name="日均&#10;销量" totalsRowFunction="average">
      <calculatedColumnFormula>#REF!/7</calculatedColumnFormula>
    </tableColumn>
    <tableColumn id="20" name="自然&#10;订单" totalsRowFunction="sum">
      <calculatedColumnFormula>#REF!-#REF!</calculatedColumnFormula>
    </tableColumn>
    <tableColumn id="21" name="自然单&#10;占比(%)" totalsRowFunction="custom">
      <calculatedColumnFormula>#REF!/#REF!</calculatedColumnFormula>
      <totalsRowFormula>T44/D44</totalsRowFormula>
    </tableColumn>
    <tableColumn id="22" name="TAcos&#10;(%)" dataDxfId="214" totalsRowFunction="average">
      <calculatedColumnFormula>#REF!/(#REF!-#REF!)</calculatedColumnFormula>
    </tableColumn>
    <tableColumn id="23" name="展示" totalsRowFunction="sum"/>
    <tableColumn id="24" name="点击" totalsRowFunction="sum"/>
    <tableColumn id="25" name="广告订单量" totalsRowFunction="sum"/>
    <tableColumn id="26" name="广告花费" totalsRowFunction="sum"/>
    <tableColumn id="27" name="广告销售额" totalsRowFunction="sum"/>
    <tableColumn id="28" name="CPC" totalsRowFunction="average"/>
    <tableColumn id="29" name="Acos(%)" totalsRowFunction="custom">
      <calculatedColumnFormula>Z6/AA6</calculatedColumnFormula>
      <totalsRowFormula>Z44/AA44</totalsRowFormula>
    </tableColumn>
    <tableColumn id="30" name="CTR(%)" dataDxfId="215" totalsRowFunction="custom">
      <calculatedColumnFormula>X4/W4</calculatedColumnFormula>
      <totalsRowFormula>X44/W44</totalsRowFormula>
    </tableColumn>
    <tableColumn id="31" name="CVR(%)" dataDxfId="216" totalsRowFunction="custom">
      <calculatedColumnFormula>Y4/X4</calculatedColumnFormula>
      <totalsRowFormula>Y44/X44</totalsRowFormula>
    </tableColumn>
    <tableColumn id="32" name="CPS(%)" dataDxfId="217" totalsRowFunction="custom">
      <calculatedColumnFormula>Z4/Y4</calculatedColumnFormula>
      <totalsRowFormula>Z44/Y44</totalsRowFormula>
    </tableColumn>
    <tableColumn id="33" name="SFM 1" totalsRowFunction="sum"/>
    <tableColumn id="58" name="SFM 2" totalsRowFunction="sum"/>
    <tableColumn id="34" name="SFM 3" totalsRowFunction="sum"/>
    <tableColumn id="35" name="产品成本" dataDxfId="218" totalsRowFunction="sum">
      <calculatedColumnFormula>AG4*产品成本!$D$19+AH4*产品成本!$D$20+AI4*产品成本!$D$21</calculatedColumnFormula>
    </tableColumn>
    <tableColumn id="36" name="头程" dataDxfId="219" totalsRowFunction="sum">
      <calculatedColumnFormula>AG4*产品成本!$E$19+AH4*产品成本!$E$20+AI4*产品成本!$E$21</calculatedColumnFormula>
    </tableColumn>
    <tableColumn id="37" name="入仓费" dataDxfId="220" totalsRowFunction="sum">
      <calculatedColumnFormula>AG4*产品成本!$F$19+AH4*产品成本!$F$20+AI4*产品成本!$F$21</calculatedColumnFormula>
    </tableColumn>
    <tableColumn id="38" name="FBA物流" dataDxfId="221" totalsRowFunction="sum">
      <calculatedColumnFormula>AG4*产品成本!$G$19+AH4*产品成本!$G$20+AI4*产品成本!$G$21</calculatedColumnFormula>
    </tableColumn>
    <tableColumn id="39" name="佣金" dataDxfId="222" totalsRowFunction="sum">
      <calculatedColumnFormula>(E4-I4)*0.15</calculatedColumnFormula>
    </tableColumn>
    <tableColumn id="40" name="成本小结" dataDxfId="223" totalsRowFunction="sum">
      <calculatedColumnFormula>SUM(AJ4:AN4)</calculatedColumnFormula>
    </tableColumn>
    <tableColumn id="41" name="退款SFM 1" totalsRowFunction="sum"/>
    <tableColumn id="59" name="退款SFM 2" totalsRowFunction="sum"/>
    <tableColumn id="42" name="退款SFM 3" totalsRowFunction="sum"/>
    <tableColumn id="43" name="退款&#10;销售金额" dataDxfId="224" totalsRowFunction="sum">
      <calculatedColumnFormula>L4/(1-0.15-0.15*0.2)</calculatedColumnFormula>
    </tableColumn>
    <tableColumn id="44" name="退款&#10;产品成本" dataDxfId="225" totalsRowFunction="sum">
      <calculatedColumnFormula>AP6*产品成本!$D$19+AQ6*产品成本!$D$20+AR6*产品成本!$D$21</calculatedColumnFormula>
    </tableColumn>
    <tableColumn id="45" name="退款头程" dataDxfId="226" totalsRowFunction="sum">
      <calculatedColumnFormula>AP6*产品成本!$E$19+AQ6*产品成本!$E$20+AR6*产品成本!$E$21</calculatedColumnFormula>
    </tableColumn>
    <tableColumn id="46" name="退款&#10;入仓费" dataDxfId="227" totalsRowFunction="sum">
      <calculatedColumnFormula>AP6*产品成本!$F$19+AQ6*产品成本!$F$20+AR6*产品成本!$F$21</calculatedColumnFormula>
    </tableColumn>
    <tableColumn id="47" name="退款&#10;FBA物流" dataDxfId="228" totalsRowFunction="sum">
      <calculatedColumnFormula>AP6*产品成本!$G$19+AQ6*产品成本!$G$20+AR6*产品成本!$G$21</calculatedColumnFormula>
    </tableColumn>
    <tableColumn id="48" name="退款佣金" dataDxfId="229" totalsRowFunction="sum">
      <calculatedColumnFormula>AS6*0.15</calculatedColumnFormula>
    </tableColumn>
    <tableColumn id="49" name="退款&#10;管理费用&#10;佣金的20%" dataDxfId="230" totalsRowFunction="sum">
      <calculatedColumnFormula>-AX6*0.2</calculatedColumnFormula>
    </tableColumn>
    <tableColumn id="50" name="退款&#10;成本小结" totalsRowFunction="sum">
      <calculatedColumnFormula>SUM(AT6:AY6)</calculatedColumnFormula>
    </tableColumn>
    <tableColumn id="51" name="净成本" dataDxfId="231" totalsRowFunction="sum">
      <calculatedColumnFormula>AO6-AZ6</calculatedColumnFormula>
    </tableColumn>
    <tableColumn id="52" name="净销售额" totalsRowFunction="var">
      <calculatedColumnFormula>E6-I6</calculatedColumnFormula>
    </tableColumn>
    <tableColumn id="53" name="净销售额&#10;(-退款金额)" dataDxfId="232" totalsRowFunction="sum">
      <calculatedColumnFormula>E4-AS4-I4</calculatedColumnFormula>
    </tableColumn>
    <tableColumn id="54" name="毛利" dataDxfId="233" totalsRowFunction="sum">
      <calculatedColumnFormula>BC4-BA4-Z4</calculatedColumnFormula>
    </tableColumn>
    <tableColumn id="55" name="毛利率" totalsRowFunction="average">
      <calculatedColumnFormula>BD6/BC6</calculatedColumnFormula>
    </tableColumn>
    <tableColumn id="56" name="备注" dataDxfId="234"/>
    <tableColumn id="57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id="11" name="表3_3212" displayName="表3_3212" ref="A3:X75" totalsRowCount="1">
  <tableColumns count="24">
    <tableColumn id="1" name="日期" totalsRowLabel="汇总"/>
    <tableColumn id="2" name="周数"/>
    <tableColumn id="3" name="销量" totalsRowFunction="custom">
      <calculatedColumnFormula>SL!C4</calculatedColumnFormula>
      <totalsRowFormula>SL!C78</totalsRowFormula>
    </tableColumn>
    <tableColumn id="4" name="订单量" totalsRowFunction="sum">
      <calculatedColumnFormula>SL!D4</calculatedColumnFormula>
    </tableColumn>
    <tableColumn id="5" name="销售额" totalsRowFunction="custom">
      <calculatedColumnFormula>SL!E4</calculatedColumnFormula>
      <totalsRowFormula>SL!E78</totalsRowFormula>
    </tableColumn>
    <tableColumn id="6" name="Sessions-Browser" totalsRowFunction="sum"/>
    <tableColumn id="7" name="Sessions-Mobile" totalsRowFunction="sum"/>
    <tableColumn id="8" name="Sessions-Total" totalsRowFunction="sum"/>
    <tableColumn id="9" name="PV-Browser" totalsRowFunction="sum">
      <calculatedColumnFormula>D4-P4</calculatedColumnFormula>
    </tableColumn>
    <tableColumn id="10" name="PV-Mobile" totalsRowFunction="sum"/>
    <tableColumn id="11" name="PV-Total" totalsRowFunction="average"/>
    <tableColumn id="12" name="CVR" dataDxfId="235" totalsRowFunction="custom">
      <calculatedColumnFormula>D4/H4</calculatedColumnFormula>
      <totalsRowFormula>D75/H75</totalsRowFormula>
    </tableColumn>
    <tableColumn id="13" name="TAcos" dataDxfId="236" totalsRowFunction="custom">
      <calculatedColumnFormula>Q4/E4</calculatedColumnFormula>
      <totalsRowFormula>Q75/E75</totalsRowFormula>
    </tableColumn>
    <tableColumn id="14" name="展示" totalsRowFunction="sum">
      <calculatedColumnFormula>SL!W4</calculatedColumnFormula>
    </tableColumn>
    <tableColumn id="15" name="点击" totalsRowFunction="sum">
      <calculatedColumnFormula>SL!X4</calculatedColumnFormula>
    </tableColumn>
    <tableColumn id="16" name="广告订单量" totalsRowFunction="sum">
      <calculatedColumnFormula>SL!Y4</calculatedColumnFormula>
    </tableColumn>
    <tableColumn id="17" name="广告花费" totalsRowFunction="sum">
      <calculatedColumnFormula>SL!Z4</calculatedColumnFormula>
    </tableColumn>
    <tableColumn id="18" name="广告销售额" totalsRowFunction="sum">
      <calculatedColumnFormula>SL!AA4</calculatedColumnFormula>
    </tableColumn>
    <tableColumn id="19" name="CPC" totalsRowFunction="average">
      <calculatedColumnFormula>SL!AB4</calculatedColumnFormula>
    </tableColumn>
    <tableColumn id="20" name="Acos(%)" dataDxfId="237" totalsRowFunction="custom">
      <calculatedColumnFormula>Q4/R4</calculatedColumnFormula>
      <totalsRowFormula>Q75/R75</totalsRowFormula>
    </tableColumn>
    <tableColumn id="21" name="CTR(%)" dataDxfId="238" totalsRowFunction="custom">
      <calculatedColumnFormula>O4/N4</calculatedColumnFormula>
      <totalsRowFormula>O75/N75</totalsRowFormula>
    </tableColumn>
    <tableColumn id="22" name="CVR(%)" dataDxfId="239" totalsRowFunction="custom">
      <calculatedColumnFormula>P4/O4</calculatedColumnFormula>
      <totalsRowFormula>P75/O75</totalsRowFormula>
    </tableColumn>
    <tableColumn id="23" name="CPS(%)" dataDxfId="240" totalsRowFunction="custom">
      <calculatedColumnFormula>Q4/P4</calculatedColumnFormula>
      <totalsRowFormula>Q75/P75</totalsRowFormula>
    </tableColumn>
    <tableColumn id="24" name="平均CVR" dataDxfId="241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id="3" name="表3_3254" displayName="表3_3254" ref="A3:W75" totalsRowCount="1">
  <tableColumns count="23">
    <tableColumn id="1" name="日期" totalsRowLabel="汇总"/>
    <tableColumn id="2" name="周数"/>
    <tableColumn id="3" name="销量" totalsRowFunction="sum">
      <calculatedColumnFormula>Toy!C4</calculatedColumnFormula>
    </tableColumn>
    <tableColumn id="4" name="订单量" totalsRowFunction="sum">
      <calculatedColumnFormula>Toy!D4</calculatedColumnFormula>
    </tableColumn>
    <tableColumn id="5" name="销售额" totalsRowFunction="sum">
      <calculatedColumnFormula>Toy!E4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42" totalsRowFunction="average">
      <calculatedColumnFormula>D4/H4</calculatedColumnFormula>
    </tableColumn>
    <tableColumn id="13" name="TAcos" dataDxfId="243" totalsRowFunction="custom">
      <calculatedColumnFormula>Q4/E4</calculatedColumnFormula>
      <totalsRowFormula>Q75/E75</totalsRowFormula>
    </tableColumn>
    <tableColumn id="14" name="展示" totalsRowFunction="sum">
      <calculatedColumnFormula>Toy!W4</calculatedColumnFormula>
    </tableColumn>
    <tableColumn id="15" name="点击" totalsRowFunction="sum">
      <calculatedColumnFormula>Toy!X4</calculatedColumnFormula>
    </tableColumn>
    <tableColumn id="16" name="广告订单量" totalsRowFunction="sum">
      <calculatedColumnFormula>Toy!Y4</calculatedColumnFormula>
    </tableColumn>
    <tableColumn id="17" name="广告花费" totalsRowFunction="sum">
      <calculatedColumnFormula>Toy!Z4</calculatedColumnFormula>
    </tableColumn>
    <tableColumn id="18" name="广告销售额" totalsRowFunction="sum">
      <calculatedColumnFormula>Toy!AA4</calculatedColumnFormula>
    </tableColumn>
    <tableColumn id="19" name="CPC" totalsRowFunction="average">
      <calculatedColumnFormula>Toy!AB4</calculatedColumnFormula>
    </tableColumn>
    <tableColumn id="20" name="Acos(%)" dataDxfId="244" totalsRowFunction="custom">
      <calculatedColumnFormula>Q4/R4</calculatedColumnFormula>
      <totalsRowFormula>Q75/R75</totalsRowFormula>
    </tableColumn>
    <tableColumn id="21" name="CTR(%)" dataDxfId="245" totalsRowFunction="custom">
      <calculatedColumnFormula>O4/N4</calculatedColumnFormula>
      <totalsRowFormula>O75/N75</totalsRowFormula>
    </tableColumn>
    <tableColumn id="22" name="CVR(%)" dataDxfId="246" totalsRowFunction="custom">
      <calculatedColumnFormula>P4/O4</calculatedColumnFormula>
      <totalsRowFormula>P75/O75</totalsRowFormula>
    </tableColumn>
    <tableColumn id="23" name="CPS(%)" dataDxfId="247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id="18" name="表3_325419" displayName="表3_325419" ref="A3:W20" totalsRowCount="1">
  <tableColumns count="23">
    <tableColumn id="1" name="日期" totalsRowLabel="汇总"/>
    <tableColumn id="2" name="周数"/>
    <tableColumn id="3" name="销量" dataDxfId="248" totalsRowFunction="sum">
      <calculatedColumnFormula>ToyDH!C4</calculatedColumnFormula>
    </tableColumn>
    <tableColumn id="4" name="订单量" dataDxfId="249" totalsRowFunction="sum">
      <calculatedColumnFormula>ToyDH!D4</calculatedColumnFormula>
    </tableColumn>
    <tableColumn id="5" name="销售额" dataDxfId="250" totalsRowFunction="sum">
      <calculatedColumnFormula>ToyDH!E4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Q20/E20</totalsRowFormula>
    </tableColumn>
    <tableColumn id="14" name="展示" dataDxfId="251" totalsRowFunction="sum">
      <calculatedColumnFormula>ToyDH!W4</calculatedColumnFormula>
    </tableColumn>
    <tableColumn id="15" name="点击" dataDxfId="252" totalsRowFunction="sum">
      <calculatedColumnFormula>ToyDH!X4</calculatedColumnFormula>
    </tableColumn>
    <tableColumn id="16" name="广告订单量" dataDxfId="253" totalsRowFunction="sum">
      <calculatedColumnFormula>ToyDH!Y4</calculatedColumnFormula>
    </tableColumn>
    <tableColumn id="17" name="广告花费" dataDxfId="254" totalsRowFunction="sum">
      <calculatedColumnFormula>ToyDH!Z4</calculatedColumnFormula>
    </tableColumn>
    <tableColumn id="18" name="广告销售额" dataDxfId="255" totalsRowFunction="sum">
      <calculatedColumnFormula>ToyDH!AA4</calculatedColumnFormula>
    </tableColumn>
    <tableColumn id="19" name="CPC" dataDxfId="256" totalsRowFunction="average">
      <calculatedColumnFormula>ToyDH!AB4</calculatedColumnFormula>
    </tableColumn>
    <tableColumn id="20" name="Acos(%)" totalsRowFunction="custom">
      <calculatedColumnFormula>#REF!/#REF!</calculatedColumnFormula>
      <totalsRowFormula>Q20/R20</totalsRowFormula>
    </tableColumn>
    <tableColumn id="21" name="CTR(%)" totalsRowFunction="custom">
      <calculatedColumnFormula>#REF!/#REF!</calculatedColumnFormula>
      <totalsRowFormula>O20/N20</totalsRowFormula>
    </tableColumn>
    <tableColumn id="22" name="CVR(%)" totalsRowFunction="custom">
      <calculatedColumnFormula>#REF!/#REF!</calculatedColumnFormula>
      <totalsRowFormula>P20/O20</totalsRowFormula>
    </tableColumn>
    <tableColumn id="23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id="5" name="表3_32546" displayName="表3_32546" ref="A3:W75" totalsRowCount="1">
  <tableColumns count="23">
    <tableColumn id="1" name="日期" totalsRowLabel="汇总"/>
    <tableColumn id="2" name="周数"/>
    <tableColumn id="3" name="销量" totalsRowFunction="sum">
      <calculatedColumnFormula>DL!C4</calculatedColumnFormula>
    </tableColumn>
    <tableColumn id="4" name="订单量" totalsRowFunction="sum">
      <calculatedColumnFormula>DL!D4</calculatedColumnFormula>
    </tableColumn>
    <tableColumn id="5" name="销售额" totalsRowFunction="sum">
      <calculatedColumnFormula>DL!E4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dataDxfId="257" totalsRowFunction="average">
      <calculatedColumnFormula>D4/H4</calculatedColumnFormula>
    </tableColumn>
    <tableColumn id="13" name="TAcos" dataDxfId="258" totalsRowFunction="custom">
      <calculatedColumnFormula>Q4/E4</calculatedColumnFormula>
      <totalsRowFormula>Q75/E75</totalsRowFormula>
    </tableColumn>
    <tableColumn id="14" name="展示" totalsRowFunction="sum">
      <calculatedColumnFormula>DL!W4</calculatedColumnFormula>
    </tableColumn>
    <tableColumn id="15" name="点击" totalsRowFunction="sum">
      <calculatedColumnFormula>DL!X4</calculatedColumnFormula>
    </tableColumn>
    <tableColumn id="16" name="广告订单量" totalsRowFunction="sum">
      <calculatedColumnFormula>DL!Y4</calculatedColumnFormula>
    </tableColumn>
    <tableColumn id="17" name="广告花费" totalsRowFunction="sum">
      <calculatedColumnFormula>DL!Z4</calculatedColumnFormula>
    </tableColumn>
    <tableColumn id="18" name="广告销售额" totalsRowFunction="sum">
      <calculatedColumnFormula>DL!AA4</calculatedColumnFormula>
    </tableColumn>
    <tableColumn id="19" name="CPC" totalsRowFunction="average">
      <calculatedColumnFormula>DL!AB4</calculatedColumnFormula>
    </tableColumn>
    <tableColumn id="20" name="Acos(%)" dataDxfId="259" totalsRowFunction="custom">
      <calculatedColumnFormula>Q4/R4</calculatedColumnFormula>
      <totalsRowFormula>Q75/R75</totalsRowFormula>
    </tableColumn>
    <tableColumn id="21" name="CTR(%)" dataDxfId="260" totalsRowFunction="custom">
      <calculatedColumnFormula>O4/N4</calculatedColumnFormula>
      <totalsRowFormula>O75/N75</totalsRowFormula>
    </tableColumn>
    <tableColumn id="22" name="CVR(%)" dataDxfId="261" totalsRowFunction="custom">
      <calculatedColumnFormula>P4/O4</calculatedColumnFormula>
      <totalsRowFormula>P75/O75</totalsRowFormula>
    </tableColumn>
    <tableColumn id="23" name="CPS(%)" dataDxfId="262" totalsRowFunction="custom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id="14" name="表3_3254615" displayName="表3_3254615" ref="A3:W63" totalsRowCount="1">
  <tableColumns count="23">
    <tableColumn id="1" name="日期" totalsRowLabel="汇总"/>
    <tableColumn id="2" name="周数"/>
    <tableColumn id="3" name="销量" totalsRowFunction="sum">
      <calculatedColumnFormula>DSL!C4</calculatedColumnFormula>
    </tableColumn>
    <tableColumn id="4" name="订单量" totalsRowFunction="sum">
      <calculatedColumnFormula>DSL!D4</calculatedColumnFormula>
    </tableColumn>
    <tableColumn id="5" name="销售额" totalsRowFunction="sum">
      <calculatedColumnFormula>DSL!E4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Q63/E63</totalsRowFormula>
    </tableColumn>
    <tableColumn id="14" name="展示" totalsRowFunction="sum">
      <calculatedColumnFormula>DSL!W4</calculatedColumnFormula>
    </tableColumn>
    <tableColumn id="15" name="点击" totalsRowFunction="sum">
      <calculatedColumnFormula>DSL!X4</calculatedColumnFormula>
    </tableColumn>
    <tableColumn id="16" name="广告订单量" totalsRowFunction="sum">
      <calculatedColumnFormula>DSL!Y4</calculatedColumnFormula>
    </tableColumn>
    <tableColumn id="17" name="广告花费" totalsRowFunction="sum">
      <calculatedColumnFormula>DSL!Z4</calculatedColumnFormula>
    </tableColumn>
    <tableColumn id="18" name="广告销售额" totalsRowFunction="sum">
      <calculatedColumnFormula>DSL!AA4</calculatedColumnFormula>
    </tableColumn>
    <tableColumn id="19" name="CPC" totalsRowFunction="average">
      <calculatedColumnFormula>DSL!AB4</calculatedColumnFormula>
    </tableColumn>
    <tableColumn id="20" name="Acos(%)" dataDxfId="263" totalsRowFunction="custom">
      <calculatedColumnFormula>Q4/R4</calculatedColumnFormula>
      <totalsRowFormula>Q63/R63</totalsRowFormula>
    </tableColumn>
    <tableColumn id="21" name="CTR(%)" dataDxfId="264" totalsRowFunction="custom">
      <calculatedColumnFormula>O4/N4</calculatedColumnFormula>
      <totalsRowFormula>O63/N63</totalsRowFormula>
    </tableColumn>
    <tableColumn id="22" name="CVR(%)" dataDxfId="265" totalsRowFunction="custom">
      <calculatedColumnFormula>P4/O4</calculatedColumnFormula>
      <totalsRowFormula>P63/O63</totalsRowFormula>
    </tableColumn>
    <tableColumn id="23" name="CPS(%)" dataDxfId="266" totalsRowFunction="custom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id="12" name="表3_325461513" displayName="表3_325461513" ref="A3:W54" totalsRowCount="1">
  <tableColumns count="23">
    <tableColumn id="1" name="日期" totalsRowLabel="汇总"/>
    <tableColumn id="2" name="周数"/>
    <tableColumn id="3" name="销量" dataDxfId="267" totalsRowFunction="sum">
      <calculatedColumnFormula>MFL!C4</calculatedColumnFormula>
    </tableColumn>
    <tableColumn id="4" name="订单量" dataDxfId="268" totalsRowFunction="sum">
      <calculatedColumnFormula>MFL!D4</calculatedColumnFormula>
    </tableColumn>
    <tableColumn id="5" name="销售额" dataDxfId="269" totalsRowFunction="sum">
      <calculatedColumnFormula>MFL!E4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#REF!/#REF!</calculatedColumnFormula>
    </tableColumn>
    <tableColumn id="13" name="TAcos" totalsRowFunction="custom">
      <calculatedColumnFormula>#REF!/#REF!</calculatedColumnFormula>
      <totalsRowFormula>Q54/E54</totalsRowFormula>
    </tableColumn>
    <tableColumn id="14" name="展示" dataDxfId="270" totalsRowFunction="sum">
      <calculatedColumnFormula>MFL!W4</calculatedColumnFormula>
    </tableColumn>
    <tableColumn id="15" name="点击" dataDxfId="271" totalsRowFunction="sum">
      <calculatedColumnFormula>MFL!X4</calculatedColumnFormula>
    </tableColumn>
    <tableColumn id="16" name="广告订单量" dataDxfId="272" totalsRowFunction="sum">
      <calculatedColumnFormula>MFL!Y4</calculatedColumnFormula>
    </tableColumn>
    <tableColumn id="17" name="广告花费" dataDxfId="273" totalsRowFunction="sum">
      <calculatedColumnFormula>MFL!Z4</calculatedColumnFormula>
    </tableColumn>
    <tableColumn id="18" name="广告销售额" dataDxfId="274" totalsRowFunction="sum">
      <calculatedColumnFormula>MFL!AA4</calculatedColumnFormula>
    </tableColumn>
    <tableColumn id="19" name="CPC" dataDxfId="275" totalsRowFunction="average">
      <calculatedColumnFormula>MFL!AB4</calculatedColumnFormula>
    </tableColumn>
    <tableColumn id="20" name="Acos(%)" dataDxfId="276" totalsRowFunction="custom">
      <calculatedColumnFormula>Q4/R4</calculatedColumnFormula>
      <totalsRowFormula>Q54/R54</totalsRowFormula>
    </tableColumn>
    <tableColumn id="21" name="CTR(%)" dataDxfId="277" totalsRowFunction="custom">
      <calculatedColumnFormula>O4/N4</calculatedColumnFormula>
      <totalsRowFormula>O54/N54</totalsRowFormula>
    </tableColumn>
    <tableColumn id="22" name="CVR(%)" dataDxfId="278" totalsRowFunction="custom">
      <calculatedColumnFormula>P4/O4</calculatedColumnFormula>
      <totalsRowFormula>P54/O54</totalsRowFormula>
    </tableColumn>
    <tableColumn id="23" name="CPS(%)" dataDxfId="279" totalsRowFunction="custom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id="16" name="表3_32546151317" displayName="表3_32546151317" ref="A3:W41" totalsRowCount="1">
  <tableColumns count="23">
    <tableColumn id="1" name="日期" totalsRowLabel="汇总"/>
    <tableColumn id="2" name="周数"/>
    <tableColumn id="3" name="销量" dataDxfId="280" totalsRowFunction="sum">
      <calculatedColumnFormula>SFM!C4</calculatedColumnFormula>
    </tableColumn>
    <tableColumn id="4" name="订单量" dataDxfId="281" totalsRowFunction="sum">
      <calculatedColumnFormula>SFM!D4</calculatedColumnFormula>
    </tableColumn>
    <tableColumn id="5" name="销售额" dataDxfId="282" totalsRowFunction="sum">
      <calculatedColumnFormula>SFM!E4</calculatedColumnFormula>
    </tableColumn>
    <tableColumn id="6" name="Sessions-Browser" totalsRowFunction="average"/>
    <tableColumn id="7" name="Sessions-Mobile" totalsRowFunction="average"/>
    <tableColumn id="8" name="Sessions-Total" totalsRowFunction="average"/>
    <tableColumn id="9" name="PV-Browser" totalsRowFunction="average"/>
    <tableColumn id="10" name="PV-Mobile" totalsRowFunction="average"/>
    <tableColumn id="11" name="PV-Total" totalsRowFunction="average"/>
    <tableColumn id="12" name="CVR" totalsRowFunction="average">
      <calculatedColumnFormula>D6/H6</calculatedColumnFormula>
    </tableColumn>
    <tableColumn id="13" name="TAcos" totalsRowFunction="custom">
      <calculatedColumnFormula>Q6/E6</calculatedColumnFormula>
      <totalsRowFormula>Q41/E41</totalsRowFormula>
    </tableColumn>
    <tableColumn id="14" name="展示" dataDxfId="283" totalsRowFunction="sum">
      <calculatedColumnFormula>SFM!W4</calculatedColumnFormula>
    </tableColumn>
    <tableColumn id="15" name="点击" dataDxfId="284" totalsRowFunction="sum">
      <calculatedColumnFormula>SFM!X4</calculatedColumnFormula>
    </tableColumn>
    <tableColumn id="16" name="广告订单量" dataDxfId="285" totalsRowFunction="sum">
      <calculatedColumnFormula>SFM!Y4</calculatedColumnFormula>
    </tableColumn>
    <tableColumn id="17" name="广告花费" dataDxfId="286" totalsRowFunction="sum">
      <calculatedColumnFormula>SFM!Z4</calculatedColumnFormula>
    </tableColumn>
    <tableColumn id="18" name="广告销售额" dataDxfId="287" totalsRowFunction="sum">
      <calculatedColumnFormula>SFM!AA4</calculatedColumnFormula>
    </tableColumn>
    <tableColumn id="19" name="CPC" dataDxfId="288" totalsRowFunction="average">
      <calculatedColumnFormula>SFM!AB4</calculatedColumnFormula>
    </tableColumn>
    <tableColumn id="20" name="Acos(%)" dataDxfId="289" totalsRowFunction="custom">
      <calculatedColumnFormula>Q4/R4</calculatedColumnFormula>
      <totalsRowFormula>Q41/R41</totalsRowFormula>
    </tableColumn>
    <tableColumn id="21" name="CTR(%)" dataDxfId="290" totalsRowFunction="custom">
      <calculatedColumnFormula>O4/N4</calculatedColumnFormula>
      <totalsRowFormula>O41/N41</totalsRowFormula>
    </tableColumn>
    <tableColumn id="22" name="CVR(%)" dataDxfId="291" totalsRowFunction="custom">
      <calculatedColumnFormula>P4/O4</calculatedColumnFormula>
      <totalsRowFormula>P41/O41</totalsRowFormula>
    </tableColumn>
    <tableColumn id="23" name="CPS(%)" dataDxfId="292" totalsRowFunction="custom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I78"/>
  <sheetViews>
    <sheetView tabSelected="1" zoomScale="115" zoomScaleNormal="115" workbookViewId="0">
      <pane xSplit="5" ySplit="3" topLeftCell="BA62" activePane="bottomRight" state="frozen"/>
      <selection/>
      <selection pane="topRight"/>
      <selection pane="bottomLeft"/>
      <selection pane="bottomRight" activeCell="BG78" sqref="BG78"/>
    </sheetView>
  </sheetViews>
  <sheetFormatPr defaultColWidth="9" defaultRowHeight="13.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ht="23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23.1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7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s="191" customFormat="1" ht="36.75" spans="1:61">
      <c r="A3" s="218" t="s">
        <v>8</v>
      </c>
      <c r="B3" s="218" t="s">
        <v>9</v>
      </c>
      <c r="C3" s="219" t="s">
        <v>10</v>
      </c>
      <c r="D3" s="220" t="s">
        <v>11</v>
      </c>
      <c r="E3" s="220" t="s">
        <v>12</v>
      </c>
      <c r="F3" s="221" t="s">
        <v>13</v>
      </c>
      <c r="G3" s="221" t="s">
        <v>14</v>
      </c>
      <c r="H3" s="221" t="s">
        <v>15</v>
      </c>
      <c r="I3" s="221" t="s">
        <v>16</v>
      </c>
      <c r="J3" s="220" t="s">
        <v>17</v>
      </c>
      <c r="K3" s="220" t="s">
        <v>18</v>
      </c>
      <c r="L3" s="222" t="s">
        <v>19</v>
      </c>
      <c r="M3" s="223" t="s">
        <v>20</v>
      </c>
      <c r="N3" s="220" t="s">
        <v>21</v>
      </c>
      <c r="O3" s="220" t="s">
        <v>22</v>
      </c>
      <c r="P3" s="224" t="s">
        <v>23</v>
      </c>
      <c r="Q3" s="221" t="s">
        <v>24</v>
      </c>
      <c r="R3" s="221" t="s">
        <v>25</v>
      </c>
      <c r="S3" s="221" t="s">
        <v>26</v>
      </c>
      <c r="T3" s="221" t="s">
        <v>27</v>
      </c>
      <c r="U3" s="225" t="s">
        <v>28</v>
      </c>
      <c r="V3" s="226" t="s">
        <v>29</v>
      </c>
      <c r="W3" s="227" t="s">
        <v>30</v>
      </c>
      <c r="X3" s="228" t="s">
        <v>31</v>
      </c>
      <c r="Y3" s="228" t="s">
        <v>32</v>
      </c>
      <c r="Z3" s="228" t="s">
        <v>33</v>
      </c>
      <c r="AA3" s="229" t="s">
        <v>34</v>
      </c>
      <c r="AB3" s="228" t="s">
        <v>35</v>
      </c>
      <c r="AC3" s="230" t="s">
        <v>36</v>
      </c>
      <c r="AD3" s="231" t="s">
        <v>37</v>
      </c>
      <c r="AE3" s="231" t="s">
        <v>38</v>
      </c>
      <c r="AF3" s="231" t="s">
        <v>39</v>
      </c>
      <c r="AG3" s="232" t="s">
        <v>40</v>
      </c>
      <c r="AH3" s="233" t="s">
        <v>41</v>
      </c>
      <c r="AI3" s="234" t="s">
        <v>42</v>
      </c>
      <c r="AJ3" s="235" t="s">
        <v>43</v>
      </c>
      <c r="AK3" s="235" t="s">
        <v>44</v>
      </c>
      <c r="AL3" s="235" t="s">
        <v>45</v>
      </c>
      <c r="AM3" s="235" t="s">
        <v>46</v>
      </c>
      <c r="AN3" s="235" t="s">
        <v>47</v>
      </c>
      <c r="AO3" s="234" t="s">
        <v>48</v>
      </c>
      <c r="AP3" s="236" t="s">
        <v>49</v>
      </c>
      <c r="AQ3" s="237" t="s">
        <v>50</v>
      </c>
      <c r="AR3" s="238" t="s">
        <v>51</v>
      </c>
      <c r="AS3" s="238" t="s">
        <v>52</v>
      </c>
      <c r="AT3" s="238" t="s">
        <v>53</v>
      </c>
      <c r="AU3" s="238" t="s">
        <v>54</v>
      </c>
      <c r="AV3" s="238" t="s">
        <v>55</v>
      </c>
      <c r="AW3" s="238" t="s">
        <v>56</v>
      </c>
      <c r="AX3" s="239" t="s">
        <v>57</v>
      </c>
      <c r="AY3" s="238" t="s">
        <v>58</v>
      </c>
      <c r="AZ3" s="238" t="s">
        <v>59</v>
      </c>
      <c r="BA3" s="240" t="s">
        <v>60</v>
      </c>
      <c r="BB3" s="240" t="s">
        <v>61</v>
      </c>
      <c r="BC3" s="240" t="s">
        <v>62</v>
      </c>
      <c r="BD3" s="241" t="s">
        <v>63</v>
      </c>
      <c r="BE3" s="241" t="s">
        <v>64</v>
      </c>
      <c r="BF3" s="217" t="s">
        <v>65</v>
      </c>
      <c r="BG3" s="217" t="s">
        <v>66</v>
      </c>
      <c r="BH3" s="191" t="s">
        <v>67</v>
      </c>
      <c r="BI3" s="191" t="s">
        <v>68</v>
      </c>
    </row>
    <row r="4" ht="23.1" customHeight="1" spans="1:61">
      <c r="A4" s="242" t="s">
        <v>69</v>
      </c>
      <c r="B4" s="243" t="s">
        <v>70</v>
      </c>
      <c r="C4" s="243">
        <v>276</v>
      </c>
      <c r="D4" s="244">
        <v>264</v>
      </c>
      <c r="E4" s="245">
        <v>6073.25</v>
      </c>
      <c r="F4" s="246"/>
      <c r="G4" s="246"/>
      <c r="H4" s="247"/>
      <c r="I4" s="247"/>
      <c r="J4" s="248">
        <v>12</v>
      </c>
      <c r="K4" s="249">
        <f t="shared" ref="K4:K67" si="0">J4/C4</f>
        <v>0.0434782608695652</v>
      </c>
      <c r="L4" s="250">
        <v>243.5</v>
      </c>
      <c r="M4" s="251" t="e">
        <f t="shared" ref="M4:M67" si="1">(C4-C3)/C3</f>
        <v>#VALUE!</v>
      </c>
      <c r="N4" s="249" t="e">
        <f t="shared" ref="N4:N67" si="2">(D4-D3)/D3</f>
        <v>#VALUE!</v>
      </c>
      <c r="O4" s="249" t="e">
        <f t="shared" ref="O4:O67" si="3">(E4-E3)/E3</f>
        <v>#VALUE!</v>
      </c>
      <c r="P4" s="252">
        <f t="shared" ref="P4:P67" si="4">C4/D4</f>
        <v>1.04545454545455</v>
      </c>
      <c r="Q4" s="253">
        <f t="shared" ref="Q4:Q67" si="5">E4/D4</f>
        <v>23.0047348484848</v>
      </c>
      <c r="R4" s="253">
        <f t="shared" ref="R4:R67" si="6">E4/C4</f>
        <v>22.0045289855072</v>
      </c>
      <c r="S4" s="253">
        <f t="shared" ref="S4:S38" si="7">C4/7</f>
        <v>39.4285714285714</v>
      </c>
      <c r="T4" s="254">
        <f t="shared" ref="T4:T67" si="8">D4-Y4</f>
        <v>111</v>
      </c>
      <c r="U4" s="255">
        <f t="shared" ref="U4:U67" si="9">T4/D4</f>
        <v>0.420454545454545</v>
      </c>
      <c r="V4" s="256">
        <f t="shared" ref="V4:V67" si="10">Z4/(E4-I4)</f>
        <v>0.281450623636438</v>
      </c>
      <c r="W4" s="244">
        <v>136418</v>
      </c>
      <c r="X4" s="244">
        <v>1723</v>
      </c>
      <c r="Y4" s="244">
        <v>153</v>
      </c>
      <c r="Z4" s="257">
        <v>1709.32</v>
      </c>
      <c r="AA4" s="258">
        <v>3516.2</v>
      </c>
      <c r="AB4" s="244">
        <v>0.99</v>
      </c>
      <c r="AC4" s="259">
        <f t="shared" ref="AC4:AC67" si="11">Z4/AA4</f>
        <v>0.486127068994938</v>
      </c>
      <c r="AD4" s="260">
        <f t="shared" ref="AD4:AF4" si="12">X4/W4</f>
        <v>0.0126302980545089</v>
      </c>
      <c r="AE4" s="260">
        <f t="shared" si="12"/>
        <v>0.0887986070806732</v>
      </c>
      <c r="AF4" s="253">
        <f t="shared" si="12"/>
        <v>11.1720261437909</v>
      </c>
      <c r="AG4" s="261">
        <v>68</v>
      </c>
      <c r="AH4" s="254">
        <v>203</v>
      </c>
      <c r="AI4" s="262">
        <v>5</v>
      </c>
      <c r="AJ4" s="263">
        <f>AG4*产品成本!$D$2+AH4*产品成本!$D$3+AI4*产品成本!$D$4</f>
        <v>589.084507042254</v>
      </c>
      <c r="AK4" s="263">
        <f>AG4*产品成本!$E$2+AH4*产品成本!$E$3+AI4*产品成本!$E$4</f>
        <v>51.9916774647886</v>
      </c>
      <c r="AL4" s="263">
        <f>AG4*产品成本!$F$2+AH4*产品成本!$F$3+AI4*产品成本!$F$4</f>
        <v>93.84</v>
      </c>
      <c r="AM4" s="263">
        <f>AG4*产品成本!$G$2+AH4*产品成本!$G$3+AI4*产品成本!$G$4</f>
        <v>1062.12</v>
      </c>
      <c r="AN4" s="263">
        <f t="shared" ref="AN4:AN67" si="13">(E4-I4)*0.15</f>
        <v>910.9875</v>
      </c>
      <c r="AO4" s="264">
        <f t="shared" ref="AO4:AO67" si="14">SUM(AJ4:AN4)</f>
        <v>2708.02368450704</v>
      </c>
      <c r="AP4" s="265">
        <v>3</v>
      </c>
      <c r="AQ4" s="265">
        <v>9</v>
      </c>
      <c r="AR4" s="266">
        <v>0</v>
      </c>
      <c r="AS4" s="267">
        <f t="shared" ref="AS4:AS67" si="15">L4/(1-0.15+0.15*0.2)</f>
        <v>276.704545454545</v>
      </c>
      <c r="AT4" s="268">
        <f>AP4*产品成本!$D$2+AQ4*产品成本!$D$3+AR4*产品成本!$D$4</f>
        <v>25.3521126760564</v>
      </c>
      <c r="AU4" s="269">
        <f>AP4*产品成本!$E$2+AQ4*产品成本!$E$3+AR4*产品成本!$E$4</f>
        <v>2.25593239436619</v>
      </c>
      <c r="AV4" s="270">
        <f>AP4*产品成本!$F$2+AQ4*产品成本!$F$3+AR4*产品成本!$F$4</f>
        <v>4.08</v>
      </c>
      <c r="AW4" s="269">
        <v>0</v>
      </c>
      <c r="AX4" s="270">
        <f t="shared" ref="AX4:AX67" si="16">AS4*0.15</f>
        <v>41.5056818181818</v>
      </c>
      <c r="AY4" s="269">
        <f t="shared" ref="AY4:AY67" si="17">-AX4*0.2</f>
        <v>-8.30113636363636</v>
      </c>
      <c r="AZ4" s="271">
        <f t="shared" ref="AZ4:AZ67" si="18">SUM(AT4:AY4)</f>
        <v>64.892590524968</v>
      </c>
      <c r="BA4" s="272">
        <f t="shared" ref="BA4:BA67" si="19">AO4-AZ4</f>
        <v>2643.13109398207</v>
      </c>
      <c r="BB4" s="272">
        <f t="shared" ref="BB4:BB67" si="20">E4-I4</f>
        <v>6073.25</v>
      </c>
      <c r="BC4" s="272">
        <f t="shared" ref="BC4:BC67" si="21">E4-AS4-I4</f>
        <v>5796.54545454545</v>
      </c>
      <c r="BD4" s="273">
        <f t="shared" ref="BD4:BD67" si="22">BC4-BA4-Z4</f>
        <v>1444.09436056338</v>
      </c>
      <c r="BE4" s="274">
        <f t="shared" ref="BE4:BE67" si="23">BD4/BC4</f>
        <v>0.249130171045406</v>
      </c>
      <c r="BF4" s="275"/>
      <c r="BG4" s="275"/>
      <c r="BH4" s="275"/>
    </row>
    <row r="5" ht="23.1" customHeight="1" spans="1:61">
      <c r="A5" s="242" t="s">
        <v>71</v>
      </c>
      <c r="B5" s="243" t="s">
        <v>72</v>
      </c>
      <c r="C5" s="243">
        <v>296</v>
      </c>
      <c r="D5" s="244">
        <v>285</v>
      </c>
      <c r="E5" s="245">
        <v>6535.75</v>
      </c>
      <c r="F5" s="246"/>
      <c r="G5" s="246"/>
      <c r="H5" s="247"/>
      <c r="I5" s="247"/>
      <c r="J5" s="276">
        <v>12</v>
      </c>
      <c r="K5" s="249">
        <f t="shared" si="0"/>
        <v>0.0405405405405405</v>
      </c>
      <c r="L5" s="250">
        <v>240.45</v>
      </c>
      <c r="M5" s="251">
        <f t="shared" si="1"/>
        <v>0.072463768115942</v>
      </c>
      <c r="N5" s="249">
        <f t="shared" si="2"/>
        <v>0.0795454545454545</v>
      </c>
      <c r="O5" s="249">
        <f t="shared" si="3"/>
        <v>0.076153624500885</v>
      </c>
      <c r="P5" s="252">
        <f t="shared" si="4"/>
        <v>1.03859649122807</v>
      </c>
      <c r="Q5" s="253">
        <f t="shared" si="5"/>
        <v>22.9324561403509</v>
      </c>
      <c r="R5" s="253">
        <f t="shared" si="6"/>
        <v>22.0802364864865</v>
      </c>
      <c r="S5" s="253">
        <f t="shared" si="7"/>
        <v>42.2857142857143</v>
      </c>
      <c r="T5" s="254">
        <f t="shared" si="8"/>
        <v>94</v>
      </c>
      <c r="U5" s="255">
        <f t="shared" si="9"/>
        <v>0.329824561403509</v>
      </c>
      <c r="V5" s="256">
        <f t="shared" si="10"/>
        <v>0.289535248441265</v>
      </c>
      <c r="W5" s="244">
        <v>184745</v>
      </c>
      <c r="X5" s="244">
        <v>1929</v>
      </c>
      <c r="Y5" s="244">
        <v>191</v>
      </c>
      <c r="Z5" s="257">
        <v>1892.33</v>
      </c>
      <c r="AA5" s="277">
        <v>4333.92</v>
      </c>
      <c r="AB5" s="244">
        <v>0.98</v>
      </c>
      <c r="AC5" s="259">
        <f t="shared" si="11"/>
        <v>0.436632425148595</v>
      </c>
      <c r="AD5" s="260">
        <f t="shared" ref="AD5:AF5" si="24">X5/W5</f>
        <v>0.0104414192535657</v>
      </c>
      <c r="AE5" s="260">
        <f t="shared" si="24"/>
        <v>0.0990150336962157</v>
      </c>
      <c r="AF5" s="253">
        <f t="shared" si="24"/>
        <v>9.90748691099476</v>
      </c>
      <c r="AG5" s="261">
        <v>68</v>
      </c>
      <c r="AH5" s="254">
        <v>216</v>
      </c>
      <c r="AI5" s="262">
        <v>12</v>
      </c>
      <c r="AJ5" s="263">
        <f>AG5*产品成本!$D$2+AH5*产品成本!$D$3+AI5*产品成本!$D$4</f>
        <v>639.718309859155</v>
      </c>
      <c r="AK5" s="263">
        <f>AG5*产品成本!$E$2+AH5*产品成本!$E$3+AI5*产品成本!$E$4</f>
        <v>55.9679492957746</v>
      </c>
      <c r="AL5" s="263">
        <f>AG5*产品成本!$F$2+AH5*产品成本!$F$3+AI5*产品成本!$F$4</f>
        <v>100.64</v>
      </c>
      <c r="AM5" s="263">
        <f>AG5*产品成本!$G$2+AH5*产品成本!$G$3+AI5*产品成本!$G$4</f>
        <v>1140.12</v>
      </c>
      <c r="AN5" s="263">
        <f t="shared" si="13"/>
        <v>980.3625</v>
      </c>
      <c r="AO5" s="264">
        <f t="shared" si="14"/>
        <v>2916.80875915493</v>
      </c>
      <c r="AP5" s="265">
        <v>3</v>
      </c>
      <c r="AQ5" s="265">
        <v>9</v>
      </c>
      <c r="AR5" s="266">
        <v>0</v>
      </c>
      <c r="AS5" s="267">
        <f t="shared" si="15"/>
        <v>273.238636363636</v>
      </c>
      <c r="AT5" s="267">
        <f>AP5*产品成本!$D$2+AQ5*产品成本!$D$3+AR5*产品成本!$D$4</f>
        <v>25.3521126760564</v>
      </c>
      <c r="AU5" s="271">
        <f>AP5*产品成本!$E$2+AQ5*产品成本!$E$3+AR5*产品成本!$E$4</f>
        <v>2.25593239436619</v>
      </c>
      <c r="AV5" s="270">
        <f>AP5*产品成本!$F$2+AQ5*产品成本!$F$3+AR5*产品成本!$F$4</f>
        <v>4.08</v>
      </c>
      <c r="AW5" s="269">
        <v>0</v>
      </c>
      <c r="AX5" s="270">
        <f t="shared" si="16"/>
        <v>40.9857954545455</v>
      </c>
      <c r="AY5" s="269">
        <f t="shared" si="17"/>
        <v>-8.19715909090909</v>
      </c>
      <c r="AZ5" s="271">
        <f t="shared" si="18"/>
        <v>64.4766814340589</v>
      </c>
      <c r="BA5" s="272">
        <f t="shared" si="19"/>
        <v>2852.33207772087</v>
      </c>
      <c r="BB5" s="272">
        <f t="shared" si="20"/>
        <v>6535.75</v>
      </c>
      <c r="BC5" s="272">
        <f t="shared" si="21"/>
        <v>6262.51136363636</v>
      </c>
      <c r="BD5" s="273">
        <f t="shared" si="22"/>
        <v>1517.84928591549</v>
      </c>
      <c r="BE5" s="274">
        <f t="shared" si="23"/>
        <v>0.242370703665142</v>
      </c>
      <c r="BF5" s="278"/>
      <c r="BG5" s="278"/>
      <c r="BH5" s="278"/>
    </row>
    <row r="6" ht="23.1" customHeight="1" spans="1:61">
      <c r="A6" s="242" t="s">
        <v>73</v>
      </c>
      <c r="B6" s="243" t="s">
        <v>74</v>
      </c>
      <c r="C6" s="243">
        <v>401</v>
      </c>
      <c r="D6" s="244">
        <v>366</v>
      </c>
      <c r="E6" s="245">
        <v>7627.49</v>
      </c>
      <c r="F6" s="246"/>
      <c r="G6" s="246"/>
      <c r="H6" s="247"/>
      <c r="I6" s="247"/>
      <c r="J6" s="276">
        <v>16</v>
      </c>
      <c r="K6" s="249">
        <f t="shared" si="0"/>
        <v>0.0399002493765586</v>
      </c>
      <c r="L6" s="250">
        <v>329.15</v>
      </c>
      <c r="M6" s="251">
        <f t="shared" si="1"/>
        <v>0.35472972972973</v>
      </c>
      <c r="N6" s="249">
        <f t="shared" si="2"/>
        <v>0.284210526315789</v>
      </c>
      <c r="O6" s="249">
        <f t="shared" si="3"/>
        <v>0.167041272998508</v>
      </c>
      <c r="P6" s="252">
        <f t="shared" si="4"/>
        <v>1.09562841530055</v>
      </c>
      <c r="Q6" s="253">
        <f t="shared" si="5"/>
        <v>20.8401366120219</v>
      </c>
      <c r="R6" s="253">
        <f t="shared" si="6"/>
        <v>19.0211720698254</v>
      </c>
      <c r="S6" s="253">
        <f t="shared" si="7"/>
        <v>57.2857142857143</v>
      </c>
      <c r="T6" s="254">
        <f t="shared" si="8"/>
        <v>126</v>
      </c>
      <c r="U6" s="255">
        <f t="shared" si="9"/>
        <v>0.344262295081967</v>
      </c>
      <c r="V6" s="256">
        <f t="shared" si="10"/>
        <v>0.28473193671837</v>
      </c>
      <c r="W6" s="244">
        <v>195302</v>
      </c>
      <c r="X6" s="244">
        <v>2172</v>
      </c>
      <c r="Y6" s="244">
        <v>240</v>
      </c>
      <c r="Z6" s="257">
        <v>2171.79</v>
      </c>
      <c r="AA6" s="277">
        <v>4918.97</v>
      </c>
      <c r="AB6" s="279" t="s">
        <v>75</v>
      </c>
      <c r="AC6" s="259">
        <f t="shared" si="11"/>
        <v>0.441513162308369</v>
      </c>
      <c r="AD6" s="260">
        <f t="shared" ref="AD6:AF6" si="25">X6/W6</f>
        <v>0.0111212378777483</v>
      </c>
      <c r="AE6" s="260">
        <f t="shared" si="25"/>
        <v>0.110497237569061</v>
      </c>
      <c r="AF6" s="253">
        <f t="shared" si="25"/>
        <v>9.049125</v>
      </c>
      <c r="AG6" s="261">
        <v>119</v>
      </c>
      <c r="AH6" s="254">
        <v>271</v>
      </c>
      <c r="AI6" s="262">
        <v>11</v>
      </c>
      <c r="AJ6" s="263">
        <f>AG6*产品成本!$D$2+AH6*产品成本!$D$3+AI6*产品成本!$D$4</f>
        <v>860.352112676057</v>
      </c>
      <c r="AK6" s="263">
        <f>AG6*产品成本!$E$2+AH6*产品成本!$E$3+AI6*产品成本!$E$4</f>
        <v>75.215366197183</v>
      </c>
      <c r="AL6" s="263">
        <f>AG6*产品成本!$F$2+AH6*产品成本!$F$3+AI6*产品成本!$F$4</f>
        <v>136.34</v>
      </c>
      <c r="AM6" s="263">
        <f>AG6*产品成本!$G$2+AH6*产品成本!$G$3+AI6*产品成本!$G$4</f>
        <v>1538.91</v>
      </c>
      <c r="AN6" s="263">
        <f t="shared" si="13"/>
        <v>1144.1235</v>
      </c>
      <c r="AO6" s="264">
        <f t="shared" si="14"/>
        <v>3754.94097887324</v>
      </c>
      <c r="AP6" s="265">
        <v>2</v>
      </c>
      <c r="AQ6" s="265">
        <v>14</v>
      </c>
      <c r="AR6" s="266">
        <v>1</v>
      </c>
      <c r="AS6" s="267">
        <f t="shared" si="15"/>
        <v>374.034090909091</v>
      </c>
      <c r="AT6" s="267">
        <f>AP6*产品成本!$D$2+AQ6*产品成本!$D$3+AR6*产品成本!$D$4</f>
        <v>37.1126760563381</v>
      </c>
      <c r="AU6" s="271">
        <f>AP6*产品成本!$E$2+AQ6*产品成本!$E$3+AR6*产品成本!$E$4</f>
        <v>3.25627605633802</v>
      </c>
      <c r="AV6" s="270">
        <f>AP6*产品成本!$F$2+AQ6*产品成本!$F$3+AR6*产品成本!$F$4</f>
        <v>5.78</v>
      </c>
      <c r="AW6" s="269">
        <v>0</v>
      </c>
      <c r="AX6" s="270">
        <f t="shared" si="16"/>
        <v>56.1051136363636</v>
      </c>
      <c r="AY6" s="269">
        <f t="shared" si="17"/>
        <v>-11.2210227272727</v>
      </c>
      <c r="AZ6" s="271">
        <f t="shared" si="18"/>
        <v>91.033043021767</v>
      </c>
      <c r="BA6" s="272">
        <f t="shared" si="19"/>
        <v>3663.90793585147</v>
      </c>
      <c r="BB6" s="272">
        <f t="shared" si="20"/>
        <v>7627.49</v>
      </c>
      <c r="BC6" s="272">
        <f t="shared" si="21"/>
        <v>7253.45590909091</v>
      </c>
      <c r="BD6" s="273">
        <f t="shared" si="22"/>
        <v>1417.75797323944</v>
      </c>
      <c r="BE6" s="274">
        <f t="shared" si="23"/>
        <v>0.195459652751529</v>
      </c>
      <c r="BF6" s="280"/>
      <c r="BG6" s="280"/>
      <c r="BH6" s="280"/>
    </row>
    <row r="7" ht="23.1" customHeight="1" spans="1:61">
      <c r="A7" s="242" t="s">
        <v>76</v>
      </c>
      <c r="B7" s="243" t="s">
        <v>77</v>
      </c>
      <c r="C7" s="243">
        <v>349</v>
      </c>
      <c r="D7" s="244">
        <v>339</v>
      </c>
      <c r="E7" s="245">
        <v>6352.41</v>
      </c>
      <c r="F7" s="246"/>
      <c r="G7" s="246"/>
      <c r="H7" s="247"/>
      <c r="I7" s="247"/>
      <c r="J7" s="276">
        <v>22</v>
      </c>
      <c r="K7" s="249">
        <f t="shared" si="0"/>
        <v>0.0630372492836676</v>
      </c>
      <c r="L7" s="250">
        <v>390.12</v>
      </c>
      <c r="M7" s="251">
        <f t="shared" si="1"/>
        <v>-0.129675810473815</v>
      </c>
      <c r="N7" s="249">
        <f t="shared" si="2"/>
        <v>-0.0737704918032787</v>
      </c>
      <c r="O7" s="249">
        <f t="shared" si="3"/>
        <v>-0.167169016281896</v>
      </c>
      <c r="P7" s="252">
        <f t="shared" si="4"/>
        <v>1.02949852507375</v>
      </c>
      <c r="Q7" s="253">
        <f t="shared" si="5"/>
        <v>18.7386725663717</v>
      </c>
      <c r="R7" s="253">
        <f t="shared" si="6"/>
        <v>18.2017478510029</v>
      </c>
      <c r="S7" s="253">
        <f t="shared" si="7"/>
        <v>49.8571428571429</v>
      </c>
      <c r="T7" s="254">
        <f t="shared" si="8"/>
        <v>118</v>
      </c>
      <c r="U7" s="255">
        <f t="shared" si="9"/>
        <v>0.348082595870207</v>
      </c>
      <c r="V7" s="256">
        <f t="shared" si="10"/>
        <v>0.354677988354026</v>
      </c>
      <c r="W7" s="244">
        <v>204302</v>
      </c>
      <c r="X7" s="244">
        <v>2295</v>
      </c>
      <c r="Y7" s="244">
        <v>221</v>
      </c>
      <c r="Z7" s="257">
        <v>2253.06</v>
      </c>
      <c r="AA7" s="277">
        <v>4084.24</v>
      </c>
      <c r="AB7" s="279" t="s">
        <v>78</v>
      </c>
      <c r="AC7" s="259">
        <f t="shared" si="11"/>
        <v>0.551647307699841</v>
      </c>
      <c r="AD7" s="260">
        <f t="shared" ref="AD7:AF7" si="26">X7/W7</f>
        <v>0.0112333702068506</v>
      </c>
      <c r="AE7" s="260">
        <f t="shared" si="26"/>
        <v>0.0962962962962963</v>
      </c>
      <c r="AF7" s="253">
        <f t="shared" si="26"/>
        <v>10.1948416289593</v>
      </c>
      <c r="AG7" s="261">
        <v>129</v>
      </c>
      <c r="AH7" s="254">
        <v>196</v>
      </c>
      <c r="AI7" s="262">
        <v>24</v>
      </c>
      <c r="AJ7" s="263">
        <f>AG7*产品成本!$D$2+AH7*产品成本!$D$3+AI7*产品成本!$D$4</f>
        <v>766.05633802817</v>
      </c>
      <c r="AK7" s="263">
        <f>AG7*产品成本!$E$2+AH7*产品成本!$E$3+AI7*产品成本!$E$4</f>
        <v>65.2221760563379</v>
      </c>
      <c r="AL7" s="263">
        <f>AG7*产品成本!$F$2+AH7*产品成本!$F$3+AI7*产品成本!$F$4</f>
        <v>118.66</v>
      </c>
      <c r="AM7" s="263">
        <f>AG7*产品成本!$G$2+AH7*产品成本!$G$3+AI7*产品成本!$G$4</f>
        <v>1334.01</v>
      </c>
      <c r="AN7" s="263">
        <f t="shared" si="13"/>
        <v>952.8615</v>
      </c>
      <c r="AO7" s="264">
        <f t="shared" si="14"/>
        <v>3236.81001408451</v>
      </c>
      <c r="AP7" s="265">
        <v>6</v>
      </c>
      <c r="AQ7" s="265">
        <v>16</v>
      </c>
      <c r="AR7" s="266">
        <v>0</v>
      </c>
      <c r="AS7" s="267">
        <f t="shared" si="15"/>
        <v>443.318181818182</v>
      </c>
      <c r="AT7" s="267">
        <f>AP7*产品成本!$D$2+AQ7*产品成本!$D$3+AR7*产品成本!$D$4</f>
        <v>46.4788732394367</v>
      </c>
      <c r="AU7" s="271">
        <f>AP7*产品成本!$E$2+AQ7*产品成本!$E$3+AR7*产品成本!$E$4</f>
        <v>4.12628450704225</v>
      </c>
      <c r="AV7" s="270">
        <f>AP7*产品成本!$F$2+AQ7*产品成本!$F$3+AR7*产品成本!$F$4</f>
        <v>7.48</v>
      </c>
      <c r="AW7" s="269">
        <v>0</v>
      </c>
      <c r="AX7" s="270">
        <f t="shared" si="16"/>
        <v>66.4977272727273</v>
      </c>
      <c r="AY7" s="269">
        <f t="shared" si="17"/>
        <v>-13.2995454545455</v>
      </c>
      <c r="AZ7" s="271">
        <f t="shared" si="18"/>
        <v>111.283339564661</v>
      </c>
      <c r="BA7" s="272">
        <f t="shared" si="19"/>
        <v>3125.52667451985</v>
      </c>
      <c r="BB7" s="272">
        <f t="shared" si="20"/>
        <v>6352.41</v>
      </c>
      <c r="BC7" s="272">
        <f t="shared" si="21"/>
        <v>5909.09181818182</v>
      </c>
      <c r="BD7" s="273">
        <f t="shared" si="22"/>
        <v>530.505143661971</v>
      </c>
      <c r="BE7" s="274">
        <f t="shared" si="23"/>
        <v>0.0897777797308291</v>
      </c>
      <c r="BF7" s="278"/>
      <c r="BG7" s="278"/>
      <c r="BH7" s="278"/>
    </row>
    <row r="8" ht="23.1" customHeight="1" spans="1:61">
      <c r="A8" s="242" t="s">
        <v>79</v>
      </c>
      <c r="B8" s="243" t="s">
        <v>80</v>
      </c>
      <c r="C8" s="243">
        <v>319</v>
      </c>
      <c r="D8" s="244">
        <v>300</v>
      </c>
      <c r="E8" s="245">
        <v>6697.47</v>
      </c>
      <c r="F8" s="246"/>
      <c r="G8" s="246"/>
      <c r="H8" s="247"/>
      <c r="I8" s="247"/>
      <c r="J8" s="276">
        <v>23</v>
      </c>
      <c r="K8" s="249">
        <f t="shared" si="0"/>
        <v>0.0721003134796238</v>
      </c>
      <c r="L8" s="250">
        <v>402.29</v>
      </c>
      <c r="M8" s="251">
        <f t="shared" si="1"/>
        <v>-0.0859598853868195</v>
      </c>
      <c r="N8" s="249">
        <f t="shared" si="2"/>
        <v>-0.115044247787611</v>
      </c>
      <c r="O8" s="249">
        <f t="shared" si="3"/>
        <v>0.0543195417172381</v>
      </c>
      <c r="P8" s="252">
        <f t="shared" si="4"/>
        <v>1.06333333333333</v>
      </c>
      <c r="Q8" s="253">
        <f t="shared" si="5"/>
        <v>22.3249</v>
      </c>
      <c r="R8" s="253">
        <f t="shared" si="6"/>
        <v>20.9952037617555</v>
      </c>
      <c r="S8" s="253">
        <f t="shared" si="7"/>
        <v>45.5714285714286</v>
      </c>
      <c r="T8" s="254">
        <f t="shared" si="8"/>
        <v>122</v>
      </c>
      <c r="U8" s="255">
        <f t="shared" si="9"/>
        <v>0.406666666666667</v>
      </c>
      <c r="V8" s="256">
        <f t="shared" si="10"/>
        <v>0.321618461896806</v>
      </c>
      <c r="W8" s="244">
        <v>215967</v>
      </c>
      <c r="X8" s="244">
        <v>2203</v>
      </c>
      <c r="Y8" s="244">
        <v>178</v>
      </c>
      <c r="Z8" s="257">
        <v>2154.03</v>
      </c>
      <c r="AA8" s="277">
        <v>4084.54</v>
      </c>
      <c r="AB8" s="279" t="s">
        <v>78</v>
      </c>
      <c r="AC8" s="259">
        <f t="shared" si="11"/>
        <v>0.527361710253786</v>
      </c>
      <c r="AD8" s="260">
        <f t="shared" ref="AD8:AF8" si="27">X8/W8</f>
        <v>0.01020063250404</v>
      </c>
      <c r="AE8" s="260">
        <f t="shared" si="27"/>
        <v>0.0807989105764866</v>
      </c>
      <c r="AF8" s="253">
        <f t="shared" si="27"/>
        <v>12.1012921348315</v>
      </c>
      <c r="AG8" s="261">
        <v>106</v>
      </c>
      <c r="AH8" s="254">
        <v>197</v>
      </c>
      <c r="AI8" s="262">
        <v>16</v>
      </c>
      <c r="AJ8" s="263">
        <f>AG8*产品成本!$D$2+AH8*产品成本!$D$3+AI8*产品成本!$D$4</f>
        <v>693.098591549296</v>
      </c>
      <c r="AK8" s="263">
        <f>AG8*产品成本!$E$2+AH8*产品成本!$E$3+AI8*产品成本!$E$4</f>
        <v>59.742004225352</v>
      </c>
      <c r="AL8" s="263">
        <f>AG8*产品成本!$F$2+AH8*产品成本!$F$3+AI8*产品成本!$F$4</f>
        <v>108.46</v>
      </c>
      <c r="AM8" s="263">
        <f>AG8*产品成本!$G$2+AH8*产品成本!$G$3+AI8*产品成本!$G$4</f>
        <v>1221.84</v>
      </c>
      <c r="AN8" s="263">
        <f t="shared" si="13"/>
        <v>1004.6205</v>
      </c>
      <c r="AO8" s="264">
        <f t="shared" si="14"/>
        <v>3087.76109577465</v>
      </c>
      <c r="AP8" s="265">
        <v>10</v>
      </c>
      <c r="AQ8" s="265">
        <v>13</v>
      </c>
      <c r="AR8" s="266">
        <v>2</v>
      </c>
      <c r="AS8" s="267">
        <f t="shared" si="15"/>
        <v>457.147727272727</v>
      </c>
      <c r="AT8" s="267">
        <f>AP8*产品成本!$D$2+AQ8*产品成本!$D$3+AR8*产品成本!$D$4</f>
        <v>55.2112676056338</v>
      </c>
      <c r="AU8" s="271">
        <f>AP8*产品成本!$E$2+AQ8*产品成本!$E$3+AR8*产品成本!$E$4</f>
        <v>4.66234225352112</v>
      </c>
      <c r="AV8" s="270">
        <f>AP8*产品成本!$F$2+AQ8*产品成本!$F$3+AR8*产品成本!$F$4</f>
        <v>8.5</v>
      </c>
      <c r="AW8" s="269">
        <v>0</v>
      </c>
      <c r="AX8" s="270">
        <f t="shared" si="16"/>
        <v>68.5721590909091</v>
      </c>
      <c r="AY8" s="269">
        <f t="shared" si="17"/>
        <v>-13.7144318181818</v>
      </c>
      <c r="AZ8" s="271">
        <f t="shared" si="18"/>
        <v>123.231337131882</v>
      </c>
      <c r="BA8" s="272">
        <f t="shared" si="19"/>
        <v>2964.52975864277</v>
      </c>
      <c r="BB8" s="272">
        <f t="shared" si="20"/>
        <v>6697.47</v>
      </c>
      <c r="BC8" s="272">
        <f t="shared" si="21"/>
        <v>6240.32227272727</v>
      </c>
      <c r="BD8" s="273">
        <f t="shared" si="22"/>
        <v>1121.76251408451</v>
      </c>
      <c r="BE8" s="274">
        <f t="shared" si="23"/>
        <v>0.179760349715761</v>
      </c>
      <c r="BF8" s="280"/>
      <c r="BG8" s="280"/>
      <c r="BH8" s="280"/>
    </row>
    <row r="9" ht="23.1" customHeight="1" spans="1:61">
      <c r="A9" s="242" t="s">
        <v>81</v>
      </c>
      <c r="B9" s="243" t="s">
        <v>82</v>
      </c>
      <c r="C9" s="243">
        <v>299</v>
      </c>
      <c r="D9" s="244">
        <v>285</v>
      </c>
      <c r="E9" s="245">
        <v>7065.55</v>
      </c>
      <c r="F9" s="246"/>
      <c r="G9" s="246"/>
      <c r="H9" s="247"/>
      <c r="I9" s="247"/>
      <c r="J9" s="276">
        <v>21</v>
      </c>
      <c r="K9" s="249">
        <f t="shared" si="0"/>
        <v>0.0702341137123746</v>
      </c>
      <c r="L9" s="250">
        <v>418.94</v>
      </c>
      <c r="M9" s="251">
        <f t="shared" si="1"/>
        <v>-0.0626959247648903</v>
      </c>
      <c r="N9" s="249">
        <f t="shared" si="2"/>
        <v>-0.05</v>
      </c>
      <c r="O9" s="249">
        <f t="shared" si="3"/>
        <v>0.0549580662548694</v>
      </c>
      <c r="P9" s="252">
        <f t="shared" si="4"/>
        <v>1.04912280701754</v>
      </c>
      <c r="Q9" s="253">
        <f t="shared" si="5"/>
        <v>24.7914035087719</v>
      </c>
      <c r="R9" s="253">
        <f t="shared" si="6"/>
        <v>23.630602006689</v>
      </c>
      <c r="S9" s="253">
        <f t="shared" si="7"/>
        <v>42.7142857142857</v>
      </c>
      <c r="T9" s="254">
        <f t="shared" si="8"/>
        <v>93</v>
      </c>
      <c r="U9" s="255">
        <f t="shared" si="9"/>
        <v>0.326315789473684</v>
      </c>
      <c r="V9" s="256">
        <f t="shared" si="10"/>
        <v>0.24653848603435</v>
      </c>
      <c r="W9" s="244">
        <v>158506</v>
      </c>
      <c r="X9" s="244">
        <v>1791</v>
      </c>
      <c r="Y9" s="244">
        <v>192</v>
      </c>
      <c r="Z9" s="257">
        <v>1741.93</v>
      </c>
      <c r="AA9" s="277">
        <v>4780.29</v>
      </c>
      <c r="AB9" s="279" t="s">
        <v>83</v>
      </c>
      <c r="AC9" s="259">
        <f t="shared" si="11"/>
        <v>0.36439839423968</v>
      </c>
      <c r="AD9" s="260">
        <f t="shared" ref="AD9:AF9" si="28">X9/W9</f>
        <v>0.0112992568104677</v>
      </c>
      <c r="AE9" s="260">
        <f t="shared" si="28"/>
        <v>0.107202680067002</v>
      </c>
      <c r="AF9" s="253">
        <f t="shared" si="28"/>
        <v>9.07255208333333</v>
      </c>
      <c r="AG9" s="261">
        <v>98</v>
      </c>
      <c r="AH9" s="254">
        <v>187</v>
      </c>
      <c r="AI9" s="262">
        <v>14</v>
      </c>
      <c r="AJ9" s="263">
        <f>AG9*产品成本!$D$2+AH9*产品成本!$D$3+AI9*产品成本!$D$4</f>
        <v>648.450704225353</v>
      </c>
      <c r="AK9" s="263">
        <f>AG9*产品成本!$E$2+AH9*产品成本!$E$3+AI9*产品成本!$E$4</f>
        <v>56.0052464788731</v>
      </c>
      <c r="AL9" s="263">
        <f>AG9*产品成本!$F$2+AH9*产品成本!$F$3+AI9*产品成本!$F$4</f>
        <v>101.66</v>
      </c>
      <c r="AM9" s="263">
        <f>AG9*产品成本!$G$2+AH9*产品成本!$G$3+AI9*产品成本!$G$4</f>
        <v>1145.52</v>
      </c>
      <c r="AN9" s="263">
        <f t="shared" si="13"/>
        <v>1059.8325</v>
      </c>
      <c r="AO9" s="264">
        <f t="shared" si="14"/>
        <v>3011.46845070423</v>
      </c>
      <c r="AP9" s="265">
        <v>6</v>
      </c>
      <c r="AQ9" s="265">
        <v>15</v>
      </c>
      <c r="AR9" s="266">
        <v>2</v>
      </c>
      <c r="AS9" s="267">
        <f t="shared" si="15"/>
        <v>476.068181818182</v>
      </c>
      <c r="AT9" s="267">
        <f>AP9*产品成本!$D$2+AQ9*产品成本!$D$3+AR9*产品成本!$D$4</f>
        <v>50.9859154929578</v>
      </c>
      <c r="AU9" s="271">
        <f>AP9*产品成本!$E$2+AQ9*产品成本!$E$3+AR9*产品成本!$E$4</f>
        <v>4.35349436619718</v>
      </c>
      <c r="AV9" s="270">
        <f>AP9*产品成本!$F$2+AQ9*产品成本!$F$3+AR9*产品成本!$F$4</f>
        <v>7.82</v>
      </c>
      <c r="AW9" s="269">
        <v>0</v>
      </c>
      <c r="AX9" s="270">
        <f t="shared" si="16"/>
        <v>71.4102272727273</v>
      </c>
      <c r="AY9" s="269">
        <f t="shared" si="17"/>
        <v>-14.2820454545455</v>
      </c>
      <c r="AZ9" s="271">
        <f t="shared" si="18"/>
        <v>120.287591677337</v>
      </c>
      <c r="BA9" s="272">
        <f t="shared" si="19"/>
        <v>2891.18085902689</v>
      </c>
      <c r="BB9" s="272">
        <f t="shared" si="20"/>
        <v>7065.55</v>
      </c>
      <c r="BC9" s="272">
        <f t="shared" si="21"/>
        <v>6589.48181818182</v>
      </c>
      <c r="BD9" s="273">
        <f t="shared" si="22"/>
        <v>1956.37095915493</v>
      </c>
      <c r="BE9" s="274">
        <f t="shared" si="23"/>
        <v>0.296892989939949</v>
      </c>
      <c r="BF9" s="278"/>
      <c r="BG9" s="278"/>
      <c r="BH9" s="278"/>
    </row>
    <row r="10" ht="23.1" customHeight="1" spans="1:61">
      <c r="A10" s="242" t="s">
        <v>84</v>
      </c>
      <c r="B10" s="243" t="s">
        <v>85</v>
      </c>
      <c r="C10" s="243">
        <v>261</v>
      </c>
      <c r="D10" s="244">
        <v>250</v>
      </c>
      <c r="E10" s="245">
        <v>6230.89</v>
      </c>
      <c r="F10" s="246"/>
      <c r="G10" s="246"/>
      <c r="H10" s="247"/>
      <c r="I10" s="247"/>
      <c r="J10" s="276">
        <v>29</v>
      </c>
      <c r="K10" s="249">
        <f t="shared" si="0"/>
        <v>0.111111111111111</v>
      </c>
      <c r="L10" s="250">
        <v>586.11</v>
      </c>
      <c r="M10" s="251">
        <f t="shared" si="1"/>
        <v>-0.127090301003344</v>
      </c>
      <c r="N10" s="249">
        <f t="shared" si="2"/>
        <v>-0.12280701754386</v>
      </c>
      <c r="O10" s="249">
        <f t="shared" si="3"/>
        <v>-0.118130931066937</v>
      </c>
      <c r="P10" s="252">
        <f t="shared" si="4"/>
        <v>1.044</v>
      </c>
      <c r="Q10" s="253">
        <f t="shared" si="5"/>
        <v>24.92356</v>
      </c>
      <c r="R10" s="253">
        <f t="shared" si="6"/>
        <v>23.8731417624521</v>
      </c>
      <c r="S10" s="253">
        <f t="shared" si="7"/>
        <v>37.2857142857143</v>
      </c>
      <c r="T10" s="254">
        <f t="shared" si="8"/>
        <v>110</v>
      </c>
      <c r="U10" s="255">
        <f t="shared" si="9"/>
        <v>0.44</v>
      </c>
      <c r="V10" s="256">
        <f t="shared" si="10"/>
        <v>0.272569408222581</v>
      </c>
      <c r="W10" s="244">
        <v>166059</v>
      </c>
      <c r="X10" s="244">
        <v>1726</v>
      </c>
      <c r="Y10" s="244">
        <v>140</v>
      </c>
      <c r="Z10" s="257">
        <v>1698.35</v>
      </c>
      <c r="AA10" s="277">
        <v>3468.95</v>
      </c>
      <c r="AB10" s="279" t="s">
        <v>78</v>
      </c>
      <c r="AC10" s="259">
        <f t="shared" si="11"/>
        <v>0.489586186021707</v>
      </c>
      <c r="AD10" s="260">
        <f t="shared" ref="AD10:AF10" si="29">X10/W10</f>
        <v>0.0103938961453459</v>
      </c>
      <c r="AE10" s="260">
        <f t="shared" si="29"/>
        <v>0.0811123986095017</v>
      </c>
      <c r="AF10" s="253">
        <f t="shared" si="29"/>
        <v>12.1310714285714</v>
      </c>
      <c r="AG10" s="261">
        <v>76</v>
      </c>
      <c r="AH10" s="254">
        <v>160</v>
      </c>
      <c r="AI10" s="262">
        <v>26</v>
      </c>
      <c r="AJ10" s="263">
        <f>AG10*产品成本!$D$2+AH10*产品成本!$D$3+AI10*产品成本!$D$4</f>
        <v>584.647887323944</v>
      </c>
      <c r="AK10" s="263">
        <f>AG10*产品成本!$E$2+AH10*产品成本!$E$3+AI10*产品成本!$E$4</f>
        <v>49.5005577464788</v>
      </c>
      <c r="AL10" s="263">
        <f>AG10*产品成本!$F$2+AH10*产品成本!$F$3+AI10*产品成本!$F$4</f>
        <v>89.08</v>
      </c>
      <c r="AM10" s="263">
        <f>AG10*产品成本!$G$2+AH10*产品成本!$G$3+AI10*产品成本!$G$4</f>
        <v>1005.84</v>
      </c>
      <c r="AN10" s="263">
        <f t="shared" si="13"/>
        <v>934.6335</v>
      </c>
      <c r="AO10" s="264">
        <f t="shared" si="14"/>
        <v>2663.70194507042</v>
      </c>
      <c r="AP10" s="265">
        <v>12</v>
      </c>
      <c r="AQ10" s="265">
        <v>14</v>
      </c>
      <c r="AR10" s="266">
        <v>3</v>
      </c>
      <c r="AS10" s="267">
        <f t="shared" si="15"/>
        <v>666.034090909091</v>
      </c>
      <c r="AT10" s="267">
        <f>AP10*产品成本!$D$2+AQ10*产品成本!$D$3+AR10*产品成本!$D$4</f>
        <v>64.8591549295775</v>
      </c>
      <c r="AU10" s="271">
        <f>AP10*产品成本!$E$2+AQ10*产品成本!$E$3+AR10*产品成本!$E$4</f>
        <v>5.41234647887323</v>
      </c>
      <c r="AV10" s="270">
        <f>AP10*产品成本!$F$2+AQ10*产品成本!$F$3+AR10*产品成本!$F$4</f>
        <v>9.86</v>
      </c>
      <c r="AW10" s="269">
        <v>0</v>
      </c>
      <c r="AX10" s="270">
        <f t="shared" si="16"/>
        <v>99.9051136363636</v>
      </c>
      <c r="AY10" s="269">
        <f t="shared" si="17"/>
        <v>-19.9810227272727</v>
      </c>
      <c r="AZ10" s="271">
        <f t="shared" si="18"/>
        <v>160.055592317542</v>
      </c>
      <c r="BA10" s="272">
        <f t="shared" si="19"/>
        <v>2503.64635275288</v>
      </c>
      <c r="BB10" s="272">
        <f t="shared" si="20"/>
        <v>6230.89</v>
      </c>
      <c r="BC10" s="272">
        <f t="shared" si="21"/>
        <v>5564.85590909091</v>
      </c>
      <c r="BD10" s="273">
        <f t="shared" si="22"/>
        <v>1362.85955633803</v>
      </c>
      <c r="BE10" s="274">
        <f t="shared" si="23"/>
        <v>0.24490473403123</v>
      </c>
      <c r="BF10" s="280"/>
      <c r="BG10" s="280"/>
      <c r="BH10" s="280"/>
    </row>
    <row r="11" ht="23.1" customHeight="1" spans="1:61">
      <c r="A11" s="242" t="s">
        <v>86</v>
      </c>
      <c r="B11" s="243" t="s">
        <v>87</v>
      </c>
      <c r="C11" s="243">
        <v>305</v>
      </c>
      <c r="D11" s="244">
        <v>290</v>
      </c>
      <c r="E11" s="245">
        <v>6636.34</v>
      </c>
      <c r="F11" s="246"/>
      <c r="G11" s="246"/>
      <c r="H11" s="247"/>
      <c r="I11" s="247"/>
      <c r="J11" s="276">
        <v>18</v>
      </c>
      <c r="K11" s="249">
        <f t="shared" si="0"/>
        <v>0.059016393442623</v>
      </c>
      <c r="L11" s="250">
        <v>268.6</v>
      </c>
      <c r="M11" s="251">
        <f t="shared" si="1"/>
        <v>0.168582375478927</v>
      </c>
      <c r="N11" s="249">
        <f t="shared" si="2"/>
        <v>0.16</v>
      </c>
      <c r="O11" s="249">
        <f t="shared" si="3"/>
        <v>0.0650709609702626</v>
      </c>
      <c r="P11" s="252">
        <f t="shared" si="4"/>
        <v>1.05172413793103</v>
      </c>
      <c r="Q11" s="253">
        <f t="shared" si="5"/>
        <v>22.8839310344828</v>
      </c>
      <c r="R11" s="253">
        <f t="shared" si="6"/>
        <v>21.7584918032787</v>
      </c>
      <c r="S11" s="253">
        <f t="shared" si="7"/>
        <v>43.5714285714286</v>
      </c>
      <c r="T11" s="254">
        <f t="shared" si="8"/>
        <v>95</v>
      </c>
      <c r="U11" s="255">
        <f t="shared" si="9"/>
        <v>0.327586206896552</v>
      </c>
      <c r="V11" s="256">
        <f t="shared" si="10"/>
        <v>0.306111501219045</v>
      </c>
      <c r="W11" s="244">
        <v>175575</v>
      </c>
      <c r="X11" s="244">
        <v>1917</v>
      </c>
      <c r="Y11" s="244">
        <v>195</v>
      </c>
      <c r="Z11" s="257">
        <v>2031.46</v>
      </c>
      <c r="AA11" s="277">
        <v>4467.78</v>
      </c>
      <c r="AB11" s="279" t="s">
        <v>88</v>
      </c>
      <c r="AC11" s="259">
        <f t="shared" si="11"/>
        <v>0.454691144147653</v>
      </c>
      <c r="AD11" s="260">
        <f t="shared" ref="AD11:AF11" si="30">X11/W11</f>
        <v>0.0109184109354976</v>
      </c>
      <c r="AE11" s="260">
        <f t="shared" si="30"/>
        <v>0.101721439749609</v>
      </c>
      <c r="AF11" s="253">
        <f t="shared" si="30"/>
        <v>10.4177435897436</v>
      </c>
      <c r="AG11" s="261">
        <v>97</v>
      </c>
      <c r="AH11" s="254">
        <v>170</v>
      </c>
      <c r="AI11" s="262">
        <v>38</v>
      </c>
      <c r="AJ11" s="263">
        <f>AG11*产品成本!$D$2+AH11*产品成本!$D$3+AI11*产品成本!$D$4</f>
        <v>689.859154929578</v>
      </c>
      <c r="AK11" s="263">
        <f>AG11*产品成本!$E$2+AH11*产品成本!$E$3+AI11*产品成本!$E$4</f>
        <v>57.5942070422534</v>
      </c>
      <c r="AL11" s="263">
        <f>AG11*产品成本!$F$2+AH11*产品成本!$F$3+AI11*产品成本!$F$4</f>
        <v>103.7</v>
      </c>
      <c r="AM11" s="263">
        <f>AG11*产品成本!$G$2+AH11*产品成本!$G$3+AI11*产品成本!$G$4</f>
        <v>1169.13</v>
      </c>
      <c r="AN11" s="263">
        <f t="shared" si="13"/>
        <v>995.451</v>
      </c>
      <c r="AO11" s="264">
        <f t="shared" si="14"/>
        <v>3015.73436197183</v>
      </c>
      <c r="AP11" s="265">
        <v>7</v>
      </c>
      <c r="AQ11" s="265">
        <v>11</v>
      </c>
      <c r="AR11" s="266">
        <v>0</v>
      </c>
      <c r="AS11" s="267">
        <f t="shared" si="15"/>
        <v>305.227272727273</v>
      </c>
      <c r="AT11" s="267">
        <f>AP11*产品成本!$D$2+AQ11*产品成本!$D$3+AR11*产品成本!$D$4</f>
        <v>38.0281690140845</v>
      </c>
      <c r="AU11" s="271">
        <f>AP11*产品成本!$E$2+AQ11*产品成本!$E$3+AR11*产品成本!$E$4</f>
        <v>3.33594084507042</v>
      </c>
      <c r="AV11" s="270">
        <f>AP11*产品成本!$F$2+AQ11*产品成本!$F$3+AR11*产品成本!$F$4</f>
        <v>6.12</v>
      </c>
      <c r="AW11" s="269">
        <v>0</v>
      </c>
      <c r="AX11" s="270">
        <f t="shared" si="16"/>
        <v>45.7840909090909</v>
      </c>
      <c r="AY11" s="269">
        <f t="shared" si="17"/>
        <v>-9.15681818181818</v>
      </c>
      <c r="AZ11" s="271">
        <f t="shared" si="18"/>
        <v>84.1113825864277</v>
      </c>
      <c r="BA11" s="272">
        <f t="shared" si="19"/>
        <v>2931.6229793854</v>
      </c>
      <c r="BB11" s="272">
        <f t="shared" si="20"/>
        <v>6636.34</v>
      </c>
      <c r="BC11" s="272">
        <f t="shared" si="21"/>
        <v>6331.11272727273</v>
      </c>
      <c r="BD11" s="273">
        <f t="shared" si="22"/>
        <v>1368.02974788732</v>
      </c>
      <c r="BE11" s="274">
        <f t="shared" si="23"/>
        <v>0.216080459599814</v>
      </c>
      <c r="BF11" s="278"/>
      <c r="BG11" s="278"/>
      <c r="BH11" s="278"/>
    </row>
    <row r="12" ht="23.1" customHeight="1" spans="1:61">
      <c r="A12" s="242" t="s">
        <v>89</v>
      </c>
      <c r="B12" s="243" t="s">
        <v>90</v>
      </c>
      <c r="C12" s="243">
        <v>351</v>
      </c>
      <c r="D12" s="244">
        <v>331</v>
      </c>
      <c r="E12" s="245">
        <v>7526.09</v>
      </c>
      <c r="F12" s="246"/>
      <c r="G12" s="246"/>
      <c r="H12" s="247"/>
      <c r="I12" s="247"/>
      <c r="J12" s="276">
        <v>21</v>
      </c>
      <c r="K12" s="249">
        <f t="shared" si="0"/>
        <v>0.0598290598290598</v>
      </c>
      <c r="L12" s="250">
        <v>410.76</v>
      </c>
      <c r="M12" s="251">
        <f t="shared" si="1"/>
        <v>0.150819672131148</v>
      </c>
      <c r="N12" s="249">
        <f t="shared" si="2"/>
        <v>0.141379310344828</v>
      </c>
      <c r="O12" s="249">
        <f t="shared" si="3"/>
        <v>0.13407239532634</v>
      </c>
      <c r="P12" s="252">
        <f t="shared" si="4"/>
        <v>1.06042296072508</v>
      </c>
      <c r="Q12" s="253">
        <f t="shared" si="5"/>
        <v>22.7374320241692</v>
      </c>
      <c r="R12" s="253">
        <f t="shared" si="6"/>
        <v>21.4418518518519</v>
      </c>
      <c r="S12" s="253">
        <f t="shared" si="7"/>
        <v>50.1428571428571</v>
      </c>
      <c r="T12" s="254">
        <f t="shared" si="8"/>
        <v>139</v>
      </c>
      <c r="U12" s="255">
        <f t="shared" si="9"/>
        <v>0.419939577039275</v>
      </c>
      <c r="V12" s="256">
        <f t="shared" si="10"/>
        <v>0.268226927926719</v>
      </c>
      <c r="W12" s="244">
        <v>197397</v>
      </c>
      <c r="X12" s="244">
        <v>2078</v>
      </c>
      <c r="Y12" s="244">
        <v>192</v>
      </c>
      <c r="Z12" s="257">
        <v>2018.7</v>
      </c>
      <c r="AA12" s="277">
        <v>4366.84</v>
      </c>
      <c r="AB12" s="279" t="s">
        <v>83</v>
      </c>
      <c r="AC12" s="259">
        <f t="shared" si="11"/>
        <v>0.462279359903271</v>
      </c>
      <c r="AD12" s="260">
        <f t="shared" ref="AD12:AF12" si="31">X12/W12</f>
        <v>0.0105270090224269</v>
      </c>
      <c r="AE12" s="260">
        <f t="shared" si="31"/>
        <v>0.0923965351299326</v>
      </c>
      <c r="AF12" s="253">
        <f t="shared" si="31"/>
        <v>10.5140625</v>
      </c>
      <c r="AG12" s="261">
        <v>112</v>
      </c>
      <c r="AH12" s="254">
        <v>212</v>
      </c>
      <c r="AI12" s="262">
        <v>27</v>
      </c>
      <c r="AJ12" s="263">
        <f>AG12*产品成本!$D$2+AH12*产品成本!$D$3+AI12*产品成本!$D$4</f>
        <v>773.87323943662</v>
      </c>
      <c r="AK12" s="263">
        <f>AG12*产品成本!$E$2+AH12*产品成本!$E$3+AI12*产品成本!$E$4</f>
        <v>65.9854985915492</v>
      </c>
      <c r="AL12" s="263">
        <f>AG12*产品成本!$F$2+AH12*产品成本!$F$3+AI12*产品成本!$F$4</f>
        <v>119.34</v>
      </c>
      <c r="AM12" s="263">
        <f>AG12*产品成本!$G$2+AH12*产品成本!$G$3+AI12*产品成本!$G$4</f>
        <v>1345.38</v>
      </c>
      <c r="AN12" s="263">
        <f t="shared" si="13"/>
        <v>1128.9135</v>
      </c>
      <c r="AO12" s="264">
        <f t="shared" si="14"/>
        <v>3433.49223802817</v>
      </c>
      <c r="AP12" s="265">
        <v>5</v>
      </c>
      <c r="AQ12" s="265">
        <v>14</v>
      </c>
      <c r="AR12" s="266">
        <v>2</v>
      </c>
      <c r="AS12" s="267">
        <f t="shared" si="15"/>
        <v>466.772727272727</v>
      </c>
      <c r="AT12" s="267">
        <f>AP12*产品成本!$D$2+AQ12*产品成本!$D$3+AR12*产品成本!$D$4</f>
        <v>46.7605633802817</v>
      </c>
      <c r="AU12" s="271">
        <f>AP12*产品成本!$E$2+AQ12*产品成本!$E$3+AR12*产品成本!$E$4</f>
        <v>3.98709718309858</v>
      </c>
      <c r="AV12" s="270">
        <f>AP12*产品成本!$F$2+AQ12*产品成本!$F$3+AR12*产品成本!$F$4</f>
        <v>7.14</v>
      </c>
      <c r="AW12" s="269">
        <v>0</v>
      </c>
      <c r="AX12" s="270">
        <f t="shared" si="16"/>
        <v>70.0159090909091</v>
      </c>
      <c r="AY12" s="269">
        <f t="shared" si="17"/>
        <v>-14.0031818181818</v>
      </c>
      <c r="AZ12" s="271">
        <f t="shared" si="18"/>
        <v>113.900387836108</v>
      </c>
      <c r="BA12" s="272">
        <f t="shared" si="19"/>
        <v>3319.59185019206</v>
      </c>
      <c r="BB12" s="272">
        <f t="shared" si="20"/>
        <v>7526.09</v>
      </c>
      <c r="BC12" s="272">
        <f t="shared" si="21"/>
        <v>7059.31727272727</v>
      </c>
      <c r="BD12" s="273">
        <f t="shared" si="22"/>
        <v>1721.02542253521</v>
      </c>
      <c r="BE12" s="274">
        <f t="shared" si="23"/>
        <v>0.243794882145921</v>
      </c>
      <c r="BF12" s="280"/>
      <c r="BG12" s="280" t="s">
        <v>91</v>
      </c>
      <c r="BH12" s="280"/>
    </row>
    <row r="13" ht="23.1" customHeight="1" spans="1:61">
      <c r="A13" s="242" t="s">
        <v>92</v>
      </c>
      <c r="B13" s="243" t="s">
        <v>93</v>
      </c>
      <c r="C13" s="243">
        <v>290</v>
      </c>
      <c r="D13" s="244">
        <v>271</v>
      </c>
      <c r="E13" s="245">
        <v>6846.76</v>
      </c>
      <c r="F13" s="246"/>
      <c r="G13" s="246"/>
      <c r="H13" s="247"/>
      <c r="I13" s="247"/>
      <c r="J13" s="276">
        <v>25</v>
      </c>
      <c r="K13" s="249">
        <f t="shared" si="0"/>
        <v>0.0862068965517241</v>
      </c>
      <c r="L13" s="250">
        <v>471.02</v>
      </c>
      <c r="M13" s="251">
        <f t="shared" si="1"/>
        <v>-0.173789173789174</v>
      </c>
      <c r="N13" s="249">
        <f t="shared" si="2"/>
        <v>-0.181268882175227</v>
      </c>
      <c r="O13" s="249">
        <f t="shared" si="3"/>
        <v>-0.0902633372707475</v>
      </c>
      <c r="P13" s="252">
        <f t="shared" si="4"/>
        <v>1.07011070110701</v>
      </c>
      <c r="Q13" s="281">
        <f t="shared" si="5"/>
        <v>25.2647970479705</v>
      </c>
      <c r="R13" s="282">
        <f t="shared" si="6"/>
        <v>23.6095172413793</v>
      </c>
      <c r="S13" s="282">
        <f t="shared" si="7"/>
        <v>41.4285714285714</v>
      </c>
      <c r="T13" s="254">
        <f t="shared" si="8"/>
        <v>104</v>
      </c>
      <c r="U13" s="255">
        <f t="shared" si="9"/>
        <v>0.383763837638376</v>
      </c>
      <c r="V13" s="256">
        <f t="shared" si="10"/>
        <v>0.263726200421805</v>
      </c>
      <c r="W13" s="244">
        <v>175351</v>
      </c>
      <c r="X13" s="244">
        <v>1841</v>
      </c>
      <c r="Y13" s="244">
        <v>167</v>
      </c>
      <c r="Z13" s="257">
        <v>1805.67</v>
      </c>
      <c r="AA13" s="277">
        <v>4166.77</v>
      </c>
      <c r="AB13" s="279" t="s">
        <v>78</v>
      </c>
      <c r="AC13" s="259">
        <f t="shared" si="11"/>
        <v>0.433350052918688</v>
      </c>
      <c r="AD13" s="260">
        <f t="shared" ref="AD13:AF13" si="32">X13/W13</f>
        <v>0.0104989421218014</v>
      </c>
      <c r="AE13" s="260">
        <f t="shared" si="32"/>
        <v>0.0907115697990223</v>
      </c>
      <c r="AF13" s="253">
        <f t="shared" si="32"/>
        <v>10.8123952095808</v>
      </c>
      <c r="AG13" s="261">
        <v>81</v>
      </c>
      <c r="AH13" s="254">
        <v>199</v>
      </c>
      <c r="AI13" s="262">
        <v>10</v>
      </c>
      <c r="AJ13" s="263">
        <f>AG13*产品成本!$D$2+AH13*产品成本!$D$3+AI13*产品成本!$D$4</f>
        <v>624.647887323944</v>
      </c>
      <c r="AK13" s="263">
        <f>AG13*产品成本!$E$2+AH13*产品成本!$E$3+AI13*产品成本!$E$4</f>
        <v>54.5274084507041</v>
      </c>
      <c r="AL13" s="263">
        <f>AG13*产品成本!$F$2+AH13*产品成本!$F$3+AI13*产品成本!$F$4</f>
        <v>98.6</v>
      </c>
      <c r="AM13" s="263">
        <f>AG13*产品成本!$G$2+AH13*产品成本!$G$3+AI13*产品成本!$G$4</f>
        <v>1113.99</v>
      </c>
      <c r="AN13" s="263">
        <f t="shared" si="13"/>
        <v>1027.014</v>
      </c>
      <c r="AO13" s="264">
        <f t="shared" si="14"/>
        <v>2918.77929577465</v>
      </c>
      <c r="AP13" s="265">
        <v>7</v>
      </c>
      <c r="AQ13" s="265">
        <v>15</v>
      </c>
      <c r="AR13" s="266">
        <v>3</v>
      </c>
      <c r="AS13" s="267">
        <f t="shared" si="15"/>
        <v>535.25</v>
      </c>
      <c r="AT13" s="267">
        <f>AP13*产品成本!$D$2+AQ13*产品成本!$D$3+AR13*产品成本!$D$4</f>
        <v>56.4084507042254</v>
      </c>
      <c r="AU13" s="271">
        <f>AP13*产品成本!$E$2+AQ13*产品成本!$E$3+AR13*产品成本!$E$4</f>
        <v>4.7371014084507</v>
      </c>
      <c r="AV13" s="270">
        <f>AP13*产品成本!$F$2+AQ13*产品成本!$F$3+AR13*产品成本!$F$4</f>
        <v>8.5</v>
      </c>
      <c r="AW13" s="269">
        <v>0</v>
      </c>
      <c r="AX13" s="270">
        <f t="shared" si="16"/>
        <v>80.2875</v>
      </c>
      <c r="AY13" s="269">
        <f t="shared" si="17"/>
        <v>-16.0575</v>
      </c>
      <c r="AZ13" s="271">
        <f t="shared" si="18"/>
        <v>133.875552112676</v>
      </c>
      <c r="BA13" s="272">
        <f t="shared" si="19"/>
        <v>2784.90374366197</v>
      </c>
      <c r="BB13" s="272">
        <f t="shared" si="20"/>
        <v>6846.76</v>
      </c>
      <c r="BC13" s="272">
        <f t="shared" si="21"/>
        <v>6311.51</v>
      </c>
      <c r="BD13" s="273">
        <f t="shared" si="22"/>
        <v>1720.93625633803</v>
      </c>
      <c r="BE13" s="274">
        <f t="shared" si="23"/>
        <v>0.272666328079656</v>
      </c>
      <c r="BF13" s="278"/>
      <c r="BG13" s="278" t="s">
        <v>94</v>
      </c>
      <c r="BH13" s="278"/>
    </row>
    <row r="14" ht="23.1" customHeight="1" spans="1:61">
      <c r="A14" s="242" t="s">
        <v>95</v>
      </c>
      <c r="B14" s="243" t="s">
        <v>96</v>
      </c>
      <c r="C14" s="243">
        <v>315</v>
      </c>
      <c r="D14" s="244">
        <v>298</v>
      </c>
      <c r="E14" s="245">
        <v>7220.89</v>
      </c>
      <c r="F14" s="246"/>
      <c r="G14" s="246"/>
      <c r="H14" s="247"/>
      <c r="I14" s="247"/>
      <c r="J14" s="276">
        <v>26</v>
      </c>
      <c r="K14" s="249">
        <f t="shared" si="0"/>
        <v>0.0825396825396825</v>
      </c>
      <c r="L14" s="250">
        <v>508.77</v>
      </c>
      <c r="M14" s="251">
        <f t="shared" si="1"/>
        <v>0.0862068965517241</v>
      </c>
      <c r="N14" s="249">
        <f t="shared" si="2"/>
        <v>0.0996309963099631</v>
      </c>
      <c r="O14" s="249">
        <f t="shared" si="3"/>
        <v>0.0546433641605665</v>
      </c>
      <c r="P14" s="252">
        <f t="shared" si="4"/>
        <v>1.05704697986577</v>
      </c>
      <c r="Q14" s="281">
        <f t="shared" si="5"/>
        <v>24.2311744966443</v>
      </c>
      <c r="R14" s="281">
        <f t="shared" si="6"/>
        <v>22.9234603174603</v>
      </c>
      <c r="S14" s="281">
        <f t="shared" si="7"/>
        <v>45</v>
      </c>
      <c r="T14" s="254">
        <f t="shared" si="8"/>
        <v>105</v>
      </c>
      <c r="U14" s="255">
        <f t="shared" si="9"/>
        <v>0.352348993288591</v>
      </c>
      <c r="V14" s="256">
        <f t="shared" si="10"/>
        <v>0.285683620717114</v>
      </c>
      <c r="W14" s="244">
        <v>192908</v>
      </c>
      <c r="X14" s="244">
        <v>2120</v>
      </c>
      <c r="Y14" s="244">
        <v>193</v>
      </c>
      <c r="Z14" s="257">
        <v>2062.89</v>
      </c>
      <c r="AA14" s="277">
        <v>4629.61</v>
      </c>
      <c r="AB14" s="279" t="s">
        <v>83</v>
      </c>
      <c r="AC14" s="259">
        <f t="shared" si="11"/>
        <v>0.445586129285188</v>
      </c>
      <c r="AD14" s="260">
        <f t="shared" ref="AD14:AF14" si="33">X14/W14</f>
        <v>0.0109896945694321</v>
      </c>
      <c r="AE14" s="260">
        <f t="shared" si="33"/>
        <v>0.0910377358490566</v>
      </c>
      <c r="AF14" s="253">
        <f t="shared" si="33"/>
        <v>10.6885492227979</v>
      </c>
      <c r="AG14" s="261">
        <v>80</v>
      </c>
      <c r="AH14" s="254">
        <v>212</v>
      </c>
      <c r="AI14" s="262">
        <v>23</v>
      </c>
      <c r="AJ14" s="263">
        <f>AG14*产品成本!$D$2+AH14*产品成本!$D$3+AI14*产品成本!$D$4</f>
        <v>693.028169014085</v>
      </c>
      <c r="AK14" s="263">
        <f>AG14*产品成本!$E$2+AH14*产品成本!$E$3+AI14*产品成本!$E$4</f>
        <v>59.5900732394365</v>
      </c>
      <c r="AL14" s="263">
        <f>AG14*产品成本!$F$2+AH14*产品成本!$F$3+AI14*产品成本!$F$4</f>
        <v>107.1</v>
      </c>
      <c r="AM14" s="263">
        <f>AG14*产品成本!$G$2+AH14*产品成本!$G$3+AI14*产品成本!$G$4</f>
        <v>1211.7</v>
      </c>
      <c r="AN14" s="263">
        <f t="shared" si="13"/>
        <v>1083.1335</v>
      </c>
      <c r="AO14" s="264">
        <f t="shared" si="14"/>
        <v>3154.55174225352</v>
      </c>
      <c r="AP14" s="265">
        <v>8</v>
      </c>
      <c r="AQ14" s="265">
        <v>16</v>
      </c>
      <c r="AR14" s="266">
        <v>2</v>
      </c>
      <c r="AS14" s="267">
        <f t="shared" si="15"/>
        <v>578.147727272727</v>
      </c>
      <c r="AT14" s="267">
        <f>AP14*产品成本!$D$2+AQ14*产品成本!$D$3+AR14*产品成本!$D$4</f>
        <v>57.3239436619719</v>
      </c>
      <c r="AU14" s="271">
        <f>AP14*产品成本!$E$2+AQ14*产品成本!$E$3+AR14*产品成本!$E$4</f>
        <v>4.89349859154929</v>
      </c>
      <c r="AV14" s="270">
        <f>AP14*产品成本!$F$2+AQ14*产品成本!$F$3+AR14*产品成本!$F$4</f>
        <v>8.84</v>
      </c>
      <c r="AW14" s="269">
        <v>0</v>
      </c>
      <c r="AX14" s="270">
        <f t="shared" si="16"/>
        <v>86.7221590909091</v>
      </c>
      <c r="AY14" s="269">
        <f t="shared" si="17"/>
        <v>-17.3444318181818</v>
      </c>
      <c r="AZ14" s="271">
        <f t="shared" si="18"/>
        <v>140.435169526248</v>
      </c>
      <c r="BA14" s="272">
        <f t="shared" si="19"/>
        <v>3014.11657272727</v>
      </c>
      <c r="BB14" s="272">
        <f t="shared" si="20"/>
        <v>7220.89</v>
      </c>
      <c r="BC14" s="272">
        <f t="shared" si="21"/>
        <v>6642.74227272727</v>
      </c>
      <c r="BD14" s="273">
        <f t="shared" si="22"/>
        <v>1565.7357</v>
      </c>
      <c r="BE14" s="274">
        <f t="shared" si="23"/>
        <v>0.235706224284563</v>
      </c>
      <c r="BF14" s="283"/>
      <c r="BG14" s="283" t="s">
        <v>97</v>
      </c>
      <c r="BH14" s="280"/>
    </row>
    <row r="15" ht="23.1" customHeight="1" spans="1:61">
      <c r="A15" s="242" t="s">
        <v>98</v>
      </c>
      <c r="B15" s="243" t="s">
        <v>99</v>
      </c>
      <c r="C15" s="243">
        <v>278</v>
      </c>
      <c r="D15" s="244">
        <v>269</v>
      </c>
      <c r="E15" s="245">
        <v>6436.56</v>
      </c>
      <c r="F15" s="246"/>
      <c r="G15" s="246"/>
      <c r="H15" s="247"/>
      <c r="I15" s="247"/>
      <c r="J15" s="276">
        <v>23</v>
      </c>
      <c r="K15" s="249">
        <f t="shared" si="0"/>
        <v>0.0827338129496403</v>
      </c>
      <c r="L15" s="250">
        <v>471.54</v>
      </c>
      <c r="M15" s="251">
        <f t="shared" si="1"/>
        <v>-0.117460317460317</v>
      </c>
      <c r="N15" s="249">
        <f t="shared" si="2"/>
        <v>-0.0973154362416107</v>
      </c>
      <c r="O15" s="249">
        <f t="shared" si="3"/>
        <v>-0.108619574595375</v>
      </c>
      <c r="P15" s="252">
        <f t="shared" si="4"/>
        <v>1.03345724907063</v>
      </c>
      <c r="Q15" s="281">
        <f t="shared" si="5"/>
        <v>23.9277323420074</v>
      </c>
      <c r="R15" s="281">
        <f t="shared" si="6"/>
        <v>23.1530935251799</v>
      </c>
      <c r="S15" s="281">
        <f t="shared" si="7"/>
        <v>39.7142857142857</v>
      </c>
      <c r="T15" s="254">
        <f t="shared" si="8"/>
        <v>100</v>
      </c>
      <c r="U15" s="255">
        <f t="shared" si="9"/>
        <v>0.371747211895911</v>
      </c>
      <c r="V15" s="256">
        <f t="shared" si="10"/>
        <v>0.276664864461762</v>
      </c>
      <c r="W15" s="244">
        <v>167353</v>
      </c>
      <c r="X15" s="244">
        <v>1833</v>
      </c>
      <c r="Y15" s="244">
        <v>169</v>
      </c>
      <c r="Z15" s="257">
        <v>1780.77</v>
      </c>
      <c r="AA15" s="277">
        <v>4021.03</v>
      </c>
      <c r="AB15" s="279" t="s">
        <v>83</v>
      </c>
      <c r="AC15" s="259">
        <f t="shared" si="11"/>
        <v>0.44286414177462</v>
      </c>
      <c r="AD15" s="260">
        <f t="shared" ref="AD15:AF15" si="34">X15/W15</f>
        <v>0.0109528959743775</v>
      </c>
      <c r="AE15" s="260">
        <f t="shared" si="34"/>
        <v>0.0921985815602837</v>
      </c>
      <c r="AF15" s="253">
        <f t="shared" si="34"/>
        <v>10.537100591716</v>
      </c>
      <c r="AG15" s="261">
        <v>49</v>
      </c>
      <c r="AH15" s="254">
        <v>177</v>
      </c>
      <c r="AI15" s="262">
        <v>52</v>
      </c>
      <c r="AJ15" s="263">
        <f>AG15*产品成本!$D$2+AH15*产品成本!$D$3+AI15*产品成本!$D$4</f>
        <v>649.577464788733</v>
      </c>
      <c r="AK15" s="263">
        <f>AG15*产品成本!$E$2+AH15*产品成本!$E$3+AI15*产品成本!$E$4</f>
        <v>53.5505999999999</v>
      </c>
      <c r="AL15" s="263">
        <f>AG15*产品成本!$F$2+AH15*产品成本!$F$3+AI15*产品成本!$F$4</f>
        <v>94.52</v>
      </c>
      <c r="AM15" s="263">
        <f>AG15*产品成本!$G$2+AH15*产品成本!$G$3+AI15*产品成本!$G$4</f>
        <v>1073.91</v>
      </c>
      <c r="AN15" s="263">
        <f t="shared" si="13"/>
        <v>965.484</v>
      </c>
      <c r="AO15" s="264">
        <f t="shared" si="14"/>
        <v>2837.04206478873</v>
      </c>
      <c r="AP15" s="265">
        <v>10</v>
      </c>
      <c r="AQ15" s="265">
        <v>13</v>
      </c>
      <c r="AR15" s="266">
        <v>1</v>
      </c>
      <c r="AS15" s="267">
        <f t="shared" si="15"/>
        <v>535.840909090909</v>
      </c>
      <c r="AT15" s="267">
        <f>AP15*产品成本!$D$2+AQ15*产品成本!$D$3+AR15*产品成本!$D$4</f>
        <v>51.9014084507043</v>
      </c>
      <c r="AU15" s="271">
        <f>AP15*产品成本!$E$2+AQ15*产品成本!$E$3+AR15*产品成本!$E$4</f>
        <v>4.45234225352112</v>
      </c>
      <c r="AV15" s="270">
        <f>AP15*产品成本!$F$2+AQ15*产品成本!$F$3+AR15*产品成本!$F$4</f>
        <v>8.16</v>
      </c>
      <c r="AW15" s="269">
        <v>0</v>
      </c>
      <c r="AX15" s="270">
        <f t="shared" si="16"/>
        <v>80.3761363636364</v>
      </c>
      <c r="AY15" s="269">
        <f t="shared" si="17"/>
        <v>-16.0752272727273</v>
      </c>
      <c r="AZ15" s="271">
        <f t="shared" si="18"/>
        <v>128.814659795135</v>
      </c>
      <c r="BA15" s="272">
        <f t="shared" si="19"/>
        <v>2708.2274049936</v>
      </c>
      <c r="BB15" s="272">
        <f t="shared" si="20"/>
        <v>6436.56</v>
      </c>
      <c r="BC15" s="272">
        <f t="shared" si="21"/>
        <v>5900.71909090909</v>
      </c>
      <c r="BD15" s="273">
        <f t="shared" si="22"/>
        <v>1411.72168591549</v>
      </c>
      <c r="BE15" s="274">
        <f t="shared" si="23"/>
        <v>0.239245702797555</v>
      </c>
      <c r="BF15" s="284"/>
      <c r="BG15" s="284" t="s">
        <v>100</v>
      </c>
      <c r="BH15" s="278"/>
    </row>
    <row r="16" ht="23.1" customHeight="1" spans="1:61">
      <c r="A16" s="285" t="s">
        <v>101</v>
      </c>
      <c r="B16" s="286" t="s">
        <v>102</v>
      </c>
      <c r="C16" s="243">
        <v>344</v>
      </c>
      <c r="D16" s="244">
        <v>324</v>
      </c>
      <c r="E16" s="245">
        <v>7634.97</v>
      </c>
      <c r="F16" s="246"/>
      <c r="G16" s="246"/>
      <c r="H16" s="247"/>
      <c r="I16" s="247"/>
      <c r="J16" s="276">
        <v>30</v>
      </c>
      <c r="K16" s="249">
        <f t="shared" si="0"/>
        <v>0.0872093023255814</v>
      </c>
      <c r="L16" s="250">
        <v>583.82</v>
      </c>
      <c r="M16" s="251">
        <f t="shared" si="1"/>
        <v>0.237410071942446</v>
      </c>
      <c r="N16" s="249">
        <f t="shared" si="2"/>
        <v>0.204460966542751</v>
      </c>
      <c r="O16" s="249">
        <f t="shared" si="3"/>
        <v>0.186187963757038</v>
      </c>
      <c r="P16" s="252">
        <f t="shared" si="4"/>
        <v>1.06172839506173</v>
      </c>
      <c r="Q16" s="281">
        <f t="shared" si="5"/>
        <v>23.5647222222222</v>
      </c>
      <c r="R16" s="281">
        <f t="shared" si="6"/>
        <v>22.1946802325581</v>
      </c>
      <c r="S16" s="281">
        <f t="shared" si="7"/>
        <v>49.1428571428571</v>
      </c>
      <c r="T16" s="254">
        <f t="shared" si="8"/>
        <v>305</v>
      </c>
      <c r="U16" s="255">
        <f t="shared" si="9"/>
        <v>0.941358024691358</v>
      </c>
      <c r="V16" s="256">
        <f t="shared" si="10"/>
        <v>0.29573397144979</v>
      </c>
      <c r="W16" s="244">
        <v>201438</v>
      </c>
      <c r="X16" s="244">
        <v>2316</v>
      </c>
      <c r="Y16" s="244">
        <v>19</v>
      </c>
      <c r="Z16" s="257">
        <v>2257.92</v>
      </c>
      <c r="AA16" s="277">
        <v>4659.38</v>
      </c>
      <c r="AB16" s="244">
        <v>0.97</v>
      </c>
      <c r="AC16" s="259">
        <f t="shared" si="11"/>
        <v>0.484596663075345</v>
      </c>
      <c r="AD16" s="260">
        <f t="shared" ref="AD16:AF16" si="35">X16/W16</f>
        <v>0.0114973341673368</v>
      </c>
      <c r="AE16" s="260">
        <f t="shared" si="35"/>
        <v>0.00820379965457686</v>
      </c>
      <c r="AF16" s="253">
        <f t="shared" si="35"/>
        <v>118.837894736842</v>
      </c>
      <c r="AG16" s="261">
        <v>84</v>
      </c>
      <c r="AH16" s="254">
        <v>211</v>
      </c>
      <c r="AI16" s="262">
        <v>49</v>
      </c>
      <c r="AJ16" s="263">
        <f>AG16*产品成本!$D$2+AH16*产品成本!$D$3+AI16*产品成本!$D$4</f>
        <v>785.422535211268</v>
      </c>
      <c r="AK16" s="263">
        <f>AG16*产品成本!$E$2+AH16*产品成本!$E$3+AI16*产品成本!$E$4</f>
        <v>65.5517112676055</v>
      </c>
      <c r="AL16" s="263">
        <f>AG16*产品成本!$F$2+AH16*产品成本!$F$3+AI16*产品成本!$F$4</f>
        <v>116.96</v>
      </c>
      <c r="AM16" s="263">
        <f>AG16*产品成本!$G$2+AH16*产品成本!$G$3+AI16*产品成本!$G$4</f>
        <v>1323.96</v>
      </c>
      <c r="AN16" s="263">
        <f t="shared" si="13"/>
        <v>1145.2455</v>
      </c>
      <c r="AO16" s="264">
        <f t="shared" si="14"/>
        <v>3437.13974647887</v>
      </c>
      <c r="AP16" s="265">
        <v>13</v>
      </c>
      <c r="AQ16" s="265">
        <v>16</v>
      </c>
      <c r="AR16" s="266">
        <v>1</v>
      </c>
      <c r="AS16" s="267">
        <f t="shared" si="15"/>
        <v>663.431818181818</v>
      </c>
      <c r="AT16" s="267">
        <f>AP16*产品成本!$D$2+AQ16*产品成本!$D$3+AR16*产品成本!$D$4</f>
        <v>64.5774647887324</v>
      </c>
      <c r="AU16" s="271">
        <f>AP16*产品成本!$E$2+AQ16*产品成本!$E$3+AR16*产品成本!$E$4</f>
        <v>5.55153380281689</v>
      </c>
      <c r="AV16" s="270">
        <f>AP16*产品成本!$F$2+AQ16*产品成本!$F$3+AR16*产品成本!$F$4</f>
        <v>10.2</v>
      </c>
      <c r="AW16" s="269">
        <v>0</v>
      </c>
      <c r="AX16" s="270">
        <f t="shared" si="16"/>
        <v>99.5147727272727</v>
      </c>
      <c r="AY16" s="269">
        <f t="shared" si="17"/>
        <v>-19.9029545454545</v>
      </c>
      <c r="AZ16" s="271">
        <f t="shared" si="18"/>
        <v>159.940816773368</v>
      </c>
      <c r="BA16" s="272">
        <f t="shared" si="19"/>
        <v>3277.19892970551</v>
      </c>
      <c r="BB16" s="272">
        <f t="shared" si="20"/>
        <v>7634.97</v>
      </c>
      <c r="BC16" s="272">
        <f t="shared" si="21"/>
        <v>6971.53818181818</v>
      </c>
      <c r="BD16" s="273">
        <f t="shared" si="22"/>
        <v>1436.41925211268</v>
      </c>
      <c r="BE16" s="274">
        <f t="shared" si="23"/>
        <v>0.206040505646066</v>
      </c>
      <c r="BF16" s="280"/>
      <c r="BG16" s="280" t="s">
        <v>103</v>
      </c>
      <c r="BH16" s="280"/>
    </row>
    <row r="17" ht="23.1" customHeight="1" spans="1:60">
      <c r="A17" s="285" t="s">
        <v>104</v>
      </c>
      <c r="B17" s="286" t="s">
        <v>105</v>
      </c>
      <c r="C17" s="243">
        <v>351</v>
      </c>
      <c r="D17" s="244">
        <v>339</v>
      </c>
      <c r="E17" s="245">
        <v>7769.22</v>
      </c>
      <c r="F17" s="246"/>
      <c r="G17" s="246"/>
      <c r="H17" s="247"/>
      <c r="I17" s="247"/>
      <c r="J17" s="276">
        <v>23</v>
      </c>
      <c r="K17" s="249">
        <f t="shared" si="0"/>
        <v>0.0655270655270655</v>
      </c>
      <c r="L17" s="250">
        <v>440.93</v>
      </c>
      <c r="M17" s="251">
        <f t="shared" si="1"/>
        <v>0.0203488372093023</v>
      </c>
      <c r="N17" s="249">
        <f t="shared" si="2"/>
        <v>0.0462962962962963</v>
      </c>
      <c r="O17" s="249">
        <f t="shared" si="3"/>
        <v>0.0175835661436784</v>
      </c>
      <c r="P17" s="252">
        <f t="shared" si="4"/>
        <v>1.0353982300885</v>
      </c>
      <c r="Q17" s="281">
        <f t="shared" si="5"/>
        <v>22.9180530973451</v>
      </c>
      <c r="R17" s="281">
        <f t="shared" si="6"/>
        <v>22.1345299145299</v>
      </c>
      <c r="S17" s="281">
        <f t="shared" si="7"/>
        <v>50.1428571428571</v>
      </c>
      <c r="T17" s="254">
        <f t="shared" si="8"/>
        <v>118</v>
      </c>
      <c r="U17" s="255">
        <f t="shared" si="9"/>
        <v>0.348082595870207</v>
      </c>
      <c r="V17" s="256">
        <f t="shared" si="10"/>
        <v>0.298848533057373</v>
      </c>
      <c r="W17" s="244">
        <v>243295</v>
      </c>
      <c r="X17" s="244">
        <v>2349</v>
      </c>
      <c r="Y17" s="244">
        <v>221</v>
      </c>
      <c r="Z17" s="257">
        <v>2321.82</v>
      </c>
      <c r="AA17" s="277">
        <v>5024.08</v>
      </c>
      <c r="AB17" s="244">
        <v>0.99</v>
      </c>
      <c r="AC17" s="259">
        <f t="shared" si="11"/>
        <v>0.462138341746151</v>
      </c>
      <c r="AD17" s="260">
        <f t="shared" ref="AD17:AF17" si="36">X17/W17</f>
        <v>0.0096549456421217</v>
      </c>
      <c r="AE17" s="260">
        <f t="shared" si="36"/>
        <v>0.0940825883354619</v>
      </c>
      <c r="AF17" s="253">
        <f t="shared" si="36"/>
        <v>10.5059728506787</v>
      </c>
      <c r="AG17" s="261">
        <v>105</v>
      </c>
      <c r="AH17" s="254">
        <v>173</v>
      </c>
      <c r="AI17" s="262">
        <v>73</v>
      </c>
      <c r="AJ17" s="263">
        <f>AG17*产品成本!$D$2+AH17*产品成本!$D$3+AI17*产品成本!$D$4</f>
        <v>828.943661971832</v>
      </c>
      <c r="AK17" s="263">
        <f>AG17*产品成本!$E$2+AH17*产品成本!$E$3+AI17*产品成本!$E$4</f>
        <v>66.9114338028168</v>
      </c>
      <c r="AL17" s="263">
        <f>AG17*产品成本!$F$2+AH17*产品成本!$F$3+AI17*产品成本!$F$4</f>
        <v>119.34</v>
      </c>
      <c r="AM17" s="263">
        <f>AG17*产品成本!$G$2+AH17*产品成本!$G$3+AI17*产品成本!$G$4</f>
        <v>1346.85</v>
      </c>
      <c r="AN17" s="263">
        <f t="shared" si="13"/>
        <v>1165.383</v>
      </c>
      <c r="AO17" s="264">
        <f t="shared" si="14"/>
        <v>3527.42809577465</v>
      </c>
      <c r="AP17" s="265">
        <v>7</v>
      </c>
      <c r="AQ17" s="265">
        <v>8</v>
      </c>
      <c r="AR17" s="266">
        <v>8</v>
      </c>
      <c r="AS17" s="267">
        <f t="shared" si="15"/>
        <v>501.056818181818</v>
      </c>
      <c r="AT17" s="267">
        <f>AP17*产品成本!$D$2+AQ17*产品成本!$D$3+AR17*产品成本!$D$4</f>
        <v>58.1690140845071</v>
      </c>
      <c r="AU17" s="271">
        <f>AP17*产品成本!$E$2+AQ17*产品成本!$E$3+AR17*产品成本!$E$4</f>
        <v>4.43757042253521</v>
      </c>
      <c r="AV17" s="270">
        <f>AP17*产品成本!$F$2+AQ17*产品成本!$F$3+AR17*产品成本!$F$4</f>
        <v>7.82</v>
      </c>
      <c r="AW17" s="269"/>
      <c r="AX17" s="270">
        <f t="shared" si="16"/>
        <v>75.1585227272727</v>
      </c>
      <c r="AY17" s="269">
        <f t="shared" si="17"/>
        <v>-15.0317045454545</v>
      </c>
      <c r="AZ17" s="271">
        <f t="shared" si="18"/>
        <v>130.55340268886</v>
      </c>
      <c r="BA17" s="272">
        <f t="shared" si="19"/>
        <v>3396.87469308579</v>
      </c>
      <c r="BB17" s="272">
        <f t="shared" si="20"/>
        <v>7769.22</v>
      </c>
      <c r="BC17" s="272">
        <f t="shared" si="21"/>
        <v>7268.16318181818</v>
      </c>
      <c r="BD17" s="273">
        <f t="shared" si="22"/>
        <v>1549.46848873239</v>
      </c>
      <c r="BE17" s="274">
        <f t="shared" si="23"/>
        <v>0.213185704554419</v>
      </c>
      <c r="BF17" s="287"/>
      <c r="BG17" s="287" t="s">
        <v>106</v>
      </c>
      <c r="BH17" s="278" t="s">
        <v>94</v>
      </c>
    </row>
    <row r="18" ht="23.1" customHeight="1" spans="1:60">
      <c r="A18" s="285" t="s">
        <v>107</v>
      </c>
      <c r="B18" s="286" t="s">
        <v>108</v>
      </c>
      <c r="C18" s="243">
        <v>399</v>
      </c>
      <c r="D18" s="244">
        <v>357</v>
      </c>
      <c r="E18" s="245">
        <v>9260.61</v>
      </c>
      <c r="F18" s="246"/>
      <c r="G18" s="246"/>
      <c r="H18" s="247"/>
      <c r="I18" s="247"/>
      <c r="J18" s="276">
        <v>29</v>
      </c>
      <c r="K18" s="249">
        <f t="shared" si="0"/>
        <v>0.0726817042606516</v>
      </c>
      <c r="L18" s="250">
        <v>585.8</v>
      </c>
      <c r="M18" s="251">
        <f t="shared" si="1"/>
        <v>0.136752136752137</v>
      </c>
      <c r="N18" s="249">
        <f t="shared" si="2"/>
        <v>0.0530973451327434</v>
      </c>
      <c r="O18" s="249">
        <f t="shared" si="3"/>
        <v>0.191961355193958</v>
      </c>
      <c r="P18" s="252">
        <f t="shared" si="4"/>
        <v>1.11764705882353</v>
      </c>
      <c r="Q18" s="281">
        <f t="shared" si="5"/>
        <v>25.9400840336134</v>
      </c>
      <c r="R18" s="281">
        <f t="shared" si="6"/>
        <v>23.2095488721805</v>
      </c>
      <c r="S18" s="281">
        <f t="shared" si="7"/>
        <v>57</v>
      </c>
      <c r="T18" s="254">
        <f t="shared" si="8"/>
        <v>138</v>
      </c>
      <c r="U18" s="255">
        <f t="shared" si="9"/>
        <v>0.38655462184874</v>
      </c>
      <c r="V18" s="256">
        <f t="shared" si="10"/>
        <v>0.225248660725373</v>
      </c>
      <c r="W18" s="244">
        <v>205810</v>
      </c>
      <c r="X18" s="244">
        <v>2124</v>
      </c>
      <c r="Y18" s="244">
        <v>219</v>
      </c>
      <c r="Z18" s="257">
        <v>2085.94</v>
      </c>
      <c r="AA18" s="277">
        <v>5804.27</v>
      </c>
      <c r="AB18" s="244">
        <v>0.98</v>
      </c>
      <c r="AC18" s="259">
        <f t="shared" si="11"/>
        <v>0.359380249368138</v>
      </c>
      <c r="AD18" s="260">
        <f t="shared" ref="AD18:AF18" si="37">X18/W18</f>
        <v>0.0103201982410962</v>
      </c>
      <c r="AE18" s="260">
        <f t="shared" si="37"/>
        <v>0.103107344632768</v>
      </c>
      <c r="AF18" s="253">
        <f t="shared" si="37"/>
        <v>9.5248401826484</v>
      </c>
      <c r="AG18" s="261">
        <v>139</v>
      </c>
      <c r="AH18" s="254">
        <v>178</v>
      </c>
      <c r="AI18" s="262">
        <v>82</v>
      </c>
      <c r="AJ18" s="263">
        <f>AG18*产品成本!$D$2+AH18*产品成本!$D$3+AI18*产品成本!$D$4</f>
        <v>941.126760563381</v>
      </c>
      <c r="AK18" s="263">
        <f>AG18*产品成本!$E$2+AH18*产品成本!$E$3+AI18*产品成本!$E$4</f>
        <v>75.6680239436619</v>
      </c>
      <c r="AL18" s="263">
        <f>AG18*产品成本!$F$2+AH18*产品成本!$F$3+AI18*产品成本!$F$4</f>
        <v>135.66</v>
      </c>
      <c r="AM18" s="263">
        <f>AG18*产品成本!$G$2+AH18*产品成本!$G$3+AI18*产品成本!$G$4</f>
        <v>1526.91</v>
      </c>
      <c r="AN18" s="263">
        <f t="shared" si="13"/>
        <v>1389.0915</v>
      </c>
      <c r="AO18" s="264">
        <f t="shared" si="14"/>
        <v>4068.45628450704</v>
      </c>
      <c r="AP18" s="265">
        <v>6</v>
      </c>
      <c r="AQ18" s="265">
        <v>14</v>
      </c>
      <c r="AR18" s="266">
        <v>9</v>
      </c>
      <c r="AS18" s="267">
        <f t="shared" si="15"/>
        <v>665.681818181818</v>
      </c>
      <c r="AT18" s="267">
        <f>AP18*产品成本!$D$2+AQ18*产品成本!$D$3+AR18*产品成本!$D$4</f>
        <v>72.0422535211268</v>
      </c>
      <c r="AU18" s="271">
        <f>AP18*产品成本!$E$2+AQ18*产品成本!$E$3+AR18*产品成本!$E$4</f>
        <v>5.63070422535211</v>
      </c>
      <c r="AV18" s="270">
        <f>AP18*产品成本!$F$2+AQ18*产品成本!$F$3+AR18*产品成本!$F$4</f>
        <v>9.86</v>
      </c>
      <c r="AW18" s="269"/>
      <c r="AX18" s="270">
        <f t="shared" si="16"/>
        <v>99.8522727272727</v>
      </c>
      <c r="AY18" s="269">
        <f t="shared" si="17"/>
        <v>-19.9704545454545</v>
      </c>
      <c r="AZ18" s="271">
        <f t="shared" si="18"/>
        <v>167.414775928297</v>
      </c>
      <c r="BA18" s="272">
        <f t="shared" si="19"/>
        <v>3901.04150857875</v>
      </c>
      <c r="BB18" s="272">
        <f t="shared" si="20"/>
        <v>9260.61</v>
      </c>
      <c r="BC18" s="272">
        <f t="shared" si="21"/>
        <v>8594.92818181818</v>
      </c>
      <c r="BD18" s="273">
        <f t="shared" si="22"/>
        <v>2607.94667323944</v>
      </c>
      <c r="BE18" s="274">
        <f t="shared" si="23"/>
        <v>0.303428559037447</v>
      </c>
      <c r="BF18" s="288"/>
      <c r="BG18" s="288" t="s">
        <v>109</v>
      </c>
      <c r="BH18" s="280" t="s">
        <v>94</v>
      </c>
    </row>
    <row r="19" ht="23.1" customHeight="1" spans="1:60">
      <c r="A19" s="285" t="s">
        <v>110</v>
      </c>
      <c r="B19" s="286" t="s">
        <v>111</v>
      </c>
      <c r="C19" s="243">
        <v>379</v>
      </c>
      <c r="D19" s="244">
        <v>357</v>
      </c>
      <c r="E19" s="245">
        <v>9167.51</v>
      </c>
      <c r="F19" s="246"/>
      <c r="G19" s="246"/>
      <c r="H19" s="247"/>
      <c r="I19" s="247"/>
      <c r="J19" s="276">
        <v>19</v>
      </c>
      <c r="K19" s="249">
        <f t="shared" si="0"/>
        <v>0.050131926121372</v>
      </c>
      <c r="L19" s="250">
        <v>378.87</v>
      </c>
      <c r="M19" s="251">
        <f t="shared" si="1"/>
        <v>-0.050125313283208</v>
      </c>
      <c r="N19" s="249">
        <f t="shared" si="2"/>
        <v>0</v>
      </c>
      <c r="O19" s="249">
        <f t="shared" si="3"/>
        <v>-0.0100533334197208</v>
      </c>
      <c r="P19" s="252">
        <f t="shared" si="4"/>
        <v>1.06162464985994</v>
      </c>
      <c r="Q19" s="281">
        <f t="shared" si="5"/>
        <v>25.679299719888</v>
      </c>
      <c r="R19" s="281">
        <f t="shared" si="6"/>
        <v>24.1886807387863</v>
      </c>
      <c r="S19" s="281">
        <f t="shared" si="7"/>
        <v>54.1428571428571</v>
      </c>
      <c r="T19" s="254">
        <f t="shared" si="8"/>
        <v>119</v>
      </c>
      <c r="U19" s="255">
        <f t="shared" si="9"/>
        <v>0.333333333333333</v>
      </c>
      <c r="V19" s="256">
        <f t="shared" si="10"/>
        <v>0.260742557139289</v>
      </c>
      <c r="W19" s="244">
        <v>237785</v>
      </c>
      <c r="X19" s="244">
        <v>2470</v>
      </c>
      <c r="Y19" s="244">
        <v>238</v>
      </c>
      <c r="Z19" s="257">
        <v>2390.36</v>
      </c>
      <c r="AA19" s="277">
        <v>6061.78</v>
      </c>
      <c r="AB19" s="244">
        <v>0.97</v>
      </c>
      <c r="AC19" s="259">
        <f t="shared" si="11"/>
        <v>0.394333017694473</v>
      </c>
      <c r="AD19" s="260">
        <f t="shared" ref="AD19:AF19" si="38">X19/W19</f>
        <v>0.0103875349580503</v>
      </c>
      <c r="AE19" s="260">
        <f t="shared" si="38"/>
        <v>0.0963562753036437</v>
      </c>
      <c r="AF19" s="253">
        <f t="shared" si="38"/>
        <v>10.0435294117647</v>
      </c>
      <c r="AG19" s="261">
        <v>111</v>
      </c>
      <c r="AH19" s="254">
        <v>182</v>
      </c>
      <c r="AI19" s="262">
        <v>86</v>
      </c>
      <c r="AJ19" s="263">
        <f>AG19*产品成本!$D$2+AH19*产品成本!$D$3+AI19*产品成本!$D$4</f>
        <v>903.661971830987</v>
      </c>
      <c r="AK19" s="263">
        <f>AG19*产品成本!$E$2+AH19*产品成本!$E$3+AI19*产品成本!$E$4</f>
        <v>72.4181873239436</v>
      </c>
      <c r="AL19" s="263">
        <f>AG19*产品成本!$F$2+AH19*产品成本!$F$3+AI19*产品成本!$F$4</f>
        <v>128.86</v>
      </c>
      <c r="AM19" s="263">
        <f>AG19*产品成本!$G$2+AH19*产品成本!$G$3+AI19*产品成本!$G$4</f>
        <v>1454.79</v>
      </c>
      <c r="AN19" s="263">
        <f t="shared" si="13"/>
        <v>1375.1265</v>
      </c>
      <c r="AO19" s="264">
        <f t="shared" si="14"/>
        <v>3934.85665915493</v>
      </c>
      <c r="AP19" s="265">
        <v>8</v>
      </c>
      <c r="AQ19" s="265">
        <v>9</v>
      </c>
      <c r="AR19" s="266">
        <v>2</v>
      </c>
      <c r="AS19" s="267">
        <f t="shared" si="15"/>
        <v>430.534090909091</v>
      </c>
      <c r="AT19" s="267">
        <f>AP19*产品成本!$D$2+AQ19*产品成本!$D$3+AR19*产品成本!$D$4</f>
        <v>42.5352112676057</v>
      </c>
      <c r="AU19" s="271">
        <f>AP19*产品成本!$E$2+AQ19*产品成本!$E$3+AR19*产品成本!$E$4</f>
        <v>3.5439676056338</v>
      </c>
      <c r="AV19" s="270">
        <f>AP19*产品成本!$F$2+AQ19*产品成本!$F$3+AR19*产品成本!$F$4</f>
        <v>6.46</v>
      </c>
      <c r="AW19" s="269"/>
      <c r="AX19" s="270">
        <f t="shared" si="16"/>
        <v>64.5801136363636</v>
      </c>
      <c r="AY19" s="269">
        <f t="shared" si="17"/>
        <v>-12.9160227272727</v>
      </c>
      <c r="AZ19" s="271">
        <f t="shared" si="18"/>
        <v>104.20326978233</v>
      </c>
      <c r="BA19" s="272">
        <f t="shared" si="19"/>
        <v>3830.6533893726</v>
      </c>
      <c r="BB19" s="272">
        <f t="shared" si="20"/>
        <v>9167.51</v>
      </c>
      <c r="BC19" s="272">
        <f t="shared" si="21"/>
        <v>8736.97590909091</v>
      </c>
      <c r="BD19" s="273">
        <f t="shared" si="22"/>
        <v>2515.96251971831</v>
      </c>
      <c r="BE19" s="274">
        <f t="shared" si="23"/>
        <v>0.28796720351494</v>
      </c>
      <c r="BF19" s="278"/>
      <c r="BG19" s="278" t="s">
        <v>112</v>
      </c>
      <c r="BH19" s="278" t="s">
        <v>94</v>
      </c>
    </row>
    <row r="20" ht="23.1" customHeight="1" spans="1:60">
      <c r="A20" s="285" t="s">
        <v>113</v>
      </c>
      <c r="B20" s="286" t="s">
        <v>114</v>
      </c>
      <c r="C20" s="243">
        <v>477</v>
      </c>
      <c r="D20" s="244">
        <v>448</v>
      </c>
      <c r="E20" s="245">
        <v>11520.55</v>
      </c>
      <c r="F20" s="246"/>
      <c r="G20" s="246"/>
      <c r="H20" s="247"/>
      <c r="I20" s="247"/>
      <c r="J20" s="276">
        <v>28</v>
      </c>
      <c r="K20" s="249">
        <f t="shared" si="0"/>
        <v>0.0587002096436059</v>
      </c>
      <c r="L20" s="250">
        <v>581.9</v>
      </c>
      <c r="M20" s="251">
        <f t="shared" si="1"/>
        <v>0.258575197889182</v>
      </c>
      <c r="N20" s="249">
        <f t="shared" si="2"/>
        <v>0.254901960784314</v>
      </c>
      <c r="O20" s="249">
        <f t="shared" si="3"/>
        <v>0.256671658934651</v>
      </c>
      <c r="P20" s="252">
        <f t="shared" si="4"/>
        <v>1.06473214285714</v>
      </c>
      <c r="Q20" s="281">
        <f t="shared" si="5"/>
        <v>25.7155133928571</v>
      </c>
      <c r="R20" s="281">
        <f t="shared" si="6"/>
        <v>24.1520964360587</v>
      </c>
      <c r="S20" s="281">
        <f t="shared" si="7"/>
        <v>68.1428571428571</v>
      </c>
      <c r="T20" s="254">
        <f t="shared" si="8"/>
        <v>203</v>
      </c>
      <c r="U20" s="255">
        <f t="shared" si="9"/>
        <v>0.453125</v>
      </c>
      <c r="V20" s="256">
        <f t="shared" si="10"/>
        <v>0.218710912239433</v>
      </c>
      <c r="W20" s="244">
        <v>255819</v>
      </c>
      <c r="X20" s="244">
        <v>2600</v>
      </c>
      <c r="Y20" s="244">
        <v>245</v>
      </c>
      <c r="Z20" s="257">
        <v>2519.67</v>
      </c>
      <c r="AA20" s="277">
        <v>6351.18</v>
      </c>
      <c r="AB20" s="244">
        <v>0.97</v>
      </c>
      <c r="AC20" s="259">
        <f t="shared" si="11"/>
        <v>0.396724703126033</v>
      </c>
      <c r="AD20" s="260">
        <f t="shared" ref="AD20:AF20" si="39">X20/W20</f>
        <v>0.0101634358667652</v>
      </c>
      <c r="AE20" s="260">
        <f t="shared" si="39"/>
        <v>0.0942307692307692</v>
      </c>
      <c r="AF20" s="253">
        <f t="shared" si="39"/>
        <v>10.2843673469388</v>
      </c>
      <c r="AG20" s="261">
        <v>139</v>
      </c>
      <c r="AH20" s="254">
        <v>239</v>
      </c>
      <c r="AI20" s="262">
        <v>99</v>
      </c>
      <c r="AJ20" s="263">
        <f>AG20*产品成本!$D$2+AH20*产品成本!$D$3+AI20*产品成本!$D$4</f>
        <v>1126.2676056338</v>
      </c>
      <c r="AK20" s="263">
        <f>AG20*产品成本!$E$2+AH20*产品成本!$E$3+AI20*产品成本!$E$4</f>
        <v>90.9982225352111</v>
      </c>
      <c r="AL20" s="263">
        <f>AG20*产品成本!$F$2+AH20*产品成本!$F$3+AI20*产品成本!$F$4</f>
        <v>162.18</v>
      </c>
      <c r="AM20" s="263">
        <f>AG20*产品成本!$G$2+AH20*产品成本!$G$3+AI20*产品成本!$G$4</f>
        <v>1831.11</v>
      </c>
      <c r="AN20" s="263">
        <f t="shared" si="13"/>
        <v>1728.0825</v>
      </c>
      <c r="AO20" s="264">
        <f t="shared" si="14"/>
        <v>4938.63832816901</v>
      </c>
      <c r="AP20" s="265">
        <v>8</v>
      </c>
      <c r="AQ20" s="265">
        <v>15</v>
      </c>
      <c r="AR20" s="266">
        <v>5</v>
      </c>
      <c r="AS20" s="267">
        <f t="shared" si="15"/>
        <v>661.25</v>
      </c>
      <c r="AT20" s="267">
        <f>AP20*产品成本!$D$2+AQ20*产品成本!$D$3+AR20*产品成本!$D$4</f>
        <v>65.1408450704226</v>
      </c>
      <c r="AU20" s="271">
        <f>AP20*产品成本!$E$2+AQ20*产品成本!$E$3+AR20*产品成本!$E$4</f>
        <v>5.33070845070422</v>
      </c>
      <c r="AV20" s="270">
        <f>AP20*产品成本!$F$2+AQ20*产品成本!$F$3+AR20*产品成本!$F$4</f>
        <v>9.52</v>
      </c>
      <c r="AW20" s="269"/>
      <c r="AX20" s="270">
        <f t="shared" si="16"/>
        <v>99.1875</v>
      </c>
      <c r="AY20" s="269">
        <f t="shared" si="17"/>
        <v>-19.8375</v>
      </c>
      <c r="AZ20" s="271">
        <f t="shared" si="18"/>
        <v>159.341553521127</v>
      </c>
      <c r="BA20" s="272">
        <f t="shared" si="19"/>
        <v>4779.29677464789</v>
      </c>
      <c r="BB20" s="272">
        <f t="shared" si="20"/>
        <v>11520.55</v>
      </c>
      <c r="BC20" s="272">
        <f t="shared" si="21"/>
        <v>10859.3</v>
      </c>
      <c r="BD20" s="273">
        <f t="shared" si="22"/>
        <v>3560.33322535211</v>
      </c>
      <c r="BE20" s="274">
        <f t="shared" si="23"/>
        <v>0.327860287988371</v>
      </c>
      <c r="BF20" s="280"/>
      <c r="BG20" s="280"/>
      <c r="BH20" s="280" t="s">
        <v>94</v>
      </c>
    </row>
    <row r="21" ht="23.1" customHeight="1" spans="1:60">
      <c r="A21" s="285" t="s">
        <v>115</v>
      </c>
      <c r="B21" s="286" t="s">
        <v>116</v>
      </c>
      <c r="C21" s="243">
        <v>350</v>
      </c>
      <c r="D21" s="244">
        <v>338</v>
      </c>
      <c r="E21" s="245">
        <v>8390.83</v>
      </c>
      <c r="F21" s="246"/>
      <c r="G21" s="246"/>
      <c r="H21" s="247"/>
      <c r="I21" s="247"/>
      <c r="J21" s="276">
        <v>29</v>
      </c>
      <c r="K21" s="249">
        <f t="shared" si="0"/>
        <v>0.0828571428571429</v>
      </c>
      <c r="L21" s="250">
        <v>604.6</v>
      </c>
      <c r="M21" s="251">
        <f t="shared" si="1"/>
        <v>-0.266247379454927</v>
      </c>
      <c r="N21" s="249">
        <f t="shared" si="2"/>
        <v>-0.245535714285714</v>
      </c>
      <c r="O21" s="249">
        <f t="shared" si="3"/>
        <v>-0.271664113258482</v>
      </c>
      <c r="P21" s="252">
        <f t="shared" si="4"/>
        <v>1.03550295857988</v>
      </c>
      <c r="Q21" s="281">
        <f t="shared" si="5"/>
        <v>24.8249408284024</v>
      </c>
      <c r="R21" s="281">
        <f t="shared" si="6"/>
        <v>23.9738</v>
      </c>
      <c r="S21" s="281">
        <f t="shared" si="7"/>
        <v>50</v>
      </c>
      <c r="T21" s="254">
        <f t="shared" si="8"/>
        <v>123</v>
      </c>
      <c r="U21" s="255">
        <f t="shared" si="9"/>
        <v>0.363905325443787</v>
      </c>
      <c r="V21" s="256">
        <f t="shared" si="10"/>
        <v>0.307696616425312</v>
      </c>
      <c r="W21" s="244">
        <v>261831</v>
      </c>
      <c r="X21" s="244">
        <v>2520</v>
      </c>
      <c r="Y21" s="244">
        <v>215</v>
      </c>
      <c r="Z21" s="257">
        <v>2581.83</v>
      </c>
      <c r="AA21" s="277">
        <v>5283.21</v>
      </c>
      <c r="AB21" s="244">
        <v>1.02</v>
      </c>
      <c r="AC21" s="259">
        <f t="shared" si="11"/>
        <v>0.488685855758147</v>
      </c>
      <c r="AD21" s="260">
        <f t="shared" ref="AD21:AF21" si="40">X21/W21</f>
        <v>0.00962452879911088</v>
      </c>
      <c r="AE21" s="260">
        <f t="shared" si="40"/>
        <v>0.0853174603174603</v>
      </c>
      <c r="AF21" s="253">
        <f t="shared" si="40"/>
        <v>12.008511627907</v>
      </c>
      <c r="AG21" s="261">
        <v>99</v>
      </c>
      <c r="AH21" s="254">
        <v>207</v>
      </c>
      <c r="AI21" s="262">
        <v>44</v>
      </c>
      <c r="AJ21" s="263">
        <f>AG21*产品成本!$D$2+AH21*产品成本!$D$3+AI21*产品成本!$D$4</f>
        <v>792.112676056339</v>
      </c>
      <c r="AK21" s="263">
        <f>AG21*产品成本!$E$2+AH21*产品成本!$E$3+AI21*产品成本!$E$4</f>
        <v>66.3346563380281</v>
      </c>
      <c r="AL21" s="263">
        <f>AG21*产品成本!$F$2+AH21*产品成本!$F$3+AI21*产品成本!$F$4</f>
        <v>119</v>
      </c>
      <c r="AM21" s="263">
        <f>AG21*产品成本!$G$2+AH21*产品成本!$G$3+AI21*产品成本!$G$4</f>
        <v>1344.21</v>
      </c>
      <c r="AN21" s="263">
        <f t="shared" si="13"/>
        <v>1258.6245</v>
      </c>
      <c r="AO21" s="264">
        <f t="shared" si="14"/>
        <v>3580.28183239437</v>
      </c>
      <c r="AP21" s="265">
        <v>9</v>
      </c>
      <c r="AQ21" s="265">
        <v>15</v>
      </c>
      <c r="AR21" s="266">
        <v>5</v>
      </c>
      <c r="AS21" s="267">
        <f t="shared" si="15"/>
        <v>687.045454545455</v>
      </c>
      <c r="AT21" s="267">
        <f>AP21*产品成本!$D$2+AQ21*产品成本!$D$3+AR21*产品成本!$D$4</f>
        <v>67.2535211267606</v>
      </c>
      <c r="AU21" s="271">
        <f>AP21*产品成本!$E$2+AQ21*产品成本!$E$3+AR21*产品成本!$E$4</f>
        <v>5.50431549295774</v>
      </c>
      <c r="AV21" s="270">
        <f>AP21*产品成本!$F$2+AQ21*产品成本!$F$3+AR21*产品成本!$F$4</f>
        <v>9.86</v>
      </c>
      <c r="AW21" s="269"/>
      <c r="AX21" s="270">
        <f t="shared" si="16"/>
        <v>103.056818181818</v>
      </c>
      <c r="AY21" s="269">
        <f t="shared" si="17"/>
        <v>-20.6113636363636</v>
      </c>
      <c r="AZ21" s="271">
        <f t="shared" si="18"/>
        <v>165.063291165173</v>
      </c>
      <c r="BA21" s="272">
        <f t="shared" si="19"/>
        <v>3415.21854122919</v>
      </c>
      <c r="BB21" s="272">
        <f t="shared" si="20"/>
        <v>8390.83</v>
      </c>
      <c r="BC21" s="272">
        <f t="shared" si="21"/>
        <v>7703.78454545454</v>
      </c>
      <c r="BD21" s="273">
        <f t="shared" si="22"/>
        <v>1706.73600422535</v>
      </c>
      <c r="BE21" s="274">
        <f t="shared" si="23"/>
        <v>0.221545137218612</v>
      </c>
      <c r="BF21" s="284"/>
      <c r="BG21" s="284" t="s">
        <v>117</v>
      </c>
      <c r="BH21" s="278" t="s">
        <v>94</v>
      </c>
    </row>
    <row r="22" ht="23.1" customHeight="1" spans="1:60">
      <c r="A22" s="285" t="s">
        <v>118</v>
      </c>
      <c r="B22" s="286" t="s">
        <v>119</v>
      </c>
      <c r="C22" s="243">
        <v>390</v>
      </c>
      <c r="D22" s="244">
        <v>376</v>
      </c>
      <c r="E22" s="245">
        <v>9380.31</v>
      </c>
      <c r="F22" s="246"/>
      <c r="G22" s="246"/>
      <c r="H22" s="247"/>
      <c r="I22" s="247"/>
      <c r="J22" s="276">
        <v>24</v>
      </c>
      <c r="K22" s="249">
        <f t="shared" si="0"/>
        <v>0.0615384615384615</v>
      </c>
      <c r="L22" s="250">
        <v>496.01</v>
      </c>
      <c r="M22" s="251">
        <f t="shared" si="1"/>
        <v>0.114285714285714</v>
      </c>
      <c r="N22" s="249">
        <f t="shared" si="2"/>
        <v>0.112426035502959</v>
      </c>
      <c r="O22" s="249">
        <f t="shared" si="3"/>
        <v>0.117923971764414</v>
      </c>
      <c r="P22" s="252">
        <f t="shared" si="4"/>
        <v>1.03723404255319</v>
      </c>
      <c r="Q22" s="281">
        <f t="shared" si="5"/>
        <v>24.9476329787234</v>
      </c>
      <c r="R22" s="281">
        <f t="shared" si="6"/>
        <v>24.0520769230769</v>
      </c>
      <c r="S22" s="281">
        <f t="shared" si="7"/>
        <v>55.7142857142857</v>
      </c>
      <c r="T22" s="254">
        <f t="shared" si="8"/>
        <v>111</v>
      </c>
      <c r="U22" s="255">
        <f t="shared" si="9"/>
        <v>0.295212765957447</v>
      </c>
      <c r="V22" s="256">
        <f t="shared" si="10"/>
        <v>0.315175084831951</v>
      </c>
      <c r="W22" s="244">
        <v>263574</v>
      </c>
      <c r="X22" s="244">
        <v>2836</v>
      </c>
      <c r="Y22" s="244">
        <v>265</v>
      </c>
      <c r="Z22" s="257">
        <v>2956.44</v>
      </c>
      <c r="AA22" s="277">
        <v>6504.79</v>
      </c>
      <c r="AB22" s="244">
        <v>1.04</v>
      </c>
      <c r="AC22" s="259">
        <f t="shared" si="11"/>
        <v>0.454501990071932</v>
      </c>
      <c r="AD22" s="260">
        <f t="shared" ref="AD22:AF22" si="41">X22/W22</f>
        <v>0.0107597866253879</v>
      </c>
      <c r="AE22" s="260">
        <f t="shared" si="41"/>
        <v>0.093441466854725</v>
      </c>
      <c r="AF22" s="253">
        <f t="shared" si="41"/>
        <v>11.1563773584906</v>
      </c>
      <c r="AG22" s="261">
        <v>121</v>
      </c>
      <c r="AH22" s="254">
        <v>220</v>
      </c>
      <c r="AI22" s="262">
        <v>49</v>
      </c>
      <c r="AJ22" s="263">
        <f>AG22*产品成本!$D$2+AH22*产品成本!$D$3+AI22*产品成本!$D$4</f>
        <v>882.605633802818</v>
      </c>
      <c r="AK22" s="263">
        <f>AG22*产品成本!$E$2+AH22*产品成本!$E$3+AI22*产品成本!$E$4</f>
        <v>73.7102830985914</v>
      </c>
      <c r="AL22" s="263">
        <f>AG22*产品成本!$F$2+AH22*产品成本!$F$3+AI22*产品成本!$F$4</f>
        <v>132.6</v>
      </c>
      <c r="AM22" s="263">
        <f>AG22*产品成本!$G$2+AH22*产品成本!$G$3+AI22*产品成本!$G$4</f>
        <v>1495.59</v>
      </c>
      <c r="AN22" s="263">
        <f t="shared" si="13"/>
        <v>1407.0465</v>
      </c>
      <c r="AO22" s="264">
        <f t="shared" si="14"/>
        <v>3991.55241690141</v>
      </c>
      <c r="AP22" s="265">
        <v>9</v>
      </c>
      <c r="AQ22" s="265">
        <v>12</v>
      </c>
      <c r="AR22" s="266">
        <v>3</v>
      </c>
      <c r="AS22" s="267">
        <f t="shared" si="15"/>
        <v>563.647727272727</v>
      </c>
      <c r="AT22" s="267">
        <f>AP22*产品成本!$D$2+AQ22*产品成本!$D$3+AR22*产品成本!$D$4</f>
        <v>54.2957746478874</v>
      </c>
      <c r="AU22" s="271">
        <f>AP22*产品成本!$E$2+AQ22*产品成本!$E$3+AR22*产品成本!$E$4</f>
        <v>4.50594507042253</v>
      </c>
      <c r="AV22" s="270">
        <f>AP22*产品成本!$F$2+AQ22*产品成本!$F$3+AR22*产品成本!$F$4</f>
        <v>8.16</v>
      </c>
      <c r="AW22" s="269"/>
      <c r="AX22" s="270">
        <f t="shared" si="16"/>
        <v>84.5471590909091</v>
      </c>
      <c r="AY22" s="269">
        <f t="shared" si="17"/>
        <v>-16.9094318181818</v>
      </c>
      <c r="AZ22" s="271">
        <f t="shared" si="18"/>
        <v>134.599446991037</v>
      </c>
      <c r="BA22" s="272">
        <f t="shared" si="19"/>
        <v>3856.95296991037</v>
      </c>
      <c r="BB22" s="272">
        <f t="shared" si="20"/>
        <v>9380.31</v>
      </c>
      <c r="BC22" s="272">
        <f t="shared" si="21"/>
        <v>8816.66227272727</v>
      </c>
      <c r="BD22" s="273">
        <f t="shared" si="22"/>
        <v>2003.2693028169</v>
      </c>
      <c r="BE22" s="274">
        <f t="shared" si="23"/>
        <v>0.227214022818323</v>
      </c>
      <c r="BF22" s="283"/>
      <c r="BG22" s="283" t="s">
        <v>120</v>
      </c>
      <c r="BH22" s="280" t="s">
        <v>94</v>
      </c>
    </row>
    <row r="23" ht="23.1" customHeight="1" spans="1:60">
      <c r="A23" s="285" t="s">
        <v>121</v>
      </c>
      <c r="B23" s="286" t="s">
        <v>122</v>
      </c>
      <c r="C23" s="243">
        <v>401</v>
      </c>
      <c r="D23" s="244">
        <v>382</v>
      </c>
      <c r="E23" s="245">
        <v>9704.49</v>
      </c>
      <c r="F23" s="246"/>
      <c r="G23" s="246"/>
      <c r="H23" s="247"/>
      <c r="I23" s="247"/>
      <c r="J23" s="276">
        <v>28</v>
      </c>
      <c r="K23" s="249">
        <f t="shared" si="0"/>
        <v>0.0698254364089776</v>
      </c>
      <c r="L23" s="250">
        <v>594.58</v>
      </c>
      <c r="M23" s="251">
        <f t="shared" si="1"/>
        <v>0.0282051282051282</v>
      </c>
      <c r="N23" s="249">
        <f t="shared" si="2"/>
        <v>0.0159574468085106</v>
      </c>
      <c r="O23" s="249">
        <f t="shared" si="3"/>
        <v>0.0345596254281575</v>
      </c>
      <c r="P23" s="252">
        <f t="shared" si="4"/>
        <v>1.04973821989529</v>
      </c>
      <c r="Q23" s="281">
        <f t="shared" si="5"/>
        <v>25.4044240837696</v>
      </c>
      <c r="R23" s="281">
        <f t="shared" si="6"/>
        <v>24.20072319202</v>
      </c>
      <c r="S23" s="281">
        <f t="shared" si="7"/>
        <v>57.2857142857143</v>
      </c>
      <c r="T23" s="254">
        <f t="shared" si="8"/>
        <v>128</v>
      </c>
      <c r="U23" s="255">
        <f t="shared" si="9"/>
        <v>0.335078534031414</v>
      </c>
      <c r="V23" s="256">
        <f t="shared" si="10"/>
        <v>0.286759015672127</v>
      </c>
      <c r="W23" s="244">
        <v>278481</v>
      </c>
      <c r="X23" s="244">
        <v>2758</v>
      </c>
      <c r="Y23" s="244">
        <v>254</v>
      </c>
      <c r="Z23" s="257">
        <v>2782.85</v>
      </c>
      <c r="AA23" s="277">
        <v>6199.12</v>
      </c>
      <c r="AB23" s="244">
        <v>1.01</v>
      </c>
      <c r="AC23" s="259">
        <f t="shared" si="11"/>
        <v>0.448910490521235</v>
      </c>
      <c r="AD23" s="260">
        <f t="shared" ref="AD23:AF23" si="42">X23/W23</f>
        <v>0.00990372772289671</v>
      </c>
      <c r="AE23" s="260">
        <f t="shared" si="42"/>
        <v>0.0920957215373459</v>
      </c>
      <c r="AF23" s="253">
        <f t="shared" si="42"/>
        <v>10.9561023622047</v>
      </c>
      <c r="AG23" s="261">
        <v>106</v>
      </c>
      <c r="AH23" s="254">
        <v>264</v>
      </c>
      <c r="AI23" s="262">
        <v>31</v>
      </c>
      <c r="AJ23" s="263">
        <f>AG23*产品成本!$D$2+AH23*产品成本!$D$3+AI23*产品成本!$D$4</f>
        <v>884.295774647888</v>
      </c>
      <c r="AK23" s="263">
        <f>AG23*产品成本!$E$2+AH23*产品成本!$E$3+AI23*产品成本!$E$4</f>
        <v>75.8089436619717</v>
      </c>
      <c r="AL23" s="263">
        <f>AG23*产品成本!$F$2+AH23*产品成本!$F$3+AI23*产品成本!$F$4</f>
        <v>136.34</v>
      </c>
      <c r="AM23" s="263">
        <f>AG23*产品成本!$G$2+AH23*产品成本!$G$3+AI23*产品成本!$G$4</f>
        <v>1541.64</v>
      </c>
      <c r="AN23" s="263">
        <f t="shared" si="13"/>
        <v>1455.6735</v>
      </c>
      <c r="AO23" s="264">
        <f t="shared" si="14"/>
        <v>4093.75821830986</v>
      </c>
      <c r="AP23" s="265">
        <v>8</v>
      </c>
      <c r="AQ23" s="265">
        <v>16</v>
      </c>
      <c r="AR23" s="266">
        <v>4</v>
      </c>
      <c r="AS23" s="267">
        <f t="shared" si="15"/>
        <v>675.659090909091</v>
      </c>
      <c r="AT23" s="267">
        <f>AP23*产品成本!$D$2+AQ23*产品成本!$D$3+AR23*产品成本!$D$4</f>
        <v>63.943661971831</v>
      </c>
      <c r="AU23" s="271">
        <f>AP23*产品成本!$E$2+AQ23*产品成本!$E$3+AR23*产品成本!$E$4</f>
        <v>5.31349859154929</v>
      </c>
      <c r="AV23" s="270">
        <f>AP23*产品成本!$F$2+AQ23*产品成本!$F$3+AR23*产品成本!$F$4</f>
        <v>9.52</v>
      </c>
      <c r="AW23" s="269"/>
      <c r="AX23" s="270">
        <f t="shared" si="16"/>
        <v>101.348863636364</v>
      </c>
      <c r="AY23" s="269">
        <f t="shared" si="17"/>
        <v>-20.2697727272727</v>
      </c>
      <c r="AZ23" s="271">
        <f t="shared" si="18"/>
        <v>159.856251472471</v>
      </c>
      <c r="BA23" s="272">
        <f t="shared" si="19"/>
        <v>3933.90196683739</v>
      </c>
      <c r="BB23" s="272">
        <f t="shared" si="20"/>
        <v>9704.49</v>
      </c>
      <c r="BC23" s="272">
        <f t="shared" si="21"/>
        <v>9028.83090909091</v>
      </c>
      <c r="BD23" s="273">
        <f t="shared" si="22"/>
        <v>2312.07894225352</v>
      </c>
      <c r="BE23" s="274">
        <f t="shared" si="23"/>
        <v>0.256077333326239</v>
      </c>
      <c r="BF23" s="284"/>
      <c r="BG23" s="284" t="s">
        <v>123</v>
      </c>
      <c r="BH23" s="278" t="s">
        <v>94</v>
      </c>
    </row>
    <row r="24" ht="23.1" customHeight="1" spans="1:60">
      <c r="A24" s="285" t="s">
        <v>124</v>
      </c>
      <c r="B24" s="286" t="s">
        <v>125</v>
      </c>
      <c r="C24" s="243">
        <v>464</v>
      </c>
      <c r="D24" s="244">
        <v>441</v>
      </c>
      <c r="E24" s="245">
        <v>9746.86</v>
      </c>
      <c r="F24" s="246"/>
      <c r="G24" s="246"/>
      <c r="H24" s="247"/>
      <c r="I24" s="247"/>
      <c r="J24" s="276">
        <v>24</v>
      </c>
      <c r="K24" s="249">
        <f t="shared" si="0"/>
        <v>0.0517241379310345</v>
      </c>
      <c r="L24" s="250">
        <v>493.76</v>
      </c>
      <c r="M24" s="251">
        <f t="shared" si="1"/>
        <v>0.1571072319202</v>
      </c>
      <c r="N24" s="249">
        <f t="shared" si="2"/>
        <v>0.154450261780105</v>
      </c>
      <c r="O24" s="249">
        <f t="shared" si="3"/>
        <v>0.00436602026484656</v>
      </c>
      <c r="P24" s="252">
        <f t="shared" si="4"/>
        <v>1.05215419501134</v>
      </c>
      <c r="Q24" s="281">
        <f t="shared" si="5"/>
        <v>22.1017233560091</v>
      </c>
      <c r="R24" s="281">
        <f t="shared" si="6"/>
        <v>21.0061637931035</v>
      </c>
      <c r="S24" s="281">
        <f t="shared" si="7"/>
        <v>66.2857142857143</v>
      </c>
      <c r="T24" s="254">
        <f t="shared" si="8"/>
        <v>164</v>
      </c>
      <c r="U24" s="255">
        <f t="shared" si="9"/>
        <v>0.3718820861678</v>
      </c>
      <c r="V24" s="256">
        <f t="shared" si="10"/>
        <v>0.305368087773909</v>
      </c>
      <c r="W24" s="244">
        <v>236690</v>
      </c>
      <c r="X24" s="244">
        <v>2806</v>
      </c>
      <c r="Y24" s="244">
        <v>277</v>
      </c>
      <c r="Z24" s="257">
        <v>2976.38</v>
      </c>
      <c r="AA24" s="277">
        <v>6103.54</v>
      </c>
      <c r="AB24" s="244">
        <v>1.06</v>
      </c>
      <c r="AC24" s="259">
        <f t="shared" si="11"/>
        <v>0.487648151728341</v>
      </c>
      <c r="AD24" s="260">
        <f t="shared" ref="AD24:AF24" si="43">X24/W24</f>
        <v>0.0118551692086696</v>
      </c>
      <c r="AE24" s="260">
        <f t="shared" si="43"/>
        <v>0.0987170349251604</v>
      </c>
      <c r="AF24" s="253">
        <f t="shared" si="43"/>
        <v>10.7450541516245</v>
      </c>
      <c r="AG24" s="261">
        <v>151</v>
      </c>
      <c r="AH24" s="254">
        <v>257</v>
      </c>
      <c r="AI24" s="262">
        <v>56</v>
      </c>
      <c r="AJ24" s="263">
        <f>AG24*产品成本!$D$2+AH24*产品成本!$D$3+AI24*产品成本!$D$4</f>
        <v>1047.32394366197</v>
      </c>
      <c r="AK24" s="263">
        <f>AG24*产品成本!$E$2+AH24*产品成本!$E$3+AI24*产品成本!$E$4</f>
        <v>87.5217295774647</v>
      </c>
      <c r="AL24" s="263">
        <f>AG24*产品成本!$F$2+AH24*产品成本!$F$3+AI24*产品成本!$F$4</f>
        <v>157.76</v>
      </c>
      <c r="AM24" s="263">
        <f>AG24*产品成本!$G$2+AH24*产品成本!$G$3+AI24*产品成本!$G$4</f>
        <v>1777.89</v>
      </c>
      <c r="AN24" s="263">
        <f t="shared" si="13"/>
        <v>1462.029</v>
      </c>
      <c r="AO24" s="264">
        <f t="shared" si="14"/>
        <v>4532.52467323944</v>
      </c>
      <c r="AP24" s="265">
        <v>8</v>
      </c>
      <c r="AQ24" s="265">
        <v>14</v>
      </c>
      <c r="AR24" s="266">
        <v>2</v>
      </c>
      <c r="AS24" s="267">
        <f t="shared" si="15"/>
        <v>561.090909090909</v>
      </c>
      <c r="AT24" s="267">
        <f>AP24*产品成本!$D$2+AQ24*产品成本!$D$3+AR24*产品成本!$D$4</f>
        <v>53.0985915492958</v>
      </c>
      <c r="AU24" s="271">
        <f>AP24*产品成本!$E$2+AQ24*产品成本!$E$3+AR24*产品成本!$E$4</f>
        <v>4.50791830985915</v>
      </c>
      <c r="AV24" s="270">
        <f>AP24*产品成本!$F$2+AQ24*产品成本!$F$3+AR24*产品成本!$F$4</f>
        <v>8.16</v>
      </c>
      <c r="AW24" s="269"/>
      <c r="AX24" s="270">
        <f t="shared" si="16"/>
        <v>84.1636363636364</v>
      </c>
      <c r="AY24" s="269">
        <f t="shared" si="17"/>
        <v>-16.8327272727273</v>
      </c>
      <c r="AZ24" s="271">
        <f t="shared" si="18"/>
        <v>133.097418950064</v>
      </c>
      <c r="BA24" s="272">
        <f t="shared" si="19"/>
        <v>4399.42725428937</v>
      </c>
      <c r="BB24" s="272">
        <f t="shared" si="20"/>
        <v>9746.86</v>
      </c>
      <c r="BC24" s="272">
        <f t="shared" si="21"/>
        <v>9185.76909090909</v>
      </c>
      <c r="BD24" s="273">
        <f t="shared" si="22"/>
        <v>1809.96183661972</v>
      </c>
      <c r="BE24" s="274">
        <f t="shared" si="23"/>
        <v>0.19703977083541</v>
      </c>
      <c r="BF24" s="280"/>
      <c r="BG24" s="280" t="s">
        <v>126</v>
      </c>
      <c r="BH24" s="280" t="s">
        <v>127</v>
      </c>
    </row>
    <row r="25" ht="23.1" customHeight="1" spans="1:60">
      <c r="A25" s="285" t="s">
        <v>128</v>
      </c>
      <c r="B25" s="286" t="s">
        <v>129</v>
      </c>
      <c r="C25" s="243">
        <v>486</v>
      </c>
      <c r="D25" s="244">
        <v>465</v>
      </c>
      <c r="E25" s="245">
        <v>11015.19</v>
      </c>
      <c r="F25" s="246"/>
      <c r="G25" s="246"/>
      <c r="H25" s="247"/>
      <c r="I25" s="247"/>
      <c r="J25" s="276">
        <v>31</v>
      </c>
      <c r="K25" s="249">
        <f t="shared" si="0"/>
        <v>0.0637860082304527</v>
      </c>
      <c r="L25" s="250">
        <v>630.36</v>
      </c>
      <c r="M25" s="251">
        <f t="shared" si="1"/>
        <v>0.0474137931034483</v>
      </c>
      <c r="N25" s="249">
        <f t="shared" si="2"/>
        <v>0.054421768707483</v>
      </c>
      <c r="O25" s="249">
        <f t="shared" si="3"/>
        <v>0.130127035783832</v>
      </c>
      <c r="P25" s="252">
        <f t="shared" si="4"/>
        <v>1.04516129032258</v>
      </c>
      <c r="Q25" s="281">
        <f t="shared" si="5"/>
        <v>23.6885806451613</v>
      </c>
      <c r="R25" s="281">
        <f t="shared" si="6"/>
        <v>22.665</v>
      </c>
      <c r="S25" s="281">
        <f t="shared" si="7"/>
        <v>69.4285714285714</v>
      </c>
      <c r="T25" s="254">
        <f t="shared" si="8"/>
        <v>154</v>
      </c>
      <c r="U25" s="255">
        <f t="shared" si="9"/>
        <v>0.331182795698925</v>
      </c>
      <c r="V25" s="256">
        <f t="shared" si="10"/>
        <v>0.283745446061303</v>
      </c>
      <c r="W25" s="244">
        <v>303852</v>
      </c>
      <c r="X25" s="244">
        <v>2994</v>
      </c>
      <c r="Y25" s="244">
        <v>311</v>
      </c>
      <c r="Z25" s="257">
        <v>3125.51</v>
      </c>
      <c r="AA25" s="277">
        <v>7326.12</v>
      </c>
      <c r="AB25" s="244">
        <v>1.04</v>
      </c>
      <c r="AC25" s="259">
        <f t="shared" si="11"/>
        <v>0.426625553498987</v>
      </c>
      <c r="AD25" s="260">
        <f t="shared" ref="AD25:AF25" si="44">X25/W25</f>
        <v>0.00985348130010663</v>
      </c>
      <c r="AE25" s="260">
        <f t="shared" si="44"/>
        <v>0.103874415497662</v>
      </c>
      <c r="AF25" s="253">
        <f t="shared" si="44"/>
        <v>10.0498713826367</v>
      </c>
      <c r="AG25" s="261">
        <v>164</v>
      </c>
      <c r="AH25" s="254">
        <v>249</v>
      </c>
      <c r="AI25" s="262">
        <v>73</v>
      </c>
      <c r="AJ25" s="263">
        <f>AG25*产品成本!$D$2+AH25*产品成本!$D$3+AI25*产品成本!$D$4</f>
        <v>1114.15492957747</v>
      </c>
      <c r="AK25" s="263">
        <f>AG25*产品成本!$E$2+AH25*产品成本!$E$3+AI25*产品成本!$E$4</f>
        <v>91.8062999999999</v>
      </c>
      <c r="AL25" s="263">
        <f>AG25*产品成本!$F$2+AH25*产品成本!$F$3+AI25*产品成本!$F$4</f>
        <v>165.24</v>
      </c>
      <c r="AM25" s="263">
        <f>AG25*产品成本!$G$2+AH25*产品成本!$G$3+AI25*产品成本!$G$4</f>
        <v>1860.96</v>
      </c>
      <c r="AN25" s="263">
        <f t="shared" si="13"/>
        <v>1652.2785</v>
      </c>
      <c r="AO25" s="264">
        <f t="shared" si="14"/>
        <v>4884.43972957747</v>
      </c>
      <c r="AP25" s="265">
        <v>9</v>
      </c>
      <c r="AQ25" s="265">
        <v>19</v>
      </c>
      <c r="AR25" s="266">
        <v>3</v>
      </c>
      <c r="AS25" s="267">
        <f t="shared" si="15"/>
        <v>716.318181818182</v>
      </c>
      <c r="AT25" s="267">
        <f>AP25*产品成本!$D$2+AQ25*产品成本!$D$3+AR25*产品成本!$D$4</f>
        <v>69.0845070422536</v>
      </c>
      <c r="AU25" s="271">
        <f>AP25*产品成本!$E$2+AQ25*产品成本!$E$3+AR25*产品成本!$E$4</f>
        <v>5.85547605633802</v>
      </c>
      <c r="AV25" s="270">
        <f>AP25*产品成本!$F$2+AQ25*产品成本!$F$3+AR25*产品成本!$F$4</f>
        <v>10.54</v>
      </c>
      <c r="AW25" s="269"/>
      <c r="AX25" s="270">
        <f t="shared" si="16"/>
        <v>107.447727272727</v>
      </c>
      <c r="AY25" s="269">
        <f t="shared" si="17"/>
        <v>-21.4895454545455</v>
      </c>
      <c r="AZ25" s="271">
        <f t="shared" si="18"/>
        <v>171.438164916773</v>
      </c>
      <c r="BA25" s="272">
        <f t="shared" si="19"/>
        <v>4713.00156466069</v>
      </c>
      <c r="BB25" s="272">
        <f t="shared" si="20"/>
        <v>11015.19</v>
      </c>
      <c r="BC25" s="272">
        <f t="shared" si="21"/>
        <v>10298.8718181818</v>
      </c>
      <c r="BD25" s="273">
        <f t="shared" si="22"/>
        <v>2460.36025352113</v>
      </c>
      <c r="BE25" s="274">
        <f t="shared" si="23"/>
        <v>0.238896094344777</v>
      </c>
      <c r="BF25" s="278"/>
      <c r="BG25" s="278"/>
      <c r="BH25" s="278" t="s">
        <v>94</v>
      </c>
    </row>
    <row r="26" ht="23.1" customHeight="1" spans="1:60">
      <c r="A26" s="285" t="s">
        <v>130</v>
      </c>
      <c r="B26" s="286" t="s">
        <v>131</v>
      </c>
      <c r="C26" s="243">
        <v>416</v>
      </c>
      <c r="D26" s="244">
        <v>391</v>
      </c>
      <c r="E26" s="245">
        <v>10020.4</v>
      </c>
      <c r="F26" s="246"/>
      <c r="G26" s="246"/>
      <c r="H26" s="247"/>
      <c r="I26" s="247"/>
      <c r="J26" s="276">
        <v>23</v>
      </c>
      <c r="K26" s="249">
        <f t="shared" si="0"/>
        <v>0.0552884615384615</v>
      </c>
      <c r="L26" s="250">
        <v>472.65</v>
      </c>
      <c r="M26" s="251">
        <f t="shared" si="1"/>
        <v>-0.1440329218107</v>
      </c>
      <c r="N26" s="249">
        <f t="shared" si="2"/>
        <v>-0.159139784946237</v>
      </c>
      <c r="O26" s="249">
        <f t="shared" si="3"/>
        <v>-0.090310743618585</v>
      </c>
      <c r="P26" s="252">
        <f t="shared" si="4"/>
        <v>1.06393861892583</v>
      </c>
      <c r="Q26" s="281">
        <f t="shared" si="5"/>
        <v>25.627621483376</v>
      </c>
      <c r="R26" s="281">
        <f t="shared" si="6"/>
        <v>24.0875</v>
      </c>
      <c r="S26" s="281">
        <f t="shared" si="7"/>
        <v>59.4285714285714</v>
      </c>
      <c r="T26" s="254">
        <f t="shared" si="8"/>
        <v>153</v>
      </c>
      <c r="U26" s="255">
        <f t="shared" si="9"/>
        <v>0.391304347826087</v>
      </c>
      <c r="V26" s="256">
        <f t="shared" si="10"/>
        <v>0.276367210889785</v>
      </c>
      <c r="W26" s="244">
        <v>258909</v>
      </c>
      <c r="X26" s="244">
        <v>2637</v>
      </c>
      <c r="Y26" s="244">
        <v>238</v>
      </c>
      <c r="Z26" s="257">
        <v>2769.31</v>
      </c>
      <c r="AA26" s="277">
        <v>5998.55</v>
      </c>
      <c r="AB26" s="244">
        <v>1.05</v>
      </c>
      <c r="AC26" s="259">
        <f t="shared" si="11"/>
        <v>0.46166323528186</v>
      </c>
      <c r="AD26" s="260">
        <f t="shared" ref="AD26:AF26" si="45">X26/W26</f>
        <v>0.0101850457110413</v>
      </c>
      <c r="AE26" s="260">
        <f t="shared" si="45"/>
        <v>0.0902540766021995</v>
      </c>
      <c r="AF26" s="253">
        <f t="shared" si="45"/>
        <v>11.635756302521</v>
      </c>
      <c r="AG26" s="261">
        <v>95</v>
      </c>
      <c r="AH26" s="254">
        <v>228</v>
      </c>
      <c r="AI26" s="262">
        <v>93</v>
      </c>
      <c r="AJ26" s="263">
        <f>AG26*产品成本!$D$2+AH26*产品成本!$D$3+AI26*产品成本!$D$4</f>
        <v>990.211267605635</v>
      </c>
      <c r="AK26" s="263">
        <f>AG26*产品成本!$E$2+AH26*产品成本!$E$3+AI26*产品成本!$E$4</f>
        <v>79.9788211267605</v>
      </c>
      <c r="AL26" s="263">
        <f>AG26*产品成本!$F$2+AH26*产品成本!$F$3+AI26*产品成本!$F$4</f>
        <v>141.44</v>
      </c>
      <c r="AM26" s="263">
        <f>AG26*产品成本!$G$2+AH26*产品成本!$G$3+AI26*产品成本!$G$4</f>
        <v>1602.45</v>
      </c>
      <c r="AN26" s="263">
        <f t="shared" si="13"/>
        <v>1503.06</v>
      </c>
      <c r="AO26" s="264">
        <f t="shared" si="14"/>
        <v>4317.1400887324</v>
      </c>
      <c r="AP26" s="265">
        <v>7</v>
      </c>
      <c r="AQ26" s="265">
        <v>14</v>
      </c>
      <c r="AR26" s="266">
        <v>2</v>
      </c>
      <c r="AS26" s="267">
        <f t="shared" si="15"/>
        <v>537.102272727273</v>
      </c>
      <c r="AT26" s="267">
        <f>AP26*产品成本!$D$2+AQ26*产品成本!$D$3+AR26*产品成本!$D$4</f>
        <v>50.9859154929578</v>
      </c>
      <c r="AU26" s="271">
        <f>AP26*产品成本!$E$2+AQ26*产品成本!$E$3+AR26*产品成本!$E$4</f>
        <v>4.33431126760563</v>
      </c>
      <c r="AV26" s="270">
        <f>AP26*产品成本!$F$2+AQ26*产品成本!$F$3+AR26*产品成本!$F$4</f>
        <v>7.82</v>
      </c>
      <c r="AW26" s="269"/>
      <c r="AX26" s="270">
        <f t="shared" si="16"/>
        <v>80.5653409090909</v>
      </c>
      <c r="AY26" s="269">
        <f t="shared" si="17"/>
        <v>-16.1130681818182</v>
      </c>
      <c r="AZ26" s="271">
        <f t="shared" si="18"/>
        <v>127.592499487836</v>
      </c>
      <c r="BA26" s="272">
        <f t="shared" si="19"/>
        <v>4189.54758924456</v>
      </c>
      <c r="BB26" s="272">
        <f t="shared" si="20"/>
        <v>10020.4</v>
      </c>
      <c r="BC26" s="272">
        <f t="shared" si="21"/>
        <v>9483.29772727273</v>
      </c>
      <c r="BD26" s="273">
        <f t="shared" si="22"/>
        <v>2524.44013802817</v>
      </c>
      <c r="BE26" s="274">
        <f t="shared" si="23"/>
        <v>0.266198553565202</v>
      </c>
      <c r="BF26" s="280"/>
      <c r="BG26" s="280" t="s">
        <v>132</v>
      </c>
      <c r="BH26" s="280" t="s">
        <v>94</v>
      </c>
    </row>
    <row r="27" ht="23.1" customHeight="1" spans="1:60">
      <c r="A27" s="285" t="s">
        <v>133</v>
      </c>
      <c r="B27" s="286" t="s">
        <v>134</v>
      </c>
      <c r="C27" s="243">
        <v>348</v>
      </c>
      <c r="D27" s="244">
        <v>338</v>
      </c>
      <c r="E27" s="245">
        <v>8556.44</v>
      </c>
      <c r="F27" s="246"/>
      <c r="G27" s="246"/>
      <c r="H27" s="247"/>
      <c r="I27" s="247"/>
      <c r="J27" s="276">
        <v>28</v>
      </c>
      <c r="K27" s="249">
        <f t="shared" si="0"/>
        <v>0.0804597701149425</v>
      </c>
      <c r="L27" s="250">
        <v>570.05</v>
      </c>
      <c r="M27" s="251">
        <f t="shared" si="1"/>
        <v>-0.163461538461538</v>
      </c>
      <c r="N27" s="249">
        <f t="shared" si="2"/>
        <v>-0.135549872122762</v>
      </c>
      <c r="O27" s="249">
        <f t="shared" si="3"/>
        <v>-0.146097960161271</v>
      </c>
      <c r="P27" s="252">
        <f t="shared" si="4"/>
        <v>1.02958579881657</v>
      </c>
      <c r="Q27" s="281">
        <f t="shared" si="5"/>
        <v>25.3149112426036</v>
      </c>
      <c r="R27" s="281">
        <f t="shared" si="6"/>
        <v>24.5874712643678</v>
      </c>
      <c r="S27" s="281">
        <f t="shared" si="7"/>
        <v>49.7142857142857</v>
      </c>
      <c r="T27" s="254">
        <f t="shared" si="8"/>
        <v>152</v>
      </c>
      <c r="U27" s="255">
        <f t="shared" si="9"/>
        <v>0.449704142011834</v>
      </c>
      <c r="V27" s="256">
        <f t="shared" si="10"/>
        <v>0.275415944014099</v>
      </c>
      <c r="W27" s="244">
        <v>235160</v>
      </c>
      <c r="X27" s="244">
        <v>2259</v>
      </c>
      <c r="Y27" s="244">
        <v>186</v>
      </c>
      <c r="Z27" s="257">
        <v>2356.58</v>
      </c>
      <c r="AA27" s="277">
        <v>4686.72</v>
      </c>
      <c r="AB27" s="244">
        <v>1.04</v>
      </c>
      <c r="AC27" s="259">
        <f t="shared" si="11"/>
        <v>0.502820736037143</v>
      </c>
      <c r="AD27" s="260">
        <f t="shared" ref="AD27:AF27" si="46">X27/W27</f>
        <v>0.00960622554856268</v>
      </c>
      <c r="AE27" s="260">
        <f t="shared" si="46"/>
        <v>0.0823373173970783</v>
      </c>
      <c r="AF27" s="253">
        <f t="shared" si="46"/>
        <v>12.6697849462366</v>
      </c>
      <c r="AG27" s="261">
        <v>56</v>
      </c>
      <c r="AH27" s="254">
        <v>188</v>
      </c>
      <c r="AI27" s="262">
        <v>104</v>
      </c>
      <c r="AJ27" s="263">
        <f>AG27*产品成本!$D$2+AH27*产品成本!$D$3+AI27*产品成本!$D$4</f>
        <v>859.718309859156</v>
      </c>
      <c r="AK27" s="263">
        <f>AG27*产品成本!$E$2+AH27*产品成本!$E$3+AI27*产品成本!$E$4</f>
        <v>67.8065408450703</v>
      </c>
      <c r="AL27" s="263">
        <f>AG27*产品成本!$F$2+AH27*产品成本!$F$3+AI27*产品成本!$F$4</f>
        <v>118.32</v>
      </c>
      <c r="AM27" s="263">
        <f>AG27*产品成本!$G$2+AH27*产品成本!$G$3+AI27*产品成本!$G$4</f>
        <v>1345.44</v>
      </c>
      <c r="AN27" s="263">
        <f t="shared" si="13"/>
        <v>1283.466</v>
      </c>
      <c r="AO27" s="264">
        <f t="shared" si="14"/>
        <v>3674.75085070423</v>
      </c>
      <c r="AP27" s="265">
        <v>9</v>
      </c>
      <c r="AQ27" s="265">
        <v>13</v>
      </c>
      <c r="AR27" s="266">
        <v>6</v>
      </c>
      <c r="AS27" s="267">
        <f t="shared" si="15"/>
        <v>647.784090909091</v>
      </c>
      <c r="AT27" s="267">
        <f>AP27*产品成本!$D$2+AQ27*产品成本!$D$3+AR27*产品成本!$D$4</f>
        <v>66.3380281690141</v>
      </c>
      <c r="AU27" s="271">
        <f>AP27*产品成本!$E$2+AQ27*产品成本!$E$3+AR27*产品成本!$E$4</f>
        <v>5.3287352112676</v>
      </c>
      <c r="AV27" s="270">
        <f>AP27*产品成本!$F$2+AQ27*产品成本!$F$3+AR27*产品成本!$F$4</f>
        <v>9.52</v>
      </c>
      <c r="AW27" s="269"/>
      <c r="AX27" s="270">
        <f t="shared" si="16"/>
        <v>97.1676136363636</v>
      </c>
      <c r="AY27" s="269">
        <f t="shared" si="17"/>
        <v>-19.4335227272727</v>
      </c>
      <c r="AZ27" s="271">
        <f t="shared" si="18"/>
        <v>158.920854289373</v>
      </c>
      <c r="BA27" s="272">
        <f t="shared" si="19"/>
        <v>3515.82999641485</v>
      </c>
      <c r="BB27" s="272">
        <f t="shared" si="20"/>
        <v>8556.44</v>
      </c>
      <c r="BC27" s="272">
        <f t="shared" si="21"/>
        <v>7908.65590909091</v>
      </c>
      <c r="BD27" s="273">
        <f t="shared" si="22"/>
        <v>2036.24591267606</v>
      </c>
      <c r="BE27" s="274">
        <f t="shared" si="23"/>
        <v>0.257470540643375</v>
      </c>
      <c r="BF27" s="278"/>
      <c r="BG27" s="278" t="s">
        <v>135</v>
      </c>
      <c r="BH27" s="278" t="s">
        <v>94</v>
      </c>
    </row>
    <row r="28" ht="23.1" customHeight="1" spans="1:60">
      <c r="A28" s="285" t="s">
        <v>136</v>
      </c>
      <c r="B28" s="286" t="s">
        <v>137</v>
      </c>
      <c r="C28" s="243">
        <v>390</v>
      </c>
      <c r="D28" s="244">
        <v>356</v>
      </c>
      <c r="E28" s="245">
        <v>8924.45</v>
      </c>
      <c r="F28" s="246"/>
      <c r="G28" s="246"/>
      <c r="H28" s="247"/>
      <c r="I28" s="247"/>
      <c r="J28" s="276">
        <v>29</v>
      </c>
      <c r="K28" s="249">
        <f t="shared" si="0"/>
        <v>0.0743589743589744</v>
      </c>
      <c r="L28" s="250">
        <v>602.16</v>
      </c>
      <c r="M28" s="251">
        <f t="shared" si="1"/>
        <v>0.120689655172414</v>
      </c>
      <c r="N28" s="249">
        <f t="shared" si="2"/>
        <v>0.0532544378698225</v>
      </c>
      <c r="O28" s="249">
        <f t="shared" si="3"/>
        <v>0.0430097096456003</v>
      </c>
      <c r="P28" s="252">
        <f t="shared" si="4"/>
        <v>1.09550561797753</v>
      </c>
      <c r="Q28" s="281">
        <f t="shared" si="5"/>
        <v>25.0686797752809</v>
      </c>
      <c r="R28" s="281">
        <f t="shared" si="6"/>
        <v>22.8832051282051</v>
      </c>
      <c r="S28" s="281">
        <f t="shared" si="7"/>
        <v>55.7142857142857</v>
      </c>
      <c r="T28" s="254">
        <f t="shared" si="8"/>
        <v>156</v>
      </c>
      <c r="U28" s="255">
        <f t="shared" si="9"/>
        <v>0.438202247191011</v>
      </c>
      <c r="V28" s="256">
        <f t="shared" si="10"/>
        <v>0.285852909703119</v>
      </c>
      <c r="W28" s="244">
        <v>246122</v>
      </c>
      <c r="X28" s="244">
        <v>2473</v>
      </c>
      <c r="Y28" s="244">
        <v>200</v>
      </c>
      <c r="Z28" s="257">
        <v>2551.08</v>
      </c>
      <c r="AA28" s="277">
        <v>4818.21</v>
      </c>
      <c r="AB28" s="244">
        <v>1.03</v>
      </c>
      <c r="AC28" s="259">
        <f t="shared" si="11"/>
        <v>0.529466337083689</v>
      </c>
      <c r="AD28" s="260">
        <f t="shared" ref="AD28:AF28" si="47">X28/W28</f>
        <v>0.0100478624422035</v>
      </c>
      <c r="AE28" s="260">
        <f t="shared" si="47"/>
        <v>0.0808734330772341</v>
      </c>
      <c r="AF28" s="253">
        <f t="shared" si="47"/>
        <v>12.7554</v>
      </c>
      <c r="AG28" s="261">
        <v>102</v>
      </c>
      <c r="AH28" s="254">
        <v>186</v>
      </c>
      <c r="AI28" s="262">
        <v>102</v>
      </c>
      <c r="AJ28" s="263">
        <f>AG28*产品成本!$D$2+AH28*产品成本!$D$3+AI28*产品成本!$D$4</f>
        <v>946.05633802817</v>
      </c>
      <c r="AK28" s="263">
        <f>AG28*产品成本!$E$2+AH28*产品成本!$E$3+AI28*产品成本!$E$4</f>
        <v>74.9868845070422</v>
      </c>
      <c r="AL28" s="263">
        <f>AG28*产品成本!$F$2+AH28*产品成本!$F$3+AI28*产品成本!$F$4</f>
        <v>132.6</v>
      </c>
      <c r="AM28" s="263">
        <f>AG28*产品成本!$G$2+AH28*产品成本!$G$3+AI28*产品成本!$G$4</f>
        <v>1499.58</v>
      </c>
      <c r="AN28" s="263">
        <f t="shared" si="13"/>
        <v>1338.6675</v>
      </c>
      <c r="AO28" s="264">
        <f t="shared" si="14"/>
        <v>3991.89072253521</v>
      </c>
      <c r="AP28" s="265">
        <v>12</v>
      </c>
      <c r="AQ28" s="265">
        <v>9</v>
      </c>
      <c r="AR28" s="266">
        <v>8</v>
      </c>
      <c r="AS28" s="267">
        <f t="shared" si="15"/>
        <v>684.272727272727</v>
      </c>
      <c r="AT28" s="267">
        <f>AP28*产品成本!$D$2+AQ28*产品成本!$D$3+AR28*产品成本!$D$4</f>
        <v>70.8450704225353</v>
      </c>
      <c r="AU28" s="271">
        <f>AP28*产品成本!$E$2+AQ28*产品成本!$E$3+AR28*产品成本!$E$4</f>
        <v>5.49839577464788</v>
      </c>
      <c r="AV28" s="270">
        <f>AP28*产品成本!$F$2+AQ28*产品成本!$F$3+AR28*产品成本!$F$4</f>
        <v>9.86</v>
      </c>
      <c r="AW28" s="269"/>
      <c r="AX28" s="270">
        <f t="shared" si="16"/>
        <v>102.640909090909</v>
      </c>
      <c r="AY28" s="269">
        <f t="shared" si="17"/>
        <v>-20.5281818181818</v>
      </c>
      <c r="AZ28" s="271">
        <f t="shared" si="18"/>
        <v>168.31619346991</v>
      </c>
      <c r="BA28" s="272">
        <f t="shared" si="19"/>
        <v>3823.5745290653</v>
      </c>
      <c r="BB28" s="272">
        <f t="shared" si="20"/>
        <v>8924.45</v>
      </c>
      <c r="BC28" s="272">
        <f t="shared" si="21"/>
        <v>8240.17727272727</v>
      </c>
      <c r="BD28" s="273">
        <f t="shared" si="22"/>
        <v>1865.52274366197</v>
      </c>
      <c r="BE28" s="274">
        <f t="shared" si="23"/>
        <v>0.226393520663244</v>
      </c>
      <c r="BF28" s="280"/>
      <c r="BG28" s="280"/>
      <c r="BH28" s="280" t="s">
        <v>138</v>
      </c>
    </row>
    <row r="29" ht="23.1" customHeight="1" spans="1:60">
      <c r="A29" s="285" t="s">
        <v>139</v>
      </c>
      <c r="B29" s="286" t="s">
        <v>140</v>
      </c>
      <c r="C29" s="243">
        <v>414</v>
      </c>
      <c r="D29" s="244">
        <v>390</v>
      </c>
      <c r="E29" s="245">
        <v>9670.56</v>
      </c>
      <c r="F29" s="246"/>
      <c r="G29" s="246"/>
      <c r="H29" s="247"/>
      <c r="I29" s="247"/>
      <c r="J29" s="276">
        <v>34</v>
      </c>
      <c r="K29" s="249">
        <f t="shared" si="0"/>
        <v>0.0821256038647343</v>
      </c>
      <c r="L29" s="250">
        <v>698.13</v>
      </c>
      <c r="M29" s="251">
        <f t="shared" si="1"/>
        <v>0.0615384615384615</v>
      </c>
      <c r="N29" s="249">
        <f t="shared" si="2"/>
        <v>0.0955056179775281</v>
      </c>
      <c r="O29" s="249">
        <f t="shared" si="3"/>
        <v>0.0836029111037654</v>
      </c>
      <c r="P29" s="252">
        <f t="shared" si="4"/>
        <v>1.06153846153846</v>
      </c>
      <c r="Q29" s="281">
        <f t="shared" si="5"/>
        <v>24.7963076923077</v>
      </c>
      <c r="R29" s="281">
        <f t="shared" si="6"/>
        <v>23.3588405797101</v>
      </c>
      <c r="S29" s="281">
        <f t="shared" si="7"/>
        <v>59.1428571428571</v>
      </c>
      <c r="T29" s="254">
        <f t="shared" si="8"/>
        <v>154</v>
      </c>
      <c r="U29" s="255">
        <f t="shared" si="9"/>
        <v>0.394871794871795</v>
      </c>
      <c r="V29" s="256">
        <f t="shared" si="10"/>
        <v>0.258339744544266</v>
      </c>
      <c r="W29" s="244">
        <v>224859</v>
      </c>
      <c r="X29" s="244">
        <v>2444</v>
      </c>
      <c r="Y29" s="244">
        <v>236</v>
      </c>
      <c r="Z29" s="257">
        <v>2498.29</v>
      </c>
      <c r="AA29" s="277">
        <v>5740.71</v>
      </c>
      <c r="AB29" s="244">
        <v>1.02</v>
      </c>
      <c r="AC29" s="259">
        <f t="shared" si="11"/>
        <v>0.435188330363317</v>
      </c>
      <c r="AD29" s="260">
        <f t="shared" ref="AD29:AF29" si="48">X29/W29</f>
        <v>0.010869033483205</v>
      </c>
      <c r="AE29" s="260">
        <f t="shared" si="48"/>
        <v>0.0965630114566285</v>
      </c>
      <c r="AF29" s="253">
        <f t="shared" si="48"/>
        <v>10.5859745762712</v>
      </c>
      <c r="AG29" s="261">
        <v>110</v>
      </c>
      <c r="AH29" s="254">
        <v>217</v>
      </c>
      <c r="AI29" s="262">
        <v>87</v>
      </c>
      <c r="AJ29" s="263">
        <f>AG29*产品成本!$D$2+AH29*产品成本!$D$3+AI29*产品成本!$D$4</f>
        <v>978.802816901409</v>
      </c>
      <c r="AK29" s="263">
        <f>AG29*产品成本!$E$2+AH29*产品成本!$E$3+AI29*产品成本!$E$4</f>
        <v>79.2022352112675</v>
      </c>
      <c r="AL29" s="263">
        <f>AG29*产品成本!$F$2+AH29*产品成本!$F$3+AI29*产品成本!$F$4</f>
        <v>140.76</v>
      </c>
      <c r="AM29" s="263">
        <f>AG29*产品成本!$G$2+AH29*产品成本!$G$3+AI29*产品成本!$G$4</f>
        <v>1591.5</v>
      </c>
      <c r="AN29" s="263">
        <f t="shared" si="13"/>
        <v>1450.584</v>
      </c>
      <c r="AO29" s="264">
        <f t="shared" si="14"/>
        <v>4240.84905211268</v>
      </c>
      <c r="AP29" s="265">
        <v>8</v>
      </c>
      <c r="AQ29" s="265">
        <v>17</v>
      </c>
      <c r="AR29" s="266">
        <v>9</v>
      </c>
      <c r="AS29" s="267">
        <f t="shared" si="15"/>
        <v>793.329545454545</v>
      </c>
      <c r="AT29" s="267">
        <f>AP29*产品成本!$D$2+AQ29*产品成本!$D$3+AR29*产品成本!$D$4</f>
        <v>82.605633802817</v>
      </c>
      <c r="AU29" s="271">
        <f>AP29*产品成本!$E$2+AQ29*产品成本!$E$3+AR29*产品成本!$E$4</f>
        <v>6.55628873239436</v>
      </c>
      <c r="AV29" s="270">
        <f>AP29*产品成本!$F$2+AQ29*产品成本!$F$3+AR29*产品成本!$F$4</f>
        <v>11.56</v>
      </c>
      <c r="AW29" s="269"/>
      <c r="AX29" s="270">
        <f t="shared" si="16"/>
        <v>118.999431818182</v>
      </c>
      <c r="AY29" s="269">
        <f t="shared" si="17"/>
        <v>-23.7998863636364</v>
      </c>
      <c r="AZ29" s="271">
        <f t="shared" si="18"/>
        <v>195.921467989757</v>
      </c>
      <c r="BA29" s="272">
        <f t="shared" si="19"/>
        <v>4044.92758412292</v>
      </c>
      <c r="BB29" s="272">
        <f t="shared" si="20"/>
        <v>9670.56</v>
      </c>
      <c r="BC29" s="272">
        <f t="shared" si="21"/>
        <v>8877.23045454545</v>
      </c>
      <c r="BD29" s="273">
        <f t="shared" si="22"/>
        <v>2334.01287042253</v>
      </c>
      <c r="BE29" s="274">
        <f t="shared" si="23"/>
        <v>0.262921288612873</v>
      </c>
      <c r="BF29" s="278"/>
      <c r="BG29" s="278" t="s">
        <v>141</v>
      </c>
      <c r="BH29" s="278" t="s">
        <v>138</v>
      </c>
    </row>
    <row r="30" ht="23.1" customHeight="1" spans="1:60">
      <c r="A30" s="285" t="s">
        <v>142</v>
      </c>
      <c r="B30" s="286" t="s">
        <v>143</v>
      </c>
      <c r="C30" s="243">
        <v>463</v>
      </c>
      <c r="D30" s="244">
        <v>435</v>
      </c>
      <c r="E30" s="245">
        <v>11347.24</v>
      </c>
      <c r="F30" s="246"/>
      <c r="G30" s="246"/>
      <c r="H30" s="247"/>
      <c r="I30" s="247"/>
      <c r="J30" s="276">
        <v>33</v>
      </c>
      <c r="K30" s="249">
        <f t="shared" si="0"/>
        <v>0.0712742980561555</v>
      </c>
      <c r="L30" s="250">
        <v>661.95</v>
      </c>
      <c r="M30" s="251">
        <f t="shared" si="1"/>
        <v>0.118357487922705</v>
      </c>
      <c r="N30" s="249">
        <f t="shared" si="2"/>
        <v>0.115384615384615</v>
      </c>
      <c r="O30" s="249">
        <f t="shared" si="3"/>
        <v>0.17337982495326</v>
      </c>
      <c r="P30" s="252">
        <f t="shared" si="4"/>
        <v>1.06436781609195</v>
      </c>
      <c r="Q30" s="281">
        <f t="shared" si="5"/>
        <v>26.0856091954023</v>
      </c>
      <c r="R30" s="281">
        <f t="shared" si="6"/>
        <v>24.5080777537797</v>
      </c>
      <c r="S30" s="281">
        <f t="shared" si="7"/>
        <v>66.1428571428571</v>
      </c>
      <c r="T30" s="254">
        <f t="shared" si="8"/>
        <v>151</v>
      </c>
      <c r="U30" s="255">
        <f t="shared" si="9"/>
        <v>0.347126436781609</v>
      </c>
      <c r="V30" s="256">
        <f t="shared" si="10"/>
        <v>0.241443734335398</v>
      </c>
      <c r="W30" s="244">
        <v>250034</v>
      </c>
      <c r="X30" s="244">
        <v>2650</v>
      </c>
      <c r="Y30" s="244">
        <v>284</v>
      </c>
      <c r="Z30" s="257">
        <v>2739.72</v>
      </c>
      <c r="AA30" s="277">
        <v>7513.18</v>
      </c>
      <c r="AB30" s="244">
        <v>1.03</v>
      </c>
      <c r="AC30" s="259">
        <f t="shared" si="11"/>
        <v>0.364655179298247</v>
      </c>
      <c r="AD30" s="260">
        <f t="shared" ref="AD30:AF30" si="49">X30/W30</f>
        <v>0.0105985585960309</v>
      </c>
      <c r="AE30" s="260">
        <f t="shared" si="49"/>
        <v>0.107169811320755</v>
      </c>
      <c r="AF30" s="253">
        <f t="shared" si="49"/>
        <v>9.6469014084507</v>
      </c>
      <c r="AG30" s="261">
        <v>125</v>
      </c>
      <c r="AH30" s="254">
        <v>229</v>
      </c>
      <c r="AI30" s="262">
        <v>109</v>
      </c>
      <c r="AJ30" s="263">
        <f>AG30*产品成本!$D$2+AH30*产品成本!$D$3+AI30*产品成本!$D$4</f>
        <v>1108.66197183099</v>
      </c>
      <c r="AK30" s="263">
        <f>AG30*产品成本!$E$2+AH30*产品成本!$E$3+AI30*产品成本!$E$4</f>
        <v>88.7398225352112</v>
      </c>
      <c r="AL30" s="263">
        <f>AG30*产品成本!$F$2+AH30*产品成本!$F$3+AI30*产品成本!$F$4</f>
        <v>157.42</v>
      </c>
      <c r="AM30" s="263">
        <f>AG30*产品成本!$G$2+AH30*产品成本!$G$3+AI30*产品成本!$G$4</f>
        <v>1779.45</v>
      </c>
      <c r="AN30" s="263">
        <f t="shared" si="13"/>
        <v>1702.086</v>
      </c>
      <c r="AO30" s="264">
        <f t="shared" si="14"/>
        <v>4836.3577943662</v>
      </c>
      <c r="AP30" s="265">
        <v>11</v>
      </c>
      <c r="AQ30" s="265">
        <v>17</v>
      </c>
      <c r="AR30" s="266">
        <v>5</v>
      </c>
      <c r="AS30" s="267">
        <f t="shared" si="15"/>
        <v>752.215909090909</v>
      </c>
      <c r="AT30" s="267">
        <f>AP30*产品成本!$D$2+AQ30*产品成本!$D$3+AR30*产品成本!$D$4</f>
        <v>75.7042253521127</v>
      </c>
      <c r="AU30" s="271">
        <f>AP30*产品成本!$E$2+AQ30*产品成本!$E$3+AR30*产品成本!$E$4</f>
        <v>6.23710985915492</v>
      </c>
      <c r="AV30" s="270">
        <f>AP30*产品成本!$F$2+AQ30*产品成本!$F$3+AR30*产品成本!$F$4</f>
        <v>11.22</v>
      </c>
      <c r="AW30" s="269"/>
      <c r="AX30" s="270">
        <f t="shared" si="16"/>
        <v>112.832386363636</v>
      </c>
      <c r="AY30" s="269">
        <f t="shared" si="17"/>
        <v>-22.5664772727273</v>
      </c>
      <c r="AZ30" s="271">
        <f t="shared" si="18"/>
        <v>183.427244302177</v>
      </c>
      <c r="BA30" s="272">
        <f t="shared" si="19"/>
        <v>4652.93055006402</v>
      </c>
      <c r="BB30" s="272">
        <f t="shared" si="20"/>
        <v>11347.24</v>
      </c>
      <c r="BC30" s="272">
        <f t="shared" si="21"/>
        <v>10595.0240909091</v>
      </c>
      <c r="BD30" s="273">
        <f t="shared" si="22"/>
        <v>3202.37354084507</v>
      </c>
      <c r="BE30" s="274">
        <f t="shared" si="23"/>
        <v>0.302252596442213</v>
      </c>
      <c r="BF30" s="280"/>
      <c r="BG30" s="280"/>
      <c r="BH30" s="280"/>
    </row>
    <row r="31" ht="23.1" customHeight="1" spans="1:60">
      <c r="A31" s="285" t="s">
        <v>144</v>
      </c>
      <c r="B31" s="286" t="s">
        <v>145</v>
      </c>
      <c r="C31" s="243">
        <v>373</v>
      </c>
      <c r="D31" s="244">
        <v>360</v>
      </c>
      <c r="E31" s="245">
        <v>9134.48</v>
      </c>
      <c r="F31" s="246">
        <v>29</v>
      </c>
      <c r="G31" s="246">
        <v>29</v>
      </c>
      <c r="H31" s="247">
        <v>721.31</v>
      </c>
      <c r="I31" s="247">
        <v>63.1</v>
      </c>
      <c r="J31" s="276">
        <v>23</v>
      </c>
      <c r="K31" s="249">
        <f t="shared" si="0"/>
        <v>0.0616621983914209</v>
      </c>
      <c r="L31" s="250">
        <v>487.61</v>
      </c>
      <c r="M31" s="251">
        <f t="shared" si="1"/>
        <v>-0.19438444924406</v>
      </c>
      <c r="N31" s="249">
        <f t="shared" si="2"/>
        <v>-0.172413793103448</v>
      </c>
      <c r="O31" s="249">
        <f t="shared" si="3"/>
        <v>-0.195004247728963</v>
      </c>
      <c r="P31" s="252">
        <f t="shared" si="4"/>
        <v>1.03611111111111</v>
      </c>
      <c r="Q31" s="281">
        <f t="shared" si="5"/>
        <v>25.3735555555556</v>
      </c>
      <c r="R31" s="281">
        <f t="shared" si="6"/>
        <v>24.4892225201072</v>
      </c>
      <c r="S31" s="281">
        <f t="shared" si="7"/>
        <v>53.2857142857143</v>
      </c>
      <c r="T31" s="254">
        <f t="shared" si="8"/>
        <v>147</v>
      </c>
      <c r="U31" s="255">
        <f t="shared" si="9"/>
        <v>0.408333333333333</v>
      </c>
      <c r="V31" s="256">
        <f t="shared" si="10"/>
        <v>0.274820369116937</v>
      </c>
      <c r="W31" s="244">
        <v>329751</v>
      </c>
      <c r="X31" s="244">
        <v>2477</v>
      </c>
      <c r="Y31" s="244">
        <v>213</v>
      </c>
      <c r="Z31" s="257">
        <v>2493</v>
      </c>
      <c r="AA31" s="277">
        <v>5394.2</v>
      </c>
      <c r="AB31" s="244">
        <v>1.01</v>
      </c>
      <c r="AC31" s="259">
        <f t="shared" si="11"/>
        <v>0.462163064031738</v>
      </c>
      <c r="AD31" s="260">
        <f t="shared" ref="AD31:AF31" si="50">X31/W31</f>
        <v>0.00751172854669129</v>
      </c>
      <c r="AE31" s="260">
        <f t="shared" si="50"/>
        <v>0.0859911182882519</v>
      </c>
      <c r="AF31" s="253">
        <f t="shared" si="50"/>
        <v>11.7042253521127</v>
      </c>
      <c r="AG31" s="261">
        <v>84</v>
      </c>
      <c r="AH31" s="254">
        <v>170</v>
      </c>
      <c r="AI31" s="262">
        <v>119</v>
      </c>
      <c r="AJ31" s="263">
        <f>AG31*产品成本!$D$2+AH31*产品成本!$D$3+AI31*产品成本!$D$4</f>
        <v>930.49295774648</v>
      </c>
      <c r="AK31" s="263">
        <f>AG31*产品成本!$E$2+AH31*产品成本!$E$3+AI31*产品成本!$E$4</f>
        <v>72.3473154929577</v>
      </c>
      <c r="AL31" s="263">
        <f>AG31*产品成本!$F$2+AH31*产品成本!$F$3+AI31*产品成本!$F$4</f>
        <v>126.82</v>
      </c>
      <c r="AM31" s="263">
        <f>AG31*产品成本!$G$2+AH31*产品成本!$G$3+AI31*产品成本!$G$4</f>
        <v>1437.06</v>
      </c>
      <c r="AN31" s="263">
        <f t="shared" si="13"/>
        <v>1360.707</v>
      </c>
      <c r="AO31" s="264">
        <f t="shared" si="14"/>
        <v>3927.42727323944</v>
      </c>
      <c r="AP31" s="265">
        <v>5</v>
      </c>
      <c r="AQ31" s="265">
        <v>12</v>
      </c>
      <c r="AR31" s="266">
        <v>6</v>
      </c>
      <c r="AS31" s="267">
        <f t="shared" si="15"/>
        <v>554.102272727273</v>
      </c>
      <c r="AT31" s="267">
        <f>AP31*产品成本!$D$2+AQ31*产品成本!$D$3+AR31*产品成本!$D$4</f>
        <v>55.774647887324</v>
      </c>
      <c r="AU31" s="271">
        <f>AP31*产品成本!$E$2+AQ31*产品成本!$E$3+AR31*产品成本!$E$4</f>
        <v>4.44151690140844</v>
      </c>
      <c r="AV31" s="270">
        <f>AP31*产品成本!$F$2+AQ31*产品成本!$F$3+AR31*产品成本!$F$4</f>
        <v>7.82</v>
      </c>
      <c r="AW31" s="269"/>
      <c r="AX31" s="270">
        <f t="shared" si="16"/>
        <v>83.1153409090909</v>
      </c>
      <c r="AY31" s="269">
        <f t="shared" si="17"/>
        <v>-16.6230681818182</v>
      </c>
      <c r="AZ31" s="271">
        <f t="shared" si="18"/>
        <v>134.528437516005</v>
      </c>
      <c r="BA31" s="272">
        <f t="shared" si="19"/>
        <v>3792.89883572343</v>
      </c>
      <c r="BB31" s="272">
        <f t="shared" si="20"/>
        <v>9071.38</v>
      </c>
      <c r="BC31" s="272">
        <f t="shared" si="21"/>
        <v>8517.27772727273</v>
      </c>
      <c r="BD31" s="273">
        <f t="shared" si="22"/>
        <v>2231.3788915493</v>
      </c>
      <c r="BE31" s="274">
        <f t="shared" si="23"/>
        <v>0.261982638467255</v>
      </c>
      <c r="BF31" s="278"/>
      <c r="BG31" s="278" t="s">
        <v>146</v>
      </c>
      <c r="BH31" s="278" t="s">
        <v>94</v>
      </c>
    </row>
    <row r="32" ht="23.1" customHeight="1" spans="1:60">
      <c r="A32" s="285" t="s">
        <v>147</v>
      </c>
      <c r="B32" s="286" t="s">
        <v>148</v>
      </c>
      <c r="C32" s="243">
        <v>415</v>
      </c>
      <c r="D32" s="244">
        <v>392</v>
      </c>
      <c r="E32" s="245">
        <v>10098.35</v>
      </c>
      <c r="F32" s="246">
        <v>96</v>
      </c>
      <c r="G32" s="246">
        <v>90</v>
      </c>
      <c r="H32" s="247">
        <v>2303.24</v>
      </c>
      <c r="I32" s="247">
        <v>288.75</v>
      </c>
      <c r="J32" s="276">
        <v>27</v>
      </c>
      <c r="K32" s="249">
        <f t="shared" si="0"/>
        <v>0.0650602409638554</v>
      </c>
      <c r="L32" s="250">
        <v>574.62</v>
      </c>
      <c r="M32" s="251">
        <f t="shared" si="1"/>
        <v>0.112600536193029</v>
      </c>
      <c r="N32" s="249">
        <f t="shared" si="2"/>
        <v>0.0888888888888889</v>
      </c>
      <c r="O32" s="249">
        <f t="shared" si="3"/>
        <v>0.105519963916939</v>
      </c>
      <c r="P32" s="252">
        <f t="shared" si="4"/>
        <v>1.05867346938776</v>
      </c>
      <c r="Q32" s="281">
        <f t="shared" si="5"/>
        <v>25.7610969387755</v>
      </c>
      <c r="R32" s="281">
        <f t="shared" si="6"/>
        <v>24.3333734939759</v>
      </c>
      <c r="S32" s="281">
        <f t="shared" si="7"/>
        <v>59.2857142857143</v>
      </c>
      <c r="T32" s="254">
        <f t="shared" si="8"/>
        <v>150</v>
      </c>
      <c r="U32" s="255">
        <f t="shared" si="9"/>
        <v>0.38265306122449</v>
      </c>
      <c r="V32" s="256">
        <f t="shared" si="10"/>
        <v>0.284689487848638</v>
      </c>
      <c r="W32" s="244">
        <v>550872</v>
      </c>
      <c r="X32" s="244">
        <v>2687</v>
      </c>
      <c r="Y32" s="244">
        <v>242</v>
      </c>
      <c r="Z32" s="257">
        <v>2792.69</v>
      </c>
      <c r="AA32" s="277">
        <v>6031.52</v>
      </c>
      <c r="AB32" s="244">
        <v>1.04</v>
      </c>
      <c r="AC32" s="259">
        <f t="shared" si="11"/>
        <v>0.463015956176884</v>
      </c>
      <c r="AD32" s="260">
        <f t="shared" ref="AD32:AF32" si="51">X32/W32</f>
        <v>0.00487772114030119</v>
      </c>
      <c r="AE32" s="260">
        <f t="shared" si="51"/>
        <v>0.0900632675846669</v>
      </c>
      <c r="AF32" s="253">
        <f t="shared" si="51"/>
        <v>11.540041322314</v>
      </c>
      <c r="AG32" s="261">
        <v>120</v>
      </c>
      <c r="AH32" s="254">
        <v>178</v>
      </c>
      <c r="AI32" s="262">
        <v>117</v>
      </c>
      <c r="AJ32" s="263">
        <f>AG32*产品成本!$D$2+AH32*产品成本!$D$3+AI32*产品成本!$D$4</f>
        <v>1016.83098591549</v>
      </c>
      <c r="AK32" s="263">
        <f>AG32*产品成本!$E$2+AH32*产品成本!$E$3+AI32*产品成本!$E$4</f>
        <v>79.719490140845</v>
      </c>
      <c r="AL32" s="263">
        <f>AG32*产品成本!$F$2+AH32*产品成本!$F$3+AI32*产品成本!$F$4</f>
        <v>141.1</v>
      </c>
      <c r="AM32" s="263">
        <f>AG32*产品成本!$G$2+AH32*产品成本!$G$3+AI32*产品成本!$G$4</f>
        <v>1593.3</v>
      </c>
      <c r="AN32" s="263">
        <f t="shared" si="13"/>
        <v>1471.44</v>
      </c>
      <c r="AO32" s="264">
        <f t="shared" si="14"/>
        <v>4302.39047605634</v>
      </c>
      <c r="AP32" s="265">
        <v>5</v>
      </c>
      <c r="AQ32" s="265">
        <v>13</v>
      </c>
      <c r="AR32" s="266">
        <v>9</v>
      </c>
      <c r="AS32" s="267">
        <f t="shared" si="15"/>
        <v>652.977272727273</v>
      </c>
      <c r="AT32" s="267">
        <f>AP32*产品成本!$D$2+AQ32*产品成本!$D$3+AR32*产品成本!$D$4</f>
        <v>67.8169014084508</v>
      </c>
      <c r="AU32" s="271">
        <f>AP32*产品成本!$E$2+AQ32*产品成本!$E$3+AR32*产品成本!$E$4</f>
        <v>5.26430704225351</v>
      </c>
      <c r="AV32" s="270">
        <f>AP32*产品成本!$F$2+AQ32*产品成本!$F$3+AR32*产品成本!$F$4</f>
        <v>9.18</v>
      </c>
      <c r="AW32" s="269"/>
      <c r="AX32" s="270">
        <f t="shared" si="16"/>
        <v>97.9465909090909</v>
      </c>
      <c r="AY32" s="269">
        <f t="shared" si="17"/>
        <v>-19.5893181818182</v>
      </c>
      <c r="AZ32" s="271">
        <f t="shared" si="18"/>
        <v>160.618481177977</v>
      </c>
      <c r="BA32" s="272">
        <f t="shared" si="19"/>
        <v>4141.77199487836</v>
      </c>
      <c r="BB32" s="272">
        <f t="shared" si="20"/>
        <v>9809.6</v>
      </c>
      <c r="BC32" s="272">
        <f t="shared" si="21"/>
        <v>9156.62272727273</v>
      </c>
      <c r="BD32" s="273">
        <f t="shared" si="22"/>
        <v>2222.16073239437</v>
      </c>
      <c r="BE32" s="274">
        <f t="shared" si="23"/>
        <v>0.242683443293533</v>
      </c>
      <c r="BF32" s="280"/>
      <c r="BG32" s="280" t="s">
        <v>149</v>
      </c>
      <c r="BH32" s="280"/>
    </row>
    <row r="33" ht="23.1" customHeight="1" spans="1:60">
      <c r="A33" s="285" t="s">
        <v>150</v>
      </c>
      <c r="B33" s="286" t="s">
        <v>151</v>
      </c>
      <c r="C33" s="243">
        <v>400</v>
      </c>
      <c r="D33" s="244">
        <v>382</v>
      </c>
      <c r="E33" s="245">
        <v>9152.47</v>
      </c>
      <c r="F33" s="246">
        <v>27</v>
      </c>
      <c r="G33" s="246">
        <v>26</v>
      </c>
      <c r="H33" s="247">
        <v>611.41</v>
      </c>
      <c r="I33" s="247">
        <v>57.15</v>
      </c>
      <c r="J33" s="276">
        <v>39</v>
      </c>
      <c r="K33" s="249">
        <f t="shared" si="0"/>
        <v>0.0975</v>
      </c>
      <c r="L33" s="250">
        <v>806.14</v>
      </c>
      <c r="M33" s="251">
        <f t="shared" si="1"/>
        <v>-0.036144578313253</v>
      </c>
      <c r="N33" s="249">
        <f t="shared" si="2"/>
        <v>-0.0255102040816327</v>
      </c>
      <c r="O33" s="249">
        <f t="shared" si="3"/>
        <v>-0.0936667871483956</v>
      </c>
      <c r="P33" s="252">
        <f t="shared" si="4"/>
        <v>1.04712041884817</v>
      </c>
      <c r="Q33" s="281">
        <f t="shared" si="5"/>
        <v>23.9593455497382</v>
      </c>
      <c r="R33" s="281">
        <f t="shared" si="6"/>
        <v>22.881175</v>
      </c>
      <c r="S33" s="281">
        <f t="shared" si="7"/>
        <v>57.1428571428571</v>
      </c>
      <c r="T33" s="254">
        <f t="shared" si="8"/>
        <v>144</v>
      </c>
      <c r="U33" s="255">
        <f t="shared" si="9"/>
        <v>0.37696335078534</v>
      </c>
      <c r="V33" s="256">
        <f t="shared" si="10"/>
        <v>0.310481654301333</v>
      </c>
      <c r="W33" s="244">
        <v>261666</v>
      </c>
      <c r="X33" s="244">
        <v>2721</v>
      </c>
      <c r="Y33" s="244">
        <v>238</v>
      </c>
      <c r="Z33" s="257">
        <v>2823.93</v>
      </c>
      <c r="AA33" s="277">
        <v>5786.5</v>
      </c>
      <c r="AB33" s="244">
        <v>1.04</v>
      </c>
      <c r="AC33" s="259">
        <f t="shared" si="11"/>
        <v>0.488020392292405</v>
      </c>
      <c r="AD33" s="260">
        <f t="shared" ref="AD33:AF33" si="52">X33/W33</f>
        <v>0.0103987526082869</v>
      </c>
      <c r="AE33" s="260">
        <f t="shared" si="52"/>
        <v>0.0874678427048879</v>
      </c>
      <c r="AF33" s="253">
        <f t="shared" si="52"/>
        <v>11.8652521008403</v>
      </c>
      <c r="AG33" s="261">
        <v>117</v>
      </c>
      <c r="AH33" s="254">
        <v>172</v>
      </c>
      <c r="AI33" s="262">
        <v>111</v>
      </c>
      <c r="AJ33" s="263">
        <f>AG33*产品成本!$D$2+AH33*产品成本!$D$3+AI33*产品成本!$D$4</f>
        <v>977.957746478874</v>
      </c>
      <c r="AK33" s="263">
        <f>AG33*产品成本!$E$2+AH33*产品成本!$E$3+AI33*产品成本!$E$4</f>
        <v>76.781928169014</v>
      </c>
      <c r="AL33" s="263">
        <f>AG33*产品成本!$F$2+AH33*产品成本!$F$3+AI33*产品成本!$F$4</f>
        <v>136</v>
      </c>
      <c r="AM33" s="263">
        <f>AG33*产品成本!$G$2+AH33*产品成本!$G$3+AI33*产品成本!$G$4</f>
        <v>1535.43</v>
      </c>
      <c r="AN33" s="263">
        <f t="shared" si="13"/>
        <v>1364.298</v>
      </c>
      <c r="AO33" s="264">
        <f t="shared" si="14"/>
        <v>4090.46767464789</v>
      </c>
      <c r="AP33" s="265">
        <v>12</v>
      </c>
      <c r="AQ33" s="265">
        <v>16</v>
      </c>
      <c r="AR33" s="266">
        <v>11</v>
      </c>
      <c r="AS33" s="267">
        <f t="shared" si="15"/>
        <v>916.068181818182</v>
      </c>
      <c r="AT33" s="267">
        <f>AP33*产品成本!$D$2+AQ33*产品成本!$D$3+AR33*产品成本!$D$4</f>
        <v>95.5633802816902</v>
      </c>
      <c r="AU33" s="271">
        <f>AP33*产品成本!$E$2+AQ33*产品成本!$E$3+AR33*产品成本!$E$4</f>
        <v>7.47792676056337</v>
      </c>
      <c r="AV33" s="270">
        <f>AP33*产品成本!$F$2+AQ33*产品成本!$F$3+AR33*产品成本!$F$4</f>
        <v>13.26</v>
      </c>
      <c r="AW33" s="269"/>
      <c r="AX33" s="270">
        <f t="shared" si="16"/>
        <v>137.410227272727</v>
      </c>
      <c r="AY33" s="269">
        <f t="shared" si="17"/>
        <v>-27.4820454545455</v>
      </c>
      <c r="AZ33" s="271">
        <f t="shared" si="18"/>
        <v>226.229488860435</v>
      </c>
      <c r="BA33" s="272">
        <f t="shared" si="19"/>
        <v>3864.23818578745</v>
      </c>
      <c r="BB33" s="272">
        <f t="shared" si="20"/>
        <v>9095.32</v>
      </c>
      <c r="BC33" s="272">
        <f t="shared" si="21"/>
        <v>8179.25181818182</v>
      </c>
      <c r="BD33" s="273">
        <f t="shared" si="22"/>
        <v>1491.08363239437</v>
      </c>
      <c r="BE33" s="274">
        <f t="shared" si="23"/>
        <v>0.182300736734845</v>
      </c>
      <c r="BF33" s="278"/>
      <c r="BG33" s="278" t="s">
        <v>152</v>
      </c>
      <c r="BH33" s="278" t="s">
        <v>153</v>
      </c>
    </row>
    <row r="34" ht="23.1" customHeight="1" spans="1:60">
      <c r="A34" s="285" t="s">
        <v>154</v>
      </c>
      <c r="B34" s="286" t="s">
        <v>155</v>
      </c>
      <c r="C34" s="243">
        <v>429</v>
      </c>
      <c r="D34" s="244">
        <v>395</v>
      </c>
      <c r="E34" s="247">
        <v>10442.62</v>
      </c>
      <c r="F34" s="246">
        <v>49</v>
      </c>
      <c r="G34" s="246">
        <v>41</v>
      </c>
      <c r="H34" s="247">
        <v>1233.71</v>
      </c>
      <c r="I34" s="247">
        <v>75.81</v>
      </c>
      <c r="J34" s="276">
        <v>43</v>
      </c>
      <c r="K34" s="249">
        <f t="shared" si="0"/>
        <v>0.1002331002331</v>
      </c>
      <c r="L34" s="250">
        <v>911.89</v>
      </c>
      <c r="M34" s="251">
        <f t="shared" si="1"/>
        <v>0.0725</v>
      </c>
      <c r="N34" s="249">
        <f t="shared" si="2"/>
        <v>0.0340314136125654</v>
      </c>
      <c r="O34" s="249">
        <f t="shared" si="3"/>
        <v>0.140961947976885</v>
      </c>
      <c r="P34" s="252">
        <f t="shared" si="4"/>
        <v>1.08607594936709</v>
      </c>
      <c r="Q34" s="281">
        <f t="shared" si="5"/>
        <v>26.4370126582279</v>
      </c>
      <c r="R34" s="281">
        <f t="shared" si="6"/>
        <v>24.3417715617716</v>
      </c>
      <c r="S34" s="281">
        <f t="shared" si="7"/>
        <v>61.2857142857143</v>
      </c>
      <c r="T34" s="254">
        <f t="shared" si="8"/>
        <v>141</v>
      </c>
      <c r="U34" s="255">
        <f t="shared" si="9"/>
        <v>0.356962025316456</v>
      </c>
      <c r="V34" s="256">
        <f t="shared" si="10"/>
        <v>0.259566829140304</v>
      </c>
      <c r="W34" s="244">
        <v>238222</v>
      </c>
      <c r="X34" s="244">
        <v>2771</v>
      </c>
      <c r="Y34" s="244">
        <v>254</v>
      </c>
      <c r="Z34" s="257">
        <v>2690.88</v>
      </c>
      <c r="AA34" s="277">
        <v>6334.77</v>
      </c>
      <c r="AB34" s="244">
        <v>0.97</v>
      </c>
      <c r="AC34" s="259">
        <f t="shared" si="11"/>
        <v>0.424779431613145</v>
      </c>
      <c r="AD34" s="260">
        <f t="shared" ref="AD34:AF34" si="53">X34/W34</f>
        <v>0.0116320071194096</v>
      </c>
      <c r="AE34" s="260">
        <f t="shared" si="53"/>
        <v>0.0916636593287622</v>
      </c>
      <c r="AF34" s="253">
        <f t="shared" si="53"/>
        <v>10.5940157480315</v>
      </c>
      <c r="AG34" s="261">
        <v>108</v>
      </c>
      <c r="AH34" s="254">
        <v>221</v>
      </c>
      <c r="AI34" s="262">
        <v>100</v>
      </c>
      <c r="AJ34" s="263">
        <f>AG34*产品成本!$D$2+AH34*产品成本!$D$3+AI34*产品成本!$D$4</f>
        <v>1026.05633802817</v>
      </c>
      <c r="AK34" s="263">
        <f>AG34*产品成本!$E$2+AH34*产品成本!$E$3+AI34*产品成本!$E$4</f>
        <v>82.3561816901407</v>
      </c>
      <c r="AL34" s="263">
        <f>AG34*产品成本!$F$2+AH34*产品成本!$F$3+AI34*产品成本!$F$4</f>
        <v>145.86</v>
      </c>
      <c r="AM34" s="263">
        <f>AG34*产品成本!$G$2+AH34*产品成本!$G$3+AI34*产品成本!$G$4</f>
        <v>1650.42</v>
      </c>
      <c r="AN34" s="263">
        <f t="shared" si="13"/>
        <v>1555.0215</v>
      </c>
      <c r="AO34" s="264">
        <f t="shared" si="14"/>
        <v>4459.71401971831</v>
      </c>
      <c r="AP34" s="265">
        <v>7</v>
      </c>
      <c r="AQ34" s="265">
        <v>20</v>
      </c>
      <c r="AR34" s="266">
        <v>16</v>
      </c>
      <c r="AS34" s="267">
        <f t="shared" si="15"/>
        <v>1036.23863636364</v>
      </c>
      <c r="AT34" s="267">
        <f>AP34*产品成本!$D$2+AQ34*产品成本!$D$3+AR34*产品成本!$D$4</f>
        <v>110</v>
      </c>
      <c r="AU34" s="271">
        <f>AP34*产品成本!$E$2+AQ34*产品成本!$E$3+AR34*产品成本!$E$4</f>
        <v>8.43105211267605</v>
      </c>
      <c r="AV34" s="270">
        <f>AP34*产品成本!$F$2+AQ34*产品成本!$F$3+AR34*产品成本!$F$4</f>
        <v>14.62</v>
      </c>
      <c r="AW34" s="269"/>
      <c r="AX34" s="270">
        <f t="shared" si="16"/>
        <v>155.435795454545</v>
      </c>
      <c r="AY34" s="269">
        <f t="shared" si="17"/>
        <v>-31.0871590909091</v>
      </c>
      <c r="AZ34" s="271">
        <f t="shared" si="18"/>
        <v>257.399688476312</v>
      </c>
      <c r="BA34" s="272">
        <f t="shared" si="19"/>
        <v>4202.314331242</v>
      </c>
      <c r="BB34" s="272">
        <f t="shared" si="20"/>
        <v>10366.81</v>
      </c>
      <c r="BC34" s="272">
        <f t="shared" si="21"/>
        <v>9330.57136363637</v>
      </c>
      <c r="BD34" s="273">
        <f t="shared" si="22"/>
        <v>2437.37703239437</v>
      </c>
      <c r="BE34" s="274">
        <f t="shared" si="23"/>
        <v>0.261224842231361</v>
      </c>
      <c r="BF34" s="280"/>
      <c r="BG34" s="280"/>
      <c r="BH34" s="280"/>
    </row>
    <row r="35" ht="23.1" customHeight="1" spans="1:60">
      <c r="A35" s="285" t="s">
        <v>156</v>
      </c>
      <c r="B35" s="286" t="s">
        <v>157</v>
      </c>
      <c r="C35" s="243">
        <v>411</v>
      </c>
      <c r="D35" s="244">
        <v>383</v>
      </c>
      <c r="E35" s="247">
        <v>10097.4</v>
      </c>
      <c r="F35" s="246">
        <v>59</v>
      </c>
      <c r="G35" s="246">
        <v>59</v>
      </c>
      <c r="H35" s="247">
        <v>1913.42</v>
      </c>
      <c r="I35" s="247">
        <v>245.79</v>
      </c>
      <c r="J35" s="276">
        <v>16</v>
      </c>
      <c r="K35" s="249">
        <f t="shared" si="0"/>
        <v>0.0389294403892944</v>
      </c>
      <c r="L35" s="250">
        <v>317.88</v>
      </c>
      <c r="M35" s="251">
        <f t="shared" si="1"/>
        <v>-0.041958041958042</v>
      </c>
      <c r="N35" s="249">
        <f t="shared" si="2"/>
        <v>-0.030379746835443</v>
      </c>
      <c r="O35" s="249">
        <f t="shared" si="3"/>
        <v>-0.0330587534545929</v>
      </c>
      <c r="P35" s="252">
        <f t="shared" si="4"/>
        <v>1.07310704960836</v>
      </c>
      <c r="Q35" s="281">
        <f t="shared" si="5"/>
        <v>26.3639686684073</v>
      </c>
      <c r="R35" s="281">
        <f t="shared" si="6"/>
        <v>24.5678832116788</v>
      </c>
      <c r="S35" s="281">
        <f t="shared" si="7"/>
        <v>58.7142857142857</v>
      </c>
      <c r="T35" s="254">
        <f t="shared" si="8"/>
        <v>143</v>
      </c>
      <c r="U35" s="255">
        <f t="shared" si="9"/>
        <v>0.373368146214099</v>
      </c>
      <c r="V35" s="256">
        <f t="shared" si="10"/>
        <v>0.298603984526387</v>
      </c>
      <c r="W35" s="244">
        <v>309763</v>
      </c>
      <c r="X35" s="244">
        <v>3025</v>
      </c>
      <c r="Y35" s="244">
        <v>240</v>
      </c>
      <c r="Z35" s="257">
        <v>2941.73</v>
      </c>
      <c r="AA35" s="277">
        <v>6135.47</v>
      </c>
      <c r="AB35" s="244">
        <v>0.97</v>
      </c>
      <c r="AC35" s="259">
        <f t="shared" si="11"/>
        <v>0.479462861035911</v>
      </c>
      <c r="AD35" s="260">
        <f t="shared" ref="AD35:AF35" si="54">X35/W35</f>
        <v>0.00976553042164494</v>
      </c>
      <c r="AE35" s="260">
        <f t="shared" si="54"/>
        <v>0.0793388429752066</v>
      </c>
      <c r="AF35" s="253">
        <f t="shared" si="54"/>
        <v>12.2572083333333</v>
      </c>
      <c r="AG35" s="261">
        <v>90</v>
      </c>
      <c r="AH35" s="254">
        <v>194</v>
      </c>
      <c r="AI35" s="262">
        <v>150</v>
      </c>
      <c r="AJ35" s="263">
        <f>AG35*产品成本!$D$2+AH35*产品成本!$D$3+AI35*产品成本!$D$4</f>
        <v>1096.47887323944</v>
      </c>
      <c r="AK35" s="263">
        <f>AG35*产品成本!$E$2+AH35*产品成本!$E$3+AI35*产品成本!$E$4</f>
        <v>84.5259211267605</v>
      </c>
      <c r="AL35" s="263">
        <f>AG35*产品成本!$F$2+AH35*产品成本!$F$3+AI35*产品成本!$F$4</f>
        <v>147.56</v>
      </c>
      <c r="AM35" s="263">
        <f>AG35*产品成本!$G$2+AH35*产品成本!$G$3+AI35*产品成本!$G$4</f>
        <v>1673.7</v>
      </c>
      <c r="AN35" s="263">
        <f t="shared" si="13"/>
        <v>1477.7415</v>
      </c>
      <c r="AO35" s="264">
        <f t="shared" si="14"/>
        <v>4480.0062943662</v>
      </c>
      <c r="AP35" s="265">
        <v>9</v>
      </c>
      <c r="AQ35" s="265">
        <v>5</v>
      </c>
      <c r="AR35" s="266">
        <v>2</v>
      </c>
      <c r="AS35" s="267">
        <f t="shared" si="15"/>
        <v>361.227272727273</v>
      </c>
      <c r="AT35" s="267">
        <f>AP35*产品成本!$D$2+AQ35*产品成本!$D$3+AR35*产品成本!$D$4</f>
        <v>36.1971830985916</v>
      </c>
      <c r="AU35" s="271">
        <f>AP35*产品成本!$E$2+AQ35*产品成本!$E$3+AR35*产品成本!$E$4</f>
        <v>2.94641408450704</v>
      </c>
      <c r="AV35" s="270">
        <f>AP35*产品成本!$F$2+AQ35*产品成本!$F$3+AR35*产品成本!$F$4</f>
        <v>5.44</v>
      </c>
      <c r="AW35" s="269"/>
      <c r="AX35" s="270">
        <f t="shared" si="16"/>
        <v>54.1840909090909</v>
      </c>
      <c r="AY35" s="269">
        <f t="shared" si="17"/>
        <v>-10.8368181818182</v>
      </c>
      <c r="AZ35" s="271">
        <f t="shared" si="18"/>
        <v>87.9308699103713</v>
      </c>
      <c r="BA35" s="272">
        <f t="shared" si="19"/>
        <v>4392.07542445583</v>
      </c>
      <c r="BB35" s="272">
        <f t="shared" si="20"/>
        <v>9851.61</v>
      </c>
      <c r="BC35" s="272">
        <f t="shared" si="21"/>
        <v>9490.38272727273</v>
      </c>
      <c r="BD35" s="273">
        <f t="shared" si="22"/>
        <v>2156.5773028169</v>
      </c>
      <c r="BE35" s="274">
        <f t="shared" si="23"/>
        <v>0.227238180460256</v>
      </c>
      <c r="BF35" s="278"/>
      <c r="BG35" s="278"/>
      <c r="BH35" s="278"/>
    </row>
    <row r="36" ht="23.1" customHeight="1" spans="1:60">
      <c r="A36" s="285" t="s">
        <v>158</v>
      </c>
      <c r="B36" s="286" t="s">
        <v>159</v>
      </c>
      <c r="C36" s="243">
        <v>403</v>
      </c>
      <c r="D36" s="244">
        <v>379</v>
      </c>
      <c r="E36" s="247">
        <v>9785.09</v>
      </c>
      <c r="F36" s="246">
        <v>41</v>
      </c>
      <c r="G36" s="246">
        <v>39</v>
      </c>
      <c r="H36" s="247">
        <v>1009.39</v>
      </c>
      <c r="I36" s="247">
        <v>91.31</v>
      </c>
      <c r="J36" s="276">
        <v>29</v>
      </c>
      <c r="K36" s="249">
        <f t="shared" si="0"/>
        <v>0.0719602977667494</v>
      </c>
      <c r="L36" s="250">
        <v>595.28</v>
      </c>
      <c r="M36" s="251">
        <f t="shared" si="1"/>
        <v>-0.0194647201946472</v>
      </c>
      <c r="N36" s="249">
        <f t="shared" si="2"/>
        <v>-0.010443864229765</v>
      </c>
      <c r="O36" s="249">
        <f t="shared" si="3"/>
        <v>-0.0309297442906094</v>
      </c>
      <c r="P36" s="252">
        <f t="shared" si="4"/>
        <v>1.06332453825858</v>
      </c>
      <c r="Q36" s="281">
        <f t="shared" si="5"/>
        <v>25.8181794195251</v>
      </c>
      <c r="R36" s="281">
        <f t="shared" si="6"/>
        <v>24.2806203473945</v>
      </c>
      <c r="S36" s="281">
        <f t="shared" si="7"/>
        <v>57.5714285714286</v>
      </c>
      <c r="T36" s="254">
        <f t="shared" si="8"/>
        <v>129</v>
      </c>
      <c r="U36" s="255">
        <f t="shared" si="9"/>
        <v>0.340369393139842</v>
      </c>
      <c r="V36" s="256">
        <f t="shared" si="10"/>
        <v>0.292762988225439</v>
      </c>
      <c r="W36" s="244">
        <v>259867</v>
      </c>
      <c r="X36" s="244">
        <v>2668</v>
      </c>
      <c r="Y36" s="244">
        <v>250</v>
      </c>
      <c r="Z36" s="257">
        <v>2837.98</v>
      </c>
      <c r="AA36" s="277">
        <v>6226.65</v>
      </c>
      <c r="AB36" s="244">
        <v>1.06</v>
      </c>
      <c r="AC36" s="259">
        <f t="shared" si="11"/>
        <v>0.455779592557796</v>
      </c>
      <c r="AD36" s="260">
        <f t="shared" ref="AD36:AF36" si="55">X36/W36</f>
        <v>0.0102667903196635</v>
      </c>
      <c r="AE36" s="260">
        <f t="shared" si="55"/>
        <v>0.0937031484257871</v>
      </c>
      <c r="AF36" s="253">
        <f t="shared" si="55"/>
        <v>11.35192</v>
      </c>
      <c r="AG36" s="261">
        <v>114</v>
      </c>
      <c r="AH36" s="254">
        <v>160</v>
      </c>
      <c r="AI36" s="262">
        <v>129</v>
      </c>
      <c r="AJ36" s="263">
        <f>AG36*产品成本!$D$2+AH36*产品成本!$D$3+AI36*产品成本!$D$4</f>
        <v>1005.84507042254</v>
      </c>
      <c r="AK36" s="263">
        <f>AG36*产品成本!$E$2+AH36*产品成本!$E$3+AI36*产品成本!$E$4</f>
        <v>77.7276253521126</v>
      </c>
      <c r="AL36" s="263">
        <f>AG36*产品成本!$F$2+AH36*产品成本!$F$3+AI36*产品成本!$F$4</f>
        <v>137.02</v>
      </c>
      <c r="AM36" s="263">
        <f>AG36*产品成本!$G$2+AH36*产品成本!$G$3+AI36*产品成本!$G$4</f>
        <v>1547.76</v>
      </c>
      <c r="AN36" s="263">
        <f t="shared" si="13"/>
        <v>1454.067</v>
      </c>
      <c r="AO36" s="264">
        <f t="shared" si="14"/>
        <v>4222.41969577465</v>
      </c>
      <c r="AP36" s="265">
        <v>8</v>
      </c>
      <c r="AQ36" s="265">
        <v>16</v>
      </c>
      <c r="AR36" s="266">
        <v>5</v>
      </c>
      <c r="AS36" s="267">
        <f t="shared" si="15"/>
        <v>676.454545454545</v>
      </c>
      <c r="AT36" s="267">
        <f>AP36*产品成本!$D$2+AQ36*产品成本!$D$3+AR36*产品成本!$D$4</f>
        <v>67.2535211267606</v>
      </c>
      <c r="AU36" s="271">
        <f>AP36*产品成本!$E$2+AQ36*产品成本!$E$3+AR36*产品成本!$E$4</f>
        <v>5.52349859154929</v>
      </c>
      <c r="AV36" s="270">
        <f>AP36*产品成本!$F$2+AQ36*产品成本!$F$3+AR36*产品成本!$F$4</f>
        <v>9.86</v>
      </c>
      <c r="AW36" s="269"/>
      <c r="AX36" s="270">
        <f t="shared" si="16"/>
        <v>101.468181818182</v>
      </c>
      <c r="AY36" s="269">
        <f t="shared" si="17"/>
        <v>-20.2936363636364</v>
      </c>
      <c r="AZ36" s="271">
        <f t="shared" si="18"/>
        <v>163.811565172855</v>
      </c>
      <c r="BA36" s="272">
        <f t="shared" si="19"/>
        <v>4058.60813060179</v>
      </c>
      <c r="BB36" s="272">
        <f t="shared" si="20"/>
        <v>9693.78</v>
      </c>
      <c r="BC36" s="272">
        <f t="shared" si="21"/>
        <v>9017.32545454545</v>
      </c>
      <c r="BD36" s="273">
        <f t="shared" si="22"/>
        <v>2120.73732394366</v>
      </c>
      <c r="BE36" s="274">
        <f t="shared" si="23"/>
        <v>0.235184737939634</v>
      </c>
      <c r="BF36" s="280"/>
      <c r="BG36" s="280"/>
      <c r="BH36" s="280"/>
    </row>
    <row r="37" ht="23.1" customHeight="1" spans="1:60">
      <c r="A37" s="285" t="s">
        <v>160</v>
      </c>
      <c r="B37" s="286" t="s">
        <v>161</v>
      </c>
      <c r="C37" s="243">
        <v>419</v>
      </c>
      <c r="D37" s="244">
        <v>402</v>
      </c>
      <c r="E37" s="247">
        <v>9316.53</v>
      </c>
      <c r="F37" s="246">
        <v>56</v>
      </c>
      <c r="G37" s="246">
        <v>55</v>
      </c>
      <c r="H37" s="247">
        <v>1311.09</v>
      </c>
      <c r="I37" s="247">
        <v>158.54</v>
      </c>
      <c r="J37" s="276">
        <v>21</v>
      </c>
      <c r="K37" s="249">
        <f t="shared" si="0"/>
        <v>0.0501193317422434</v>
      </c>
      <c r="L37" s="250">
        <v>426.53</v>
      </c>
      <c r="M37" s="251">
        <f t="shared" si="1"/>
        <v>0.0397022332506203</v>
      </c>
      <c r="N37" s="249">
        <f t="shared" si="2"/>
        <v>0.0606860158311346</v>
      </c>
      <c r="O37" s="249">
        <f t="shared" si="3"/>
        <v>-0.0478850986551988</v>
      </c>
      <c r="P37" s="252">
        <f t="shared" si="4"/>
        <v>1.04228855721393</v>
      </c>
      <c r="Q37" s="281">
        <f t="shared" si="5"/>
        <v>23.175447761194</v>
      </c>
      <c r="R37" s="281">
        <f t="shared" si="6"/>
        <v>22.2351551312649</v>
      </c>
      <c r="S37" s="281">
        <f t="shared" si="7"/>
        <v>59.8571428571429</v>
      </c>
      <c r="T37" s="254">
        <f t="shared" si="8"/>
        <v>139</v>
      </c>
      <c r="U37" s="255">
        <f t="shared" si="9"/>
        <v>0.345771144278607</v>
      </c>
      <c r="V37" s="256">
        <f t="shared" si="10"/>
        <v>0.301748527788303</v>
      </c>
      <c r="W37" s="244">
        <v>254466</v>
      </c>
      <c r="X37" s="244">
        <v>2593</v>
      </c>
      <c r="Y37" s="244">
        <v>263</v>
      </c>
      <c r="Z37" s="257">
        <v>2763.41</v>
      </c>
      <c r="AA37" s="277">
        <v>5980.15</v>
      </c>
      <c r="AB37" s="244">
        <v>1.07</v>
      </c>
      <c r="AC37" s="259">
        <f t="shared" si="11"/>
        <v>0.462097104587678</v>
      </c>
      <c r="AD37" s="260">
        <f t="shared" ref="AD37:AF37" si="56">X37/W37</f>
        <v>0.0101899664395243</v>
      </c>
      <c r="AE37" s="260">
        <f t="shared" si="56"/>
        <v>0.101426918627073</v>
      </c>
      <c r="AF37" s="253">
        <f t="shared" si="56"/>
        <v>10.5072623574144</v>
      </c>
      <c r="AG37" s="261">
        <v>119</v>
      </c>
      <c r="AH37" s="254">
        <v>144</v>
      </c>
      <c r="AI37" s="262">
        <v>156</v>
      </c>
      <c r="AJ37" s="263">
        <f>AG37*产品成本!$D$2+AH37*产品成本!$D$3+AI37*产品成本!$D$4</f>
        <v>1071.97183098592</v>
      </c>
      <c r="AK37" s="263">
        <f>AG37*产品成本!$E$2+AH37*产品成本!$E$3+AI37*产品成本!$E$4</f>
        <v>81.1810183098591</v>
      </c>
      <c r="AL37" s="263">
        <f>AG37*产品成本!$F$2+AH37*产品成本!$F$3+AI37*产品成本!$F$4</f>
        <v>142.46</v>
      </c>
      <c r="AM37" s="263">
        <f>AG37*产品成本!$G$2+AH37*产品成本!$G$3+AI37*产品成本!$G$4</f>
        <v>1609.11</v>
      </c>
      <c r="AN37" s="263">
        <f t="shared" si="13"/>
        <v>1373.6985</v>
      </c>
      <c r="AO37" s="264">
        <f t="shared" si="14"/>
        <v>4278.42134929578</v>
      </c>
      <c r="AP37" s="265">
        <v>7</v>
      </c>
      <c r="AQ37" s="265">
        <v>7</v>
      </c>
      <c r="AR37" s="266">
        <v>7</v>
      </c>
      <c r="AS37" s="267">
        <f t="shared" si="15"/>
        <v>484.693181818182</v>
      </c>
      <c r="AT37" s="267">
        <f>AP37*产品成本!$D$2+AQ37*产品成本!$D$3+AR37*产品成本!$D$4</f>
        <v>52.7464788732395</v>
      </c>
      <c r="AU37" s="271">
        <f>AP37*产品成本!$E$2+AQ37*产品成本!$E$3+AR37*产品成本!$E$4</f>
        <v>4.03478028169014</v>
      </c>
      <c r="AV37" s="270">
        <f>AP37*产品成本!$F$2+AQ37*产品成本!$F$3+AR37*产品成本!$F$4</f>
        <v>7.14</v>
      </c>
      <c r="AW37" s="269"/>
      <c r="AX37" s="270">
        <f t="shared" si="16"/>
        <v>72.7039772727273</v>
      </c>
      <c r="AY37" s="269">
        <f t="shared" si="17"/>
        <v>-14.5407954545455</v>
      </c>
      <c r="AZ37" s="271">
        <f t="shared" si="18"/>
        <v>122.084440973111</v>
      </c>
      <c r="BA37" s="272">
        <f t="shared" si="19"/>
        <v>4156.33690832266</v>
      </c>
      <c r="BB37" s="272">
        <f t="shared" si="20"/>
        <v>9157.99</v>
      </c>
      <c r="BC37" s="272">
        <f t="shared" si="21"/>
        <v>8673.29681818182</v>
      </c>
      <c r="BD37" s="273">
        <f t="shared" si="22"/>
        <v>1753.54990985915</v>
      </c>
      <c r="BE37" s="274">
        <f t="shared" si="23"/>
        <v>0.202178012192917</v>
      </c>
      <c r="BF37" s="278"/>
      <c r="BG37" s="278"/>
      <c r="BH37" s="278"/>
    </row>
    <row r="38" ht="23.1" customHeight="1" spans="1:60">
      <c r="A38" s="285" t="s">
        <v>162</v>
      </c>
      <c r="B38" s="286" t="s">
        <v>163</v>
      </c>
      <c r="C38" s="243">
        <v>392</v>
      </c>
      <c r="D38" s="244">
        <v>375</v>
      </c>
      <c r="E38" s="247">
        <v>8810.43</v>
      </c>
      <c r="F38" s="246">
        <v>19</v>
      </c>
      <c r="G38" s="246">
        <v>16</v>
      </c>
      <c r="H38" s="247">
        <v>425.76</v>
      </c>
      <c r="I38" s="247">
        <v>36.29</v>
      </c>
      <c r="J38" s="276">
        <v>25</v>
      </c>
      <c r="K38" s="249">
        <f t="shared" si="0"/>
        <v>0.0637755102040816</v>
      </c>
      <c r="L38" s="250">
        <v>431.32</v>
      </c>
      <c r="M38" s="251">
        <f t="shared" si="1"/>
        <v>-0.0644391408114559</v>
      </c>
      <c r="N38" s="249">
        <f t="shared" si="2"/>
        <v>-0.0671641791044776</v>
      </c>
      <c r="O38" s="249">
        <f t="shared" si="3"/>
        <v>-0.0543228004417954</v>
      </c>
      <c r="P38" s="252">
        <f t="shared" si="4"/>
        <v>1.04533333333333</v>
      </c>
      <c r="Q38" s="281">
        <f t="shared" si="5"/>
        <v>23.49448</v>
      </c>
      <c r="R38" s="281">
        <f t="shared" si="6"/>
        <v>22.4755867346939</v>
      </c>
      <c r="S38" s="281">
        <f t="shared" si="7"/>
        <v>56</v>
      </c>
      <c r="T38" s="254">
        <f t="shared" si="8"/>
        <v>90</v>
      </c>
      <c r="U38" s="255">
        <f t="shared" si="9"/>
        <v>0.24</v>
      </c>
      <c r="V38" s="256">
        <f t="shared" si="10"/>
        <v>0.329487562313799</v>
      </c>
      <c r="W38" s="244">
        <v>231377</v>
      </c>
      <c r="X38" s="244">
        <v>2629</v>
      </c>
      <c r="Y38" s="244">
        <v>285</v>
      </c>
      <c r="Z38" s="257">
        <v>2890.97</v>
      </c>
      <c r="AA38" s="277">
        <v>6529.11</v>
      </c>
      <c r="AB38" s="244">
        <v>1.1</v>
      </c>
      <c r="AC38" s="259">
        <f t="shared" si="11"/>
        <v>0.442781634862945</v>
      </c>
      <c r="AD38" s="260">
        <f t="shared" ref="AD38:AF38" si="57">X38/W38</f>
        <v>0.0113624085367171</v>
      </c>
      <c r="AE38" s="260">
        <f t="shared" si="57"/>
        <v>0.108406238113351</v>
      </c>
      <c r="AF38" s="253">
        <f t="shared" si="57"/>
        <v>10.1437543859649</v>
      </c>
      <c r="AG38" s="261">
        <v>106</v>
      </c>
      <c r="AH38" s="254">
        <v>129</v>
      </c>
      <c r="AI38" s="262">
        <v>157</v>
      </c>
      <c r="AJ38" s="263">
        <f>AG38*产品成本!$D$2+AH38*产品成本!$D$3+AI38*产品成本!$D$4</f>
        <v>1016.12676056338</v>
      </c>
      <c r="AK38" s="263">
        <f>AG38*产品成本!$E$2+AH38*产品成本!$E$3+AI38*产品成本!$E$4</f>
        <v>76.2422746478873</v>
      </c>
      <c r="AL38" s="263">
        <f>AG38*产品成本!$F$2+AH38*产品成本!$F$3+AI38*产品成本!$F$4</f>
        <v>133.28</v>
      </c>
      <c r="AM38" s="263">
        <f>AG38*产品成本!$G$2+AH38*产品成本!$G$3+AI38*产品成本!$G$4</f>
        <v>1506.54</v>
      </c>
      <c r="AN38" s="263">
        <f t="shared" si="13"/>
        <v>1316.121</v>
      </c>
      <c r="AO38" s="264">
        <f t="shared" si="14"/>
        <v>4048.31003521127</v>
      </c>
      <c r="AP38" s="265">
        <v>4</v>
      </c>
      <c r="AQ38" s="265">
        <v>8</v>
      </c>
      <c r="AR38" s="266">
        <v>13</v>
      </c>
      <c r="AS38" s="267">
        <f t="shared" si="15"/>
        <v>490.136363636364</v>
      </c>
      <c r="AT38" s="267">
        <f>AP38*产品成本!$D$2+AQ38*产品成本!$D$3+AR38*产品成本!$D$4</f>
        <v>68.3802816901409</v>
      </c>
      <c r="AU38" s="271">
        <f>AP38*产品成本!$E$2+AQ38*产品成本!$E$3+AR38*产品成本!$E$4</f>
        <v>4.96674929577464</v>
      </c>
      <c r="AV38" s="270">
        <f>AP38*产品成本!$F$2+AQ38*产品成本!$F$3+AR38*产品成本!$F$4</f>
        <v>8.5</v>
      </c>
      <c r="AW38" s="269"/>
      <c r="AX38" s="270">
        <f t="shared" si="16"/>
        <v>73.5204545454545</v>
      </c>
      <c r="AY38" s="269">
        <f t="shared" si="17"/>
        <v>-14.7040909090909</v>
      </c>
      <c r="AZ38" s="271">
        <f t="shared" si="18"/>
        <v>140.663394622279</v>
      </c>
      <c r="BA38" s="272">
        <f t="shared" si="19"/>
        <v>3907.64664058899</v>
      </c>
      <c r="BB38" s="272">
        <f t="shared" si="20"/>
        <v>8774.14</v>
      </c>
      <c r="BC38" s="272">
        <f t="shared" si="21"/>
        <v>8284.00363636364</v>
      </c>
      <c r="BD38" s="273">
        <f t="shared" si="22"/>
        <v>1485.38699577465</v>
      </c>
      <c r="BE38" s="274">
        <f t="shared" si="23"/>
        <v>0.179307863803241</v>
      </c>
      <c r="BF38" s="280"/>
      <c r="BG38" s="280" t="s">
        <v>164</v>
      </c>
      <c r="BH38" s="280"/>
    </row>
    <row r="39" ht="23.1" customHeight="1" spans="1:60">
      <c r="A39" s="285" t="s">
        <v>165</v>
      </c>
      <c r="B39" s="285" t="s">
        <v>166</v>
      </c>
      <c r="C39" s="243">
        <v>542</v>
      </c>
      <c r="D39" s="244">
        <v>508</v>
      </c>
      <c r="E39" s="247">
        <v>10601.36</v>
      </c>
      <c r="F39" s="246">
        <v>0</v>
      </c>
      <c r="G39" s="246">
        <v>0</v>
      </c>
      <c r="H39" s="247">
        <v>0</v>
      </c>
      <c r="I39" s="247">
        <v>0</v>
      </c>
      <c r="J39" s="276">
        <v>30</v>
      </c>
      <c r="K39" s="249">
        <f t="shared" si="0"/>
        <v>0.0553505535055351</v>
      </c>
      <c r="L39" s="250">
        <v>594.68</v>
      </c>
      <c r="M39" s="251">
        <f t="shared" si="1"/>
        <v>0.38265306122449</v>
      </c>
      <c r="N39" s="249">
        <f t="shared" si="2"/>
        <v>0.354666666666667</v>
      </c>
      <c r="O39" s="249">
        <f t="shared" si="3"/>
        <v>0.203273847019953</v>
      </c>
      <c r="P39" s="252">
        <f t="shared" si="4"/>
        <v>1.06692913385827</v>
      </c>
      <c r="Q39" s="281">
        <f t="shared" si="5"/>
        <v>20.8688188976378</v>
      </c>
      <c r="R39" s="281">
        <f t="shared" si="6"/>
        <v>19.559704797048</v>
      </c>
      <c r="S39" s="281">
        <f>C39/4</f>
        <v>135.5</v>
      </c>
      <c r="T39" s="254">
        <f t="shared" si="8"/>
        <v>211</v>
      </c>
      <c r="U39" s="255">
        <f t="shared" si="9"/>
        <v>0.415354330708661</v>
      </c>
      <c r="V39" s="256">
        <f t="shared" si="10"/>
        <v>0.258195174958684</v>
      </c>
      <c r="W39" s="244">
        <v>226717</v>
      </c>
      <c r="X39" s="244">
        <v>2425</v>
      </c>
      <c r="Y39" s="244">
        <v>297</v>
      </c>
      <c r="Z39" s="257">
        <v>2737.22</v>
      </c>
      <c r="AA39" s="277">
        <v>6015.47</v>
      </c>
      <c r="AB39" s="244">
        <v>1.13</v>
      </c>
      <c r="AC39" s="259">
        <f t="shared" si="11"/>
        <v>0.455030114022678</v>
      </c>
      <c r="AD39" s="260">
        <f t="shared" ref="AD39:AF39" si="58">X39/W39</f>
        <v>0.0106961542363387</v>
      </c>
      <c r="AE39" s="260">
        <f t="shared" si="58"/>
        <v>0.122474226804124</v>
      </c>
      <c r="AF39" s="253">
        <f t="shared" si="58"/>
        <v>9.21622895622895</v>
      </c>
      <c r="AG39" s="261">
        <v>143</v>
      </c>
      <c r="AH39" s="254">
        <v>187</v>
      </c>
      <c r="AI39" s="262">
        <v>212</v>
      </c>
      <c r="AJ39" s="263">
        <f>AG39*产品成本!$D$2+AH39*产品成本!$D$3+AI39*产品成本!$D$4</f>
        <v>1398.87323943662</v>
      </c>
      <c r="AK39" s="263">
        <f>AG39*产品成本!$E$2+AH39*产品成本!$E$3+AI39*产品成本!$E$4</f>
        <v>105.397563380282</v>
      </c>
      <c r="AL39" s="263">
        <f>AG39*产品成本!$F$2+AH39*产品成本!$F$3+AI39*产品成本!$F$4</f>
        <v>184.28</v>
      </c>
      <c r="AM39" s="263">
        <f>AG39*产品成本!$G$2+AH39*产品成本!$G$3+AI39*产品成本!$G$4</f>
        <v>2083.77</v>
      </c>
      <c r="AN39" s="263">
        <f t="shared" si="13"/>
        <v>1590.204</v>
      </c>
      <c r="AO39" s="264">
        <f t="shared" si="14"/>
        <v>5362.5248028169</v>
      </c>
      <c r="AP39" s="265">
        <v>6</v>
      </c>
      <c r="AQ39" s="265">
        <v>13</v>
      </c>
      <c r="AR39" s="266">
        <v>4</v>
      </c>
      <c r="AS39" s="267">
        <f t="shared" si="15"/>
        <v>675.772727272727</v>
      </c>
      <c r="AT39" s="267">
        <f>AP39*产品成本!$D$2+AQ39*产品成本!$D$3+AR39*产品成本!$D$4</f>
        <v>53.3802816901409</v>
      </c>
      <c r="AU39" s="271">
        <f>AP39*产品成本!$E$2+AQ39*产品成本!$E$3+AR39*产品成本!$E$4</f>
        <v>4.38791408450704</v>
      </c>
      <c r="AV39" s="270">
        <f>AP39*产品成本!$F$2+AQ39*产品成本!$F$3+AR39*产品成本!$F$4</f>
        <v>7.82</v>
      </c>
      <c r="AW39" s="269"/>
      <c r="AX39" s="270">
        <f t="shared" si="16"/>
        <v>101.365909090909</v>
      </c>
      <c r="AY39" s="269">
        <f t="shared" si="17"/>
        <v>-20.2731818181818</v>
      </c>
      <c r="AZ39" s="271">
        <f t="shared" si="18"/>
        <v>146.680923047375</v>
      </c>
      <c r="BA39" s="272">
        <f t="shared" si="19"/>
        <v>5215.84387976953</v>
      </c>
      <c r="BB39" s="272">
        <f t="shared" si="20"/>
        <v>10601.36</v>
      </c>
      <c r="BC39" s="272">
        <f t="shared" si="21"/>
        <v>9925.58727272727</v>
      </c>
      <c r="BD39" s="273">
        <f t="shared" si="22"/>
        <v>1972.52339295775</v>
      </c>
      <c r="BE39" s="274">
        <f t="shared" si="23"/>
        <v>0.198731151997191</v>
      </c>
      <c r="BF39" s="278"/>
      <c r="BG39" s="278"/>
      <c r="BH39" s="278"/>
    </row>
    <row r="40" ht="23.1" customHeight="1" spans="1:60">
      <c r="A40" s="285" t="s">
        <v>167</v>
      </c>
      <c r="B40" s="285" t="s">
        <v>168</v>
      </c>
      <c r="C40" s="243">
        <v>735</v>
      </c>
      <c r="D40" s="244">
        <v>694</v>
      </c>
      <c r="E40" s="247">
        <v>14720.75</v>
      </c>
      <c r="F40" s="246">
        <v>0</v>
      </c>
      <c r="G40" s="246">
        <v>0</v>
      </c>
      <c r="H40" s="247">
        <v>0</v>
      </c>
      <c r="I40" s="247">
        <v>0</v>
      </c>
      <c r="J40" s="276">
        <v>43</v>
      </c>
      <c r="K40" s="249">
        <f t="shared" si="0"/>
        <v>0.0585034013605442</v>
      </c>
      <c r="L40" s="250">
        <v>855.49</v>
      </c>
      <c r="M40" s="251">
        <f t="shared" si="1"/>
        <v>0.356088560885609</v>
      </c>
      <c r="N40" s="249">
        <f t="shared" si="2"/>
        <v>0.366141732283465</v>
      </c>
      <c r="O40" s="249">
        <f t="shared" si="3"/>
        <v>0.388571843612518</v>
      </c>
      <c r="P40" s="252">
        <f t="shared" si="4"/>
        <v>1.05907780979827</v>
      </c>
      <c r="Q40" s="281">
        <f t="shared" si="5"/>
        <v>21.2114553314121</v>
      </c>
      <c r="R40" s="281">
        <f t="shared" si="6"/>
        <v>20.028231292517</v>
      </c>
      <c r="S40" s="281">
        <f t="shared" ref="S40:S78" si="59">C40/7</f>
        <v>105</v>
      </c>
      <c r="T40" s="254">
        <f t="shared" si="8"/>
        <v>229</v>
      </c>
      <c r="U40" s="255">
        <f t="shared" si="9"/>
        <v>0.329971181556196</v>
      </c>
      <c r="V40" s="256">
        <f t="shared" si="10"/>
        <v>0.274893602567804</v>
      </c>
      <c r="W40" s="244">
        <v>331218</v>
      </c>
      <c r="X40" s="244">
        <v>3643</v>
      </c>
      <c r="Y40" s="244">
        <v>465</v>
      </c>
      <c r="Z40" s="257">
        <v>4046.64</v>
      </c>
      <c r="AA40" s="277">
        <v>9606.34</v>
      </c>
      <c r="AB40" s="244">
        <v>1.11</v>
      </c>
      <c r="AC40" s="259">
        <f t="shared" si="11"/>
        <v>0.421246801591449</v>
      </c>
      <c r="AD40" s="260">
        <f t="shared" ref="AD40:AF40" si="60">X40/W40</f>
        <v>0.0109987983744845</v>
      </c>
      <c r="AE40" s="260">
        <f t="shared" si="60"/>
        <v>0.127642053252814</v>
      </c>
      <c r="AF40" s="253">
        <f t="shared" si="60"/>
        <v>8.70245161290322</v>
      </c>
      <c r="AG40" s="261">
        <v>197</v>
      </c>
      <c r="AH40" s="254">
        <v>261</v>
      </c>
      <c r="AI40" s="262">
        <v>277</v>
      </c>
      <c r="AJ40" s="263">
        <f>AG40*产品成本!$D$2+AH40*产品成本!$D$3+AI40*产品成本!$D$4</f>
        <v>1884.43661971831</v>
      </c>
      <c r="AK40" s="263">
        <f>AG40*产品成本!$E$2+AH40*产品成本!$E$3+AI40*产品成本!$E$4</f>
        <v>142.688814084507</v>
      </c>
      <c r="AL40" s="263">
        <f>AG40*产品成本!$F$2+AH40*产品成本!$F$3+AI40*产品成本!$F$4</f>
        <v>249.9</v>
      </c>
      <c r="AM40" s="263">
        <f>AG40*产品成本!$G$2+AH40*产品成本!$G$3+AI40*产品成本!$G$4</f>
        <v>2825.13</v>
      </c>
      <c r="AN40" s="263">
        <f t="shared" si="13"/>
        <v>2208.1125</v>
      </c>
      <c r="AO40" s="264">
        <f t="shared" si="14"/>
        <v>7310.26793380282</v>
      </c>
      <c r="AP40" s="265">
        <v>10</v>
      </c>
      <c r="AQ40" s="265">
        <v>17</v>
      </c>
      <c r="AR40" s="266">
        <v>16</v>
      </c>
      <c r="AS40" s="267">
        <f t="shared" si="15"/>
        <v>972.147727272727</v>
      </c>
      <c r="AT40" s="267">
        <f>AP40*产品成本!$D$2+AQ40*产品成本!$D$3+AR40*产品成本!$D$4</f>
        <v>110</v>
      </c>
      <c r="AU40" s="271">
        <f>AP40*产品成本!$E$2+AQ40*产品成本!$E$3+AR40*产品成本!$E$4</f>
        <v>8.3735028169014</v>
      </c>
      <c r="AV40" s="270">
        <f>AP40*产品成本!$F$2+AQ40*产品成本!$F$3+AR40*产品成本!$F$4</f>
        <v>14.62</v>
      </c>
      <c r="AW40" s="269"/>
      <c r="AX40" s="270">
        <f t="shared" si="16"/>
        <v>145.822159090909</v>
      </c>
      <c r="AY40" s="269">
        <f t="shared" si="17"/>
        <v>-29.1644318181818</v>
      </c>
      <c r="AZ40" s="271">
        <f t="shared" si="18"/>
        <v>249.651230089629</v>
      </c>
      <c r="BA40" s="272">
        <f t="shared" si="19"/>
        <v>7060.61670371319</v>
      </c>
      <c r="BB40" s="272">
        <f t="shared" si="20"/>
        <v>14720.75</v>
      </c>
      <c r="BC40" s="272">
        <f t="shared" si="21"/>
        <v>13748.6022727273</v>
      </c>
      <c r="BD40" s="273">
        <f t="shared" si="22"/>
        <v>2641.34556901408</v>
      </c>
      <c r="BE40" s="274">
        <f t="shared" si="23"/>
        <v>0.192117388852949</v>
      </c>
      <c r="BF40" s="280"/>
      <c r="BG40" s="280"/>
      <c r="BH40" s="280"/>
    </row>
    <row r="41" ht="23.1" customHeight="1" spans="1:60">
      <c r="A41" s="285" t="s">
        <v>169</v>
      </c>
      <c r="B41" s="285" t="s">
        <v>170</v>
      </c>
      <c r="C41" s="243">
        <v>425</v>
      </c>
      <c r="D41" s="244">
        <v>403</v>
      </c>
      <c r="E41" s="247">
        <v>10003.3</v>
      </c>
      <c r="F41" s="246">
        <v>31</v>
      </c>
      <c r="G41" s="246">
        <v>30</v>
      </c>
      <c r="H41" s="247">
        <v>768.09</v>
      </c>
      <c r="I41" s="247">
        <v>69.56</v>
      </c>
      <c r="J41" s="276">
        <v>41</v>
      </c>
      <c r="K41" s="249">
        <f t="shared" si="0"/>
        <v>0.0964705882352941</v>
      </c>
      <c r="L41" s="250">
        <v>753.49</v>
      </c>
      <c r="M41" s="251">
        <f t="shared" si="1"/>
        <v>-0.421768707482993</v>
      </c>
      <c r="N41" s="249">
        <f t="shared" si="2"/>
        <v>-0.419308357348703</v>
      </c>
      <c r="O41" s="249">
        <f t="shared" si="3"/>
        <v>-0.320462612298966</v>
      </c>
      <c r="P41" s="252">
        <f t="shared" si="4"/>
        <v>1.0545905707196</v>
      </c>
      <c r="Q41" s="281">
        <f t="shared" si="5"/>
        <v>24.8220843672457</v>
      </c>
      <c r="R41" s="281">
        <f t="shared" si="6"/>
        <v>23.5371764705882</v>
      </c>
      <c r="S41" s="281">
        <f t="shared" si="59"/>
        <v>60.7142857142857</v>
      </c>
      <c r="T41" s="254">
        <f t="shared" si="8"/>
        <v>152</v>
      </c>
      <c r="U41" s="255">
        <f t="shared" si="9"/>
        <v>0.377171215880893</v>
      </c>
      <c r="V41" s="256">
        <f t="shared" si="10"/>
        <v>0.243525600629773</v>
      </c>
      <c r="W41" s="244">
        <v>199964</v>
      </c>
      <c r="X41" s="244">
        <v>2365</v>
      </c>
      <c r="Y41" s="244">
        <v>251</v>
      </c>
      <c r="Z41" s="257">
        <v>2419.12</v>
      </c>
      <c r="AA41" s="277">
        <v>6289.86</v>
      </c>
      <c r="AB41" s="279" t="s">
        <v>171</v>
      </c>
      <c r="AC41" s="259">
        <f t="shared" si="11"/>
        <v>0.384606334640199</v>
      </c>
      <c r="AD41" s="260">
        <f t="shared" ref="AD41:AF41" si="61">X41/W41</f>
        <v>0.011827128883199</v>
      </c>
      <c r="AE41" s="260">
        <f t="shared" si="61"/>
        <v>0.106131078224101</v>
      </c>
      <c r="AF41" s="253">
        <f t="shared" si="61"/>
        <v>9.63792828685259</v>
      </c>
      <c r="AG41" s="261">
        <v>112</v>
      </c>
      <c r="AH41" s="254">
        <v>184</v>
      </c>
      <c r="AI41" s="262">
        <v>129</v>
      </c>
      <c r="AJ41" s="263">
        <f>AG41*产品成本!$D$2+AH41*产品成本!$D$3+AI41*产品成本!$D$4</f>
        <v>1052.32394366197</v>
      </c>
      <c r="AK41" s="263">
        <f>AG41*产品成本!$E$2+AH41*产品成本!$E$3+AI41*产品成本!$E$4</f>
        <v>82.0073746478872</v>
      </c>
      <c r="AL41" s="263">
        <f>AG41*产品成本!$F$2+AH41*产品成本!$F$3+AI41*产品成本!$F$4</f>
        <v>144.5</v>
      </c>
      <c r="AM41" s="263">
        <f>AG41*产品成本!$G$2+AH41*产品成本!$G$3+AI41*产品成本!$G$4</f>
        <v>1633.98</v>
      </c>
      <c r="AN41" s="263">
        <f t="shared" si="13"/>
        <v>1490.061</v>
      </c>
      <c r="AO41" s="264">
        <f t="shared" si="14"/>
        <v>4402.87231830986</v>
      </c>
      <c r="AP41" s="265">
        <v>15</v>
      </c>
      <c r="AQ41" s="265">
        <v>10</v>
      </c>
      <c r="AR41" s="266">
        <v>16</v>
      </c>
      <c r="AS41" s="267">
        <f t="shared" si="15"/>
        <v>856.238636363636</v>
      </c>
      <c r="AT41" s="267">
        <f>AP41*产品成本!$D$2+AQ41*产品成本!$D$3+AR41*产品成本!$D$4</f>
        <v>105.774647887324</v>
      </c>
      <c r="AU41" s="271">
        <f>AP41*产品成本!$E$2+AQ41*产品成本!$E$3+AR41*产品成本!$E$4</f>
        <v>7.89200704225351</v>
      </c>
      <c r="AV41" s="270">
        <f>AP41*产品成本!$F$2+AQ41*产品成本!$F$3+AR41*产品成本!$F$4</f>
        <v>13.94</v>
      </c>
      <c r="AW41" s="269"/>
      <c r="AX41" s="270">
        <f t="shared" si="16"/>
        <v>128.435795454545</v>
      </c>
      <c r="AY41" s="269">
        <f t="shared" si="17"/>
        <v>-25.6871590909091</v>
      </c>
      <c r="AZ41" s="271">
        <f t="shared" si="18"/>
        <v>230.355291293214</v>
      </c>
      <c r="BA41" s="272">
        <f t="shared" si="19"/>
        <v>4172.51702701665</v>
      </c>
      <c r="BB41" s="272">
        <f t="shared" si="20"/>
        <v>9933.74</v>
      </c>
      <c r="BC41" s="272">
        <f t="shared" si="21"/>
        <v>9077.50136363636</v>
      </c>
      <c r="BD41" s="273">
        <f t="shared" si="22"/>
        <v>2485.86433661972</v>
      </c>
      <c r="BE41" s="274">
        <f t="shared" si="23"/>
        <v>0.273848963171502</v>
      </c>
      <c r="BF41" s="278"/>
      <c r="BG41" s="278"/>
      <c r="BH41" s="278"/>
    </row>
    <row r="42" ht="23.1" customHeight="1" spans="1:60">
      <c r="A42" s="285" t="s">
        <v>172</v>
      </c>
      <c r="B42" s="285" t="s">
        <v>173</v>
      </c>
      <c r="C42" s="243">
        <v>383</v>
      </c>
      <c r="D42" s="244">
        <v>366</v>
      </c>
      <c r="E42" s="247">
        <v>9301.87</v>
      </c>
      <c r="F42" s="246">
        <v>44</v>
      </c>
      <c r="G42" s="246">
        <v>38</v>
      </c>
      <c r="H42" s="247">
        <v>1056.86</v>
      </c>
      <c r="I42" s="247">
        <v>87.45</v>
      </c>
      <c r="J42" s="276">
        <v>40</v>
      </c>
      <c r="K42" s="249">
        <f t="shared" si="0"/>
        <v>0.10443864229765</v>
      </c>
      <c r="L42" s="250">
        <v>720.26</v>
      </c>
      <c r="M42" s="251">
        <f t="shared" si="1"/>
        <v>-0.0988235294117647</v>
      </c>
      <c r="N42" s="249">
        <f t="shared" si="2"/>
        <v>-0.0918114143920596</v>
      </c>
      <c r="O42" s="249">
        <f t="shared" si="3"/>
        <v>-0.0701198604460527</v>
      </c>
      <c r="P42" s="252">
        <f t="shared" si="4"/>
        <v>1.04644808743169</v>
      </c>
      <c r="Q42" s="281">
        <f t="shared" si="5"/>
        <v>25.4149453551913</v>
      </c>
      <c r="R42" s="281">
        <f t="shared" si="6"/>
        <v>24.2868668407311</v>
      </c>
      <c r="S42" s="281">
        <f t="shared" si="59"/>
        <v>54.7142857142857</v>
      </c>
      <c r="T42" s="254">
        <f t="shared" si="8"/>
        <v>135</v>
      </c>
      <c r="U42" s="255">
        <f t="shared" si="9"/>
        <v>0.368852459016393</v>
      </c>
      <c r="V42" s="256">
        <f t="shared" si="10"/>
        <v>0.252856935108233</v>
      </c>
      <c r="W42" s="244">
        <v>200165</v>
      </c>
      <c r="X42" s="244">
        <v>2315</v>
      </c>
      <c r="Y42" s="244">
        <v>231</v>
      </c>
      <c r="Z42" s="257">
        <v>2329.93</v>
      </c>
      <c r="AA42" s="277">
        <v>5705.61</v>
      </c>
      <c r="AB42" s="244">
        <v>1.01</v>
      </c>
      <c r="AC42" s="259">
        <f t="shared" si="11"/>
        <v>0.408357739137445</v>
      </c>
      <c r="AD42" s="260">
        <f t="shared" ref="AD42:AF42" si="62">X42/W42</f>
        <v>0.0115654584967402</v>
      </c>
      <c r="AE42" s="260">
        <f t="shared" si="62"/>
        <v>0.0997840172786177</v>
      </c>
      <c r="AF42" s="253">
        <f t="shared" si="62"/>
        <v>10.0862770562771</v>
      </c>
      <c r="AG42" s="261">
        <v>110</v>
      </c>
      <c r="AH42" s="254">
        <v>185</v>
      </c>
      <c r="AI42" s="262">
        <v>88</v>
      </c>
      <c r="AJ42" s="263">
        <f>AG42*产品成本!$D$2+AH42*产品成本!$D$3+AI42*产品成本!$D$4</f>
        <v>914.507042253522</v>
      </c>
      <c r="AK42" s="263">
        <f>AG42*产品成本!$E$2+AH42*产品成本!$E$3+AI42*产品成本!$E$4</f>
        <v>73.2429507042253</v>
      </c>
      <c r="AL42" s="263">
        <f>AG42*产品成本!$F$2+AH42*产品成本!$F$3+AI42*产品成本!$F$4</f>
        <v>130.22</v>
      </c>
      <c r="AM42" s="263">
        <f>AG42*产品成本!$G$2+AH42*产品成本!$G$3+AI42*产品成本!$G$4</f>
        <v>1470.6</v>
      </c>
      <c r="AN42" s="263">
        <f t="shared" si="13"/>
        <v>1382.163</v>
      </c>
      <c r="AO42" s="264">
        <f t="shared" si="14"/>
        <v>3970.73299295775</v>
      </c>
      <c r="AP42" s="265">
        <v>10</v>
      </c>
      <c r="AQ42" s="265">
        <v>11</v>
      </c>
      <c r="AR42" s="266">
        <v>19</v>
      </c>
      <c r="AS42" s="267">
        <f t="shared" si="15"/>
        <v>818.477272727273</v>
      </c>
      <c r="AT42" s="267">
        <f>AP42*产品成本!$D$2+AQ42*产品成本!$D$3+AR42*产品成本!$D$4</f>
        <v>107.253521126761</v>
      </c>
      <c r="AU42" s="271">
        <f>AP42*产品成本!$E$2+AQ42*产品成本!$E$3+AR42*产品成本!$E$4</f>
        <v>7.84676197183098</v>
      </c>
      <c r="AV42" s="270">
        <f>AP42*产品成本!$F$2+AQ42*产品成本!$F$3+AR42*产品成本!$F$4</f>
        <v>13.6</v>
      </c>
      <c r="AW42" s="269"/>
      <c r="AX42" s="270">
        <f t="shared" si="16"/>
        <v>122.771590909091</v>
      </c>
      <c r="AY42" s="269">
        <f t="shared" si="17"/>
        <v>-24.5543181818182</v>
      </c>
      <c r="AZ42" s="271">
        <f t="shared" si="18"/>
        <v>226.917555825864</v>
      </c>
      <c r="BA42" s="272">
        <f t="shared" si="19"/>
        <v>3743.81543713188</v>
      </c>
      <c r="BB42" s="272">
        <f t="shared" si="20"/>
        <v>9214.42</v>
      </c>
      <c r="BC42" s="272">
        <f t="shared" si="21"/>
        <v>8395.94272727273</v>
      </c>
      <c r="BD42" s="273">
        <f t="shared" si="22"/>
        <v>2322.19729014084</v>
      </c>
      <c r="BE42" s="274">
        <f t="shared" si="23"/>
        <v>0.276585651614511</v>
      </c>
      <c r="BF42" s="280"/>
      <c r="BG42" s="280" t="s">
        <v>174</v>
      </c>
      <c r="BH42" s="280"/>
    </row>
    <row r="43" ht="23.1" customHeight="1" spans="1:60">
      <c r="A43" s="285" t="s">
        <v>175</v>
      </c>
      <c r="B43" s="285" t="s">
        <v>176</v>
      </c>
      <c r="C43" s="243">
        <v>434</v>
      </c>
      <c r="D43" s="244">
        <v>403</v>
      </c>
      <c r="E43" s="247">
        <v>10601.18</v>
      </c>
      <c r="F43" s="246">
        <v>44</v>
      </c>
      <c r="G43" s="246">
        <v>43</v>
      </c>
      <c r="H43" s="247">
        <v>1076.26</v>
      </c>
      <c r="I43" s="247">
        <v>98.94</v>
      </c>
      <c r="J43" s="276">
        <v>40</v>
      </c>
      <c r="K43" s="249">
        <f t="shared" si="0"/>
        <v>0.0921658986175115</v>
      </c>
      <c r="L43" s="250">
        <v>675.08</v>
      </c>
      <c r="M43" s="251">
        <f t="shared" si="1"/>
        <v>0.133159268929504</v>
      </c>
      <c r="N43" s="249">
        <f t="shared" si="2"/>
        <v>0.101092896174863</v>
      </c>
      <c r="O43" s="249">
        <f t="shared" si="3"/>
        <v>0.139682665958565</v>
      </c>
      <c r="P43" s="252">
        <f t="shared" si="4"/>
        <v>1.07692307692308</v>
      </c>
      <c r="Q43" s="281">
        <f t="shared" si="5"/>
        <v>26.3056575682382</v>
      </c>
      <c r="R43" s="281">
        <f t="shared" si="6"/>
        <v>24.4266820276498</v>
      </c>
      <c r="S43" s="281">
        <f t="shared" si="59"/>
        <v>62</v>
      </c>
      <c r="T43" s="254">
        <f t="shared" si="8"/>
        <v>177</v>
      </c>
      <c r="U43" s="255">
        <f t="shared" si="9"/>
        <v>0.439205955334988</v>
      </c>
      <c r="V43" s="256">
        <f t="shared" si="10"/>
        <v>0.243541377839394</v>
      </c>
      <c r="W43" s="244">
        <v>212393</v>
      </c>
      <c r="X43" s="244">
        <v>2508</v>
      </c>
      <c r="Y43" s="244">
        <v>226</v>
      </c>
      <c r="Z43" s="257">
        <v>2557.73</v>
      </c>
      <c r="AA43" s="277">
        <v>5663.04</v>
      </c>
      <c r="AB43" s="244">
        <v>1.02</v>
      </c>
      <c r="AC43" s="259">
        <f t="shared" si="11"/>
        <v>0.451653175679494</v>
      </c>
      <c r="AD43" s="260">
        <f t="shared" ref="AD43:AF43" si="63">X43/W43</f>
        <v>0.0118082987669085</v>
      </c>
      <c r="AE43" s="260">
        <f t="shared" si="63"/>
        <v>0.0901116427432217</v>
      </c>
      <c r="AF43" s="253">
        <f t="shared" si="63"/>
        <v>11.317389380531</v>
      </c>
      <c r="AG43" s="261">
        <v>95</v>
      </c>
      <c r="AH43" s="254">
        <v>196</v>
      </c>
      <c r="AI43" s="262">
        <v>141</v>
      </c>
      <c r="AJ43" s="263">
        <f>AG43*产品成本!$D$2+AH43*产品成本!$D$3+AI43*产品成本!$D$4</f>
        <v>1081.47887323944</v>
      </c>
      <c r="AK43" s="263">
        <f>AG43*产品成本!$E$2+AH43*产品成本!$E$3+AI43*产品成本!$E$4</f>
        <v>83.8895366197182</v>
      </c>
      <c r="AL43" s="263">
        <f>AG43*产品成本!$F$2+AH43*产品成本!$F$3+AI43*产品成本!$F$4</f>
        <v>146.88</v>
      </c>
      <c r="AM43" s="263">
        <f>AG43*产品成本!$G$2+AH43*产品成本!$G$3+AI43*产品成本!$G$4</f>
        <v>1664.85</v>
      </c>
      <c r="AN43" s="263">
        <f t="shared" si="13"/>
        <v>1575.336</v>
      </c>
      <c r="AO43" s="264">
        <f t="shared" si="14"/>
        <v>4552.43440985916</v>
      </c>
      <c r="AP43" s="265">
        <v>10</v>
      </c>
      <c r="AQ43" s="265">
        <v>15</v>
      </c>
      <c r="AR43" s="266">
        <v>15</v>
      </c>
      <c r="AS43" s="267">
        <f t="shared" si="15"/>
        <v>767.136363636364</v>
      </c>
      <c r="AT43" s="267">
        <f>AP43*产品成本!$D$2+AQ43*产品成本!$D$3+AR43*产品成本!$D$4</f>
        <v>102.464788732394</v>
      </c>
      <c r="AU43" s="271">
        <f>AP43*产品成本!$E$2+AQ43*产品成本!$E$3+AR43*产品成本!$E$4</f>
        <v>7.77792253521126</v>
      </c>
      <c r="AV43" s="270">
        <f>AP43*产品成本!$F$2+AQ43*产品成本!$F$3+AR43*产品成本!$F$4</f>
        <v>13.6</v>
      </c>
      <c r="AW43" s="269"/>
      <c r="AX43" s="270">
        <f t="shared" si="16"/>
        <v>115.070454545455</v>
      </c>
      <c r="AY43" s="269">
        <f t="shared" si="17"/>
        <v>-23.0140909090909</v>
      </c>
      <c r="AZ43" s="271">
        <f t="shared" si="18"/>
        <v>215.899074903969</v>
      </c>
      <c r="BA43" s="272">
        <f t="shared" si="19"/>
        <v>4336.53533495519</v>
      </c>
      <c r="BB43" s="272">
        <f t="shared" si="20"/>
        <v>10502.24</v>
      </c>
      <c r="BC43" s="272">
        <f t="shared" si="21"/>
        <v>9735.10363636364</v>
      </c>
      <c r="BD43" s="273">
        <f t="shared" si="22"/>
        <v>2840.83830140845</v>
      </c>
      <c r="BE43" s="274">
        <f t="shared" si="23"/>
        <v>0.291813873536696</v>
      </c>
      <c r="BF43" s="278"/>
      <c r="BG43" s="278"/>
      <c r="BH43" s="278"/>
    </row>
    <row r="44" ht="23.1" customHeight="1" spans="1:60">
      <c r="A44" s="285" t="s">
        <v>177</v>
      </c>
      <c r="B44" s="285" t="s">
        <v>178</v>
      </c>
      <c r="C44" s="243">
        <v>446</v>
      </c>
      <c r="D44" s="244">
        <v>414</v>
      </c>
      <c r="E44" s="247">
        <v>10895.07</v>
      </c>
      <c r="F44" s="246">
        <v>49</v>
      </c>
      <c r="G44" s="246">
        <v>48</v>
      </c>
      <c r="H44" s="247">
        <v>1221.31</v>
      </c>
      <c r="I44" s="247">
        <v>111.02</v>
      </c>
      <c r="J44" s="276">
        <v>34</v>
      </c>
      <c r="K44" s="249">
        <f t="shared" si="0"/>
        <v>0.0762331838565022</v>
      </c>
      <c r="L44" s="250">
        <v>684.03</v>
      </c>
      <c r="M44" s="251">
        <f t="shared" si="1"/>
        <v>0.0276497695852535</v>
      </c>
      <c r="N44" s="249">
        <f t="shared" si="2"/>
        <v>0.0272952853598015</v>
      </c>
      <c r="O44" s="249">
        <f t="shared" si="3"/>
        <v>0.0277223856212232</v>
      </c>
      <c r="P44" s="252">
        <f t="shared" si="4"/>
        <v>1.07729468599034</v>
      </c>
      <c r="Q44" s="281">
        <f t="shared" si="5"/>
        <v>26.3165942028985</v>
      </c>
      <c r="R44" s="281">
        <f t="shared" si="6"/>
        <v>24.4284080717489</v>
      </c>
      <c r="S44" s="281">
        <f t="shared" si="59"/>
        <v>63.7142857142857</v>
      </c>
      <c r="T44" s="254">
        <f t="shared" si="8"/>
        <v>142</v>
      </c>
      <c r="U44" s="255">
        <f t="shared" si="9"/>
        <v>0.342995169082126</v>
      </c>
      <c r="V44" s="256">
        <f t="shared" si="10"/>
        <v>0.248962124619229</v>
      </c>
      <c r="W44" s="244">
        <v>224947</v>
      </c>
      <c r="X44" s="244">
        <v>2644</v>
      </c>
      <c r="Y44" s="244">
        <v>272</v>
      </c>
      <c r="Z44" s="257">
        <v>2684.82</v>
      </c>
      <c r="AA44" s="277">
        <v>7063.61</v>
      </c>
      <c r="AB44" s="244">
        <v>1.02</v>
      </c>
      <c r="AC44" s="259">
        <f t="shared" si="11"/>
        <v>0.380091766108265</v>
      </c>
      <c r="AD44" s="260">
        <f t="shared" ref="AD44:AF44" si="64">X44/W44</f>
        <v>0.011753879802798</v>
      </c>
      <c r="AE44" s="260">
        <f t="shared" si="64"/>
        <v>0.102874432677761</v>
      </c>
      <c r="AF44" s="253">
        <f t="shared" si="64"/>
        <v>9.87066176470588</v>
      </c>
      <c r="AG44" s="261">
        <v>87</v>
      </c>
      <c r="AH44" s="254">
        <v>151</v>
      </c>
      <c r="AI44" s="262">
        <v>183</v>
      </c>
      <c r="AJ44" s="263">
        <f>AG44*产品成本!$D$2+AH44*产品成本!$D$3+AI44*产品成本!$D$4</f>
        <v>1108.52112676056</v>
      </c>
      <c r="AK44" s="263">
        <f>AG44*产品成本!$E$2+AH44*产品成本!$E$3+AI44*产品成本!$E$4</f>
        <v>82.6451239436619</v>
      </c>
      <c r="AL44" s="263">
        <f>AG44*产品成本!$F$2+AH44*产品成本!$F$3+AI44*产品成本!$F$4</f>
        <v>143.14</v>
      </c>
      <c r="AM44" s="263">
        <f>AG44*产品成本!$G$2+AH44*产品成本!$G$3+AI44*产品成本!$G$4</f>
        <v>1623.63</v>
      </c>
      <c r="AN44" s="263">
        <f t="shared" si="13"/>
        <v>1617.6075</v>
      </c>
      <c r="AO44" s="264">
        <f t="shared" si="14"/>
        <v>4575.54375070423</v>
      </c>
      <c r="AP44" s="265">
        <v>7</v>
      </c>
      <c r="AQ44" s="265">
        <v>17</v>
      </c>
      <c r="AR44" s="266">
        <v>10</v>
      </c>
      <c r="AS44" s="267">
        <f t="shared" si="15"/>
        <v>777.306818181818</v>
      </c>
      <c r="AT44" s="267">
        <f>AP44*产品成本!$D$2+AQ44*产品成本!$D$3+AR44*产品成本!$D$4</f>
        <v>83.8028169014085</v>
      </c>
      <c r="AU44" s="271">
        <f>AP44*产品成本!$E$2+AQ44*产品成本!$E$3+AR44*产品成本!$E$4</f>
        <v>6.59268169014084</v>
      </c>
      <c r="AV44" s="270">
        <f>AP44*产品成本!$F$2+AQ44*产品成本!$F$3+AR44*产品成本!$F$4</f>
        <v>11.56</v>
      </c>
      <c r="AW44" s="269"/>
      <c r="AX44" s="270">
        <f t="shared" si="16"/>
        <v>116.596022727273</v>
      </c>
      <c r="AY44" s="269">
        <f t="shared" si="17"/>
        <v>-23.3192045454545</v>
      </c>
      <c r="AZ44" s="271">
        <f t="shared" si="18"/>
        <v>195.232316773368</v>
      </c>
      <c r="BA44" s="272">
        <f t="shared" si="19"/>
        <v>4380.31143393086</v>
      </c>
      <c r="BB44" s="272">
        <f t="shared" si="20"/>
        <v>10784.05</v>
      </c>
      <c r="BC44" s="272">
        <f t="shared" si="21"/>
        <v>10006.7431818182</v>
      </c>
      <c r="BD44" s="273">
        <f t="shared" si="22"/>
        <v>2941.61174788732</v>
      </c>
      <c r="BE44" s="274">
        <f t="shared" si="23"/>
        <v>0.293962950226614</v>
      </c>
      <c r="BF44" s="280"/>
      <c r="BG44" s="280"/>
      <c r="BH44" s="280"/>
    </row>
    <row r="45" ht="23.1" customHeight="1" spans="1:60">
      <c r="A45" s="285" t="s">
        <v>179</v>
      </c>
      <c r="B45" s="285" t="s">
        <v>180</v>
      </c>
      <c r="C45" s="243">
        <v>495</v>
      </c>
      <c r="D45" s="244">
        <v>453</v>
      </c>
      <c r="E45" s="247">
        <v>12053.79</v>
      </c>
      <c r="F45" s="246">
        <v>42</v>
      </c>
      <c r="G45" s="246">
        <v>41</v>
      </c>
      <c r="H45" s="247">
        <v>1030.48</v>
      </c>
      <c r="I45" s="247">
        <v>24.54</v>
      </c>
      <c r="J45" s="276">
        <v>35</v>
      </c>
      <c r="K45" s="249">
        <f t="shared" si="0"/>
        <v>0.0707070707070707</v>
      </c>
      <c r="L45" s="250">
        <v>718.29</v>
      </c>
      <c r="M45" s="251">
        <f t="shared" si="1"/>
        <v>0.109865470852018</v>
      </c>
      <c r="N45" s="249">
        <f t="shared" si="2"/>
        <v>0.0942028985507246</v>
      </c>
      <c r="O45" s="249">
        <f t="shared" si="3"/>
        <v>0.106352689794559</v>
      </c>
      <c r="P45" s="252">
        <f t="shared" si="4"/>
        <v>1.09271523178808</v>
      </c>
      <c r="Q45" s="281">
        <f t="shared" si="5"/>
        <v>26.6088079470199</v>
      </c>
      <c r="R45" s="281">
        <f t="shared" si="6"/>
        <v>24.3510909090909</v>
      </c>
      <c r="S45" s="281">
        <f t="shared" si="59"/>
        <v>70.7142857142857</v>
      </c>
      <c r="T45" s="254">
        <f t="shared" si="8"/>
        <v>160</v>
      </c>
      <c r="U45" s="255">
        <f t="shared" si="9"/>
        <v>0.353200883002208</v>
      </c>
      <c r="V45" s="256">
        <f t="shared" si="10"/>
        <v>0.224643265373984</v>
      </c>
      <c r="W45" s="244">
        <v>237482</v>
      </c>
      <c r="X45" s="244">
        <v>2677</v>
      </c>
      <c r="Y45" s="244">
        <v>293</v>
      </c>
      <c r="Z45" s="257">
        <v>2702.29</v>
      </c>
      <c r="AA45" s="277">
        <v>7963.35</v>
      </c>
      <c r="AB45" s="244">
        <v>1.01</v>
      </c>
      <c r="AC45" s="259">
        <f t="shared" si="11"/>
        <v>0.339340855293312</v>
      </c>
      <c r="AD45" s="260">
        <f t="shared" ref="AD45:AF45" si="65">X45/W45</f>
        <v>0.0112724332791538</v>
      </c>
      <c r="AE45" s="260">
        <f t="shared" si="65"/>
        <v>0.109450877848338</v>
      </c>
      <c r="AF45" s="253">
        <f t="shared" si="65"/>
        <v>9.22283276450512</v>
      </c>
      <c r="AG45" s="261">
        <v>120</v>
      </c>
      <c r="AH45" s="254">
        <v>199</v>
      </c>
      <c r="AI45" s="262">
        <v>176</v>
      </c>
      <c r="AJ45" s="263">
        <f>AG45*产品成本!$D$2+AH45*产品成本!$D$3+AI45*产品成本!$D$4</f>
        <v>1256.47887323944</v>
      </c>
      <c r="AK45" s="263">
        <f>AG45*产品成本!$E$2+AH45*产品成本!$E$3+AI45*产品成本!$E$4</f>
        <v>96.1580830985914</v>
      </c>
      <c r="AL45" s="263">
        <f>AG45*产品成本!$F$2+AH45*产品成本!$F$3+AI45*产品成本!$F$4</f>
        <v>168.3</v>
      </c>
      <c r="AM45" s="263">
        <f>AG45*产品成本!$G$2+AH45*产品成本!$G$3+AI45*产品成本!$G$4</f>
        <v>1905.3</v>
      </c>
      <c r="AN45" s="263">
        <f t="shared" si="13"/>
        <v>1804.3875</v>
      </c>
      <c r="AO45" s="264">
        <f t="shared" si="14"/>
        <v>5230.62445633803</v>
      </c>
      <c r="AP45" s="265">
        <v>11</v>
      </c>
      <c r="AQ45" s="265">
        <v>10</v>
      </c>
      <c r="AR45" s="266">
        <v>14</v>
      </c>
      <c r="AS45" s="267">
        <f t="shared" si="15"/>
        <v>816.238636363636</v>
      </c>
      <c r="AT45" s="267">
        <f>AP45*产品成本!$D$2+AQ45*产品成本!$D$3+AR45*产品成本!$D$4</f>
        <v>90.7042253521127</v>
      </c>
      <c r="AU45" s="271">
        <f>AP45*产品成本!$E$2+AQ45*产品成本!$E$3+AR45*产品成本!$E$4</f>
        <v>6.77757887323943</v>
      </c>
      <c r="AV45" s="270">
        <f>AP45*产品成本!$F$2+AQ45*产品成本!$F$3+AR45*产品成本!$F$4</f>
        <v>11.9</v>
      </c>
      <c r="AW45" s="269"/>
      <c r="AX45" s="270">
        <f t="shared" si="16"/>
        <v>122.435795454545</v>
      </c>
      <c r="AY45" s="269">
        <f t="shared" si="17"/>
        <v>-24.4871590909091</v>
      </c>
      <c r="AZ45" s="271">
        <f t="shared" si="18"/>
        <v>207.330440588989</v>
      </c>
      <c r="BA45" s="272">
        <f t="shared" si="19"/>
        <v>5023.29401574904</v>
      </c>
      <c r="BB45" s="272">
        <f t="shared" si="20"/>
        <v>12029.25</v>
      </c>
      <c r="BC45" s="272">
        <f t="shared" si="21"/>
        <v>11213.0113636364</v>
      </c>
      <c r="BD45" s="273">
        <f t="shared" si="22"/>
        <v>3487.42734788732</v>
      </c>
      <c r="BE45" s="274">
        <f t="shared" si="23"/>
        <v>0.311016125355674</v>
      </c>
      <c r="BF45" s="278"/>
      <c r="BG45" s="278"/>
      <c r="BH45" s="278"/>
    </row>
    <row r="46" ht="23.1" customHeight="1" spans="1:60">
      <c r="A46" s="285" t="s">
        <v>181</v>
      </c>
      <c r="B46" s="285" t="s">
        <v>182</v>
      </c>
      <c r="C46" s="243">
        <v>534</v>
      </c>
      <c r="D46" s="244">
        <v>510</v>
      </c>
      <c r="E46" s="247">
        <v>13028.96</v>
      </c>
      <c r="F46" s="246">
        <v>34</v>
      </c>
      <c r="G46" s="246">
        <v>30</v>
      </c>
      <c r="H46" s="247">
        <v>835.96</v>
      </c>
      <c r="I46" s="247">
        <v>24.59</v>
      </c>
      <c r="J46" s="276">
        <v>37</v>
      </c>
      <c r="K46" s="249">
        <f t="shared" si="0"/>
        <v>0.0692883895131086</v>
      </c>
      <c r="L46" s="250">
        <v>770.91</v>
      </c>
      <c r="M46" s="251">
        <f t="shared" si="1"/>
        <v>0.0787878787878788</v>
      </c>
      <c r="N46" s="249">
        <f t="shared" si="2"/>
        <v>0.125827814569536</v>
      </c>
      <c r="O46" s="249">
        <f t="shared" si="3"/>
        <v>0.080901525578262</v>
      </c>
      <c r="P46" s="252">
        <f t="shared" si="4"/>
        <v>1.04705882352941</v>
      </c>
      <c r="Q46" s="281">
        <f t="shared" si="5"/>
        <v>25.5469803921569</v>
      </c>
      <c r="R46" s="281">
        <f t="shared" si="6"/>
        <v>24.3988014981273</v>
      </c>
      <c r="S46" s="281">
        <f t="shared" si="59"/>
        <v>76.2857142857143</v>
      </c>
      <c r="T46" s="254">
        <f t="shared" si="8"/>
        <v>206</v>
      </c>
      <c r="U46" s="255">
        <f t="shared" si="9"/>
        <v>0.403921568627451</v>
      </c>
      <c r="V46" s="256">
        <f t="shared" si="10"/>
        <v>0.223429508695923</v>
      </c>
      <c r="W46" s="244">
        <v>259814</v>
      </c>
      <c r="X46" s="244">
        <v>3020</v>
      </c>
      <c r="Y46" s="244">
        <v>304</v>
      </c>
      <c r="Z46" s="257">
        <v>2905.56</v>
      </c>
      <c r="AA46" s="277">
        <v>7714.5</v>
      </c>
      <c r="AB46" s="244">
        <v>0.96</v>
      </c>
      <c r="AC46" s="259">
        <f t="shared" si="11"/>
        <v>0.376636204549874</v>
      </c>
      <c r="AD46" s="260">
        <f t="shared" ref="AD46:AF46" si="66">X46/W46</f>
        <v>0.011623700031561</v>
      </c>
      <c r="AE46" s="260">
        <f t="shared" si="66"/>
        <v>0.100662251655629</v>
      </c>
      <c r="AF46" s="253">
        <f t="shared" si="66"/>
        <v>9.55776315789474</v>
      </c>
      <c r="AG46" s="261">
        <v>136</v>
      </c>
      <c r="AH46" s="254">
        <v>183</v>
      </c>
      <c r="AI46" s="262">
        <v>215</v>
      </c>
      <c r="AJ46" s="263">
        <f>AG46*产品成本!$D$2+AH46*产品成本!$D$3+AI46*产品成本!$D$4</f>
        <v>1385.56338028169</v>
      </c>
      <c r="AK46" s="263">
        <f>AG46*产品成本!$E$2+AH46*产品成本!$E$3+AI46*产品成本!$E$4</f>
        <v>104.041153521127</v>
      </c>
      <c r="AL46" s="263">
        <f>AG46*产品成本!$F$2+AH46*产品成本!$F$3+AI46*产品成本!$F$4</f>
        <v>181.56</v>
      </c>
      <c r="AM46" s="263">
        <f>AG46*产品成本!$G$2+AH46*产品成本!$G$3+AI46*产品成本!$G$4</f>
        <v>2054.04</v>
      </c>
      <c r="AN46" s="263">
        <f t="shared" si="13"/>
        <v>1950.6555</v>
      </c>
      <c r="AO46" s="264">
        <f t="shared" si="14"/>
        <v>5675.86003380282</v>
      </c>
      <c r="AP46" s="265">
        <v>10</v>
      </c>
      <c r="AQ46" s="265">
        <v>10</v>
      </c>
      <c r="AR46" s="266">
        <v>17</v>
      </c>
      <c r="AS46" s="267">
        <f t="shared" si="15"/>
        <v>876.034090909091</v>
      </c>
      <c r="AT46" s="267">
        <f>AP46*产品成本!$D$2+AQ46*产品成本!$D$3+AR46*产品成本!$D$4</f>
        <v>98.5211267605635</v>
      </c>
      <c r="AU46" s="271">
        <f>AP46*产品成本!$E$2+AQ46*产品成本!$E$3+AR46*产品成本!$E$4</f>
        <v>7.23397183098591</v>
      </c>
      <c r="AV46" s="270">
        <f>AP46*产品成本!$F$2+AQ46*产品成本!$F$3+AR46*产品成本!$F$4</f>
        <v>12.58</v>
      </c>
      <c r="AW46" s="269"/>
      <c r="AX46" s="270">
        <f t="shared" si="16"/>
        <v>131.405113636364</v>
      </c>
      <c r="AY46" s="269">
        <f t="shared" si="17"/>
        <v>-26.2810227272727</v>
      </c>
      <c r="AZ46" s="271">
        <f t="shared" si="18"/>
        <v>223.45918950064</v>
      </c>
      <c r="BA46" s="272">
        <f t="shared" si="19"/>
        <v>5452.40084430218</v>
      </c>
      <c r="BB46" s="272">
        <f t="shared" si="20"/>
        <v>13004.37</v>
      </c>
      <c r="BC46" s="272">
        <f t="shared" si="21"/>
        <v>12128.3359090909</v>
      </c>
      <c r="BD46" s="273">
        <f t="shared" si="22"/>
        <v>3770.37506478873</v>
      </c>
      <c r="BE46" s="274">
        <f t="shared" si="23"/>
        <v>0.310873238756738</v>
      </c>
      <c r="BF46" s="280"/>
      <c r="BG46" s="280"/>
      <c r="BH46" s="280"/>
    </row>
    <row r="47" ht="23.1" customHeight="1" spans="1:60">
      <c r="A47" s="285" t="s">
        <v>183</v>
      </c>
      <c r="B47" s="285" t="s">
        <v>184</v>
      </c>
      <c r="C47" s="243">
        <v>450</v>
      </c>
      <c r="D47" s="244">
        <v>433</v>
      </c>
      <c r="E47" s="247">
        <v>10903.7</v>
      </c>
      <c r="F47" s="246">
        <v>58</v>
      </c>
      <c r="G47" s="246">
        <v>54</v>
      </c>
      <c r="H47" s="247">
        <v>1418.42</v>
      </c>
      <c r="I47" s="247">
        <v>120.8</v>
      </c>
      <c r="J47" s="276">
        <v>38</v>
      </c>
      <c r="K47" s="249">
        <f t="shared" si="0"/>
        <v>0.0844444444444444</v>
      </c>
      <c r="L47" s="250">
        <v>821.92</v>
      </c>
      <c r="M47" s="251">
        <f t="shared" si="1"/>
        <v>-0.157303370786517</v>
      </c>
      <c r="N47" s="249">
        <f t="shared" si="2"/>
        <v>-0.150980392156863</v>
      </c>
      <c r="O47" s="249">
        <f t="shared" si="3"/>
        <v>-0.163118161388169</v>
      </c>
      <c r="P47" s="252">
        <f t="shared" si="4"/>
        <v>1.03926096997691</v>
      </c>
      <c r="Q47" s="281">
        <f t="shared" si="5"/>
        <v>25.1817551963049</v>
      </c>
      <c r="R47" s="281">
        <f t="shared" si="6"/>
        <v>24.2304444444444</v>
      </c>
      <c r="S47" s="281">
        <f t="shared" si="59"/>
        <v>64.2857142857143</v>
      </c>
      <c r="T47" s="254">
        <f t="shared" si="8"/>
        <v>189</v>
      </c>
      <c r="U47" s="255">
        <f t="shared" si="9"/>
        <v>0.4364896073903</v>
      </c>
      <c r="V47" s="256">
        <f t="shared" si="10"/>
        <v>0.25213347058769</v>
      </c>
      <c r="W47" s="244">
        <v>229696</v>
      </c>
      <c r="X47" s="244">
        <v>2721</v>
      </c>
      <c r="Y47" s="244">
        <v>244</v>
      </c>
      <c r="Z47" s="257">
        <v>2718.73</v>
      </c>
      <c r="AA47" s="277">
        <v>6153.29</v>
      </c>
      <c r="AB47" s="245">
        <v>1</v>
      </c>
      <c r="AC47" s="259">
        <f t="shared" si="11"/>
        <v>0.441833555707597</v>
      </c>
      <c r="AD47" s="260">
        <f t="shared" ref="AD47:AF47" si="67">X47/W47</f>
        <v>0.0118460922262469</v>
      </c>
      <c r="AE47" s="260">
        <f t="shared" si="67"/>
        <v>0.089672914369717</v>
      </c>
      <c r="AF47" s="253">
        <f t="shared" si="67"/>
        <v>11.1423360655738</v>
      </c>
      <c r="AG47" s="261">
        <v>112</v>
      </c>
      <c r="AH47" s="254">
        <v>175</v>
      </c>
      <c r="AI47" s="262">
        <v>163</v>
      </c>
      <c r="AJ47" s="263">
        <f>AG47*产品成本!$D$2+AH47*产品成本!$D$3+AI47*产品成本!$D$4</f>
        <v>1145.84507042254</v>
      </c>
      <c r="AK47" s="263">
        <f>AG47*产品成本!$E$2+AH47*产品成本!$E$3+AI47*产品成本!$E$4</f>
        <v>87.4122633802816</v>
      </c>
      <c r="AL47" s="263">
        <f>AG47*产品成本!$F$2+AH47*产品成本!$F$3+AI47*产品成本!$F$4</f>
        <v>153</v>
      </c>
      <c r="AM47" s="263">
        <f>AG47*产品成本!$G$2+AH47*产品成本!$G$3+AI47*产品成本!$G$4</f>
        <v>1731.48</v>
      </c>
      <c r="AN47" s="263">
        <f t="shared" si="13"/>
        <v>1617.435</v>
      </c>
      <c r="AO47" s="264">
        <f t="shared" si="14"/>
        <v>4735.17233380282</v>
      </c>
      <c r="AP47" s="265">
        <v>3</v>
      </c>
      <c r="AQ47" s="265">
        <v>19</v>
      </c>
      <c r="AR47" s="266">
        <v>16</v>
      </c>
      <c r="AS47" s="267">
        <f t="shared" si="15"/>
        <v>934</v>
      </c>
      <c r="AT47" s="267">
        <f>AP47*产品成本!$D$2+AQ47*产品成本!$D$3+AR47*产品成本!$D$4</f>
        <v>99.4366197183099</v>
      </c>
      <c r="AU47" s="271">
        <f>AP47*产品成本!$E$2+AQ47*产品成本!$E$3+AR47*产品成本!$E$4</f>
        <v>7.54383380281689</v>
      </c>
      <c r="AV47" s="270">
        <f>AP47*产品成本!$F$2+AQ47*产品成本!$F$3+AR47*产品成本!$F$4</f>
        <v>12.92</v>
      </c>
      <c r="AW47" s="269"/>
      <c r="AX47" s="270">
        <f t="shared" si="16"/>
        <v>140.1</v>
      </c>
      <c r="AY47" s="269">
        <f t="shared" si="17"/>
        <v>-28.02</v>
      </c>
      <c r="AZ47" s="271">
        <f t="shared" si="18"/>
        <v>231.980453521127</v>
      </c>
      <c r="BA47" s="272">
        <f t="shared" si="19"/>
        <v>4503.19188028169</v>
      </c>
      <c r="BB47" s="272">
        <f t="shared" si="20"/>
        <v>10782.9</v>
      </c>
      <c r="BC47" s="272">
        <f t="shared" si="21"/>
        <v>9848.9</v>
      </c>
      <c r="BD47" s="273">
        <f t="shared" si="22"/>
        <v>2626.97811971831</v>
      </c>
      <c r="BE47" s="274">
        <f t="shared" si="23"/>
        <v>0.266728073157237</v>
      </c>
      <c r="BF47" s="278"/>
      <c r="BG47" s="278"/>
      <c r="BH47" s="278"/>
    </row>
    <row r="48" ht="23.1" customHeight="1" spans="1:60">
      <c r="A48" s="285" t="s">
        <v>185</v>
      </c>
      <c r="B48" s="285" t="s">
        <v>186</v>
      </c>
      <c r="C48" s="243">
        <v>445</v>
      </c>
      <c r="D48" s="244">
        <v>430</v>
      </c>
      <c r="E48" s="247">
        <v>10693.07</v>
      </c>
      <c r="F48" s="246">
        <v>26</v>
      </c>
      <c r="G48" s="246">
        <v>26</v>
      </c>
      <c r="H48" s="247">
        <v>626.64</v>
      </c>
      <c r="I48" s="247">
        <v>24.1</v>
      </c>
      <c r="J48" s="276">
        <v>36</v>
      </c>
      <c r="K48" s="249">
        <f t="shared" si="0"/>
        <v>0.0808988764044944</v>
      </c>
      <c r="L48" s="250">
        <v>754.65</v>
      </c>
      <c r="M48" s="251">
        <f t="shared" si="1"/>
        <v>-0.0111111111111111</v>
      </c>
      <c r="N48" s="249">
        <f t="shared" si="2"/>
        <v>-0.0069284064665127</v>
      </c>
      <c r="O48" s="249">
        <f t="shared" si="3"/>
        <v>-0.0193172959637555</v>
      </c>
      <c r="P48" s="252">
        <f t="shared" si="4"/>
        <v>1.03488372093023</v>
      </c>
      <c r="Q48" s="281">
        <f t="shared" si="5"/>
        <v>24.8676046511628</v>
      </c>
      <c r="R48" s="281">
        <f t="shared" si="6"/>
        <v>24.0293707865169</v>
      </c>
      <c r="S48" s="281">
        <f t="shared" si="59"/>
        <v>63.5714285714286</v>
      </c>
      <c r="T48" s="254">
        <f t="shared" si="8"/>
        <v>176</v>
      </c>
      <c r="U48" s="255">
        <f t="shared" si="9"/>
        <v>0.409302325581395</v>
      </c>
      <c r="V48" s="256">
        <f t="shared" si="10"/>
        <v>0.250879888124158</v>
      </c>
      <c r="W48" s="244">
        <v>216007</v>
      </c>
      <c r="X48" s="244">
        <v>2646</v>
      </c>
      <c r="Y48" s="244">
        <v>254</v>
      </c>
      <c r="Z48" s="257">
        <v>2676.63</v>
      </c>
      <c r="AA48" s="277">
        <v>6219.58</v>
      </c>
      <c r="AB48" s="245">
        <v>1.01</v>
      </c>
      <c r="AC48" s="259">
        <f t="shared" si="11"/>
        <v>0.430355425929082</v>
      </c>
      <c r="AD48" s="260">
        <f t="shared" ref="AD48:AF48" si="68">X48/W48</f>
        <v>0.0122496030221243</v>
      </c>
      <c r="AE48" s="260">
        <f t="shared" si="68"/>
        <v>0.0959939531368103</v>
      </c>
      <c r="AF48" s="253">
        <f t="shared" si="68"/>
        <v>10.5379133858268</v>
      </c>
      <c r="AG48" s="261">
        <v>108</v>
      </c>
      <c r="AH48" s="254">
        <v>173</v>
      </c>
      <c r="AI48" s="262">
        <v>164</v>
      </c>
      <c r="AJ48" s="263">
        <f>AG48*产品成本!$D$2+AH48*产品成本!$D$3+AI48*产品成本!$D$4</f>
        <v>1136.47887323944</v>
      </c>
      <c r="AK48" s="263">
        <f>AG48*产品成本!$E$2+AH48*产品成本!$E$3+AI48*产品成本!$E$4</f>
        <v>86.5422549295774</v>
      </c>
      <c r="AL48" s="263">
        <f>AG48*产品成本!$F$2+AH48*产品成本!$F$3+AI48*产品成本!$F$4</f>
        <v>151.3</v>
      </c>
      <c r="AM48" s="263">
        <f>AG48*产品成本!$G$2+AH48*产品成本!$G$3+AI48*产品成本!$G$4</f>
        <v>1712.82</v>
      </c>
      <c r="AN48" s="263">
        <f t="shared" si="13"/>
        <v>1600.3455</v>
      </c>
      <c r="AO48" s="264">
        <f t="shared" si="14"/>
        <v>4687.48662816901</v>
      </c>
      <c r="AP48" s="265">
        <v>12</v>
      </c>
      <c r="AQ48" s="265">
        <v>11</v>
      </c>
      <c r="AR48" s="266">
        <v>13</v>
      </c>
      <c r="AS48" s="267">
        <f t="shared" si="15"/>
        <v>857.556818181818</v>
      </c>
      <c r="AT48" s="267">
        <f>AP48*产品成本!$D$2+AQ48*产品成本!$D$3+AR48*产品成本!$D$4</f>
        <v>91.6197183098592</v>
      </c>
      <c r="AU48" s="271">
        <f>AP48*产品成本!$E$2+AQ48*产品成本!$E$3+AR48*产品成本!$E$4</f>
        <v>6.93397605633802</v>
      </c>
      <c r="AV48" s="270">
        <f>AP48*产品成本!$F$2+AQ48*产品成本!$F$3+AR48*产品成本!$F$4</f>
        <v>12.24</v>
      </c>
      <c r="AW48" s="269"/>
      <c r="AX48" s="270">
        <f t="shared" si="16"/>
        <v>128.633522727273</v>
      </c>
      <c r="AY48" s="269">
        <f t="shared" si="17"/>
        <v>-25.7267045454545</v>
      </c>
      <c r="AZ48" s="271">
        <f t="shared" si="18"/>
        <v>213.700512548015</v>
      </c>
      <c r="BA48" s="272">
        <f t="shared" si="19"/>
        <v>4473.786115621</v>
      </c>
      <c r="BB48" s="272">
        <f t="shared" si="20"/>
        <v>10668.97</v>
      </c>
      <c r="BC48" s="272">
        <f t="shared" si="21"/>
        <v>9811.41318181818</v>
      </c>
      <c r="BD48" s="273">
        <f t="shared" si="22"/>
        <v>2660.99706619718</v>
      </c>
      <c r="BE48" s="274">
        <f t="shared" si="23"/>
        <v>0.271214453706664</v>
      </c>
      <c r="BF48" s="280"/>
      <c r="BG48" s="280"/>
      <c r="BH48" s="280"/>
    </row>
    <row r="49" ht="23.1" customHeight="1" spans="1:60">
      <c r="A49" s="285" t="s">
        <v>187</v>
      </c>
      <c r="B49" s="285" t="s">
        <v>188</v>
      </c>
      <c r="C49" s="243">
        <v>483</v>
      </c>
      <c r="D49" s="244">
        <v>451</v>
      </c>
      <c r="E49" s="247">
        <v>11272.09</v>
      </c>
      <c r="F49" s="246">
        <v>57</v>
      </c>
      <c r="G49" s="246">
        <v>53</v>
      </c>
      <c r="H49" s="247">
        <v>1364.33</v>
      </c>
      <c r="I49" s="247">
        <v>23.94</v>
      </c>
      <c r="J49" s="276">
        <v>31</v>
      </c>
      <c r="K49" s="249">
        <f t="shared" si="0"/>
        <v>0.0641821946169772</v>
      </c>
      <c r="L49" s="250">
        <v>668.4</v>
      </c>
      <c r="M49" s="251">
        <f t="shared" si="1"/>
        <v>0.0853932584269663</v>
      </c>
      <c r="N49" s="249">
        <f t="shared" si="2"/>
        <v>0.0488372093023256</v>
      </c>
      <c r="O49" s="249">
        <f t="shared" si="3"/>
        <v>0.0541490890829295</v>
      </c>
      <c r="P49" s="252">
        <f t="shared" si="4"/>
        <v>1.0709534368071</v>
      </c>
      <c r="Q49" s="281">
        <f t="shared" si="5"/>
        <v>24.9935476718404</v>
      </c>
      <c r="R49" s="281">
        <f t="shared" si="6"/>
        <v>23.3376604554865</v>
      </c>
      <c r="S49" s="281">
        <f t="shared" si="59"/>
        <v>69</v>
      </c>
      <c r="T49" s="254">
        <f t="shared" si="8"/>
        <v>178</v>
      </c>
      <c r="U49" s="255">
        <f t="shared" si="9"/>
        <v>0.394678492239468</v>
      </c>
      <c r="V49" s="256">
        <f t="shared" si="10"/>
        <v>0.237350142023355</v>
      </c>
      <c r="W49" s="244">
        <v>219327</v>
      </c>
      <c r="X49" s="244">
        <v>2570</v>
      </c>
      <c r="Y49" s="244">
        <v>273</v>
      </c>
      <c r="Z49" s="257">
        <v>2669.75</v>
      </c>
      <c r="AA49" s="277">
        <v>6719.65</v>
      </c>
      <c r="AB49" s="245">
        <v>1.04</v>
      </c>
      <c r="AC49" s="259">
        <f t="shared" si="11"/>
        <v>0.397304919155016</v>
      </c>
      <c r="AD49" s="260">
        <f t="shared" ref="AD49:AF49" si="69">X49/W49</f>
        <v>0.0117176635799514</v>
      </c>
      <c r="AE49" s="260">
        <f t="shared" si="69"/>
        <v>0.106225680933852</v>
      </c>
      <c r="AF49" s="253">
        <f t="shared" si="69"/>
        <v>9.77930402930403</v>
      </c>
      <c r="AG49" s="261">
        <v>120</v>
      </c>
      <c r="AH49" s="254">
        <v>178</v>
      </c>
      <c r="AI49" s="262">
        <v>185</v>
      </c>
      <c r="AJ49" s="263">
        <f>AG49*产品成本!$D$2+AH49*产品成本!$D$3+AI49*产品成本!$D$4</f>
        <v>1241.90140845071</v>
      </c>
      <c r="AK49" s="263">
        <f>AG49*产品成本!$E$2+AH49*产品成本!$E$3+AI49*产品成本!$E$4</f>
        <v>93.999490140845</v>
      </c>
      <c r="AL49" s="263">
        <f>AG49*产品成本!$F$2+AH49*产品成本!$F$3+AI49*产品成本!$F$4</f>
        <v>164.22</v>
      </c>
      <c r="AM49" s="263">
        <f>AG49*产品成本!$G$2+AH49*产品成本!$G$3+AI49*产品成本!$G$4</f>
        <v>1858.5</v>
      </c>
      <c r="AN49" s="263">
        <f t="shared" si="13"/>
        <v>1687.2225</v>
      </c>
      <c r="AO49" s="264">
        <f t="shared" si="14"/>
        <v>5045.84339859155</v>
      </c>
      <c r="AP49" s="265">
        <v>5</v>
      </c>
      <c r="AQ49" s="265">
        <v>11</v>
      </c>
      <c r="AR49" s="266">
        <v>15</v>
      </c>
      <c r="AS49" s="267">
        <f t="shared" si="15"/>
        <v>759.545454545455</v>
      </c>
      <c r="AT49" s="267">
        <f>AP49*产品成本!$D$2+AQ49*产品成本!$D$3+AR49*产品成本!$D$4</f>
        <v>83.4507042253522</v>
      </c>
      <c r="AU49" s="271">
        <f>AP49*产品成本!$E$2+AQ49*产品成本!$E$3+AR49*产品成本!$E$4</f>
        <v>6.13872676056338</v>
      </c>
      <c r="AV49" s="270">
        <f>AP49*产品成本!$F$2+AQ49*产品成本!$F$3+AR49*产品成本!$F$4</f>
        <v>10.54</v>
      </c>
      <c r="AW49" s="269"/>
      <c r="AX49" s="270">
        <f t="shared" si="16"/>
        <v>113.931818181818</v>
      </c>
      <c r="AY49" s="269">
        <f t="shared" si="17"/>
        <v>-22.7863636363636</v>
      </c>
      <c r="AZ49" s="271">
        <f t="shared" si="18"/>
        <v>191.27488553137</v>
      </c>
      <c r="BA49" s="272">
        <f t="shared" si="19"/>
        <v>4854.56851306018</v>
      </c>
      <c r="BB49" s="272">
        <f t="shared" si="20"/>
        <v>11248.15</v>
      </c>
      <c r="BC49" s="272">
        <f t="shared" si="21"/>
        <v>10488.6045454545</v>
      </c>
      <c r="BD49" s="273">
        <f t="shared" si="22"/>
        <v>2964.28603239437</v>
      </c>
      <c r="BE49" s="274">
        <f t="shared" si="23"/>
        <v>0.282619677341063</v>
      </c>
      <c r="BF49" s="278"/>
      <c r="BG49" s="278"/>
      <c r="BH49" s="191"/>
    </row>
    <row r="50" ht="23.1" customHeight="1" spans="1:60">
      <c r="A50" s="285" t="s">
        <v>189</v>
      </c>
      <c r="B50" s="285" t="s">
        <v>190</v>
      </c>
      <c r="C50" s="243">
        <v>493</v>
      </c>
      <c r="D50" s="244">
        <v>465</v>
      </c>
      <c r="E50" s="247">
        <v>11222.27</v>
      </c>
      <c r="F50" s="246">
        <v>46</v>
      </c>
      <c r="G50" s="246">
        <v>40</v>
      </c>
      <c r="H50" s="247">
        <v>1046.94</v>
      </c>
      <c r="I50" s="247">
        <v>22.76</v>
      </c>
      <c r="J50" s="276">
        <v>36</v>
      </c>
      <c r="K50" s="249">
        <f t="shared" si="0"/>
        <v>0.0730223123732252</v>
      </c>
      <c r="L50" s="250">
        <v>740.66</v>
      </c>
      <c r="M50" s="251">
        <f t="shared" si="1"/>
        <v>0.020703933747412</v>
      </c>
      <c r="N50" s="249">
        <f t="shared" si="2"/>
        <v>0.0310421286031042</v>
      </c>
      <c r="O50" s="249">
        <f t="shared" si="3"/>
        <v>-0.00441976598838367</v>
      </c>
      <c r="P50" s="252">
        <f t="shared" si="4"/>
        <v>1.06021505376344</v>
      </c>
      <c r="Q50" s="281">
        <f t="shared" si="5"/>
        <v>24.1339139784946</v>
      </c>
      <c r="R50" s="281">
        <f t="shared" si="6"/>
        <v>22.7632251521298</v>
      </c>
      <c r="S50" s="281">
        <f t="shared" si="59"/>
        <v>70.4285714285714</v>
      </c>
      <c r="T50" s="254">
        <f t="shared" si="8"/>
        <v>187</v>
      </c>
      <c r="U50" s="255">
        <f t="shared" si="9"/>
        <v>0.402150537634409</v>
      </c>
      <c r="V50" s="256">
        <f t="shared" si="10"/>
        <v>0.253940574185835</v>
      </c>
      <c r="W50" s="244">
        <v>231757</v>
      </c>
      <c r="X50" s="244">
        <v>2741</v>
      </c>
      <c r="Y50" s="244">
        <v>278</v>
      </c>
      <c r="Z50" s="257">
        <v>2844.01</v>
      </c>
      <c r="AA50" s="277">
        <v>6674.3</v>
      </c>
      <c r="AB50" s="245">
        <v>1.04</v>
      </c>
      <c r="AC50" s="259">
        <f t="shared" si="11"/>
        <v>0.426113599928082</v>
      </c>
      <c r="AD50" s="260">
        <f t="shared" ref="AD50:AF50" si="70">X50/W50</f>
        <v>0.0118270429803631</v>
      </c>
      <c r="AE50" s="260">
        <f t="shared" si="70"/>
        <v>0.101422838380153</v>
      </c>
      <c r="AF50" s="253">
        <f t="shared" si="70"/>
        <v>10.2302517985612</v>
      </c>
      <c r="AG50" s="261">
        <v>108</v>
      </c>
      <c r="AH50" s="254">
        <v>196</v>
      </c>
      <c r="AI50" s="262">
        <v>189</v>
      </c>
      <c r="AJ50" s="263">
        <f>AG50*产品成本!$D$2+AH50*产品成本!$D$3+AI50*产品成本!$D$4</f>
        <v>1267.81690140845</v>
      </c>
      <c r="AK50" s="263">
        <f>AG50*产品成本!$E$2+AH50*产品成本!$E$3+AI50*产品成本!$E$4</f>
        <v>96.226428169014</v>
      </c>
      <c r="AL50" s="263">
        <f>AG50*产品成本!$F$2+AH50*产品成本!$F$3+AI50*产品成本!$F$4</f>
        <v>167.62</v>
      </c>
      <c r="AM50" s="263">
        <f>AG50*产品成本!$G$2+AH50*产品成本!$G$3+AI50*产品成本!$G$4</f>
        <v>1900.02</v>
      </c>
      <c r="AN50" s="263">
        <f t="shared" si="13"/>
        <v>1679.9265</v>
      </c>
      <c r="AO50" s="264">
        <f t="shared" si="14"/>
        <v>5111.60982957747</v>
      </c>
      <c r="AP50" s="265">
        <v>10</v>
      </c>
      <c r="AQ50" s="265">
        <v>11</v>
      </c>
      <c r="AR50" s="266">
        <v>15</v>
      </c>
      <c r="AS50" s="267">
        <f t="shared" si="15"/>
        <v>841.659090909091</v>
      </c>
      <c r="AT50" s="267">
        <f>AP50*产品成本!$D$2+AQ50*产品成本!$D$3+AR50*产品成本!$D$4</f>
        <v>94.0140845070423</v>
      </c>
      <c r="AU50" s="271">
        <f>AP50*产品成本!$E$2+AQ50*产品成本!$E$3+AR50*产品成本!$E$4</f>
        <v>7.00676197183098</v>
      </c>
      <c r="AV50" s="270">
        <f>AP50*产品成本!$F$2+AQ50*产品成本!$F$3+AR50*产品成本!$F$4</f>
        <v>12.24</v>
      </c>
      <c r="AW50" s="269"/>
      <c r="AX50" s="270">
        <f t="shared" si="16"/>
        <v>126.248863636364</v>
      </c>
      <c r="AY50" s="269">
        <f t="shared" si="17"/>
        <v>-25.2497727272727</v>
      </c>
      <c r="AZ50" s="271">
        <f t="shared" si="18"/>
        <v>214.259937387964</v>
      </c>
      <c r="BA50" s="272">
        <f t="shared" si="19"/>
        <v>4897.3498921895</v>
      </c>
      <c r="BB50" s="272">
        <f t="shared" si="20"/>
        <v>11199.51</v>
      </c>
      <c r="BC50" s="272">
        <f t="shared" si="21"/>
        <v>10357.8509090909</v>
      </c>
      <c r="BD50" s="273">
        <f t="shared" si="22"/>
        <v>2616.49101690141</v>
      </c>
      <c r="BE50" s="274">
        <f t="shared" si="23"/>
        <v>0.252609449572687</v>
      </c>
      <c r="BF50" s="280"/>
      <c r="BG50" s="280" t="s">
        <v>91</v>
      </c>
      <c r="BH50" s="191"/>
    </row>
    <row r="51" ht="23.1" customHeight="1" spans="1:60">
      <c r="A51" s="285" t="s">
        <v>191</v>
      </c>
      <c r="B51" s="285" t="s">
        <v>192</v>
      </c>
      <c r="C51" s="243">
        <v>389</v>
      </c>
      <c r="D51" s="244">
        <v>372</v>
      </c>
      <c r="E51" s="247">
        <v>9211.49</v>
      </c>
      <c r="F51" s="246">
        <v>43</v>
      </c>
      <c r="G51" s="246">
        <v>37</v>
      </c>
      <c r="H51" s="247">
        <v>1010.09</v>
      </c>
      <c r="I51" s="247">
        <v>90.6</v>
      </c>
      <c r="J51" s="276">
        <v>39</v>
      </c>
      <c r="K51" s="249">
        <f t="shared" si="0"/>
        <v>0.10025706940874</v>
      </c>
      <c r="L51" s="250">
        <v>745.57</v>
      </c>
      <c r="M51" s="251">
        <f t="shared" si="1"/>
        <v>-0.210953346855984</v>
      </c>
      <c r="N51" s="249">
        <f t="shared" si="2"/>
        <v>-0.2</v>
      </c>
      <c r="O51" s="249">
        <f t="shared" si="3"/>
        <v>-0.179177653006032</v>
      </c>
      <c r="P51" s="252">
        <f t="shared" si="4"/>
        <v>1.04569892473118</v>
      </c>
      <c r="Q51" s="281">
        <f t="shared" si="5"/>
        <v>24.7620698924731</v>
      </c>
      <c r="R51" s="281">
        <f t="shared" si="6"/>
        <v>23.6799228791774</v>
      </c>
      <c r="S51" s="281">
        <f t="shared" si="59"/>
        <v>55.5714285714286</v>
      </c>
      <c r="T51" s="254">
        <f t="shared" si="8"/>
        <v>156</v>
      </c>
      <c r="U51" s="255">
        <f t="shared" si="9"/>
        <v>0.419354838709677</v>
      </c>
      <c r="V51" s="256">
        <f t="shared" si="10"/>
        <v>0.266632971124528</v>
      </c>
      <c r="W51" s="244">
        <v>205001</v>
      </c>
      <c r="X51" s="244">
        <v>2296</v>
      </c>
      <c r="Y51" s="244">
        <v>216</v>
      </c>
      <c r="Z51" s="257">
        <v>2431.93</v>
      </c>
      <c r="AA51" s="277">
        <v>5333.28</v>
      </c>
      <c r="AB51" s="245">
        <v>1.06</v>
      </c>
      <c r="AC51" s="259">
        <f t="shared" si="11"/>
        <v>0.455991434914349</v>
      </c>
      <c r="AD51" s="260">
        <f t="shared" ref="AD51:AF51" si="71">X51/W51</f>
        <v>0.0111999453661202</v>
      </c>
      <c r="AE51" s="260">
        <f t="shared" si="71"/>
        <v>0.0940766550522648</v>
      </c>
      <c r="AF51" s="253">
        <f t="shared" si="71"/>
        <v>11.2589351851852</v>
      </c>
      <c r="AG51" s="261">
        <v>78</v>
      </c>
      <c r="AH51" s="254">
        <v>139</v>
      </c>
      <c r="AI51" s="262">
        <v>160</v>
      </c>
      <c r="AJ51" s="263">
        <f>AG51*产品成本!$D$2+AH51*产品成本!$D$3+AI51*产品成本!$D$4</f>
        <v>988.028169014085</v>
      </c>
      <c r="AK51" s="263">
        <f>AG51*产品成本!$E$2+AH51*产品成本!$E$3+AI51*产品成本!$E$4</f>
        <v>73.9391788732394</v>
      </c>
      <c r="AL51" s="263">
        <f>AG51*产品成本!$F$2+AH51*产品成本!$F$3+AI51*产品成本!$F$4</f>
        <v>128.18</v>
      </c>
      <c r="AM51" s="263">
        <f>AG51*产品成本!$G$2+AH51*产品成本!$G$3+AI51*产品成本!$G$4</f>
        <v>1453.92</v>
      </c>
      <c r="AN51" s="263">
        <f t="shared" si="13"/>
        <v>1368.1335</v>
      </c>
      <c r="AO51" s="264">
        <f t="shared" si="14"/>
        <v>4012.20084788732</v>
      </c>
      <c r="AP51" s="265">
        <v>11</v>
      </c>
      <c r="AQ51" s="265">
        <v>10</v>
      </c>
      <c r="AR51" s="266">
        <v>15</v>
      </c>
      <c r="AS51" s="267">
        <f t="shared" si="15"/>
        <v>847.238636363636</v>
      </c>
      <c r="AT51" s="267">
        <f>AP51*产品成本!$D$2+AQ51*产品成本!$D$3+AR51*产品成本!$D$4</f>
        <v>94.0140845070423</v>
      </c>
      <c r="AU51" s="271">
        <f>AP51*产品成本!$E$2+AQ51*产品成本!$E$3+AR51*产品成本!$E$4</f>
        <v>6.98757887323943</v>
      </c>
      <c r="AV51" s="270">
        <f>AP51*产品成本!$F$2+AQ51*产品成本!$F$3+AR51*产品成本!$F$4</f>
        <v>12.24</v>
      </c>
      <c r="AW51" s="269"/>
      <c r="AX51" s="270">
        <f t="shared" si="16"/>
        <v>127.085795454545</v>
      </c>
      <c r="AY51" s="269">
        <f t="shared" si="17"/>
        <v>-25.4171590909091</v>
      </c>
      <c r="AZ51" s="271">
        <f t="shared" si="18"/>
        <v>214.910299743918</v>
      </c>
      <c r="BA51" s="272">
        <f t="shared" si="19"/>
        <v>3797.29054814341</v>
      </c>
      <c r="BB51" s="272">
        <f t="shared" si="20"/>
        <v>9120.89</v>
      </c>
      <c r="BC51" s="272">
        <f t="shared" si="21"/>
        <v>8273.65136363636</v>
      </c>
      <c r="BD51" s="273">
        <f t="shared" si="22"/>
        <v>2044.43081549296</v>
      </c>
      <c r="BE51" s="274">
        <f t="shared" si="23"/>
        <v>0.247101397634237</v>
      </c>
      <c r="BF51" s="278"/>
      <c r="BG51" s="278"/>
      <c r="BH51" s="191"/>
    </row>
    <row r="52" ht="23.1" customHeight="1" spans="1:60">
      <c r="A52" s="285" t="s">
        <v>193</v>
      </c>
      <c r="B52" s="285" t="s">
        <v>194</v>
      </c>
      <c r="C52" s="243">
        <v>488</v>
      </c>
      <c r="D52" s="244">
        <v>459</v>
      </c>
      <c r="E52" s="247">
        <v>10739.43</v>
      </c>
      <c r="F52" s="246">
        <v>73</v>
      </c>
      <c r="G52" s="246">
        <v>59</v>
      </c>
      <c r="H52" s="247">
        <v>1600.47</v>
      </c>
      <c r="I52" s="247">
        <v>149.07</v>
      </c>
      <c r="J52" s="276">
        <v>30</v>
      </c>
      <c r="K52" s="249">
        <f t="shared" si="0"/>
        <v>0.0614754098360656</v>
      </c>
      <c r="L52" s="250">
        <v>606.91</v>
      </c>
      <c r="M52" s="251">
        <f t="shared" si="1"/>
        <v>0.254498714652956</v>
      </c>
      <c r="N52" s="249">
        <f t="shared" si="2"/>
        <v>0.233870967741935</v>
      </c>
      <c r="O52" s="249">
        <f t="shared" si="3"/>
        <v>0.165873273487785</v>
      </c>
      <c r="P52" s="252">
        <f t="shared" si="4"/>
        <v>1.06318082788671</v>
      </c>
      <c r="Q52" s="281">
        <f t="shared" si="5"/>
        <v>23.3974509803922</v>
      </c>
      <c r="R52" s="281">
        <f t="shared" si="6"/>
        <v>22.0070286885246</v>
      </c>
      <c r="S52" s="281">
        <f t="shared" si="59"/>
        <v>69.7142857142857</v>
      </c>
      <c r="T52" s="254">
        <f t="shared" si="8"/>
        <v>159</v>
      </c>
      <c r="U52" s="255">
        <f t="shared" si="9"/>
        <v>0.34640522875817</v>
      </c>
      <c r="V52" s="256">
        <f t="shared" si="10"/>
        <v>0.279009401002421</v>
      </c>
      <c r="W52" s="244">
        <v>215670</v>
      </c>
      <c r="X52" s="244">
        <v>2743</v>
      </c>
      <c r="Y52" s="244">
        <v>300</v>
      </c>
      <c r="Z52" s="257">
        <v>2954.81</v>
      </c>
      <c r="AA52" s="277">
        <v>6866.78</v>
      </c>
      <c r="AB52" s="245">
        <v>1.08</v>
      </c>
      <c r="AC52" s="259">
        <f t="shared" si="11"/>
        <v>0.430305033800413</v>
      </c>
      <c r="AD52" s="260">
        <f t="shared" ref="AD52:AF52" si="72">X52/W52</f>
        <v>0.0127185051235684</v>
      </c>
      <c r="AE52" s="260">
        <f t="shared" si="72"/>
        <v>0.1093693036821</v>
      </c>
      <c r="AF52" s="253">
        <f t="shared" si="72"/>
        <v>9.84936666666667</v>
      </c>
      <c r="AG52" s="261">
        <v>120</v>
      </c>
      <c r="AH52" s="254">
        <v>207</v>
      </c>
      <c r="AI52" s="262">
        <v>161</v>
      </c>
      <c r="AJ52" s="263">
        <f>AG52*产品成本!$D$2+AH52*产品成本!$D$3+AI52*产品成本!$D$4</f>
        <v>1223.7323943662</v>
      </c>
      <c r="AK52" s="263">
        <f>AG52*产品成本!$E$2+AH52*产品成本!$E$3+AI52*产品成本!$E$4</f>
        <v>94.550404225352</v>
      </c>
      <c r="AL52" s="263">
        <f>AG52*产品成本!$F$2+AH52*产品成本!$F$3+AI52*产品成本!$F$4</f>
        <v>165.92</v>
      </c>
      <c r="AM52" s="263">
        <f>AG52*产品成本!$G$2+AH52*产品成本!$G$3+AI52*产品成本!$G$4</f>
        <v>1878</v>
      </c>
      <c r="AN52" s="263">
        <f t="shared" si="13"/>
        <v>1588.554</v>
      </c>
      <c r="AO52" s="264">
        <f t="shared" si="14"/>
        <v>4950.75679859155</v>
      </c>
      <c r="AP52" s="265">
        <v>8</v>
      </c>
      <c r="AQ52" s="265">
        <v>11</v>
      </c>
      <c r="AR52" s="266">
        <v>11</v>
      </c>
      <c r="AS52" s="267">
        <f t="shared" si="15"/>
        <v>689.670454545455</v>
      </c>
      <c r="AT52" s="267">
        <f>AP52*产品成本!$D$2+AQ52*产品成本!$D$3+AR52*产品成本!$D$4</f>
        <v>76.5492957746479</v>
      </c>
      <c r="AU52" s="271">
        <f>AP52*产品成本!$E$2+AQ52*产品成本!$E$3+AR52*产品成本!$E$4</f>
        <v>5.81954788732394</v>
      </c>
      <c r="AV52" s="270">
        <f>AP52*产品成本!$F$2+AQ52*产品成本!$F$3+AR52*产品成本!$F$4</f>
        <v>10.2</v>
      </c>
      <c r="AW52" s="269"/>
      <c r="AX52" s="270">
        <f t="shared" si="16"/>
        <v>103.450568181818</v>
      </c>
      <c r="AY52" s="269">
        <f t="shared" si="17"/>
        <v>-20.6901136363636</v>
      </c>
      <c r="AZ52" s="271">
        <f t="shared" si="18"/>
        <v>175.329298207426</v>
      </c>
      <c r="BA52" s="272">
        <f t="shared" si="19"/>
        <v>4775.42750038412</v>
      </c>
      <c r="BB52" s="272">
        <f t="shared" si="20"/>
        <v>10590.36</v>
      </c>
      <c r="BC52" s="272">
        <f t="shared" si="21"/>
        <v>9900.68954545455</v>
      </c>
      <c r="BD52" s="273">
        <f t="shared" si="22"/>
        <v>2170.45204507042</v>
      </c>
      <c r="BE52" s="274">
        <f t="shared" si="23"/>
        <v>0.219222311244664</v>
      </c>
      <c r="BF52" s="280"/>
      <c r="BG52" s="280"/>
      <c r="BH52" s="191"/>
    </row>
    <row r="53" ht="23.1" customHeight="1" spans="1:60">
      <c r="A53" s="285" t="s">
        <v>195</v>
      </c>
      <c r="B53" s="285" t="s">
        <v>196</v>
      </c>
      <c r="C53" s="243">
        <v>620</v>
      </c>
      <c r="D53" s="244">
        <v>584</v>
      </c>
      <c r="E53" s="247">
        <v>12681.75</v>
      </c>
      <c r="F53" s="246">
        <v>32</v>
      </c>
      <c r="G53" s="246">
        <v>21</v>
      </c>
      <c r="H53" s="247">
        <v>750.03</v>
      </c>
      <c r="I53" s="247">
        <v>55.44</v>
      </c>
      <c r="J53" s="276">
        <v>31</v>
      </c>
      <c r="K53" s="249">
        <f t="shared" si="0"/>
        <v>0.05</v>
      </c>
      <c r="L53" s="250">
        <v>592.98</v>
      </c>
      <c r="M53" s="251">
        <f t="shared" si="1"/>
        <v>0.270491803278689</v>
      </c>
      <c r="N53" s="249">
        <f t="shared" si="2"/>
        <v>0.272331154684096</v>
      </c>
      <c r="O53" s="249">
        <f t="shared" si="3"/>
        <v>0.180858760660482</v>
      </c>
      <c r="P53" s="252">
        <f t="shared" si="4"/>
        <v>1.06164383561644</v>
      </c>
      <c r="Q53" s="281">
        <f t="shared" si="5"/>
        <v>21.7153253424658</v>
      </c>
      <c r="R53" s="281">
        <f t="shared" si="6"/>
        <v>20.454435483871</v>
      </c>
      <c r="S53" s="281">
        <f t="shared" si="59"/>
        <v>88.5714285714286</v>
      </c>
      <c r="T53" s="254">
        <f t="shared" si="8"/>
        <v>193</v>
      </c>
      <c r="U53" s="255">
        <f t="shared" si="9"/>
        <v>0.330479452054795</v>
      </c>
      <c r="V53" s="256">
        <f t="shared" si="10"/>
        <v>0.255496657376542</v>
      </c>
      <c r="W53" s="244">
        <v>245287</v>
      </c>
      <c r="X53" s="244">
        <v>2996</v>
      </c>
      <c r="Y53" s="244">
        <v>391</v>
      </c>
      <c r="Z53" s="257">
        <v>3225.98</v>
      </c>
      <c r="AA53" s="277">
        <v>8335.08</v>
      </c>
      <c r="AB53" s="245">
        <v>1.08</v>
      </c>
      <c r="AC53" s="259">
        <f t="shared" si="11"/>
        <v>0.387036477154388</v>
      </c>
      <c r="AD53" s="260">
        <f t="shared" ref="AD53:AF53" si="73">X53/W53</f>
        <v>0.0122142632915727</v>
      </c>
      <c r="AE53" s="260">
        <f t="shared" si="73"/>
        <v>0.130507343124166</v>
      </c>
      <c r="AF53" s="253">
        <f t="shared" si="73"/>
        <v>8.25058823529412</v>
      </c>
      <c r="AG53" s="261">
        <v>155</v>
      </c>
      <c r="AH53" s="254">
        <v>221</v>
      </c>
      <c r="AI53" s="262">
        <v>244</v>
      </c>
      <c r="AJ53" s="263">
        <f>AG53*产品成本!$D$2+AH53*产品成本!$D$3+AI53*产品成本!$D$4</f>
        <v>1601.97183098592</v>
      </c>
      <c r="AK53" s="263">
        <f>AG53*产品成本!$E$2+AH53*产品成本!$E$3+AI53*产品成本!$E$4</f>
        <v>120.755712676056</v>
      </c>
      <c r="AL53" s="263">
        <f>AG53*产品成本!$F$2+AH53*产品成本!$F$3+AI53*产品成本!$F$4</f>
        <v>210.8</v>
      </c>
      <c r="AM53" s="263">
        <f>AG53*产品成本!$G$2+AH53*产品成本!$G$3+AI53*产品成本!$G$4</f>
        <v>2385.45</v>
      </c>
      <c r="AN53" s="263">
        <f t="shared" si="13"/>
        <v>1893.9465</v>
      </c>
      <c r="AO53" s="264">
        <f t="shared" si="14"/>
        <v>6212.92404366197</v>
      </c>
      <c r="AP53" s="265">
        <v>10</v>
      </c>
      <c r="AQ53" s="265">
        <v>9</v>
      </c>
      <c r="AR53" s="266">
        <v>12</v>
      </c>
      <c r="AS53" s="267">
        <f t="shared" si="15"/>
        <v>673.840909090909</v>
      </c>
      <c r="AT53" s="267">
        <f>AP53*产品成本!$D$2+AQ53*产品成本!$D$3+AR53*产品成本!$D$4</f>
        <v>79.8591549295775</v>
      </c>
      <c r="AU53" s="271">
        <f>AP53*产品成本!$E$2+AQ53*产品成本!$E$3+AR53*产品成本!$E$4</f>
        <v>5.99118169014084</v>
      </c>
      <c r="AV53" s="270">
        <f>AP53*产品成本!$F$2+AQ53*产品成本!$F$3+AR53*产品成本!$F$4</f>
        <v>10.54</v>
      </c>
      <c r="AW53" s="269"/>
      <c r="AX53" s="270">
        <f t="shared" si="16"/>
        <v>101.076136363636</v>
      </c>
      <c r="AY53" s="269">
        <f t="shared" si="17"/>
        <v>-20.2152272727273</v>
      </c>
      <c r="AZ53" s="271">
        <f t="shared" si="18"/>
        <v>177.251245710627</v>
      </c>
      <c r="BA53" s="272">
        <f t="shared" si="19"/>
        <v>6035.67279795135</v>
      </c>
      <c r="BB53" s="272">
        <f t="shared" si="20"/>
        <v>12626.31</v>
      </c>
      <c r="BC53" s="272">
        <f t="shared" si="21"/>
        <v>11952.4690909091</v>
      </c>
      <c r="BD53" s="273">
        <f t="shared" si="22"/>
        <v>2690.81629295774</v>
      </c>
      <c r="BE53" s="274">
        <f t="shared" si="23"/>
        <v>0.225126396269399</v>
      </c>
      <c r="BF53" s="278"/>
      <c r="BG53" s="278" t="s">
        <v>197</v>
      </c>
      <c r="BH53" s="191"/>
    </row>
    <row r="54" ht="23.1" customHeight="1" spans="1:60">
      <c r="A54" s="285" t="s">
        <v>198</v>
      </c>
      <c r="B54" s="285" t="s">
        <v>199</v>
      </c>
      <c r="C54" s="243">
        <v>436</v>
      </c>
      <c r="D54" s="244">
        <v>415</v>
      </c>
      <c r="E54" s="247">
        <v>9798.42</v>
      </c>
      <c r="F54" s="246">
        <v>54</v>
      </c>
      <c r="G54" s="246">
        <v>47</v>
      </c>
      <c r="H54" s="247">
        <v>1197.41</v>
      </c>
      <c r="I54" s="247">
        <v>108.15</v>
      </c>
      <c r="J54" s="289">
        <v>56</v>
      </c>
      <c r="K54" s="290">
        <f t="shared" si="0"/>
        <v>0.128440366972477</v>
      </c>
      <c r="L54" s="291">
        <v>906.05</v>
      </c>
      <c r="M54" s="251">
        <f t="shared" si="1"/>
        <v>-0.296774193548387</v>
      </c>
      <c r="N54" s="249">
        <f t="shared" si="2"/>
        <v>-0.289383561643836</v>
      </c>
      <c r="O54" s="249">
        <f t="shared" si="3"/>
        <v>-0.227360577207404</v>
      </c>
      <c r="P54" s="252">
        <f t="shared" si="4"/>
        <v>1.05060240963855</v>
      </c>
      <c r="Q54" s="281">
        <f t="shared" si="5"/>
        <v>23.6106506024096</v>
      </c>
      <c r="R54" s="281">
        <f t="shared" si="6"/>
        <v>22.4734403669725</v>
      </c>
      <c r="S54" s="281">
        <f t="shared" si="59"/>
        <v>62.2857142857143</v>
      </c>
      <c r="T54" s="254">
        <f t="shared" si="8"/>
        <v>146</v>
      </c>
      <c r="U54" s="255">
        <f t="shared" si="9"/>
        <v>0.351807228915663</v>
      </c>
      <c r="V54" s="256">
        <f t="shared" si="10"/>
        <v>0.248678313400968</v>
      </c>
      <c r="W54" s="244">
        <v>221059</v>
      </c>
      <c r="X54" s="244">
        <v>2304</v>
      </c>
      <c r="Y54" s="244">
        <v>269</v>
      </c>
      <c r="Z54" s="257">
        <v>2409.76</v>
      </c>
      <c r="AA54" s="277">
        <v>6239.78</v>
      </c>
      <c r="AB54" s="245">
        <v>1.05</v>
      </c>
      <c r="AC54" s="259">
        <f t="shared" si="11"/>
        <v>0.386193102961963</v>
      </c>
      <c r="AD54" s="260">
        <f t="shared" ref="AD54:AF54" si="74">X54/W54</f>
        <v>0.0104225568739567</v>
      </c>
      <c r="AE54" s="260">
        <f t="shared" si="74"/>
        <v>0.116753472222222</v>
      </c>
      <c r="AF54" s="253">
        <f t="shared" si="74"/>
        <v>8.9582156133829</v>
      </c>
      <c r="AG54" s="261">
        <v>130</v>
      </c>
      <c r="AH54" s="254">
        <v>145</v>
      </c>
      <c r="AI54" s="262">
        <v>161</v>
      </c>
      <c r="AJ54" s="263">
        <f>AG54*产品成本!$D$2+AH54*产品成本!$D$3+AI54*产品成本!$D$4</f>
        <v>1113.87323943662</v>
      </c>
      <c r="AK54" s="263">
        <f>AG54*产品成本!$E$2+AH54*产品成本!$E$3+AI54*产品成本!$E$4</f>
        <v>84.3334859154929</v>
      </c>
      <c r="AL54" s="263">
        <f>AG54*产品成本!$F$2+AH54*产品成本!$F$3+AI54*产品成本!$F$4</f>
        <v>148.24</v>
      </c>
      <c r="AM54" s="263">
        <f>AG54*产品成本!$G$2+AH54*产品成本!$G$3+AI54*产品成本!$G$4</f>
        <v>1673.1</v>
      </c>
      <c r="AN54" s="263">
        <f t="shared" si="13"/>
        <v>1453.5405</v>
      </c>
      <c r="AO54" s="264">
        <f t="shared" si="14"/>
        <v>4473.08722535211</v>
      </c>
      <c r="AP54" s="265">
        <v>16</v>
      </c>
      <c r="AQ54" s="265">
        <v>17</v>
      </c>
      <c r="AR54" s="266">
        <v>23</v>
      </c>
      <c r="AS54" s="267">
        <f t="shared" si="15"/>
        <v>1029.60227272727</v>
      </c>
      <c r="AT54" s="267">
        <f>AP54*产品成本!$D$2+AQ54*产品成本!$D$3+AR54*产品成本!$D$4</f>
        <v>145.845070422535</v>
      </c>
      <c r="AU54" s="271">
        <f>AP54*产品成本!$E$2+AQ54*产品成本!$E$3+AR54*产品成本!$E$4</f>
        <v>10.8851450704225</v>
      </c>
      <c r="AV54" s="270">
        <f>AP54*产品成本!$F$2+AQ54*产品成本!$F$3+AR54*产品成本!$F$4</f>
        <v>19.04</v>
      </c>
      <c r="AW54" s="269"/>
      <c r="AX54" s="270">
        <f t="shared" si="16"/>
        <v>154.440340909091</v>
      </c>
      <c r="AY54" s="269">
        <f t="shared" si="17"/>
        <v>-30.8880681818182</v>
      </c>
      <c r="AZ54" s="271">
        <f t="shared" si="18"/>
        <v>299.322488220231</v>
      </c>
      <c r="BA54" s="272">
        <f t="shared" si="19"/>
        <v>4173.76473713188</v>
      </c>
      <c r="BB54" s="272">
        <f t="shared" si="20"/>
        <v>9690.27</v>
      </c>
      <c r="BC54" s="272">
        <f t="shared" si="21"/>
        <v>8660.66772727273</v>
      </c>
      <c r="BD54" s="273">
        <f t="shared" si="22"/>
        <v>2077.14299014084</v>
      </c>
      <c r="BE54" s="274">
        <f t="shared" si="23"/>
        <v>0.239836356219954</v>
      </c>
      <c r="BF54" s="280"/>
      <c r="BG54" s="280"/>
      <c r="BH54" s="191"/>
    </row>
    <row r="55" ht="23.1" customHeight="1" spans="1:60">
      <c r="A55" s="285" t="s">
        <v>200</v>
      </c>
      <c r="B55" s="285" t="s">
        <v>201</v>
      </c>
      <c r="C55" s="243">
        <v>424</v>
      </c>
      <c r="D55" s="244">
        <v>408</v>
      </c>
      <c r="E55" s="247">
        <v>9547.58</v>
      </c>
      <c r="F55" s="246">
        <v>35</v>
      </c>
      <c r="G55" s="246">
        <v>33</v>
      </c>
      <c r="H55" s="247">
        <v>804.25</v>
      </c>
      <c r="I55" s="247">
        <v>78.54</v>
      </c>
      <c r="J55" s="289">
        <v>30</v>
      </c>
      <c r="K55" s="290">
        <f t="shared" si="0"/>
        <v>0.0707547169811321</v>
      </c>
      <c r="L55" s="291">
        <v>583.25</v>
      </c>
      <c r="M55" s="251">
        <f t="shared" si="1"/>
        <v>-0.0275229357798165</v>
      </c>
      <c r="N55" s="249">
        <f t="shared" si="2"/>
        <v>-0.0168674698795181</v>
      </c>
      <c r="O55" s="249">
        <f t="shared" si="3"/>
        <v>-0.0256000457216572</v>
      </c>
      <c r="P55" s="252">
        <f t="shared" si="4"/>
        <v>1.03921568627451</v>
      </c>
      <c r="Q55" s="281">
        <f t="shared" si="5"/>
        <v>23.400931372549</v>
      </c>
      <c r="R55" s="281">
        <f t="shared" si="6"/>
        <v>22.5178773584906</v>
      </c>
      <c r="S55" s="281">
        <f t="shared" si="59"/>
        <v>60.5714285714286</v>
      </c>
      <c r="T55" s="254">
        <f t="shared" si="8"/>
        <v>159</v>
      </c>
      <c r="U55" s="255">
        <f t="shared" si="9"/>
        <v>0.389705882352941</v>
      </c>
      <c r="V55" s="256">
        <f t="shared" si="10"/>
        <v>0.261029629191555</v>
      </c>
      <c r="W55" s="244">
        <v>224559</v>
      </c>
      <c r="X55" s="244">
        <v>2317</v>
      </c>
      <c r="Y55" s="244">
        <v>249</v>
      </c>
      <c r="Z55" s="257">
        <v>2471.7</v>
      </c>
      <c r="AA55" s="277">
        <v>5757.73</v>
      </c>
      <c r="AB55" s="245">
        <v>1.07</v>
      </c>
      <c r="AC55" s="259">
        <f t="shared" si="11"/>
        <v>0.429283762871826</v>
      </c>
      <c r="AD55" s="260">
        <f t="shared" ref="AD55:AF55" si="75">X55/W55</f>
        <v>0.0103180010598551</v>
      </c>
      <c r="AE55" s="260">
        <f t="shared" si="75"/>
        <v>0.107466551575313</v>
      </c>
      <c r="AF55" s="253">
        <f t="shared" si="75"/>
        <v>9.92650602409639</v>
      </c>
      <c r="AG55" s="261">
        <v>107</v>
      </c>
      <c r="AH55" s="254">
        <v>150</v>
      </c>
      <c r="AI55" s="262">
        <v>155</v>
      </c>
      <c r="AJ55" s="263">
        <f>AG55*产品成本!$D$2+AH55*产品成本!$D$3+AI55*产品成本!$D$4</f>
        <v>1055.98591549296</v>
      </c>
      <c r="AK55" s="263">
        <f>AG55*产品成本!$E$2+AH55*产品成本!$E$3+AI55*产品成本!$E$4</f>
        <v>80.0444746478872</v>
      </c>
      <c r="AL55" s="263">
        <f>AG55*产品成本!$F$2+AH55*产品成本!$F$3+AI55*产品成本!$F$4</f>
        <v>140.08</v>
      </c>
      <c r="AM55" s="263">
        <f>AG55*产品成本!$G$2+AH55*产品成本!$G$3+AI55*产品成本!$G$4</f>
        <v>1584.33</v>
      </c>
      <c r="AN55" s="263">
        <f t="shared" si="13"/>
        <v>1420.356</v>
      </c>
      <c r="AO55" s="264">
        <f t="shared" si="14"/>
        <v>4280.79639014085</v>
      </c>
      <c r="AP55" s="265">
        <v>8</v>
      </c>
      <c r="AQ55" s="265">
        <v>9</v>
      </c>
      <c r="AR55" s="266">
        <v>13</v>
      </c>
      <c r="AS55" s="267">
        <f t="shared" si="15"/>
        <v>662.784090909091</v>
      </c>
      <c r="AT55" s="267">
        <f>AP55*产品成本!$D$2+AQ55*产品成本!$D$3+AR55*产品成本!$D$4</f>
        <v>78.943661971831</v>
      </c>
      <c r="AU55" s="271">
        <f>AP55*产品成本!$E$2+AQ55*产品成本!$E$3+AR55*产品成本!$E$4</f>
        <v>5.8539676056338</v>
      </c>
      <c r="AV55" s="270">
        <f>AP55*产品成本!$F$2+AQ55*产品成本!$F$3+AR55*产品成本!$F$4</f>
        <v>10.2</v>
      </c>
      <c r="AW55" s="269"/>
      <c r="AX55" s="270">
        <f t="shared" si="16"/>
        <v>99.4176136363636</v>
      </c>
      <c r="AY55" s="269">
        <f t="shared" si="17"/>
        <v>-19.8835227272727</v>
      </c>
      <c r="AZ55" s="271">
        <f t="shared" si="18"/>
        <v>174.531720486556</v>
      </c>
      <c r="BA55" s="272">
        <f t="shared" si="19"/>
        <v>4106.26466965429</v>
      </c>
      <c r="BB55" s="272">
        <f t="shared" si="20"/>
        <v>9469.04</v>
      </c>
      <c r="BC55" s="272">
        <f t="shared" si="21"/>
        <v>8806.25590909091</v>
      </c>
      <c r="BD55" s="273">
        <f t="shared" si="22"/>
        <v>2228.29123943662</v>
      </c>
      <c r="BE55" s="274">
        <f t="shared" si="23"/>
        <v>0.253035031282284</v>
      </c>
      <c r="BF55" s="278"/>
      <c r="BG55" s="278"/>
      <c r="BH55" s="191"/>
    </row>
    <row r="56" ht="23.1" customHeight="1" spans="1:60">
      <c r="A56" s="285" t="s">
        <v>202</v>
      </c>
      <c r="B56" s="285" t="s">
        <v>203</v>
      </c>
      <c r="C56" s="243">
        <v>469</v>
      </c>
      <c r="D56" s="244">
        <v>450</v>
      </c>
      <c r="E56" s="247">
        <v>10255.03</v>
      </c>
      <c r="F56" s="246">
        <v>63</v>
      </c>
      <c r="G56" s="246">
        <v>59</v>
      </c>
      <c r="H56" s="247">
        <v>1388.87</v>
      </c>
      <c r="I56" s="247">
        <v>134.71</v>
      </c>
      <c r="J56" s="289">
        <v>39</v>
      </c>
      <c r="K56" s="290">
        <f t="shared" si="0"/>
        <v>0.0831556503198294</v>
      </c>
      <c r="L56" s="291">
        <v>750.42</v>
      </c>
      <c r="M56" s="251">
        <f t="shared" si="1"/>
        <v>0.106132075471698</v>
      </c>
      <c r="N56" s="249">
        <f t="shared" si="2"/>
        <v>0.102941176470588</v>
      </c>
      <c r="O56" s="249">
        <f t="shared" si="3"/>
        <v>0.0740973105226665</v>
      </c>
      <c r="P56" s="252">
        <f t="shared" si="4"/>
        <v>1.04222222222222</v>
      </c>
      <c r="Q56" s="281">
        <f t="shared" si="5"/>
        <v>22.7889555555556</v>
      </c>
      <c r="R56" s="281">
        <f t="shared" si="6"/>
        <v>21.8657356076759</v>
      </c>
      <c r="S56" s="281">
        <f t="shared" si="59"/>
        <v>67</v>
      </c>
      <c r="T56" s="254">
        <f t="shared" si="8"/>
        <v>185</v>
      </c>
      <c r="U56" s="255">
        <f t="shared" si="9"/>
        <v>0.411111111111111</v>
      </c>
      <c r="V56" s="256">
        <f t="shared" si="10"/>
        <v>0.248502023651426</v>
      </c>
      <c r="W56" s="244">
        <v>211588</v>
      </c>
      <c r="X56" s="244">
        <v>2321</v>
      </c>
      <c r="Y56" s="244">
        <v>265</v>
      </c>
      <c r="Z56" s="257">
        <v>2514.92</v>
      </c>
      <c r="AA56" s="277">
        <v>5934.57</v>
      </c>
      <c r="AB56" s="245">
        <v>1.08</v>
      </c>
      <c r="AC56" s="259">
        <f t="shared" si="11"/>
        <v>0.423774595295026</v>
      </c>
      <c r="AD56" s="260">
        <f t="shared" ref="AD56:AF56" si="76">X56/W56</f>
        <v>0.0109694311586668</v>
      </c>
      <c r="AE56" s="260">
        <f t="shared" si="76"/>
        <v>0.114174924601465</v>
      </c>
      <c r="AF56" s="253">
        <f t="shared" si="76"/>
        <v>9.4902641509434</v>
      </c>
      <c r="AG56" s="261">
        <v>140</v>
      </c>
      <c r="AH56" s="254">
        <v>146</v>
      </c>
      <c r="AI56" s="262">
        <v>183</v>
      </c>
      <c r="AJ56" s="263">
        <f>AG56*产品成本!$D$2+AH56*产品成本!$D$3+AI56*产品成本!$D$4</f>
        <v>1209.92957746479</v>
      </c>
      <c r="AK56" s="263">
        <f>AG56*产品成本!$E$2+AH56*产品成本!$E$3+AI56*产品成本!$E$4</f>
        <v>90.8823464788732</v>
      </c>
      <c r="AL56" s="263">
        <f>AG56*产品成本!$F$2+AH56*产品成本!$F$3+AI56*产品成本!$F$4</f>
        <v>159.46</v>
      </c>
      <c r="AM56" s="263">
        <f>AG56*产品成本!$G$2+AH56*产品成本!$G$3+AI56*产品成本!$G$4</f>
        <v>1799.7</v>
      </c>
      <c r="AN56" s="263">
        <f t="shared" si="13"/>
        <v>1518.048</v>
      </c>
      <c r="AO56" s="264">
        <f t="shared" si="14"/>
        <v>4778.01992394366</v>
      </c>
      <c r="AP56" s="265">
        <v>11</v>
      </c>
      <c r="AQ56" s="265">
        <v>13</v>
      </c>
      <c r="AR56" s="266">
        <v>15</v>
      </c>
      <c r="AS56" s="267">
        <f t="shared" si="15"/>
        <v>852.75</v>
      </c>
      <c r="AT56" s="267">
        <f>AP56*产品成本!$D$2+AQ56*产品成本!$D$3+AR56*产品成本!$D$4</f>
        <v>100.352112676056</v>
      </c>
      <c r="AU56" s="271">
        <f>AP56*产品成本!$E$2+AQ56*产品成本!$E$3+AR56*产品成本!$E$4</f>
        <v>7.56594929577464</v>
      </c>
      <c r="AV56" s="270">
        <f>AP56*产品成本!$F$2+AQ56*产品成本!$F$3+AR56*产品成本!$F$4</f>
        <v>13.26</v>
      </c>
      <c r="AW56" s="269"/>
      <c r="AX56" s="270">
        <f t="shared" si="16"/>
        <v>127.9125</v>
      </c>
      <c r="AY56" s="269">
        <f t="shared" si="17"/>
        <v>-25.5825</v>
      </c>
      <c r="AZ56" s="271">
        <f t="shared" si="18"/>
        <v>223.508061971831</v>
      </c>
      <c r="BA56" s="272">
        <f t="shared" si="19"/>
        <v>4554.51186197183</v>
      </c>
      <c r="BB56" s="272">
        <f t="shared" si="20"/>
        <v>10120.32</v>
      </c>
      <c r="BC56" s="272">
        <f t="shared" si="21"/>
        <v>9267.57</v>
      </c>
      <c r="BD56" s="273">
        <f t="shared" si="22"/>
        <v>2198.13813802817</v>
      </c>
      <c r="BE56" s="274">
        <f t="shared" si="23"/>
        <v>0.237186030213764</v>
      </c>
      <c r="BF56" s="280"/>
      <c r="BG56" s="280" t="s">
        <v>204</v>
      </c>
      <c r="BH56" s="191"/>
    </row>
    <row r="57" ht="23.1" customHeight="1" spans="1:60">
      <c r="A57" s="285" t="s">
        <v>205</v>
      </c>
      <c r="B57" s="285" t="s">
        <v>206</v>
      </c>
      <c r="C57" s="243">
        <v>427</v>
      </c>
      <c r="D57" s="244">
        <v>397</v>
      </c>
      <c r="E57" s="247">
        <v>9395.43</v>
      </c>
      <c r="F57" s="246">
        <v>63</v>
      </c>
      <c r="G57" s="246">
        <v>44</v>
      </c>
      <c r="H57" s="247">
        <v>1363.57</v>
      </c>
      <c r="I57" s="247">
        <v>137.14</v>
      </c>
      <c r="J57" s="289">
        <v>41</v>
      </c>
      <c r="K57" s="290">
        <f t="shared" si="0"/>
        <v>0.0960187353629977</v>
      </c>
      <c r="L57" s="291">
        <v>781.55</v>
      </c>
      <c r="M57" s="251">
        <f t="shared" si="1"/>
        <v>-0.0895522388059701</v>
      </c>
      <c r="N57" s="249">
        <f t="shared" si="2"/>
        <v>-0.117777777777778</v>
      </c>
      <c r="O57" s="249">
        <f t="shared" si="3"/>
        <v>-0.0838222803833826</v>
      </c>
      <c r="P57" s="252">
        <f t="shared" si="4"/>
        <v>1.07556675062972</v>
      </c>
      <c r="Q57" s="281">
        <f t="shared" si="5"/>
        <v>23.6660705289673</v>
      </c>
      <c r="R57" s="281">
        <f t="shared" si="6"/>
        <v>22.0033489461358</v>
      </c>
      <c r="S57" s="281">
        <f t="shared" si="59"/>
        <v>61</v>
      </c>
      <c r="T57" s="254">
        <f t="shared" si="8"/>
        <v>92</v>
      </c>
      <c r="U57" s="255">
        <f t="shared" si="9"/>
        <v>0.231738035264484</v>
      </c>
      <c r="V57" s="256">
        <f t="shared" si="10"/>
        <v>0.320924274353039</v>
      </c>
      <c r="W57" s="244">
        <v>247317</v>
      </c>
      <c r="X57" s="244">
        <v>2759</v>
      </c>
      <c r="Y57" s="244">
        <v>305</v>
      </c>
      <c r="Z57" s="257">
        <v>2971.21</v>
      </c>
      <c r="AA57" s="277">
        <v>6972.09</v>
      </c>
      <c r="AB57" s="245">
        <v>1.08</v>
      </c>
      <c r="AC57" s="259">
        <f t="shared" si="11"/>
        <v>0.426157723150447</v>
      </c>
      <c r="AD57" s="260">
        <f t="shared" ref="AD57:AF57" si="77">X57/W57</f>
        <v>0.0111557232216144</v>
      </c>
      <c r="AE57" s="260">
        <f t="shared" si="77"/>
        <v>0.110547299746285</v>
      </c>
      <c r="AF57" s="253">
        <f t="shared" si="77"/>
        <v>9.74167213114754</v>
      </c>
      <c r="AG57" s="261">
        <v>117</v>
      </c>
      <c r="AH57" s="254">
        <v>107</v>
      </c>
      <c r="AI57" s="262">
        <v>203</v>
      </c>
      <c r="AJ57" s="263">
        <f>AG57*产品成本!$D$2+AH57*产品成本!$D$3+AI57*产品成本!$D$4</f>
        <v>1145.14084507042</v>
      </c>
      <c r="AK57" s="263">
        <f>AG57*产品成本!$E$2+AH57*产品成本!$E$3+AI57*产品成本!$E$4</f>
        <v>83.5705690140844</v>
      </c>
      <c r="AL57" s="263">
        <f>AG57*产品成本!$F$2+AH57*产品成本!$F$3+AI57*产品成本!$F$4</f>
        <v>145.18</v>
      </c>
      <c r="AM57" s="263">
        <f>AG57*产品成本!$G$2+AH57*产品成本!$G$3+AI57*产品成本!$G$4</f>
        <v>1640.73</v>
      </c>
      <c r="AN57" s="263">
        <f t="shared" si="13"/>
        <v>1388.7435</v>
      </c>
      <c r="AO57" s="264">
        <f t="shared" si="14"/>
        <v>4403.36491408451</v>
      </c>
      <c r="AP57" s="265">
        <v>11</v>
      </c>
      <c r="AQ57" s="265">
        <v>14</v>
      </c>
      <c r="AR57" s="266">
        <v>16</v>
      </c>
      <c r="AS57" s="267">
        <f t="shared" si="15"/>
        <v>888.125</v>
      </c>
      <c r="AT57" s="267">
        <f>AP57*产品成本!$D$2+AQ57*产品成本!$D$3+AR57*产品成本!$D$4</f>
        <v>105.774647887324</v>
      </c>
      <c r="AU57" s="271">
        <f>AP57*产品成本!$E$2+AQ57*产品成本!$E$3+AR57*产品成本!$E$4</f>
        <v>7.96873943661971</v>
      </c>
      <c r="AV57" s="270">
        <f>AP57*产品成本!$F$2+AQ57*产品成本!$F$3+AR57*产品成本!$F$4</f>
        <v>13.94</v>
      </c>
      <c r="AW57" s="269"/>
      <c r="AX57" s="270">
        <f t="shared" si="16"/>
        <v>133.21875</v>
      </c>
      <c r="AY57" s="269">
        <f t="shared" si="17"/>
        <v>-26.64375</v>
      </c>
      <c r="AZ57" s="271">
        <f t="shared" si="18"/>
        <v>234.258387323944</v>
      </c>
      <c r="BA57" s="272">
        <f t="shared" si="19"/>
        <v>4169.10652676056</v>
      </c>
      <c r="BB57" s="272">
        <f t="shared" si="20"/>
        <v>9258.29</v>
      </c>
      <c r="BC57" s="272">
        <f t="shared" si="21"/>
        <v>8370.165</v>
      </c>
      <c r="BD57" s="273">
        <f t="shared" si="22"/>
        <v>1229.84847323944</v>
      </c>
      <c r="BE57" s="274">
        <f t="shared" si="23"/>
        <v>0.146932404945355</v>
      </c>
      <c r="BF57" s="278"/>
      <c r="BG57" s="278" t="s">
        <v>207</v>
      </c>
      <c r="BH57" s="191"/>
    </row>
    <row r="58" ht="23.1" customHeight="1" spans="1:60">
      <c r="A58" s="285" t="s">
        <v>208</v>
      </c>
      <c r="B58" s="285" t="s">
        <v>209</v>
      </c>
      <c r="C58" s="243">
        <v>446</v>
      </c>
      <c r="D58" s="244">
        <v>427</v>
      </c>
      <c r="E58" s="247">
        <v>9900.95</v>
      </c>
      <c r="F58" s="246">
        <v>54</v>
      </c>
      <c r="G58" s="246">
        <v>47</v>
      </c>
      <c r="H58" s="247">
        <v>1202.06</v>
      </c>
      <c r="I58" s="247">
        <v>107.8</v>
      </c>
      <c r="J58" s="289">
        <v>35</v>
      </c>
      <c r="K58" s="290">
        <f t="shared" si="0"/>
        <v>0.07847533632287</v>
      </c>
      <c r="L58" s="291">
        <v>672.99</v>
      </c>
      <c r="M58" s="251">
        <f t="shared" si="1"/>
        <v>0.0444964871194379</v>
      </c>
      <c r="N58" s="249">
        <f t="shared" si="2"/>
        <v>0.0755667506297229</v>
      </c>
      <c r="O58" s="249">
        <f t="shared" si="3"/>
        <v>0.0538048817350563</v>
      </c>
      <c r="P58" s="252">
        <f t="shared" si="4"/>
        <v>1.04449648711944</v>
      </c>
      <c r="Q58" s="281">
        <f t="shared" si="5"/>
        <v>23.1872365339578</v>
      </c>
      <c r="R58" s="281">
        <f t="shared" si="6"/>
        <v>22.1994394618834</v>
      </c>
      <c r="S58" s="281">
        <f t="shared" si="59"/>
        <v>63.7142857142857</v>
      </c>
      <c r="T58" s="254">
        <f t="shared" si="8"/>
        <v>158</v>
      </c>
      <c r="U58" s="255">
        <f t="shared" si="9"/>
        <v>0.370023419203747</v>
      </c>
      <c r="V58" s="256">
        <f t="shared" si="10"/>
        <v>0.279549481014791</v>
      </c>
      <c r="W58" s="244">
        <v>199927</v>
      </c>
      <c r="X58" s="244">
        <v>2528</v>
      </c>
      <c r="Y58" s="244">
        <v>269</v>
      </c>
      <c r="Z58" s="257">
        <v>2737.67</v>
      </c>
      <c r="AA58" s="277">
        <v>6107.72</v>
      </c>
      <c r="AB58" s="245">
        <v>1.08</v>
      </c>
      <c r="AC58" s="259">
        <f t="shared" si="11"/>
        <v>0.448231091143667</v>
      </c>
      <c r="AD58" s="260">
        <f t="shared" ref="AD58:AF58" si="78">X58/W58</f>
        <v>0.0126446152845789</v>
      </c>
      <c r="AE58" s="260">
        <f t="shared" si="78"/>
        <v>0.106408227848101</v>
      </c>
      <c r="AF58" s="253">
        <f t="shared" si="78"/>
        <v>10.1772118959108</v>
      </c>
      <c r="AG58" s="261">
        <v>103</v>
      </c>
      <c r="AH58" s="254">
        <v>115</v>
      </c>
      <c r="AI58" s="262">
        <v>228</v>
      </c>
      <c r="AJ58" s="263">
        <f>AG58*产品成本!$D$2+AH58*产品成本!$D$3+AI58*产品成本!$D$4</f>
        <v>1215.21126760563</v>
      </c>
      <c r="AK58" s="263">
        <f>AG58*产品成本!$E$2+AH58*产品成本!$E$3+AI58*产品成本!$E$4</f>
        <v>87.9323915492957</v>
      </c>
      <c r="AL58" s="263">
        <f>AG58*产品成本!$F$2+AH58*产品成本!$F$3+AI58*产品成本!$F$4</f>
        <v>151.64</v>
      </c>
      <c r="AM58" s="263">
        <f>AG58*产品成本!$G$2+AH58*产品成本!$G$3+AI58*产品成本!$G$4</f>
        <v>1717.77</v>
      </c>
      <c r="AN58" s="263">
        <f t="shared" si="13"/>
        <v>1468.9725</v>
      </c>
      <c r="AO58" s="264">
        <f t="shared" si="14"/>
        <v>4641.52615915493</v>
      </c>
      <c r="AP58" s="265">
        <v>11</v>
      </c>
      <c r="AQ58" s="265">
        <v>12</v>
      </c>
      <c r="AR58" s="266">
        <v>12</v>
      </c>
      <c r="AS58" s="267">
        <f t="shared" si="15"/>
        <v>764.761363636364</v>
      </c>
      <c r="AT58" s="267">
        <f>AP58*产品成本!$D$2+AQ58*产品成本!$D$3+AR58*产品成本!$D$4</f>
        <v>88.3098591549297</v>
      </c>
      <c r="AU58" s="271">
        <f>AP58*产品成本!$E$2+AQ58*产品成本!$E$3+AR58*产品成本!$E$4</f>
        <v>6.74315915492957</v>
      </c>
      <c r="AV58" s="270">
        <f>AP58*产品成本!$F$2+AQ58*产品成本!$F$3+AR58*产品成本!$F$4</f>
        <v>11.9</v>
      </c>
      <c r="AW58" s="269"/>
      <c r="AX58" s="270">
        <f t="shared" si="16"/>
        <v>114.714204545455</v>
      </c>
      <c r="AY58" s="269">
        <f t="shared" si="17"/>
        <v>-22.9428409090909</v>
      </c>
      <c r="AZ58" s="271">
        <f t="shared" si="18"/>
        <v>198.724381946223</v>
      </c>
      <c r="BA58" s="272">
        <f t="shared" si="19"/>
        <v>4442.80177720871</v>
      </c>
      <c r="BB58" s="272">
        <f t="shared" si="20"/>
        <v>9793.15</v>
      </c>
      <c r="BC58" s="272">
        <f t="shared" si="21"/>
        <v>9028.38863636364</v>
      </c>
      <c r="BD58" s="273">
        <f t="shared" si="22"/>
        <v>1847.91685915493</v>
      </c>
      <c r="BE58" s="274">
        <f t="shared" si="23"/>
        <v>0.204678479580739</v>
      </c>
      <c r="BF58" s="280"/>
      <c r="BG58" s="280"/>
      <c r="BH58" s="191"/>
    </row>
    <row r="59" ht="23.1" customHeight="1" spans="1:60">
      <c r="A59" s="285" t="s">
        <v>210</v>
      </c>
      <c r="B59" s="285" t="s">
        <v>211</v>
      </c>
      <c r="C59" s="243">
        <v>513</v>
      </c>
      <c r="D59" s="244">
        <v>470</v>
      </c>
      <c r="E59" s="247">
        <v>9750.77</v>
      </c>
      <c r="F59" s="246">
        <v>86</v>
      </c>
      <c r="G59" s="246">
        <v>63</v>
      </c>
      <c r="H59" s="247">
        <v>1649.66</v>
      </c>
      <c r="I59" s="247">
        <v>170.13</v>
      </c>
      <c r="J59" s="289">
        <v>33</v>
      </c>
      <c r="K59" s="290">
        <f t="shared" si="0"/>
        <v>0.064327485380117</v>
      </c>
      <c r="L59" s="291">
        <v>620.88</v>
      </c>
      <c r="M59" s="251">
        <f t="shared" si="1"/>
        <v>0.150224215246637</v>
      </c>
      <c r="N59" s="249">
        <f t="shared" si="2"/>
        <v>0.100702576112412</v>
      </c>
      <c r="O59" s="249">
        <f t="shared" si="3"/>
        <v>-0.0151682414313778</v>
      </c>
      <c r="P59" s="252">
        <f t="shared" si="4"/>
        <v>1.09148936170213</v>
      </c>
      <c r="Q59" s="281">
        <f t="shared" si="5"/>
        <v>20.7463191489362</v>
      </c>
      <c r="R59" s="281">
        <f t="shared" si="6"/>
        <v>19.0073489278752</v>
      </c>
      <c r="S59" s="281">
        <f t="shared" si="59"/>
        <v>73.2857142857143</v>
      </c>
      <c r="T59" s="254">
        <f t="shared" si="8"/>
        <v>182</v>
      </c>
      <c r="U59" s="255">
        <f t="shared" si="9"/>
        <v>0.387234042553191</v>
      </c>
      <c r="V59" s="256">
        <f t="shared" si="10"/>
        <v>0.285106214198634</v>
      </c>
      <c r="W59" s="244">
        <v>204331</v>
      </c>
      <c r="X59" s="244">
        <v>2582</v>
      </c>
      <c r="Y59" s="244">
        <v>288</v>
      </c>
      <c r="Z59" s="257">
        <v>2731.5</v>
      </c>
      <c r="AA59" s="277">
        <v>6068.95</v>
      </c>
      <c r="AB59" s="245">
        <v>1.06</v>
      </c>
      <c r="AC59" s="259">
        <f t="shared" si="11"/>
        <v>0.450077855312698</v>
      </c>
      <c r="AD59" s="260">
        <f t="shared" ref="AD59:AF59" si="79">X59/W59</f>
        <v>0.0126363596321655</v>
      </c>
      <c r="AE59" s="260">
        <f t="shared" si="79"/>
        <v>0.11154144074361</v>
      </c>
      <c r="AF59" s="253">
        <f t="shared" si="79"/>
        <v>9.484375</v>
      </c>
      <c r="AG59" s="261">
        <v>131</v>
      </c>
      <c r="AH59" s="254">
        <v>171</v>
      </c>
      <c r="AI59" s="262">
        <v>211</v>
      </c>
      <c r="AJ59" s="263">
        <f>AG59*产品成本!$D$2+AH59*产品成本!$D$3+AI59*产品成本!$D$4</f>
        <v>1336.40845070423</v>
      </c>
      <c r="AK59" s="263">
        <f>AG59*产品成本!$E$2+AH59*产品成本!$E$3+AI59*产品成本!$E$4</f>
        <v>100.019636619718</v>
      </c>
      <c r="AL59" s="263">
        <f>AG59*产品成本!$F$2+AH59*产品成本!$F$3+AI59*产品成本!$F$4</f>
        <v>174.42</v>
      </c>
      <c r="AM59" s="263">
        <f>AG59*产品成本!$G$2+AH59*产品成本!$G$3+AI59*产品成本!$G$4</f>
        <v>1973.19</v>
      </c>
      <c r="AN59" s="263">
        <f t="shared" si="13"/>
        <v>1437.096</v>
      </c>
      <c r="AO59" s="264">
        <f t="shared" si="14"/>
        <v>5021.13408732395</v>
      </c>
      <c r="AP59" s="265">
        <v>11</v>
      </c>
      <c r="AQ59" s="265">
        <v>5</v>
      </c>
      <c r="AR59" s="266">
        <v>17</v>
      </c>
      <c r="AS59" s="267">
        <f t="shared" si="15"/>
        <v>705.545454545455</v>
      </c>
      <c r="AT59" s="267">
        <f>AP59*产品成本!$D$2+AQ59*产品成本!$D$3+AR59*产品成本!$D$4</f>
        <v>90.0704225352113</v>
      </c>
      <c r="AU59" s="271">
        <f>AP59*产品成本!$E$2+AQ59*产品成本!$E$3+AR59*产品成本!$E$4</f>
        <v>6.44362816901408</v>
      </c>
      <c r="AV59" s="270">
        <f>AP59*产品成本!$F$2+AQ59*产品成本!$F$3+AR59*产品成本!$F$4</f>
        <v>11.22</v>
      </c>
      <c r="AW59" s="269"/>
      <c r="AX59" s="270">
        <f t="shared" si="16"/>
        <v>105.831818181818</v>
      </c>
      <c r="AY59" s="269">
        <f t="shared" si="17"/>
        <v>-21.1663636363636</v>
      </c>
      <c r="AZ59" s="271">
        <f t="shared" si="18"/>
        <v>192.39950524968</v>
      </c>
      <c r="BA59" s="272">
        <f t="shared" si="19"/>
        <v>4828.73458207426</v>
      </c>
      <c r="BB59" s="272">
        <f t="shared" si="20"/>
        <v>9580.64</v>
      </c>
      <c r="BC59" s="272">
        <f t="shared" si="21"/>
        <v>8875.09454545455</v>
      </c>
      <c r="BD59" s="273">
        <f t="shared" si="22"/>
        <v>1314.85996338028</v>
      </c>
      <c r="BE59" s="274">
        <f t="shared" si="23"/>
        <v>0.148151657049524</v>
      </c>
      <c r="BF59" s="278"/>
      <c r="BG59" s="278" t="s">
        <v>212</v>
      </c>
      <c r="BH59" s="191"/>
    </row>
    <row r="60" ht="23.1" customHeight="1" spans="1:60">
      <c r="A60" s="285" t="s">
        <v>213</v>
      </c>
      <c r="B60" s="285" t="s">
        <v>214</v>
      </c>
      <c r="C60" s="243">
        <v>657</v>
      </c>
      <c r="D60" s="244">
        <v>602</v>
      </c>
      <c r="E60" s="247">
        <v>11504.01</v>
      </c>
      <c r="F60" s="246">
        <v>112</v>
      </c>
      <c r="G60" s="246">
        <v>86</v>
      </c>
      <c r="H60" s="247">
        <v>1976.52</v>
      </c>
      <c r="I60" s="247">
        <v>167.86</v>
      </c>
      <c r="J60" s="289">
        <v>23</v>
      </c>
      <c r="K60" s="290">
        <f t="shared" si="0"/>
        <v>0.0350076103500761</v>
      </c>
      <c r="L60" s="291">
        <v>422.16</v>
      </c>
      <c r="M60" s="251">
        <f t="shared" si="1"/>
        <v>0.280701754385965</v>
      </c>
      <c r="N60" s="249">
        <f t="shared" si="2"/>
        <v>0.280851063829787</v>
      </c>
      <c r="O60" s="249">
        <f t="shared" si="3"/>
        <v>0.179805287172193</v>
      </c>
      <c r="P60" s="252">
        <f t="shared" si="4"/>
        <v>1.09136212624585</v>
      </c>
      <c r="Q60" s="281">
        <f t="shared" si="5"/>
        <v>19.1096511627907</v>
      </c>
      <c r="R60" s="281">
        <f t="shared" si="6"/>
        <v>17.5099086757991</v>
      </c>
      <c r="S60" s="281">
        <f t="shared" si="59"/>
        <v>93.8571428571429</v>
      </c>
      <c r="T60" s="254">
        <f t="shared" si="8"/>
        <v>252</v>
      </c>
      <c r="U60" s="255">
        <f t="shared" si="9"/>
        <v>0.418604651162791</v>
      </c>
      <c r="V60" s="256">
        <f t="shared" si="10"/>
        <v>0.251514844104921</v>
      </c>
      <c r="W60" s="244">
        <v>282183</v>
      </c>
      <c r="X60" s="244">
        <v>2800</v>
      </c>
      <c r="Y60" s="244">
        <v>350</v>
      </c>
      <c r="Z60" s="257">
        <v>2851.21</v>
      </c>
      <c r="AA60" s="277">
        <v>6592.86</v>
      </c>
      <c r="AB60" s="245">
        <v>1.02</v>
      </c>
      <c r="AC60" s="259">
        <f t="shared" si="11"/>
        <v>0.432469368377305</v>
      </c>
      <c r="AD60" s="260">
        <f t="shared" ref="AD60:AF60" si="80">X60/W60</f>
        <v>0.00992263885492748</v>
      </c>
      <c r="AE60" s="260">
        <f t="shared" si="80"/>
        <v>0.125</v>
      </c>
      <c r="AF60" s="253">
        <f t="shared" si="80"/>
        <v>8.14631428571429</v>
      </c>
      <c r="AG60" s="261">
        <v>204</v>
      </c>
      <c r="AH60" s="254">
        <v>201</v>
      </c>
      <c r="AI60" s="262">
        <v>252</v>
      </c>
      <c r="AJ60" s="263">
        <f>AG60*产品成本!$D$2+AH60*产品成本!$D$3+AI60*产品成本!$D$4</f>
        <v>1689.71830985916</v>
      </c>
      <c r="AK60" s="263">
        <f>AG60*产品成本!$E$2+AH60*产品成本!$E$3+AI60*产品成本!$E$4</f>
        <v>127.086654929577</v>
      </c>
      <c r="AL60" s="263">
        <f>AG60*产品成本!$F$2+AH60*产品成本!$F$3+AI60*产品成本!$F$4</f>
        <v>223.38</v>
      </c>
      <c r="AM60" s="263">
        <f>AG60*产品成本!$G$2+AH60*产品成本!$G$3+AI60*产品成本!$G$4</f>
        <v>2519.46</v>
      </c>
      <c r="AN60" s="263">
        <f t="shared" si="13"/>
        <v>1700.4225</v>
      </c>
      <c r="AO60" s="264">
        <f t="shared" si="14"/>
        <v>6260.06746478873</v>
      </c>
      <c r="AP60" s="265">
        <v>7</v>
      </c>
      <c r="AQ60" s="265">
        <v>5</v>
      </c>
      <c r="AR60" s="266">
        <v>11</v>
      </c>
      <c r="AS60" s="267">
        <f t="shared" si="15"/>
        <v>479.727272727273</v>
      </c>
      <c r="AT60" s="267">
        <f>AP60*产品成本!$D$2+AQ60*产品成本!$D$3+AR60*产品成本!$D$4</f>
        <v>61.7605633802817</v>
      </c>
      <c r="AU60" s="271">
        <f>AP60*产品成本!$E$2+AQ60*产品成本!$E$3+AR60*产品成本!$E$4</f>
        <v>4.4892</v>
      </c>
      <c r="AV60" s="270">
        <f>AP60*产品成本!$F$2+AQ60*产品成本!$F$3+AR60*产品成本!$F$4</f>
        <v>7.82</v>
      </c>
      <c r="AW60" s="269"/>
      <c r="AX60" s="270">
        <f t="shared" si="16"/>
        <v>71.9590909090909</v>
      </c>
      <c r="AY60" s="269">
        <f t="shared" si="17"/>
        <v>-14.3918181818182</v>
      </c>
      <c r="AZ60" s="271">
        <f t="shared" si="18"/>
        <v>131.637036107554</v>
      </c>
      <c r="BA60" s="272">
        <f t="shared" si="19"/>
        <v>6128.43042868118</v>
      </c>
      <c r="BB60" s="272">
        <f t="shared" si="20"/>
        <v>11336.15</v>
      </c>
      <c r="BC60" s="272">
        <f t="shared" si="21"/>
        <v>10856.4227272727</v>
      </c>
      <c r="BD60" s="273">
        <f t="shared" si="22"/>
        <v>1876.78229859155</v>
      </c>
      <c r="BE60" s="274">
        <f t="shared" si="23"/>
        <v>0.172872993778773</v>
      </c>
      <c r="BF60" s="280"/>
      <c r="BG60" s="280" t="s">
        <v>215</v>
      </c>
      <c r="BH60" s="191"/>
    </row>
    <row r="61" ht="23.1" customHeight="1" spans="1:60">
      <c r="A61" s="285" t="s">
        <v>216</v>
      </c>
      <c r="B61" s="285" t="s">
        <v>217</v>
      </c>
      <c r="C61" s="243">
        <v>465</v>
      </c>
      <c r="D61" s="244">
        <v>434</v>
      </c>
      <c r="E61" s="247">
        <v>9735.19</v>
      </c>
      <c r="F61" s="246">
        <v>43</v>
      </c>
      <c r="G61" s="246">
        <v>32</v>
      </c>
      <c r="H61" s="247">
        <v>940.85</v>
      </c>
      <c r="I61" s="247">
        <v>119.3</v>
      </c>
      <c r="J61" s="289">
        <v>31</v>
      </c>
      <c r="K61" s="290">
        <f t="shared" si="0"/>
        <v>0.0666666666666667</v>
      </c>
      <c r="L61" s="291">
        <v>508.78</v>
      </c>
      <c r="M61" s="251">
        <f t="shared" si="1"/>
        <v>-0.292237442922374</v>
      </c>
      <c r="N61" s="249">
        <f t="shared" si="2"/>
        <v>-0.27906976744186</v>
      </c>
      <c r="O61" s="249">
        <f t="shared" si="3"/>
        <v>-0.153756820447826</v>
      </c>
      <c r="P61" s="252">
        <f t="shared" si="4"/>
        <v>1.07142857142857</v>
      </c>
      <c r="Q61" s="281">
        <f t="shared" si="5"/>
        <v>22.4313133640553</v>
      </c>
      <c r="R61" s="281">
        <f t="shared" si="6"/>
        <v>20.9358924731183</v>
      </c>
      <c r="S61" s="281">
        <f t="shared" si="59"/>
        <v>66.4285714285714</v>
      </c>
      <c r="T61" s="254">
        <f t="shared" si="8"/>
        <v>176</v>
      </c>
      <c r="U61" s="255">
        <f t="shared" si="9"/>
        <v>0.405529953917051</v>
      </c>
      <c r="V61" s="256">
        <f t="shared" si="10"/>
        <v>0.236918267575856</v>
      </c>
      <c r="W61" s="244">
        <v>256847</v>
      </c>
      <c r="X61" s="244">
        <v>2300</v>
      </c>
      <c r="Y61" s="244">
        <v>258</v>
      </c>
      <c r="Z61" s="257">
        <v>2278.18</v>
      </c>
      <c r="AA61" s="277">
        <v>5682.17</v>
      </c>
      <c r="AB61" s="245">
        <v>0.99</v>
      </c>
      <c r="AC61" s="259">
        <f t="shared" si="11"/>
        <v>0.400934854113833</v>
      </c>
      <c r="AD61" s="260">
        <f t="shared" ref="AD61:AF61" si="81">X61/W61</f>
        <v>0.00895474737878971</v>
      </c>
      <c r="AE61" s="260">
        <f t="shared" si="81"/>
        <v>0.112173913043478</v>
      </c>
      <c r="AF61" s="253">
        <f t="shared" si="81"/>
        <v>8.83015503875969</v>
      </c>
      <c r="AG61" s="261">
        <v>120</v>
      </c>
      <c r="AH61" s="254">
        <v>166</v>
      </c>
      <c r="AI61" s="262">
        <v>179</v>
      </c>
      <c r="AJ61" s="263">
        <f>AG61*产品成本!$D$2+AH61*产品成本!$D$3+AI61*产品成本!$D$4</f>
        <v>1196.69014084507</v>
      </c>
      <c r="AK61" s="263">
        <f>AG61*产品成本!$E$2+AH61*产品成本!$E$3+AI61*产品成本!$E$4</f>
        <v>90.4260084507041</v>
      </c>
      <c r="AL61" s="263">
        <f>AG61*产品成本!$F$2+AH61*产品成本!$F$3+AI61*产品成本!$F$4</f>
        <v>158.1</v>
      </c>
      <c r="AM61" s="263">
        <f>AG61*产品成本!$G$2+AH61*产品成本!$G$3+AI61*产品成本!$G$4</f>
        <v>1788.3</v>
      </c>
      <c r="AN61" s="263">
        <f t="shared" si="13"/>
        <v>1442.3835</v>
      </c>
      <c r="AO61" s="264">
        <f t="shared" si="14"/>
        <v>4675.89964929578</v>
      </c>
      <c r="AP61" s="265">
        <v>13</v>
      </c>
      <c r="AQ61" s="265">
        <v>7</v>
      </c>
      <c r="AR61" s="266">
        <v>11</v>
      </c>
      <c r="AS61" s="267">
        <f t="shared" si="15"/>
        <v>578.159090909091</v>
      </c>
      <c r="AT61" s="267">
        <f>AP61*产品成本!$D$2+AQ61*产品成本!$D$3+AR61*产品成本!$D$4</f>
        <v>78.661971830986</v>
      </c>
      <c r="AU61" s="271">
        <f>AP61*产品成本!$E$2+AQ61*产品成本!$E$3+AR61*产品成本!$E$4</f>
        <v>5.91642253521126</v>
      </c>
      <c r="AV61" s="270">
        <f>AP61*产品成本!$F$2+AQ61*产品成本!$F$3+AR61*产品成本!$F$4</f>
        <v>10.54</v>
      </c>
      <c r="AW61" s="269"/>
      <c r="AX61" s="270">
        <f t="shared" si="16"/>
        <v>86.7238636363636</v>
      </c>
      <c r="AY61" s="269">
        <f t="shared" si="17"/>
        <v>-17.3447727272727</v>
      </c>
      <c r="AZ61" s="271">
        <f t="shared" si="18"/>
        <v>164.497485275288</v>
      </c>
      <c r="BA61" s="272">
        <f t="shared" si="19"/>
        <v>4511.40216402049</v>
      </c>
      <c r="BB61" s="272">
        <f t="shared" si="20"/>
        <v>9615.89</v>
      </c>
      <c r="BC61" s="272">
        <f t="shared" si="21"/>
        <v>9037.73090909091</v>
      </c>
      <c r="BD61" s="273">
        <f t="shared" si="22"/>
        <v>2248.14874507042</v>
      </c>
      <c r="BE61" s="274">
        <f t="shared" si="23"/>
        <v>0.248751458489326</v>
      </c>
      <c r="BF61" s="278"/>
      <c r="BG61" s="278" t="s">
        <v>218</v>
      </c>
      <c r="BH61" s="191"/>
    </row>
    <row r="62" ht="23.1" customHeight="1" spans="1:60">
      <c r="A62" s="285" t="s">
        <v>219</v>
      </c>
      <c r="B62" s="285" t="s">
        <v>220</v>
      </c>
      <c r="C62" s="243">
        <v>424</v>
      </c>
      <c r="D62" s="244">
        <v>407</v>
      </c>
      <c r="E62" s="247">
        <v>9207.37</v>
      </c>
      <c r="F62" s="246">
        <v>181</v>
      </c>
      <c r="G62" s="246">
        <v>168</v>
      </c>
      <c r="H62" s="247">
        <v>3981.19</v>
      </c>
      <c r="I62" s="247">
        <v>226.22</v>
      </c>
      <c r="J62" s="289">
        <v>29</v>
      </c>
      <c r="K62" s="290">
        <f t="shared" si="0"/>
        <v>0.0683962264150943</v>
      </c>
      <c r="L62" s="291">
        <v>512.41</v>
      </c>
      <c r="M62" s="251">
        <f t="shared" si="1"/>
        <v>-0.0881720430107527</v>
      </c>
      <c r="N62" s="249">
        <f t="shared" si="2"/>
        <v>-0.0622119815668203</v>
      </c>
      <c r="O62" s="249">
        <f t="shared" si="3"/>
        <v>-0.0542177399722039</v>
      </c>
      <c r="P62" s="252">
        <f t="shared" si="4"/>
        <v>1.04176904176904</v>
      </c>
      <c r="Q62" s="281">
        <f t="shared" si="5"/>
        <v>22.6225307125307</v>
      </c>
      <c r="R62" s="281">
        <f t="shared" si="6"/>
        <v>21.7154952830189</v>
      </c>
      <c r="S62" s="281">
        <f t="shared" si="59"/>
        <v>60.5714285714286</v>
      </c>
      <c r="T62" s="254">
        <f t="shared" si="8"/>
        <v>183</v>
      </c>
      <c r="U62" s="255">
        <f t="shared" si="9"/>
        <v>0.44963144963145</v>
      </c>
      <c r="V62" s="256">
        <f t="shared" si="10"/>
        <v>0.234084721889736</v>
      </c>
      <c r="W62" s="244">
        <v>220903</v>
      </c>
      <c r="X62" s="244">
        <v>2078</v>
      </c>
      <c r="Y62" s="244">
        <v>224</v>
      </c>
      <c r="Z62" s="257">
        <v>2102.35</v>
      </c>
      <c r="AA62" s="277">
        <v>5024.18</v>
      </c>
      <c r="AB62" s="245">
        <v>1.01</v>
      </c>
      <c r="AC62" s="259">
        <f t="shared" si="11"/>
        <v>0.41844639324228</v>
      </c>
      <c r="AD62" s="260">
        <f t="shared" ref="AD62:AF62" si="82">X62/W62</f>
        <v>0.00940684372779003</v>
      </c>
      <c r="AE62" s="260">
        <f t="shared" si="82"/>
        <v>0.107795957651588</v>
      </c>
      <c r="AF62" s="253">
        <f t="shared" si="82"/>
        <v>9.38549107142857</v>
      </c>
      <c r="AG62" s="261">
        <v>118</v>
      </c>
      <c r="AH62" s="254">
        <v>139</v>
      </c>
      <c r="AI62" s="262">
        <v>167</v>
      </c>
      <c r="AJ62" s="263">
        <f>AG62*产品成本!$D$2+AH62*产品成本!$D$3+AI62*产品成本!$D$4</f>
        <v>1095.70422535211</v>
      </c>
      <c r="AK62" s="263">
        <f>AG62*产品成本!$E$2+AH62*产品成本!$E$3+AI62*产品成本!$E$4</f>
        <v>82.3534605633802</v>
      </c>
      <c r="AL62" s="263">
        <f>AG62*产品成本!$F$2+AH62*产品成本!$F$3+AI62*产品成本!$F$4</f>
        <v>144.16</v>
      </c>
      <c r="AM62" s="263">
        <f>AG62*产品成本!$G$2+AH62*产品成本!$G$3+AI62*产品成本!$G$4</f>
        <v>1628.82</v>
      </c>
      <c r="AN62" s="263">
        <f t="shared" si="13"/>
        <v>1347.1725</v>
      </c>
      <c r="AO62" s="264">
        <f t="shared" si="14"/>
        <v>4298.21018591549</v>
      </c>
      <c r="AP62" s="265">
        <v>7</v>
      </c>
      <c r="AQ62" s="265">
        <v>10</v>
      </c>
      <c r="AR62" s="266">
        <v>12</v>
      </c>
      <c r="AS62" s="267">
        <f t="shared" si="15"/>
        <v>582.284090909091</v>
      </c>
      <c r="AT62" s="267">
        <f>AP62*产品成本!$D$2+AQ62*产品成本!$D$3+AR62*产品成本!$D$4</f>
        <v>75.6338028169015</v>
      </c>
      <c r="AU62" s="271">
        <f>AP62*产品成本!$E$2+AQ62*产品成本!$E$3+AR62*产品成本!$E$4</f>
        <v>5.66315070422535</v>
      </c>
      <c r="AV62" s="270">
        <f>AP62*产品成本!$F$2+AQ62*产品成本!$F$3+AR62*产品成本!$F$4</f>
        <v>9.86</v>
      </c>
      <c r="AW62" s="269"/>
      <c r="AX62" s="270">
        <f t="shared" si="16"/>
        <v>87.3426136363636</v>
      </c>
      <c r="AY62" s="269">
        <f t="shared" si="17"/>
        <v>-17.4685227272727</v>
      </c>
      <c r="AZ62" s="271">
        <f t="shared" si="18"/>
        <v>161.031044430218</v>
      </c>
      <c r="BA62" s="272">
        <f t="shared" si="19"/>
        <v>4137.17914148528</v>
      </c>
      <c r="BB62" s="272">
        <f t="shared" si="20"/>
        <v>8981.15</v>
      </c>
      <c r="BC62" s="272">
        <f t="shared" si="21"/>
        <v>8398.86590909091</v>
      </c>
      <c r="BD62" s="273">
        <f t="shared" si="22"/>
        <v>2159.33676760564</v>
      </c>
      <c r="BE62" s="274">
        <f t="shared" si="23"/>
        <v>0.257098612000505</v>
      </c>
      <c r="BF62" s="280"/>
      <c r="BG62" s="280"/>
      <c r="BH62" s="191"/>
    </row>
    <row r="63" ht="23.1" customHeight="1" spans="1:60">
      <c r="A63" s="285" t="s">
        <v>221</v>
      </c>
      <c r="B63" s="285" t="s">
        <v>222</v>
      </c>
      <c r="C63" s="243">
        <v>436</v>
      </c>
      <c r="D63" s="244">
        <v>423</v>
      </c>
      <c r="E63" s="247">
        <v>9711.06</v>
      </c>
      <c r="F63" s="246">
        <v>228</v>
      </c>
      <c r="G63" s="246">
        <v>219</v>
      </c>
      <c r="H63" s="247">
        <v>5094.12</v>
      </c>
      <c r="I63" s="247">
        <v>260.04</v>
      </c>
      <c r="J63" s="289">
        <v>26</v>
      </c>
      <c r="K63" s="290">
        <f t="shared" si="0"/>
        <v>0.0596330275229358</v>
      </c>
      <c r="L63" s="291">
        <v>512.4</v>
      </c>
      <c r="M63" s="251">
        <f t="shared" si="1"/>
        <v>0.0283018867924528</v>
      </c>
      <c r="N63" s="249">
        <f t="shared" si="2"/>
        <v>0.0393120393120393</v>
      </c>
      <c r="O63" s="249">
        <f t="shared" si="3"/>
        <v>0.0547050895098164</v>
      </c>
      <c r="P63" s="252">
        <f t="shared" si="4"/>
        <v>1.03073286052009</v>
      </c>
      <c r="Q63" s="281">
        <f t="shared" si="5"/>
        <v>22.9575886524823</v>
      </c>
      <c r="R63" s="281">
        <f t="shared" si="6"/>
        <v>22.2730733944954</v>
      </c>
      <c r="S63" s="281">
        <f t="shared" si="59"/>
        <v>62.2857142857143</v>
      </c>
      <c r="T63" s="254">
        <f t="shared" si="8"/>
        <v>192</v>
      </c>
      <c r="U63" s="255">
        <f t="shared" si="9"/>
        <v>0.453900709219858</v>
      </c>
      <c r="V63" s="256">
        <f t="shared" si="10"/>
        <v>0.208593358177213</v>
      </c>
      <c r="W63" s="244">
        <v>216381</v>
      </c>
      <c r="X63" s="244">
        <v>1885</v>
      </c>
      <c r="Y63" s="244">
        <v>231</v>
      </c>
      <c r="Z63" s="257">
        <v>1971.42</v>
      </c>
      <c r="AA63" s="277">
        <v>5377.07</v>
      </c>
      <c r="AB63" s="245">
        <v>1.05</v>
      </c>
      <c r="AC63" s="259">
        <f t="shared" si="11"/>
        <v>0.366634616994014</v>
      </c>
      <c r="AD63" s="260">
        <f t="shared" ref="AD63:AF63" si="83">X63/W63</f>
        <v>0.00871148575891599</v>
      </c>
      <c r="AE63" s="260">
        <f t="shared" si="83"/>
        <v>0.122546419098143</v>
      </c>
      <c r="AF63" s="253">
        <f t="shared" si="83"/>
        <v>8.53428571428571</v>
      </c>
      <c r="AG63" s="261">
        <v>105</v>
      </c>
      <c r="AH63" s="254">
        <v>183</v>
      </c>
      <c r="AI63" s="262">
        <v>148</v>
      </c>
      <c r="AJ63" s="263">
        <f>AG63*产品成本!$D$2+AH63*产品成本!$D$3+AI63*产品成本!$D$4</f>
        <v>1098.30985915493</v>
      </c>
      <c r="AK63" s="263">
        <f>AG63*产品成本!$E$2+AH63*产品成本!$E$3+AI63*产品成本!$E$4</f>
        <v>84.5893352112675</v>
      </c>
      <c r="AL63" s="263">
        <f>AG63*产品成本!$F$2+AH63*产品成本!$F$3+AI63*产品成本!$F$4</f>
        <v>148.24</v>
      </c>
      <c r="AM63" s="263">
        <f>AG63*产品成本!$G$2+AH63*产品成本!$G$3+AI63*产品成本!$G$4</f>
        <v>1678.35</v>
      </c>
      <c r="AN63" s="263">
        <f t="shared" si="13"/>
        <v>1417.653</v>
      </c>
      <c r="AO63" s="264">
        <f t="shared" si="14"/>
        <v>4427.1421943662</v>
      </c>
      <c r="AP63" s="265">
        <v>7</v>
      </c>
      <c r="AQ63" s="265">
        <v>10</v>
      </c>
      <c r="AR63" s="266">
        <v>9</v>
      </c>
      <c r="AS63" s="267">
        <f t="shared" si="15"/>
        <v>582.272727272727</v>
      </c>
      <c r="AT63" s="267">
        <f>AP63*产品成本!$D$2+AQ63*产品成本!$D$3+AR63*产品成本!$D$4</f>
        <v>65.7042253521127</v>
      </c>
      <c r="AU63" s="271">
        <f>AP63*产品成本!$E$2+AQ63*产品成本!$E$3+AR63*产品成本!$E$4</f>
        <v>5.03315070422535</v>
      </c>
      <c r="AV63" s="270">
        <f>AP63*产品成本!$F$2+AQ63*产品成本!$F$3+AR63*产品成本!$F$4</f>
        <v>8.84</v>
      </c>
      <c r="AW63" s="269"/>
      <c r="AX63" s="270">
        <f t="shared" si="16"/>
        <v>87.3409090909091</v>
      </c>
      <c r="AY63" s="269">
        <f t="shared" si="17"/>
        <v>-17.4681818181818</v>
      </c>
      <c r="AZ63" s="271">
        <f t="shared" si="18"/>
        <v>149.450103329065</v>
      </c>
      <c r="BA63" s="272">
        <f t="shared" si="19"/>
        <v>4277.69209103713</v>
      </c>
      <c r="BB63" s="272">
        <f t="shared" si="20"/>
        <v>9451.02</v>
      </c>
      <c r="BC63" s="272">
        <f t="shared" si="21"/>
        <v>8868.74727272727</v>
      </c>
      <c r="BD63" s="273">
        <f t="shared" si="22"/>
        <v>2619.63518169014</v>
      </c>
      <c r="BE63" s="274">
        <f t="shared" si="23"/>
        <v>0.295378264949088</v>
      </c>
      <c r="BF63" s="278"/>
      <c r="BG63" s="278"/>
      <c r="BH63" s="191"/>
    </row>
    <row r="64" ht="23.1" customHeight="1" spans="1:60">
      <c r="A64" s="285" t="s">
        <v>223</v>
      </c>
      <c r="B64" s="285" t="s">
        <v>224</v>
      </c>
      <c r="C64" s="243">
        <v>323</v>
      </c>
      <c r="D64" s="244">
        <v>303</v>
      </c>
      <c r="E64" s="247">
        <v>7223.97</v>
      </c>
      <c r="F64" s="246">
        <v>102</v>
      </c>
      <c r="G64" s="246">
        <v>93</v>
      </c>
      <c r="H64" s="247">
        <v>2283.88</v>
      </c>
      <c r="I64" s="247">
        <v>139.89</v>
      </c>
      <c r="J64" s="289">
        <v>19</v>
      </c>
      <c r="K64" s="290">
        <f t="shared" si="0"/>
        <v>0.0588235294117647</v>
      </c>
      <c r="L64" s="291">
        <v>350.68</v>
      </c>
      <c r="M64" s="251">
        <f t="shared" si="1"/>
        <v>-0.259174311926606</v>
      </c>
      <c r="N64" s="249">
        <f t="shared" si="2"/>
        <v>-0.283687943262411</v>
      </c>
      <c r="O64" s="249">
        <f t="shared" si="3"/>
        <v>-0.256109013846068</v>
      </c>
      <c r="P64" s="252">
        <f t="shared" si="4"/>
        <v>1.06600660066007</v>
      </c>
      <c r="Q64" s="281">
        <f t="shared" si="5"/>
        <v>23.8414851485149</v>
      </c>
      <c r="R64" s="281">
        <f t="shared" si="6"/>
        <v>22.3652321981424</v>
      </c>
      <c r="S64" s="281">
        <f t="shared" si="59"/>
        <v>46.1428571428571</v>
      </c>
      <c r="T64" s="254">
        <f t="shared" si="8"/>
        <v>143</v>
      </c>
      <c r="U64" s="255">
        <f t="shared" si="9"/>
        <v>0.471947194719472</v>
      </c>
      <c r="V64" s="256">
        <f t="shared" si="10"/>
        <v>0.235704565730483</v>
      </c>
      <c r="W64" s="244">
        <v>180451</v>
      </c>
      <c r="X64" s="244">
        <v>1670</v>
      </c>
      <c r="Y64" s="244">
        <v>160</v>
      </c>
      <c r="Z64" s="257">
        <v>1669.75</v>
      </c>
      <c r="AA64" s="277">
        <v>3746.85</v>
      </c>
      <c r="AB64" s="245">
        <v>1</v>
      </c>
      <c r="AC64" s="259">
        <f t="shared" si="11"/>
        <v>0.44564100511096</v>
      </c>
      <c r="AD64" s="260">
        <f t="shared" ref="AD64:AF64" si="84">X64/W64</f>
        <v>0.00925458988866784</v>
      </c>
      <c r="AE64" s="260">
        <f t="shared" si="84"/>
        <v>0.0958083832335329</v>
      </c>
      <c r="AF64" s="253">
        <f t="shared" si="84"/>
        <v>10.4359375</v>
      </c>
      <c r="AG64" s="261">
        <v>89</v>
      </c>
      <c r="AH64" s="254">
        <v>102</v>
      </c>
      <c r="AI64" s="262">
        <v>132</v>
      </c>
      <c r="AJ64" s="263">
        <f>AG64*产品成本!$D$2+AH64*产品成本!$D$3+AI64*产品成本!$D$4</f>
        <v>840.422535211268</v>
      </c>
      <c r="AK64" s="263">
        <f>AG64*产品成本!$E$2+AH64*产品成本!$E$3+AI64*产品成本!$E$4</f>
        <v>62.8356211267605</v>
      </c>
      <c r="AL64" s="263">
        <f>AG64*产品成本!$F$2+AH64*产品成本!$F$3+AI64*产品成本!$F$4</f>
        <v>109.82</v>
      </c>
      <c r="AM64" s="263">
        <f>AG64*产品成本!$G$2+AH64*产品成本!$G$3+AI64*产品成本!$G$4</f>
        <v>1241.01</v>
      </c>
      <c r="AN64" s="263">
        <f t="shared" si="13"/>
        <v>1062.612</v>
      </c>
      <c r="AO64" s="264">
        <f t="shared" si="14"/>
        <v>3316.70015633803</v>
      </c>
      <c r="AP64" s="265">
        <v>4</v>
      </c>
      <c r="AQ64" s="265">
        <v>4</v>
      </c>
      <c r="AR64" s="266">
        <v>11</v>
      </c>
      <c r="AS64" s="267">
        <f t="shared" si="15"/>
        <v>398.5</v>
      </c>
      <c r="AT64" s="267">
        <f>AP64*产品成本!$D$2+AQ64*产品成本!$D$3+AR64*产品成本!$D$4</f>
        <v>53.3098591549296</v>
      </c>
      <c r="AU64" s="271">
        <f>AP64*产品成本!$E$2+AQ64*产品成本!$E$3+AR64*产品成本!$E$4</f>
        <v>3.77558873239436</v>
      </c>
      <c r="AV64" s="270">
        <f>AP64*产品成本!$F$2+AQ64*产品成本!$F$3+AR64*产品成本!$F$4</f>
        <v>6.46</v>
      </c>
      <c r="AW64" s="269"/>
      <c r="AX64" s="270">
        <f t="shared" si="16"/>
        <v>59.775</v>
      </c>
      <c r="AY64" s="269">
        <f t="shared" si="17"/>
        <v>-11.955</v>
      </c>
      <c r="AZ64" s="271">
        <f t="shared" si="18"/>
        <v>111.365447887324</v>
      </c>
      <c r="BA64" s="272">
        <f t="shared" si="19"/>
        <v>3205.3347084507</v>
      </c>
      <c r="BB64" s="272">
        <f t="shared" si="20"/>
        <v>7084.08</v>
      </c>
      <c r="BC64" s="272">
        <f t="shared" si="21"/>
        <v>6685.58</v>
      </c>
      <c r="BD64" s="273">
        <f t="shared" si="22"/>
        <v>1810.49529154929</v>
      </c>
      <c r="BE64" s="274">
        <f t="shared" si="23"/>
        <v>0.270806017061989</v>
      </c>
      <c r="BF64" s="280"/>
      <c r="BG64" s="280" t="s">
        <v>225</v>
      </c>
      <c r="BH64" s="191"/>
    </row>
    <row r="65" ht="23.1" customHeight="1" spans="1:61">
      <c r="A65" s="285" t="s">
        <v>226</v>
      </c>
      <c r="B65" s="285" t="s">
        <v>227</v>
      </c>
      <c r="C65" s="243">
        <v>434</v>
      </c>
      <c r="D65" s="244">
        <v>393</v>
      </c>
      <c r="E65" s="247">
        <v>10244.5</v>
      </c>
      <c r="F65" s="246">
        <v>114</v>
      </c>
      <c r="G65" s="246">
        <v>94</v>
      </c>
      <c r="H65" s="247">
        <v>2600.36</v>
      </c>
      <c r="I65" s="247">
        <v>161.25</v>
      </c>
      <c r="J65" s="289">
        <v>29</v>
      </c>
      <c r="K65" s="290">
        <f t="shared" si="0"/>
        <v>0.0668202764976959</v>
      </c>
      <c r="L65" s="291">
        <v>477.59</v>
      </c>
      <c r="M65" s="251">
        <f t="shared" si="1"/>
        <v>0.343653250773994</v>
      </c>
      <c r="N65" s="249">
        <f t="shared" si="2"/>
        <v>0.297029702970297</v>
      </c>
      <c r="O65" s="249">
        <f t="shared" si="3"/>
        <v>0.418126044266518</v>
      </c>
      <c r="P65" s="252">
        <f t="shared" si="4"/>
        <v>1.10432569974555</v>
      </c>
      <c r="Q65" s="281">
        <f t="shared" si="5"/>
        <v>26.0674300254453</v>
      </c>
      <c r="R65" s="281">
        <f t="shared" si="6"/>
        <v>23.6048387096774</v>
      </c>
      <c r="S65" s="281">
        <f t="shared" si="59"/>
        <v>62</v>
      </c>
      <c r="T65" s="254">
        <f t="shared" si="8"/>
        <v>165</v>
      </c>
      <c r="U65" s="255">
        <f t="shared" si="9"/>
        <v>0.419847328244275</v>
      </c>
      <c r="V65" s="256">
        <f t="shared" si="10"/>
        <v>0.202203654575658</v>
      </c>
      <c r="W65" s="244">
        <v>229389</v>
      </c>
      <c r="X65" s="244">
        <v>2108</v>
      </c>
      <c r="Y65" s="244">
        <v>228</v>
      </c>
      <c r="Z65" s="257">
        <v>2038.87</v>
      </c>
      <c r="AA65" s="277">
        <v>5774.96</v>
      </c>
      <c r="AB65" s="245">
        <v>0.97</v>
      </c>
      <c r="AC65" s="259">
        <f t="shared" si="11"/>
        <v>0.353053527643481</v>
      </c>
      <c r="AD65" s="260">
        <f t="shared" ref="AD65:AF65" si="85">X65/W65</f>
        <v>0.00918962984275619</v>
      </c>
      <c r="AE65" s="260">
        <f t="shared" si="85"/>
        <v>0.108159392789374</v>
      </c>
      <c r="AF65" s="253">
        <f t="shared" si="85"/>
        <v>8.94241228070175</v>
      </c>
      <c r="AG65" s="261">
        <v>123</v>
      </c>
      <c r="AH65" s="254">
        <v>112</v>
      </c>
      <c r="AI65" s="262">
        <v>199</v>
      </c>
      <c r="AJ65" s="263">
        <f>AG65*产品成本!$D$2+AH65*产品成本!$D$3+AI65*产品成本!$D$4</f>
        <v>1155.14084507042</v>
      </c>
      <c r="AK65" s="263">
        <f>AG65*产品成本!$E$2+AH65*产品成本!$E$3+AI65*产品成本!$E$4</f>
        <v>84.7361619718309</v>
      </c>
      <c r="AL65" s="263">
        <f>AG65*产品成本!$F$2+AH65*产品成本!$F$3+AI65*产品成本!$F$4</f>
        <v>147.56</v>
      </c>
      <c r="AM65" s="263">
        <f>AG65*产品成本!$G$2+AH65*产品成本!$G$3+AI65*产品成本!$G$4</f>
        <v>1666.77</v>
      </c>
      <c r="AN65" s="263">
        <f t="shared" si="13"/>
        <v>1512.4875</v>
      </c>
      <c r="AO65" s="264">
        <f t="shared" si="14"/>
        <v>4566.69450704225</v>
      </c>
      <c r="AP65" s="265">
        <v>8</v>
      </c>
      <c r="AQ65" s="265">
        <v>11</v>
      </c>
      <c r="AR65" s="266">
        <v>10</v>
      </c>
      <c r="AS65" s="267">
        <f t="shared" si="15"/>
        <v>542.715909090909</v>
      </c>
      <c r="AT65" s="267">
        <f>AP65*产品成本!$D$2+AQ65*产品成本!$D$3+AR65*产品成本!$D$4</f>
        <v>73.2394366197184</v>
      </c>
      <c r="AU65" s="271">
        <f>AP65*产品成本!$E$2+AQ65*产品成本!$E$3+AR65*产品成本!$E$4</f>
        <v>5.60954788732394</v>
      </c>
      <c r="AV65" s="270">
        <f>AP65*产品成本!$F$2+AQ65*产品成本!$F$3+AR65*产品成本!$F$4</f>
        <v>9.86</v>
      </c>
      <c r="AW65" s="269"/>
      <c r="AX65" s="270">
        <f t="shared" si="16"/>
        <v>81.4073863636363</v>
      </c>
      <c r="AY65" s="269">
        <f t="shared" si="17"/>
        <v>-16.2814772727273</v>
      </c>
      <c r="AZ65" s="271">
        <f t="shared" si="18"/>
        <v>153.834893597951</v>
      </c>
      <c r="BA65" s="272">
        <f t="shared" si="19"/>
        <v>4412.8596134443</v>
      </c>
      <c r="BB65" s="272">
        <f t="shared" si="20"/>
        <v>10083.25</v>
      </c>
      <c r="BC65" s="272">
        <f t="shared" si="21"/>
        <v>9540.53409090909</v>
      </c>
      <c r="BD65" s="273">
        <f t="shared" si="22"/>
        <v>3088.80447746479</v>
      </c>
      <c r="BE65" s="274">
        <f t="shared" si="23"/>
        <v>0.32375592896922</v>
      </c>
      <c r="BF65" s="278"/>
      <c r="BG65" s="278" t="s">
        <v>94</v>
      </c>
      <c r="BH65" s="191"/>
    </row>
    <row r="66" ht="23.1" customHeight="1" spans="1:61">
      <c r="A66" s="285" t="s">
        <v>228</v>
      </c>
      <c r="B66" s="285" t="s">
        <v>229</v>
      </c>
      <c r="C66" s="243">
        <v>444</v>
      </c>
      <c r="D66" s="244">
        <v>417</v>
      </c>
      <c r="E66" s="247">
        <v>10786.89</v>
      </c>
      <c r="F66" s="246">
        <v>58</v>
      </c>
      <c r="G66" s="246">
        <v>47</v>
      </c>
      <c r="H66" s="247">
        <v>1403.82</v>
      </c>
      <c r="I66" s="247">
        <v>152.15</v>
      </c>
      <c r="J66" s="289">
        <v>39</v>
      </c>
      <c r="K66" s="290">
        <f t="shared" si="0"/>
        <v>0.0878378378378378</v>
      </c>
      <c r="L66" s="291">
        <v>764.9</v>
      </c>
      <c r="M66" s="251">
        <f t="shared" si="1"/>
        <v>0.0230414746543779</v>
      </c>
      <c r="N66" s="249">
        <f t="shared" si="2"/>
        <v>0.0610687022900763</v>
      </c>
      <c r="O66" s="249">
        <f t="shared" si="3"/>
        <v>0.0529445068085313</v>
      </c>
      <c r="P66" s="252">
        <f t="shared" si="4"/>
        <v>1.06474820143885</v>
      </c>
      <c r="Q66" s="281">
        <f t="shared" si="5"/>
        <v>25.8678417266187</v>
      </c>
      <c r="R66" s="281">
        <f t="shared" si="6"/>
        <v>24.2947972972973</v>
      </c>
      <c r="S66" s="281">
        <f t="shared" si="59"/>
        <v>63.4285714285714</v>
      </c>
      <c r="T66" s="254">
        <f t="shared" si="8"/>
        <v>164</v>
      </c>
      <c r="U66" s="255">
        <f t="shared" si="9"/>
        <v>0.393285371702638</v>
      </c>
      <c r="V66" s="256">
        <f t="shared" si="10"/>
        <v>0.216572290436814</v>
      </c>
      <c r="W66" s="244">
        <v>215591</v>
      </c>
      <c r="X66" s="244">
        <v>2375</v>
      </c>
      <c r="Y66" s="244">
        <v>253</v>
      </c>
      <c r="Z66" s="257">
        <v>2303.19</v>
      </c>
      <c r="AA66" s="277">
        <v>6318.58</v>
      </c>
      <c r="AB66" s="245">
        <v>0.97</v>
      </c>
      <c r="AC66" s="259">
        <f t="shared" si="11"/>
        <v>0.364510697023698</v>
      </c>
      <c r="AD66" s="260">
        <f t="shared" ref="AD66:AF66" si="86">X66/W66</f>
        <v>0.0110162298055114</v>
      </c>
      <c r="AE66" s="260">
        <f t="shared" si="86"/>
        <v>0.106526315789474</v>
      </c>
      <c r="AF66" s="253">
        <f t="shared" si="86"/>
        <v>9.10351778656126</v>
      </c>
      <c r="AG66" s="261">
        <v>135</v>
      </c>
      <c r="AH66" s="254">
        <v>108</v>
      </c>
      <c r="AI66" s="262">
        <v>201</v>
      </c>
      <c r="AJ66" s="263">
        <f>AG66*产品成本!$D$2+AH66*产品成本!$D$3+AI66*产品成本!$D$4</f>
        <v>1178.66197183099</v>
      </c>
      <c r="AK66" s="263">
        <f>AG66*产品成本!$E$2+AH66*产品成本!$E$3+AI66*产品成本!$E$4</f>
        <v>86.4682859154929</v>
      </c>
      <c r="AL66" s="263">
        <f>AG66*产品成本!$F$2+AH66*产品成本!$F$3+AI66*产品成本!$F$4</f>
        <v>150.96</v>
      </c>
      <c r="AM66" s="263">
        <f>AG66*产品成本!$G$2+AH66*产品成本!$G$3+AI66*产品成本!$G$4</f>
        <v>1703.25</v>
      </c>
      <c r="AN66" s="263">
        <f t="shared" si="13"/>
        <v>1595.211</v>
      </c>
      <c r="AO66" s="264">
        <f t="shared" si="14"/>
        <v>4714.55125774648</v>
      </c>
      <c r="AP66" s="265">
        <v>14</v>
      </c>
      <c r="AQ66" s="265">
        <v>8</v>
      </c>
      <c r="AR66" s="266">
        <v>17</v>
      </c>
      <c r="AS66" s="267">
        <f t="shared" si="15"/>
        <v>869.204545454545</v>
      </c>
      <c r="AT66" s="267">
        <f>AP66*产品成本!$D$2+AQ66*产品成本!$D$3+AR66*产品成本!$D$4</f>
        <v>102.74647887324</v>
      </c>
      <c r="AU66" s="271">
        <f>AP66*产品成本!$E$2+AQ66*产品成本!$E$3+AR66*产品成本!$E$4</f>
        <v>7.54281971830985</v>
      </c>
      <c r="AV66" s="270">
        <f>AP66*产品成本!$F$2+AQ66*产品成本!$F$3+AR66*产品成本!$F$4</f>
        <v>13.26</v>
      </c>
      <c r="AW66" s="269"/>
      <c r="AX66" s="270">
        <f t="shared" si="16"/>
        <v>130.380681818182</v>
      </c>
      <c r="AY66" s="269">
        <f t="shared" si="17"/>
        <v>-26.0761363636364</v>
      </c>
      <c r="AZ66" s="271">
        <f t="shared" si="18"/>
        <v>227.853844046095</v>
      </c>
      <c r="BA66" s="272">
        <f t="shared" si="19"/>
        <v>4486.69741370038</v>
      </c>
      <c r="BB66" s="272">
        <f t="shared" si="20"/>
        <v>10634.74</v>
      </c>
      <c r="BC66" s="272">
        <f t="shared" si="21"/>
        <v>9765.53545454545</v>
      </c>
      <c r="BD66" s="273">
        <f t="shared" si="22"/>
        <v>2975.64804084507</v>
      </c>
      <c r="BE66" s="274">
        <f t="shared" si="23"/>
        <v>0.304709153399267</v>
      </c>
      <c r="BF66" s="280"/>
      <c r="BG66" s="280" t="s">
        <v>94</v>
      </c>
      <c r="BH66" s="191"/>
    </row>
    <row r="67" ht="23.1" customHeight="1" spans="1:61">
      <c r="A67" s="285" t="s">
        <v>230</v>
      </c>
      <c r="B67" s="285" t="s">
        <v>231</v>
      </c>
      <c r="C67" s="243">
        <v>429</v>
      </c>
      <c r="D67" s="244">
        <v>419</v>
      </c>
      <c r="E67" s="247">
        <v>10511.13</v>
      </c>
      <c r="F67" s="246">
        <v>51</v>
      </c>
      <c r="G67" s="246">
        <v>48</v>
      </c>
      <c r="H67" s="247">
        <v>1261.59</v>
      </c>
      <c r="I67" s="247">
        <v>138.23</v>
      </c>
      <c r="J67" s="289">
        <v>43</v>
      </c>
      <c r="K67" s="290">
        <f t="shared" si="0"/>
        <v>0.1002331002331</v>
      </c>
      <c r="L67" s="291">
        <v>860.16</v>
      </c>
      <c r="M67" s="251">
        <f t="shared" si="1"/>
        <v>-0.0337837837837838</v>
      </c>
      <c r="N67" s="249">
        <f t="shared" si="2"/>
        <v>0.00479616306954436</v>
      </c>
      <c r="O67" s="249">
        <f t="shared" si="3"/>
        <v>-0.0255643656327264</v>
      </c>
      <c r="P67" s="252">
        <f t="shared" si="4"/>
        <v>1.02386634844869</v>
      </c>
      <c r="Q67" s="281">
        <f t="shared" si="5"/>
        <v>25.0862291169451</v>
      </c>
      <c r="R67" s="281">
        <f t="shared" si="6"/>
        <v>24.5014685314685</v>
      </c>
      <c r="S67" s="281">
        <f t="shared" si="59"/>
        <v>61.2857142857143</v>
      </c>
      <c r="T67" s="254">
        <f t="shared" si="8"/>
        <v>142</v>
      </c>
      <c r="U67" s="255">
        <f t="shared" si="9"/>
        <v>0.33890214797136</v>
      </c>
      <c r="V67" s="256">
        <f t="shared" si="10"/>
        <v>0.207640100646878</v>
      </c>
      <c r="W67" s="244">
        <v>185443</v>
      </c>
      <c r="X67" s="244">
        <v>2245</v>
      </c>
      <c r="Y67" s="244">
        <v>277</v>
      </c>
      <c r="Z67" s="257">
        <v>2153.83</v>
      </c>
      <c r="AA67" s="277">
        <v>6835.68</v>
      </c>
      <c r="AB67" s="245">
        <v>0.96</v>
      </c>
      <c r="AC67" s="259">
        <f t="shared" si="11"/>
        <v>0.315086428855652</v>
      </c>
      <c r="AD67" s="260">
        <f t="shared" ref="AD67:AF67" si="87">X67/W67</f>
        <v>0.0121061458237841</v>
      </c>
      <c r="AE67" s="260">
        <f t="shared" si="87"/>
        <v>0.123385300668151</v>
      </c>
      <c r="AF67" s="253">
        <f t="shared" si="87"/>
        <v>7.775559566787</v>
      </c>
      <c r="AG67" s="261">
        <v>111</v>
      </c>
      <c r="AH67" s="254">
        <v>113</v>
      </c>
      <c r="AI67" s="262">
        <v>205</v>
      </c>
      <c r="AJ67" s="263">
        <f>AG67*产品成本!$D$2+AH67*产品成本!$D$3+AI67*产品成本!$D$4</f>
        <v>1151.76056338028</v>
      </c>
      <c r="AK67" s="263">
        <f>AG67*产品成本!$E$2+AH67*产品成本!$E$3+AI67*产品成本!$E$4</f>
        <v>84.1056676056337</v>
      </c>
      <c r="AL67" s="263">
        <f>AG67*产品成本!$F$2+AH67*产品成本!$F$3+AI67*产品成本!$F$4</f>
        <v>145.86</v>
      </c>
      <c r="AM67" s="263">
        <f>AG67*产品成本!$G$2+AH67*产品成本!$G$3+AI67*产品成本!$G$4</f>
        <v>1649.79</v>
      </c>
      <c r="AN67" s="263">
        <f t="shared" si="13"/>
        <v>1555.935</v>
      </c>
      <c r="AO67" s="264">
        <f t="shared" si="14"/>
        <v>4587.45123098592</v>
      </c>
      <c r="AP67" s="265">
        <v>15</v>
      </c>
      <c r="AQ67" s="265">
        <v>5</v>
      </c>
      <c r="AR67" s="266">
        <v>23</v>
      </c>
      <c r="AS67" s="267">
        <f t="shared" si="15"/>
        <v>977.454545454545</v>
      </c>
      <c r="AT67" s="267">
        <f>AP67*产品成本!$D$2+AQ67*产品成本!$D$3+AR67*产品成本!$D$4</f>
        <v>118.380281690141</v>
      </c>
      <c r="AU67" s="271">
        <f>AP67*产品成本!$E$2+AQ67*产品成本!$E$3+AR67*产品成本!$E$4</f>
        <v>8.39805633802817</v>
      </c>
      <c r="AV67" s="270">
        <f>AP67*产品成本!$F$2+AQ67*产品成本!$F$3+AR67*产品成本!$F$4</f>
        <v>14.62</v>
      </c>
      <c r="AW67" s="269"/>
      <c r="AX67" s="270">
        <f t="shared" si="16"/>
        <v>146.618181818182</v>
      </c>
      <c r="AY67" s="269">
        <f t="shared" si="17"/>
        <v>-29.3236363636364</v>
      </c>
      <c r="AZ67" s="271">
        <f t="shared" si="18"/>
        <v>258.692883482715</v>
      </c>
      <c r="BA67" s="272">
        <f t="shared" si="19"/>
        <v>4328.7583475032</v>
      </c>
      <c r="BB67" s="272">
        <f t="shared" si="20"/>
        <v>10372.9</v>
      </c>
      <c r="BC67" s="272">
        <f t="shared" si="21"/>
        <v>9395.44545454545</v>
      </c>
      <c r="BD67" s="273">
        <f t="shared" si="22"/>
        <v>2912.85710704225</v>
      </c>
      <c r="BE67" s="274">
        <f t="shared" si="23"/>
        <v>0.310028632610818</v>
      </c>
      <c r="BF67" s="278"/>
      <c r="BG67" s="278" t="s">
        <v>94</v>
      </c>
      <c r="BH67" s="191"/>
    </row>
    <row r="68" ht="23.1" customHeight="1" spans="1:61">
      <c r="A68" s="285" t="s">
        <v>232</v>
      </c>
      <c r="B68" s="285" t="s">
        <v>233</v>
      </c>
      <c r="C68" s="243">
        <v>401</v>
      </c>
      <c r="D68" s="244">
        <v>371</v>
      </c>
      <c r="E68" s="247">
        <v>8847.55</v>
      </c>
      <c r="F68" s="246">
        <v>33</v>
      </c>
      <c r="G68" s="246">
        <v>31</v>
      </c>
      <c r="H68" s="247">
        <v>742.44</v>
      </c>
      <c r="I68" s="247">
        <v>87.77</v>
      </c>
      <c r="J68" s="289">
        <v>43</v>
      </c>
      <c r="K68" s="290">
        <f t="shared" ref="K68:K78" si="88">J68/C68</f>
        <v>0.107231920199501</v>
      </c>
      <c r="L68" s="291">
        <v>854.28</v>
      </c>
      <c r="M68" s="251">
        <f t="shared" ref="M68:M74" si="89">(C68-C67)/C67</f>
        <v>-0.0652680652680653</v>
      </c>
      <c r="N68" s="249">
        <f t="shared" ref="N68:N74" si="90">(D68-D67)/D67</f>
        <v>-0.114558472553699</v>
      </c>
      <c r="O68" s="249">
        <f t="shared" ref="O68:O74" si="91">(E68-E67)/E67</f>
        <v>-0.158268425944689</v>
      </c>
      <c r="P68" s="252">
        <f t="shared" ref="P68:P78" si="92">C68/D68</f>
        <v>1.08086253369272</v>
      </c>
      <c r="Q68" s="281">
        <f t="shared" ref="Q68:Q78" si="93">E68/D68</f>
        <v>23.8478436657682</v>
      </c>
      <c r="R68" s="281">
        <f t="shared" ref="R68:R78" si="94">E68/C68</f>
        <v>22.0637157107232</v>
      </c>
      <c r="S68" s="281">
        <f t="shared" si="59"/>
        <v>57.2857142857143</v>
      </c>
      <c r="T68" s="254">
        <f t="shared" ref="T68:T78" si="95">D68-Y68</f>
        <v>161</v>
      </c>
      <c r="U68" s="255">
        <f t="shared" ref="U68:U78" si="96">T68/D68</f>
        <v>0.433962264150943</v>
      </c>
      <c r="V68" s="256">
        <f t="shared" ref="V68:V78" si="97">Z68/(E68-I68)</f>
        <v>0.22967357627703</v>
      </c>
      <c r="W68" s="244">
        <v>281209</v>
      </c>
      <c r="X68" s="244">
        <v>2093</v>
      </c>
      <c r="Y68" s="244">
        <v>210</v>
      </c>
      <c r="Z68" s="257">
        <v>2011.89</v>
      </c>
      <c r="AA68" s="277">
        <v>5176.69</v>
      </c>
      <c r="AB68" s="245">
        <v>0.96</v>
      </c>
      <c r="AC68" s="259">
        <f t="shared" ref="AC68:AC78" si="98">Z68/AA68</f>
        <v>0.388644094971884</v>
      </c>
      <c r="AD68" s="260">
        <f t="shared" ref="AD68:AF68" si="99">X68/W68</f>
        <v>0.00744286278177441</v>
      </c>
      <c r="AE68" s="260">
        <f t="shared" si="99"/>
        <v>0.100334448160535</v>
      </c>
      <c r="AF68" s="253">
        <f t="shared" si="99"/>
        <v>9.58042857142857</v>
      </c>
      <c r="AG68" s="261">
        <v>88</v>
      </c>
      <c r="AH68" s="254">
        <v>118</v>
      </c>
      <c r="AI68" s="262">
        <v>195</v>
      </c>
      <c r="AJ68" s="263">
        <f>AG68*产品成本!$D$2+AH68*产品成本!$D$3+AI68*产品成本!$D$4</f>
        <v>1080.6338028169</v>
      </c>
      <c r="AK68" s="263">
        <f>AG68*产品成本!$E$2+AH68*产品成本!$E$3+AI68*产品成本!$E$4</f>
        <v>78.9766563380281</v>
      </c>
      <c r="AL68" s="263">
        <f>AG68*产品成本!$F$2+AH68*产品成本!$F$3+AI68*产品成本!$F$4</f>
        <v>136.34</v>
      </c>
      <c r="AM68" s="263">
        <f>AG68*产品成本!$G$2+AH68*产品成本!$G$3+AI68*产品成本!$G$4</f>
        <v>1545.42</v>
      </c>
      <c r="AN68" s="263">
        <f t="shared" ref="AN68:AN74" si="100">(E68-I68)*0.15</f>
        <v>1313.967</v>
      </c>
      <c r="AO68" s="264">
        <f t="shared" ref="AO68:AO74" si="101">SUM(AJ68:AN68)</f>
        <v>4155.33745915493</v>
      </c>
      <c r="AP68" s="265">
        <v>15</v>
      </c>
      <c r="AQ68" s="265">
        <v>10</v>
      </c>
      <c r="AR68" s="266">
        <v>18</v>
      </c>
      <c r="AS68" s="267">
        <f t="shared" ref="AS68:AS74" si="102">L68/(1-0.15+0.15*0.2)</f>
        <v>970.772727272727</v>
      </c>
      <c r="AT68" s="267">
        <f>AP68*产品成本!$D$2+AQ68*产品成本!$D$3+AR68*产品成本!$D$4</f>
        <v>112.394366197183</v>
      </c>
      <c r="AU68" s="271">
        <f>AP68*产品成本!$E$2+AQ68*产品成本!$E$3+AR68*产品成本!$E$4</f>
        <v>8.31200704225351</v>
      </c>
      <c r="AV68" s="270">
        <f>AP68*产品成本!$F$2+AQ68*产品成本!$F$3+AR68*产品成本!$F$4</f>
        <v>14.62</v>
      </c>
      <c r="AW68" s="269"/>
      <c r="AX68" s="270">
        <f t="shared" ref="AX68:AX74" si="103">AS68*0.15</f>
        <v>145.615909090909</v>
      </c>
      <c r="AY68" s="269">
        <f t="shared" ref="AY68:AY74" si="104">-AX68*0.2</f>
        <v>-29.1231818181818</v>
      </c>
      <c r="AZ68" s="271">
        <f t="shared" ref="AZ68:AZ74" si="105">SUM(AT68:AY68)</f>
        <v>251.819100512164</v>
      </c>
      <c r="BA68" s="272">
        <f t="shared" ref="BA68:BA74" si="106">AO68-AZ68</f>
        <v>3903.51835864277</v>
      </c>
      <c r="BB68" s="272">
        <f t="shared" ref="BB68:BB74" si="107">E68-I68</f>
        <v>8759.78</v>
      </c>
      <c r="BC68" s="272">
        <f t="shared" ref="BC68:BC74" si="108">E68-AS68-I68</f>
        <v>7789.00727272727</v>
      </c>
      <c r="BD68" s="273">
        <f t="shared" ref="BD68:BD75" si="109">BC68-BA68-Z68</f>
        <v>1873.59891408451</v>
      </c>
      <c r="BE68" s="274">
        <f t="shared" ref="BE68:BE78" si="110">BD68/BC68</f>
        <v>0.240543993410405</v>
      </c>
      <c r="BF68" s="280" t="s">
        <v>234</v>
      </c>
      <c r="BG68" s="280" t="s">
        <v>235</v>
      </c>
      <c r="BH68" s="191"/>
    </row>
    <row r="69" ht="23.1" customHeight="1" spans="1:61">
      <c r="A69" s="285" t="s">
        <v>236</v>
      </c>
      <c r="B69" s="285" t="s">
        <v>237</v>
      </c>
      <c r="C69" s="243">
        <v>524</v>
      </c>
      <c r="D69" s="244">
        <v>498</v>
      </c>
      <c r="E69" s="247">
        <v>11077.72</v>
      </c>
      <c r="F69" s="246">
        <v>54</v>
      </c>
      <c r="G69" s="246">
        <v>41</v>
      </c>
      <c r="H69" s="247">
        <v>1165.01</v>
      </c>
      <c r="I69" s="247">
        <v>96.42</v>
      </c>
      <c r="J69" s="289">
        <v>33</v>
      </c>
      <c r="K69" s="290">
        <f t="shared" si="88"/>
        <v>0.0629770992366412</v>
      </c>
      <c r="L69" s="291">
        <v>645.56</v>
      </c>
      <c r="M69" s="251">
        <f t="shared" si="89"/>
        <v>0.306733167082294</v>
      </c>
      <c r="N69" s="249">
        <f t="shared" si="90"/>
        <v>0.342318059299191</v>
      </c>
      <c r="O69" s="249">
        <f t="shared" si="91"/>
        <v>0.252066391260858</v>
      </c>
      <c r="P69" s="252">
        <f t="shared" si="92"/>
        <v>1.05220883534137</v>
      </c>
      <c r="Q69" s="281">
        <f t="shared" si="93"/>
        <v>22.2444176706827</v>
      </c>
      <c r="R69" s="281">
        <f t="shared" si="94"/>
        <v>21.1406870229008</v>
      </c>
      <c r="S69" s="281">
        <f t="shared" si="59"/>
        <v>74.8571428571429</v>
      </c>
      <c r="T69" s="254">
        <f t="shared" si="95"/>
        <v>198</v>
      </c>
      <c r="U69" s="255">
        <f t="shared" si="96"/>
        <v>0.397590361445783</v>
      </c>
      <c r="V69" s="256">
        <f t="shared" si="97"/>
        <v>0.203948530683981</v>
      </c>
      <c r="W69" s="244">
        <v>320616</v>
      </c>
      <c r="X69" s="244">
        <v>2314</v>
      </c>
      <c r="Y69" s="244">
        <v>300</v>
      </c>
      <c r="Z69" s="257">
        <v>2239.62</v>
      </c>
      <c r="AA69" s="277">
        <v>6515.16</v>
      </c>
      <c r="AB69" s="245">
        <v>0.97</v>
      </c>
      <c r="AC69" s="259">
        <f t="shared" si="98"/>
        <v>0.343755180225812</v>
      </c>
      <c r="AD69" s="260">
        <f t="shared" ref="AD69:AF69" si="111">X69/W69</f>
        <v>0.00721735658856701</v>
      </c>
      <c r="AE69" s="260">
        <f t="shared" si="111"/>
        <v>0.129645635263613</v>
      </c>
      <c r="AF69" s="253">
        <f t="shared" si="111"/>
        <v>7.4654</v>
      </c>
      <c r="AG69" s="261">
        <v>148</v>
      </c>
      <c r="AH69" s="254">
        <v>136</v>
      </c>
      <c r="AI69" s="262">
        <v>240</v>
      </c>
      <c r="AJ69" s="263">
        <f>AG69*产品成本!$D$2+AH69*产品成本!$D$3+AI69*产品成本!$D$4</f>
        <v>1394.3661971831</v>
      </c>
      <c r="AK69" s="263">
        <f>AG69*产品成本!$E$2+AH69*产品成本!$E$3+AI69*产品成本!$E$4</f>
        <v>102.313301408451</v>
      </c>
      <c r="AL69" s="263">
        <f>AG69*产品成本!$F$2+AH69*产品成本!$F$3+AI69*产品成本!$F$4</f>
        <v>178.16</v>
      </c>
      <c r="AM69" s="263">
        <f>AG69*产品成本!$G$2+AH69*产品成本!$G$3+AI69*产品成本!$G$4</f>
        <v>2012.52</v>
      </c>
      <c r="AN69" s="263">
        <f t="shared" si="100"/>
        <v>1647.195</v>
      </c>
      <c r="AO69" s="264">
        <f t="shared" si="101"/>
        <v>5334.55449859155</v>
      </c>
      <c r="AP69" s="265">
        <v>7</v>
      </c>
      <c r="AQ69" s="265">
        <v>8</v>
      </c>
      <c r="AR69" s="266">
        <v>18</v>
      </c>
      <c r="AS69" s="267">
        <f t="shared" si="102"/>
        <v>733.590909090909</v>
      </c>
      <c r="AT69" s="267">
        <f>AP69*产品成本!$D$2+AQ69*产品成本!$D$3+AR69*产品成本!$D$4</f>
        <v>91.2676056338029</v>
      </c>
      <c r="AU69" s="271">
        <f>AP69*产品成本!$E$2+AQ69*产品成本!$E$3+AR69*产品成本!$E$4</f>
        <v>6.53757042253521</v>
      </c>
      <c r="AV69" s="270">
        <f>AP69*产品成本!$F$2+AQ69*产品成本!$F$3+AR69*产品成本!$F$4</f>
        <v>11.22</v>
      </c>
      <c r="AW69" s="269"/>
      <c r="AX69" s="270">
        <f t="shared" si="103"/>
        <v>110.038636363636</v>
      </c>
      <c r="AY69" s="269">
        <f t="shared" si="104"/>
        <v>-22.0077272727273</v>
      </c>
      <c r="AZ69" s="271">
        <f t="shared" si="105"/>
        <v>197.056085147247</v>
      </c>
      <c r="BA69" s="272">
        <f t="shared" si="106"/>
        <v>5137.4984134443</v>
      </c>
      <c r="BB69" s="272">
        <f t="shared" si="107"/>
        <v>10981.3</v>
      </c>
      <c r="BC69" s="272">
        <f t="shared" si="108"/>
        <v>10247.7090909091</v>
      </c>
      <c r="BD69" s="273">
        <f t="shared" si="109"/>
        <v>2870.59067746479</v>
      </c>
      <c r="BE69" s="274">
        <f t="shared" si="110"/>
        <v>0.280120234873893</v>
      </c>
      <c r="BF69" s="278" t="s">
        <v>238</v>
      </c>
      <c r="BG69" s="278" t="s">
        <v>239</v>
      </c>
      <c r="BH69" s="191"/>
    </row>
    <row r="70" ht="23.1" customHeight="1" spans="1:61">
      <c r="A70" s="285" t="s">
        <v>240</v>
      </c>
      <c r="B70" s="285" t="s">
        <v>241</v>
      </c>
      <c r="C70" s="243">
        <v>486</v>
      </c>
      <c r="D70" s="244">
        <v>450</v>
      </c>
      <c r="E70" s="247">
        <v>10769.75</v>
      </c>
      <c r="F70" s="246">
        <v>50</v>
      </c>
      <c r="G70" s="246">
        <v>30</v>
      </c>
      <c r="H70" s="247">
        <v>1102.63</v>
      </c>
      <c r="I70" s="247">
        <v>119.81</v>
      </c>
      <c r="J70" s="289">
        <v>34</v>
      </c>
      <c r="K70" s="290">
        <f t="shared" si="88"/>
        <v>0.0699588477366255</v>
      </c>
      <c r="L70" s="291">
        <v>647.63</v>
      </c>
      <c r="M70" s="251">
        <f t="shared" si="89"/>
        <v>-0.0725190839694656</v>
      </c>
      <c r="N70" s="249">
        <f t="shared" si="90"/>
        <v>-0.0963855421686747</v>
      </c>
      <c r="O70" s="249">
        <f t="shared" si="91"/>
        <v>-0.0278008471057221</v>
      </c>
      <c r="P70" s="252">
        <f t="shared" si="92"/>
        <v>1.08</v>
      </c>
      <c r="Q70" s="281">
        <f t="shared" si="93"/>
        <v>23.9327777777778</v>
      </c>
      <c r="R70" s="281">
        <f t="shared" si="94"/>
        <v>22.1599794238683</v>
      </c>
      <c r="S70" s="281">
        <f t="shared" si="59"/>
        <v>69.4285714285714</v>
      </c>
      <c r="T70" s="254">
        <f t="shared" si="95"/>
        <v>189</v>
      </c>
      <c r="U70" s="255">
        <f t="shared" si="96"/>
        <v>0.42</v>
      </c>
      <c r="V70" s="256">
        <f t="shared" si="97"/>
        <v>0.228713964585716</v>
      </c>
      <c r="W70" s="244">
        <v>224056</v>
      </c>
      <c r="X70" s="244">
        <v>2432</v>
      </c>
      <c r="Y70" s="244">
        <v>261</v>
      </c>
      <c r="Z70" s="257">
        <v>2435.79</v>
      </c>
      <c r="AA70" s="277">
        <v>6049.84</v>
      </c>
      <c r="AB70" s="245">
        <v>1</v>
      </c>
      <c r="AC70" s="259">
        <f t="shared" si="98"/>
        <v>0.402620565171971</v>
      </c>
      <c r="AD70" s="260">
        <f t="shared" ref="AD70:AF70" si="112">X70/W70</f>
        <v>0.0108544292498304</v>
      </c>
      <c r="AE70" s="260">
        <f t="shared" si="112"/>
        <v>0.107319078947368</v>
      </c>
      <c r="AF70" s="253">
        <f t="shared" si="112"/>
        <v>9.33252873563218</v>
      </c>
      <c r="AG70" s="261">
        <v>110</v>
      </c>
      <c r="AH70" s="254">
        <v>141</v>
      </c>
      <c r="AI70" s="262">
        <v>235</v>
      </c>
      <c r="AJ70" s="263">
        <f>AG70*产品成本!$D$2+AH70*产品成本!$D$3+AI70*产品成本!$D$4</f>
        <v>1308.0985915493</v>
      </c>
      <c r="AK70" s="263">
        <f>AG70*产品成本!$E$2+AH70*产品成本!$E$3+AI70*产品成本!$E$4</f>
        <v>95.6301845070422</v>
      </c>
      <c r="AL70" s="263">
        <f>AG70*产品成本!$F$2+AH70*产品成本!$F$3+AI70*产品成本!$F$4</f>
        <v>165.24</v>
      </c>
      <c r="AM70" s="263">
        <f>AG70*产品成本!$G$2+AH70*产品成本!$G$3+AI70*产品成本!$G$4</f>
        <v>1872.3</v>
      </c>
      <c r="AN70" s="263">
        <f t="shared" si="100"/>
        <v>1597.491</v>
      </c>
      <c r="AO70" s="264">
        <f t="shared" si="101"/>
        <v>5038.75977605634</v>
      </c>
      <c r="AP70" s="265">
        <v>8</v>
      </c>
      <c r="AQ70" s="265">
        <v>15</v>
      </c>
      <c r="AR70" s="266">
        <v>11</v>
      </c>
      <c r="AS70" s="267">
        <f t="shared" si="102"/>
        <v>735.943181818182</v>
      </c>
      <c r="AT70" s="267">
        <f>AP70*产品成本!$D$2+AQ70*产品成本!$D$3+AR70*产品成本!$D$4</f>
        <v>85.0000000000001</v>
      </c>
      <c r="AU70" s="271">
        <f>AP70*产品成本!$E$2+AQ70*产品成本!$E$3+AR70*产品成本!$E$4</f>
        <v>6.59070845070422</v>
      </c>
      <c r="AV70" s="270">
        <f>AP70*产品成本!$F$2+AQ70*产品成本!$F$3+AR70*产品成本!$F$4</f>
        <v>11.56</v>
      </c>
      <c r="AW70" s="269"/>
      <c r="AX70" s="270">
        <f t="shared" si="103"/>
        <v>110.391477272727</v>
      </c>
      <c r="AY70" s="269">
        <f t="shared" si="104"/>
        <v>-22.0782954545455</v>
      </c>
      <c r="AZ70" s="271">
        <f t="shared" si="105"/>
        <v>191.463890268886</v>
      </c>
      <c r="BA70" s="272">
        <f t="shared" si="106"/>
        <v>4847.29588578745</v>
      </c>
      <c r="BB70" s="272">
        <f t="shared" si="107"/>
        <v>10649.94</v>
      </c>
      <c r="BC70" s="272">
        <f t="shared" si="108"/>
        <v>9913.99681818182</v>
      </c>
      <c r="BD70" s="273">
        <f t="shared" si="109"/>
        <v>2630.91093239436</v>
      </c>
      <c r="BE70" s="274">
        <f t="shared" si="110"/>
        <v>0.265373388820278</v>
      </c>
      <c r="BF70" s="280" t="s">
        <v>242</v>
      </c>
      <c r="BG70" s="280" t="s">
        <v>243</v>
      </c>
      <c r="BH70" s="191"/>
    </row>
    <row r="71" ht="23.1" customHeight="1" spans="1:61">
      <c r="A71" s="285" t="s">
        <v>244</v>
      </c>
      <c r="B71" s="285" t="s">
        <v>245</v>
      </c>
      <c r="C71" s="243">
        <v>495</v>
      </c>
      <c r="D71" s="244">
        <v>481</v>
      </c>
      <c r="E71" s="247">
        <v>10972.88</v>
      </c>
      <c r="F71" s="246">
        <v>54</v>
      </c>
      <c r="G71" s="246">
        <v>48</v>
      </c>
      <c r="H71" s="247">
        <v>1187.26</v>
      </c>
      <c r="I71" s="247">
        <v>139.54</v>
      </c>
      <c r="J71" s="289">
        <v>43</v>
      </c>
      <c r="K71" s="290">
        <f t="shared" si="88"/>
        <v>0.0868686868686869</v>
      </c>
      <c r="L71" s="291">
        <v>835.32</v>
      </c>
      <c r="M71" s="251">
        <f t="shared" si="89"/>
        <v>0.0185185185185185</v>
      </c>
      <c r="N71" s="249">
        <f t="shared" si="90"/>
        <v>0.0688888888888889</v>
      </c>
      <c r="O71" s="249">
        <f t="shared" si="91"/>
        <v>0.0188611620511153</v>
      </c>
      <c r="P71" s="252">
        <f t="shared" si="92"/>
        <v>1.02910602910603</v>
      </c>
      <c r="Q71" s="281">
        <f t="shared" si="93"/>
        <v>22.8126403326403</v>
      </c>
      <c r="R71" s="281">
        <f t="shared" si="94"/>
        <v>22.1674343434343</v>
      </c>
      <c r="S71" s="281">
        <f t="shared" si="59"/>
        <v>70.7142857142857</v>
      </c>
      <c r="T71" s="254">
        <f t="shared" si="95"/>
        <v>148</v>
      </c>
      <c r="U71" s="255">
        <f t="shared" si="96"/>
        <v>0.307692307692308</v>
      </c>
      <c r="V71" s="256">
        <f t="shared" si="97"/>
        <v>0.230870627156537</v>
      </c>
      <c r="W71" s="244">
        <v>192638</v>
      </c>
      <c r="X71" s="244">
        <v>2449</v>
      </c>
      <c r="Y71" s="244">
        <v>333</v>
      </c>
      <c r="Z71" s="257">
        <v>2501.1</v>
      </c>
      <c r="AA71" s="277">
        <v>7556.87</v>
      </c>
      <c r="AB71" s="245">
        <v>1.02</v>
      </c>
      <c r="AC71" s="259">
        <f t="shared" si="98"/>
        <v>0.330970362067893</v>
      </c>
      <c r="AD71" s="260">
        <f t="shared" ref="AD71:AF71" si="113">X71/W71</f>
        <v>0.0127129642126683</v>
      </c>
      <c r="AE71" s="260">
        <f t="shared" si="113"/>
        <v>0.135973866884443</v>
      </c>
      <c r="AF71" s="253">
        <f t="shared" si="113"/>
        <v>7.51081081081081</v>
      </c>
      <c r="AG71" s="261">
        <v>101</v>
      </c>
      <c r="AH71" s="254">
        <v>148</v>
      </c>
      <c r="AI71" s="262">
        <v>246</v>
      </c>
      <c r="AJ71" s="263">
        <f>AG71*产品成本!$D$2+AH71*产品成本!$D$3+AI71*产品成本!$D$4</f>
        <v>1340.28169014085</v>
      </c>
      <c r="AK71" s="263">
        <f>AG71*产品成本!$E$2+AH71*产品成本!$E$3+AI71*产品成本!$E$4</f>
        <v>97.727252112676</v>
      </c>
      <c r="AL71" s="263">
        <f>AG71*产品成本!$F$2+AH71*产品成本!$F$3+AI71*产品成本!$F$4</f>
        <v>168.3</v>
      </c>
      <c r="AM71" s="263">
        <f>AG71*产品成本!$G$2+AH71*产品成本!$G$3+AI71*产品成本!$G$4</f>
        <v>1909.29</v>
      </c>
      <c r="AN71" s="263">
        <f t="shared" si="100"/>
        <v>1625.001</v>
      </c>
      <c r="AO71" s="264">
        <f t="shared" si="101"/>
        <v>5140.59994225352</v>
      </c>
      <c r="AP71" s="265">
        <v>9</v>
      </c>
      <c r="AQ71" s="265">
        <v>14</v>
      </c>
      <c r="AR71" s="266">
        <v>20</v>
      </c>
      <c r="AS71" s="267">
        <f t="shared" si="102"/>
        <v>949.227272727273</v>
      </c>
      <c r="AT71" s="267">
        <f>AP71*产品成本!$D$2+AQ71*产品成本!$D$3+AR71*产品成本!$D$4</f>
        <v>114.788732394366</v>
      </c>
      <c r="AU71" s="271">
        <f>AP71*产品成本!$E$2+AQ71*产品成本!$E$3+AR71*产品成本!$E$4</f>
        <v>8.46152535211267</v>
      </c>
      <c r="AV71" s="270">
        <f>AP71*产品成本!$F$2+AQ71*产品成本!$F$3+AR71*产品成本!$F$4</f>
        <v>14.62</v>
      </c>
      <c r="AW71" s="269"/>
      <c r="AX71" s="270">
        <f t="shared" si="103"/>
        <v>142.384090909091</v>
      </c>
      <c r="AY71" s="269">
        <f t="shared" si="104"/>
        <v>-28.4768181818182</v>
      </c>
      <c r="AZ71" s="271">
        <f t="shared" si="105"/>
        <v>251.777530473752</v>
      </c>
      <c r="BA71" s="272">
        <f t="shared" si="106"/>
        <v>4888.82241177977</v>
      </c>
      <c r="BB71" s="272">
        <f t="shared" si="107"/>
        <v>10833.34</v>
      </c>
      <c r="BC71" s="272">
        <f t="shared" si="108"/>
        <v>9884.11272727273</v>
      </c>
      <c r="BD71" s="273">
        <f t="shared" si="109"/>
        <v>2494.19031549296</v>
      </c>
      <c r="BE71" s="274">
        <f t="shared" si="110"/>
        <v>0.252343370043814</v>
      </c>
      <c r="BF71" s="278" t="s">
        <v>246</v>
      </c>
      <c r="BG71" s="278" t="s">
        <v>243</v>
      </c>
      <c r="BH71" s="191"/>
    </row>
    <row r="72" ht="23.1" customHeight="1" spans="1:61">
      <c r="A72" s="285" t="s">
        <v>247</v>
      </c>
      <c r="B72" s="285" t="s">
        <v>248</v>
      </c>
      <c r="C72" s="243">
        <v>580</v>
      </c>
      <c r="D72" s="244">
        <v>546</v>
      </c>
      <c r="E72" s="247">
        <v>12876</v>
      </c>
      <c r="F72" s="246">
        <v>65</v>
      </c>
      <c r="G72" s="246">
        <v>50</v>
      </c>
      <c r="H72" s="247">
        <v>1445.95</v>
      </c>
      <c r="I72" s="247">
        <v>138.16</v>
      </c>
      <c r="J72" s="289">
        <v>37</v>
      </c>
      <c r="K72" s="290">
        <f t="shared" si="88"/>
        <v>0.0637931034482759</v>
      </c>
      <c r="L72" s="291">
        <v>708.67</v>
      </c>
      <c r="M72" s="251">
        <f t="shared" si="89"/>
        <v>0.171717171717172</v>
      </c>
      <c r="N72" s="249">
        <f t="shared" si="90"/>
        <v>0.135135135135135</v>
      </c>
      <c r="O72" s="249">
        <f t="shared" si="91"/>
        <v>0.17343851386327</v>
      </c>
      <c r="P72" s="252">
        <f t="shared" si="92"/>
        <v>1.06227106227106</v>
      </c>
      <c r="Q72" s="281">
        <f t="shared" si="93"/>
        <v>23.5824175824176</v>
      </c>
      <c r="R72" s="281">
        <f t="shared" si="94"/>
        <v>22.2</v>
      </c>
      <c r="S72" s="281">
        <f t="shared" si="59"/>
        <v>82.8571428571429</v>
      </c>
      <c r="T72" s="254">
        <f t="shared" si="95"/>
        <v>204</v>
      </c>
      <c r="U72" s="255">
        <f t="shared" si="96"/>
        <v>0.373626373626374</v>
      </c>
      <c r="V72" s="256">
        <f t="shared" si="97"/>
        <v>0.234826312781445</v>
      </c>
      <c r="W72" s="244">
        <v>222786</v>
      </c>
      <c r="X72" s="244">
        <v>2899</v>
      </c>
      <c r="Y72" s="244">
        <v>342</v>
      </c>
      <c r="Z72" s="257">
        <v>2991.18</v>
      </c>
      <c r="AA72" s="277">
        <v>7818.94</v>
      </c>
      <c r="AB72" s="245">
        <v>1.03</v>
      </c>
      <c r="AC72" s="259">
        <f t="shared" si="98"/>
        <v>0.382555691692224</v>
      </c>
      <c r="AD72" s="260">
        <f t="shared" ref="AD72:AF72" si="114">X72/W72</f>
        <v>0.01301248731967</v>
      </c>
      <c r="AE72" s="260">
        <f t="shared" si="114"/>
        <v>0.11797171438427</v>
      </c>
      <c r="AF72" s="253">
        <f t="shared" si="114"/>
        <v>8.74614035087719</v>
      </c>
      <c r="AG72" s="261">
        <v>140</v>
      </c>
      <c r="AH72" s="254">
        <v>158</v>
      </c>
      <c r="AI72" s="262">
        <v>282</v>
      </c>
      <c r="AJ72" s="263">
        <f>AG72*产品成本!$D$2+AH72*产品成本!$D$3+AI72*产品成本!$D$4</f>
        <v>1562.95774647887</v>
      </c>
      <c r="AK72" s="263">
        <f>AG72*产品成本!$E$2+AH72*产品成本!$E$3+AI72*产品成本!$E$4</f>
        <v>113.985828169014</v>
      </c>
      <c r="AL72" s="263">
        <f>AG72*产品成本!$F$2+AH72*产品成本!$F$3+AI72*产品成本!$F$4</f>
        <v>197.2</v>
      </c>
      <c r="AM72" s="263">
        <f>AG72*产品成本!$G$2+AH72*产品成本!$G$3+AI72*产品成本!$G$4</f>
        <v>2232.6</v>
      </c>
      <c r="AN72" s="263">
        <f t="shared" si="100"/>
        <v>1910.676</v>
      </c>
      <c r="AO72" s="264">
        <f t="shared" si="101"/>
        <v>6017.41957464789</v>
      </c>
      <c r="AP72" s="265">
        <v>8</v>
      </c>
      <c r="AQ72" s="265">
        <v>13</v>
      </c>
      <c r="AR72" s="266">
        <v>16</v>
      </c>
      <c r="AS72" s="267">
        <f t="shared" si="102"/>
        <v>805.306818181818</v>
      </c>
      <c r="AT72" s="267">
        <f>AP72*产品成本!$D$2+AQ72*产品成本!$D$3+AR72*产品成本!$D$4</f>
        <v>97.3239436619719</v>
      </c>
      <c r="AU72" s="271">
        <f>AP72*产品成本!$E$2+AQ72*产品成本!$E$3+AR72*产品成本!$E$4</f>
        <v>7.25512816901408</v>
      </c>
      <c r="AV72" s="270">
        <f>AP72*产品成本!$F$2+AQ72*产品成本!$F$3+AR72*产品成本!$F$4</f>
        <v>12.58</v>
      </c>
      <c r="AW72" s="269"/>
      <c r="AX72" s="270">
        <f t="shared" si="103"/>
        <v>120.796022727273</v>
      </c>
      <c r="AY72" s="269">
        <f t="shared" si="104"/>
        <v>-24.1592045454545</v>
      </c>
      <c r="AZ72" s="271">
        <f t="shared" si="105"/>
        <v>213.795890012804</v>
      </c>
      <c r="BA72" s="272">
        <f t="shared" si="106"/>
        <v>5803.62368463508</v>
      </c>
      <c r="BB72" s="272">
        <f t="shared" si="107"/>
        <v>12737.84</v>
      </c>
      <c r="BC72" s="272">
        <f t="shared" si="108"/>
        <v>11932.5331818182</v>
      </c>
      <c r="BD72" s="273">
        <f t="shared" si="109"/>
        <v>3137.7294971831</v>
      </c>
      <c r="BE72" s="274">
        <f t="shared" si="110"/>
        <v>0.262955857685283</v>
      </c>
      <c r="BF72" s="280" t="s">
        <v>249</v>
      </c>
      <c r="BG72" s="280" t="s">
        <v>243</v>
      </c>
      <c r="BH72" s="191"/>
    </row>
    <row r="73" ht="23.1" customHeight="1" spans="1:61">
      <c r="A73" s="285" t="s">
        <v>250</v>
      </c>
      <c r="B73" s="285" t="s">
        <v>251</v>
      </c>
      <c r="C73" s="243">
        <v>596</v>
      </c>
      <c r="D73" s="244">
        <v>558</v>
      </c>
      <c r="E73" s="247">
        <v>13082.03</v>
      </c>
      <c r="F73" s="246">
        <v>90</v>
      </c>
      <c r="G73" s="246">
        <v>71</v>
      </c>
      <c r="H73" s="247">
        <v>1977.05</v>
      </c>
      <c r="I73" s="247">
        <v>183.86</v>
      </c>
      <c r="J73" s="289">
        <v>43</v>
      </c>
      <c r="K73" s="290">
        <f t="shared" si="88"/>
        <v>0.0721476510067114</v>
      </c>
      <c r="L73" s="291">
        <v>832.44</v>
      </c>
      <c r="M73" s="251">
        <f t="shared" si="89"/>
        <v>0.0275862068965517</v>
      </c>
      <c r="N73" s="249">
        <f t="shared" si="90"/>
        <v>0.021978021978022</v>
      </c>
      <c r="O73" s="249">
        <f t="shared" si="91"/>
        <v>0.0160010872941908</v>
      </c>
      <c r="P73" s="252">
        <f t="shared" si="92"/>
        <v>1.06810035842294</v>
      </c>
      <c r="Q73" s="281">
        <f t="shared" si="93"/>
        <v>23.4444982078853</v>
      </c>
      <c r="R73" s="281">
        <f t="shared" si="94"/>
        <v>21.9497147651007</v>
      </c>
      <c r="S73" s="281">
        <f t="shared" si="59"/>
        <v>85.1428571428571</v>
      </c>
      <c r="T73" s="254">
        <f t="shared" si="95"/>
        <v>220</v>
      </c>
      <c r="U73" s="255">
        <f t="shared" si="96"/>
        <v>0.39426523297491</v>
      </c>
      <c r="V73" s="256">
        <f t="shared" si="97"/>
        <v>0.196288310667327</v>
      </c>
      <c r="W73" s="244">
        <v>211323</v>
      </c>
      <c r="X73" s="244">
        <v>2479</v>
      </c>
      <c r="Y73" s="244">
        <v>338</v>
      </c>
      <c r="Z73" s="257">
        <v>2531.76</v>
      </c>
      <c r="AA73" s="277">
        <v>7647</v>
      </c>
      <c r="AB73" s="245">
        <v>1.02</v>
      </c>
      <c r="AC73" s="259">
        <f t="shared" si="98"/>
        <v>0.331078854452727</v>
      </c>
      <c r="AD73" s="260">
        <f t="shared" ref="AD73:AF73" si="115">X73/W73</f>
        <v>0.0117308575024962</v>
      </c>
      <c r="AE73" s="260">
        <f t="shared" si="115"/>
        <v>0.136345300524405</v>
      </c>
      <c r="AF73" s="253">
        <f t="shared" si="115"/>
        <v>7.49041420118343</v>
      </c>
      <c r="AG73" s="261">
        <v>157</v>
      </c>
      <c r="AH73" s="254">
        <v>176</v>
      </c>
      <c r="AI73" s="262">
        <v>263</v>
      </c>
      <c r="AJ73" s="263">
        <f>AG73*产品成本!$D$2+AH73*产品成本!$D$3+AI73*产品成本!$D$4</f>
        <v>1574.01408450704</v>
      </c>
      <c r="AK73" s="263">
        <f>AG73*产品成本!$E$2+AH73*产品成本!$E$3+AI73*产品成本!$E$4</f>
        <v>116.417370422535</v>
      </c>
      <c r="AL73" s="263">
        <f>AG73*产品成本!$F$2+AH73*产品成本!$F$3+AI73*产品成本!$F$4</f>
        <v>202.64</v>
      </c>
      <c r="AM73" s="263">
        <f>AG73*产品成本!$G$2+AH73*产品成本!$G$3+AI73*产品成本!$G$4</f>
        <v>2291.43</v>
      </c>
      <c r="AN73" s="263">
        <f t="shared" si="100"/>
        <v>1934.7255</v>
      </c>
      <c r="AO73" s="264">
        <f t="shared" si="101"/>
        <v>6119.22695492958</v>
      </c>
      <c r="AP73" s="265">
        <v>8</v>
      </c>
      <c r="AQ73" s="265">
        <v>15</v>
      </c>
      <c r="AR73" s="266">
        <v>20</v>
      </c>
      <c r="AS73" s="267">
        <f t="shared" si="102"/>
        <v>945.954545454545</v>
      </c>
      <c r="AT73" s="267">
        <f>AP73*产品成本!$D$2+AQ73*产品成本!$D$3+AR73*产品成本!$D$4</f>
        <v>114.788732394366</v>
      </c>
      <c r="AU73" s="271">
        <f>AP73*产品成本!$E$2+AQ73*产品成本!$E$3+AR73*产品成本!$E$4</f>
        <v>8.48070845070422</v>
      </c>
      <c r="AV73" s="270">
        <f>AP73*产品成本!$F$2+AQ73*产品成本!$F$3+AR73*产品成本!$F$4</f>
        <v>14.62</v>
      </c>
      <c r="AW73" s="269"/>
      <c r="AX73" s="270">
        <f t="shared" si="103"/>
        <v>141.893181818182</v>
      </c>
      <c r="AY73" s="269">
        <f t="shared" si="104"/>
        <v>-28.3786363636364</v>
      </c>
      <c r="AZ73" s="271">
        <f t="shared" si="105"/>
        <v>251.403986299616</v>
      </c>
      <c r="BA73" s="272">
        <f t="shared" si="106"/>
        <v>5867.82296862996</v>
      </c>
      <c r="BB73" s="272">
        <f t="shared" si="107"/>
        <v>12898.17</v>
      </c>
      <c r="BC73" s="272">
        <f t="shared" si="108"/>
        <v>11952.2154545455</v>
      </c>
      <c r="BD73" s="273">
        <f t="shared" si="109"/>
        <v>3552.63248591549</v>
      </c>
      <c r="BE73" s="274">
        <f t="shared" si="110"/>
        <v>0.297236315679401</v>
      </c>
      <c r="BF73" s="278" t="s">
        <v>252</v>
      </c>
      <c r="BG73" s="278" t="s">
        <v>253</v>
      </c>
      <c r="BH73" s="191"/>
    </row>
    <row r="74" ht="23.1" customHeight="1" spans="1:61">
      <c r="A74" s="285" t="s">
        <v>254</v>
      </c>
      <c r="B74" s="285" t="s">
        <v>255</v>
      </c>
      <c r="C74" s="243">
        <v>489</v>
      </c>
      <c r="D74" s="244">
        <v>463</v>
      </c>
      <c r="E74" s="247">
        <v>10803.14</v>
      </c>
      <c r="F74" s="246">
        <v>54</v>
      </c>
      <c r="G74" s="246">
        <v>44</v>
      </c>
      <c r="H74" s="247">
        <v>1212.76</v>
      </c>
      <c r="I74" s="247">
        <v>146.83</v>
      </c>
      <c r="J74" s="289">
        <v>42</v>
      </c>
      <c r="K74" s="290">
        <f t="shared" si="88"/>
        <v>0.0858895705521472</v>
      </c>
      <c r="L74" s="291">
        <v>812.8</v>
      </c>
      <c r="M74" s="251">
        <f t="shared" si="89"/>
        <v>-0.179530201342282</v>
      </c>
      <c r="N74" s="249">
        <f t="shared" si="90"/>
        <v>-0.170250896057348</v>
      </c>
      <c r="O74" s="249">
        <f t="shared" si="91"/>
        <v>-0.174200028588835</v>
      </c>
      <c r="P74" s="252">
        <f t="shared" si="92"/>
        <v>1.0561555075594</v>
      </c>
      <c r="Q74" s="281">
        <f t="shared" si="93"/>
        <v>23.3329157667387</v>
      </c>
      <c r="R74" s="281">
        <f t="shared" si="94"/>
        <v>22.0923108384458</v>
      </c>
      <c r="S74" s="281">
        <f t="shared" si="59"/>
        <v>69.8571428571429</v>
      </c>
      <c r="T74" s="254">
        <f t="shared" si="95"/>
        <v>179</v>
      </c>
      <c r="U74" s="255">
        <f t="shared" si="96"/>
        <v>0.386609071274298</v>
      </c>
      <c r="V74" s="256">
        <f t="shared" si="97"/>
        <v>0.224581492092479</v>
      </c>
      <c r="W74" s="244">
        <v>191264</v>
      </c>
      <c r="X74" s="244">
        <v>2364</v>
      </c>
      <c r="Y74" s="244">
        <v>284</v>
      </c>
      <c r="Z74" s="257">
        <v>2393.21</v>
      </c>
      <c r="AA74" s="277">
        <v>6412.56</v>
      </c>
      <c r="AB74" s="245">
        <v>1.01</v>
      </c>
      <c r="AC74" s="259">
        <f t="shared" si="98"/>
        <v>0.373206644460247</v>
      </c>
      <c r="AD74" s="260">
        <f t="shared" ref="AD74:AF74" si="116">X74/W74</f>
        <v>0.0123598795382299</v>
      </c>
      <c r="AE74" s="260">
        <f t="shared" si="116"/>
        <v>0.120135363790186</v>
      </c>
      <c r="AF74" s="253">
        <f t="shared" si="116"/>
        <v>8.42679577464789</v>
      </c>
      <c r="AG74" s="261">
        <v>107</v>
      </c>
      <c r="AH74" s="254">
        <v>158</v>
      </c>
      <c r="AI74" s="262">
        <v>224</v>
      </c>
      <c r="AJ74" s="263">
        <f>AG74*产品成本!$D$2+AH74*产品成本!$D$3+AI74*产品成本!$D$4</f>
        <v>1301.2676056338</v>
      </c>
      <c r="AK74" s="263">
        <f>AG74*产品成本!$E$2+AH74*产品成本!$E$3+AI74*产品成本!$E$4</f>
        <v>96.0767957746478</v>
      </c>
      <c r="AL74" s="263">
        <f>AG74*产品成本!$F$2+AH74*产品成本!$F$3+AI74*产品成本!$F$4</f>
        <v>166.26</v>
      </c>
      <c r="AM74" s="263">
        <f>AG74*产品成本!$G$2+AH74*产品成本!$G$3+AI74*产品成本!$G$4</f>
        <v>1884.63</v>
      </c>
      <c r="AN74" s="263">
        <f t="shared" si="100"/>
        <v>1598.4465</v>
      </c>
      <c r="AO74" s="264">
        <f t="shared" si="101"/>
        <v>5046.68090140845</v>
      </c>
      <c r="AP74" s="265">
        <v>8</v>
      </c>
      <c r="AQ74" s="265">
        <v>13</v>
      </c>
      <c r="AR74" s="266">
        <v>21</v>
      </c>
      <c r="AS74" s="267">
        <f t="shared" si="102"/>
        <v>923.636363636364</v>
      </c>
      <c r="AT74" s="267">
        <f>AP74*产品成本!$D$2+AQ74*产品成本!$D$3+AR74*产品成本!$D$4</f>
        <v>113.87323943662</v>
      </c>
      <c r="AU74" s="271">
        <f>AP74*产品成本!$E$2+AQ74*产品成本!$E$3+AR74*产品成本!$E$4</f>
        <v>8.30512816901408</v>
      </c>
      <c r="AV74" s="270">
        <f>AP74*产品成本!$F$2+AQ74*产品成本!$F$3+AR74*产品成本!$F$4</f>
        <v>14.28</v>
      </c>
      <c r="AW74" s="269"/>
      <c r="AX74" s="270">
        <f t="shared" si="103"/>
        <v>138.545454545455</v>
      </c>
      <c r="AY74" s="269">
        <f t="shared" si="104"/>
        <v>-27.7090909090909</v>
      </c>
      <c r="AZ74" s="271">
        <f t="shared" si="105"/>
        <v>247.294731241998</v>
      </c>
      <c r="BA74" s="272">
        <f t="shared" si="106"/>
        <v>4799.38617016645</v>
      </c>
      <c r="BB74" s="272">
        <f t="shared" si="107"/>
        <v>10656.31</v>
      </c>
      <c r="BC74" s="272">
        <f t="shared" si="108"/>
        <v>9732.67363636364</v>
      </c>
      <c r="BD74" s="273">
        <f t="shared" si="109"/>
        <v>2540.07746619718</v>
      </c>
      <c r="BE74" s="274">
        <f t="shared" si="110"/>
        <v>0.260984551737853</v>
      </c>
      <c r="BF74" s="280" t="s">
        <v>256</v>
      </c>
      <c r="BG74" s="280" t="s">
        <v>257</v>
      </c>
      <c r="BH74" s="191"/>
    </row>
    <row r="75" ht="23.1" customHeight="1" spans="1:61">
      <c r="A75" s="285" t="s">
        <v>258</v>
      </c>
      <c r="B75" s="285" t="s">
        <v>259</v>
      </c>
      <c r="C75" s="243">
        <v>516</v>
      </c>
      <c r="D75" s="244">
        <v>494</v>
      </c>
      <c r="E75" s="247">
        <v>11340.07</v>
      </c>
      <c r="F75" s="246">
        <v>59</v>
      </c>
      <c r="G75" s="246">
        <v>50</v>
      </c>
      <c r="H75" s="247">
        <v>1294.81</v>
      </c>
      <c r="I75" s="247">
        <v>21.95</v>
      </c>
      <c r="J75" s="289">
        <v>28</v>
      </c>
      <c r="K75" s="290">
        <f t="shared" ref="K75" si="117">J75/C75</f>
        <v>0.0542635658914729</v>
      </c>
      <c r="L75" s="291">
        <v>557.36</v>
      </c>
      <c r="M75" s="251">
        <f t="shared" ref="M75" si="118">(C75-C74)/C74</f>
        <v>0.0552147239263804</v>
      </c>
      <c r="N75" s="249">
        <f t="shared" ref="N75" si="119">(D75-D74)/D74</f>
        <v>0.0669546436285097</v>
      </c>
      <c r="O75" s="249">
        <f t="shared" ref="O75" si="120">(E75-E74)/E74</f>
        <v>0.0497012905507103</v>
      </c>
      <c r="P75" s="252">
        <f t="shared" ref="P75" si="121">C75/D75</f>
        <v>1.04453441295547</v>
      </c>
      <c r="Q75" s="281">
        <f t="shared" ref="Q75" si="122">E75/D75</f>
        <v>22.9556072874494</v>
      </c>
      <c r="R75" s="281">
        <f t="shared" ref="R75" si="123">E75/C75</f>
        <v>21.9768798449612</v>
      </c>
      <c r="S75" s="281">
        <f t="shared" ref="S75" si="124">C75/7</f>
        <v>73.7142857142857</v>
      </c>
      <c r="T75" s="254">
        <f t="shared" ref="T75" si="125">D75-Y75</f>
        <v>192</v>
      </c>
      <c r="U75" s="255">
        <f t="shared" ref="U75" si="126">T75/D75</f>
        <v>0.388663967611336</v>
      </c>
      <c r="V75" s="256">
        <f t="shared" ref="V75" si="127">Z75/(E75-I75)</f>
        <v>0.195036808233169</v>
      </c>
      <c r="W75" s="244">
        <v>176307</v>
      </c>
      <c r="X75" s="244">
        <v>2202</v>
      </c>
      <c r="Y75" s="244">
        <v>302</v>
      </c>
      <c r="Z75" s="257">
        <v>2207.45</v>
      </c>
      <c r="AA75" s="277">
        <v>6324.06</v>
      </c>
      <c r="AB75" s="245">
        <v>1</v>
      </c>
      <c r="AC75" s="259">
        <f t="shared" ref="AC75" si="128">Z75/AA75</f>
        <v>0.349055828059822</v>
      </c>
      <c r="AD75" s="260">
        <f t="shared" ref="AD75:AE75" si="129">X75/W75</f>
        <v>0.0124895778386564</v>
      </c>
      <c r="AE75" s="260">
        <f t="shared" si="129"/>
        <v>0.137148047229791</v>
      </c>
      <c r="AF75" s="253">
        <f t="shared" ref="AF75" si="130">Z75/Y75</f>
        <v>7.30943708609271</v>
      </c>
      <c r="AG75" s="261">
        <v>126</v>
      </c>
      <c r="AH75" s="254">
        <v>194</v>
      </c>
      <c r="AI75" s="262">
        <v>196</v>
      </c>
      <c r="AJ75" s="263">
        <f>AG75*产品成本!$D$2+AH75*产品成本!$D$3+AI75*产品成本!$D$4</f>
        <v>1324.78873239437</v>
      </c>
      <c r="AK75" s="263">
        <f>AG75*产品成本!$E$2+AH75*产品成本!$E$3+AI75*产品成本!$E$4</f>
        <v>100.435774647887</v>
      </c>
      <c r="AL75" s="263">
        <f>AG75*产品成本!$F$2+AH75*产品成本!$F$3+AI75*产品成本!$F$4</f>
        <v>175.44</v>
      </c>
      <c r="AM75" s="263">
        <f>AG75*产品成本!$G$2+AH75*产品成本!$G$3+AI75*产品成本!$G$4</f>
        <v>1985.94</v>
      </c>
      <c r="AN75" s="263">
        <f t="shared" ref="AN75" si="131">(E75-I75)*0.15</f>
        <v>1697.718</v>
      </c>
      <c r="AO75" s="264">
        <f t="shared" ref="AO75" si="132">SUM(AJ75:AN75)</f>
        <v>5284.32250704225</v>
      </c>
      <c r="AP75" s="265">
        <v>3</v>
      </c>
      <c r="AQ75" s="265">
        <v>7</v>
      </c>
      <c r="AR75" s="266">
        <v>18</v>
      </c>
      <c r="AS75" s="267">
        <f t="shared" ref="AS75" si="133">L75/(1-0.15+0.15*0.2)</f>
        <v>633.363636363636</v>
      </c>
      <c r="AT75" s="267">
        <f>AP75*产品成本!$D$2+AQ75*产品成本!$D$3+AR75*产品成本!$D$4</f>
        <v>80.7042253521127</v>
      </c>
      <c r="AU75" s="271">
        <f>AP75*产品成本!$E$2+AQ75*产品成本!$E$3+AR75*产品成本!$E$4</f>
        <v>5.65035211267605</v>
      </c>
      <c r="AV75" s="270">
        <f>AP75*产品成本!$F$2+AQ75*产品成本!$F$3+AR75*产品成本!$F$4</f>
        <v>9.52</v>
      </c>
      <c r="AW75" s="269"/>
      <c r="AX75" s="270">
        <f t="shared" ref="AX75" si="134">AS75*0.15</f>
        <v>95.0045454545455</v>
      </c>
      <c r="AY75" s="269">
        <f t="shared" ref="AY75" si="135">-AX75*0.2</f>
        <v>-19.0009090909091</v>
      </c>
      <c r="AZ75" s="271">
        <f t="shared" ref="AZ75" si="136">SUM(AT75:AY75)</f>
        <v>171.878213828425</v>
      </c>
      <c r="BA75" s="272">
        <f t="shared" ref="BA75" si="137">AO75-AZ75</f>
        <v>5112.44429321383</v>
      </c>
      <c r="BB75" s="272">
        <f t="shared" ref="BB75" si="138">E75-I75</f>
        <v>11318.12</v>
      </c>
      <c r="BC75" s="272">
        <f t="shared" ref="BC75" si="139">E75-AS75-I75</f>
        <v>10684.7563636364</v>
      </c>
      <c r="BD75" s="273">
        <f t="shared" si="109"/>
        <v>3364.86207042253</v>
      </c>
      <c r="BE75" s="274">
        <f t="shared" ref="BE75" si="140">BD75/BC75</f>
        <v>0.314921740459542</v>
      </c>
      <c r="BF75" s="280" t="s">
        <v>260</v>
      </c>
      <c r="BG75" s="280" t="s">
        <v>261</v>
      </c>
      <c r="BH75" s="191"/>
    </row>
    <row r="76" ht="23.1" customHeight="1" spans="1:61">
      <c r="A76" s="285" t="s">
        <v>262</v>
      </c>
      <c r="B76" s="285" t="s">
        <v>263</v>
      </c>
      <c r="C76" s="243">
        <v>607</v>
      </c>
      <c r="D76" s="244">
        <v>578</v>
      </c>
      <c r="E76" s="247">
        <v>13284.45</v>
      </c>
      <c r="F76" s="246">
        <v>96</v>
      </c>
      <c r="G76" s="246">
        <v>83</v>
      </c>
      <c r="H76" s="247">
        <v>2106.88</v>
      </c>
      <c r="I76" s="247">
        <v>21.95</v>
      </c>
      <c r="J76" s="289">
        <v>42</v>
      </c>
      <c r="K76" s="290">
        <f t="shared" ref="K76" si="141">J76/C76</f>
        <v>0.0691927512355848</v>
      </c>
      <c r="L76" s="291">
        <v>790.8</v>
      </c>
      <c r="M76" s="251">
        <f t="shared" ref="M76" si="142">(C76-C75)/C75</f>
        <v>0.176356589147287</v>
      </c>
      <c r="N76" s="249">
        <f t="shared" ref="N76" si="143">(D76-D75)/D75</f>
        <v>0.17004048582996</v>
      </c>
      <c r="O76" s="249">
        <f t="shared" ref="O76" si="144">(E76-E75)/E75</f>
        <v>0.171461022727373</v>
      </c>
      <c r="P76" s="252">
        <f t="shared" ref="P76" si="145">C76/D76</f>
        <v>1.05017301038062</v>
      </c>
      <c r="Q76" s="281">
        <f t="shared" ref="Q76" si="146">E76/D76</f>
        <v>22.9834775086505</v>
      </c>
      <c r="R76" s="281">
        <f t="shared" ref="R76" si="147">E76/C76</f>
        <v>21.8854200988468</v>
      </c>
      <c r="S76" s="281">
        <f t="shared" ref="S76" si="148">C76/7</f>
        <v>86.7142857142857</v>
      </c>
      <c r="T76" s="254">
        <f t="shared" ref="T76" si="149">D76-Y76</f>
        <v>188</v>
      </c>
      <c r="U76" s="255">
        <f t="shared" ref="U76" si="150">T76/D76</f>
        <v>0.325259515570934</v>
      </c>
      <c r="V76" s="256">
        <f t="shared" ref="V76" si="151">Z76/(E76-I76)</f>
        <v>0.228128934967012</v>
      </c>
      <c r="W76" s="244">
        <v>538423</v>
      </c>
      <c r="X76" s="244">
        <v>2869</v>
      </c>
      <c r="Y76" s="244">
        <v>390</v>
      </c>
      <c r="Z76" s="257">
        <v>3025.56</v>
      </c>
      <c r="AA76" s="277">
        <v>8041.88</v>
      </c>
      <c r="AB76" s="245">
        <v>1.05</v>
      </c>
      <c r="AC76" s="259">
        <f t="shared" ref="AC76" si="152">Z76/AA76</f>
        <v>0.376225459718374</v>
      </c>
      <c r="AD76" s="260">
        <f t="shared" ref="AD76:AE76" si="153">X76/W76</f>
        <v>0.00532852422723398</v>
      </c>
      <c r="AE76" s="260">
        <f t="shared" si="153"/>
        <v>0.135935866155455</v>
      </c>
      <c r="AF76" s="253">
        <f t="shared" ref="AF76" si="154">Z76/Y76</f>
        <v>7.75784615384615</v>
      </c>
      <c r="AG76" s="261">
        <v>173</v>
      </c>
      <c r="AH76" s="254">
        <v>180</v>
      </c>
      <c r="AI76" s="262">
        <v>254</v>
      </c>
      <c r="AJ76" s="263">
        <f>AG76*产品成本!$D$2+AH76*产品成本!$D$3+AI76*产品成本!$D$4</f>
        <v>1586.47887323944</v>
      </c>
      <c r="AK76" s="263">
        <f>AG76*产品成本!$E$2+AH76*产品成本!$E$3+AI76*产品成本!$E$4</f>
        <v>118.076243661972</v>
      </c>
      <c r="AL76" s="263">
        <f>AG76*产品成本!$F$2+AH76*产品成本!$F$3+AI76*产品成本!$F$4</f>
        <v>206.38</v>
      </c>
      <c r="AM76" s="263">
        <f>AG76*产品成本!$G$2+AH76*产品成本!$G$3+AI76*产品成本!$G$4</f>
        <v>2330.97</v>
      </c>
      <c r="AN76" s="263">
        <f t="shared" ref="AN76" si="155">(E76-I76)*0.15</f>
        <v>1989.375</v>
      </c>
      <c r="AO76" s="264">
        <f t="shared" ref="AO76" si="156">SUM(AJ76:AN76)</f>
        <v>6231.28011690141</v>
      </c>
      <c r="AP76" s="265">
        <v>16</v>
      </c>
      <c r="AQ76" s="265">
        <v>11</v>
      </c>
      <c r="AR76" s="266">
        <v>15</v>
      </c>
      <c r="AS76" s="267">
        <f t="shared" ref="AS76" si="157">L76/(1-0.15+0.15*0.2)</f>
        <v>898.636363636364</v>
      </c>
      <c r="AT76" s="267">
        <f>AP76*产品成本!$D$2+AQ76*产品成本!$D$3+AR76*产品成本!$D$4</f>
        <v>106.690140845071</v>
      </c>
      <c r="AU76" s="271">
        <f>AP76*产品成本!$E$2+AQ76*产品成本!$E$3+AR76*产品成本!$E$4</f>
        <v>8.04840422535211</v>
      </c>
      <c r="AV76" s="270">
        <f>AP76*产品成本!$F$2+AQ76*产品成本!$F$3+AR76*产品成本!$F$4</f>
        <v>14.28</v>
      </c>
      <c r="AW76" s="269"/>
      <c r="AX76" s="270">
        <f t="shared" ref="AX76" si="158">AS76*0.15</f>
        <v>134.795454545455</v>
      </c>
      <c r="AY76" s="269">
        <f t="shared" ref="AY76" si="159">-AX76*0.2</f>
        <v>-26.9590909090909</v>
      </c>
      <c r="AZ76" s="271">
        <f t="shared" ref="AZ76" si="160">SUM(AT76:AY76)</f>
        <v>236.854908706786</v>
      </c>
      <c r="BA76" s="272">
        <f t="shared" ref="BA76" si="161">AO76-AZ76</f>
        <v>5994.42520819462</v>
      </c>
      <c r="BB76" s="272">
        <f t="shared" ref="BB76" si="162">E76-I76</f>
        <v>13262.5</v>
      </c>
      <c r="BC76" s="272">
        <f t="shared" ref="BC76" si="163">E76-AS76-I76</f>
        <v>12363.8636363636</v>
      </c>
      <c r="BD76" s="273">
        <f t="shared" ref="BD76" si="164">BC76-BA76-Z76</f>
        <v>3343.87842816901</v>
      </c>
      <c r="BE76" s="274">
        <f t="shared" ref="BE76" si="165">BD76/BC76</f>
        <v>0.270455783605883</v>
      </c>
      <c r="BF76" s="280" t="s">
        <v>264</v>
      </c>
      <c r="BG76" s="280" t="s">
        <v>265</v>
      </c>
      <c r="BH76" s="191"/>
    </row>
    <row r="77" ht="23.1" customHeight="1" spans="1:61">
      <c r="A77" s="285" t="s">
        <v>266</v>
      </c>
      <c r="B77" s="285" t="s">
        <v>267</v>
      </c>
      <c r="C77" s="243">
        <v>543</v>
      </c>
      <c r="D77" s="244">
        <v>510</v>
      </c>
      <c r="E77" s="247">
        <v>11886.82</v>
      </c>
      <c r="F77" s="246">
        <v>258</v>
      </c>
      <c r="G77" s="246">
        <v>234</v>
      </c>
      <c r="H77" s="247">
        <v>5716.1</v>
      </c>
      <c r="I77" s="247">
        <v>22.16</v>
      </c>
      <c r="J77" s="289">
        <v>48</v>
      </c>
      <c r="K77" s="290">
        <f t="shared" ref="K77" si="166">J77/C77</f>
        <v>0.0883977900552486</v>
      </c>
      <c r="L77" s="291">
        <v>914.55</v>
      </c>
      <c r="M77" s="251">
        <f t="shared" ref="M77" si="167">(C77-C76)/C76</f>
        <v>-0.105436573311367</v>
      </c>
      <c r="N77" s="249">
        <f t="shared" ref="N77" si="168">(D77-D76)/D76</f>
        <v>-0.117647058823529</v>
      </c>
      <c r="O77" s="249">
        <f t="shared" ref="O77" si="169">(E77-E76)/E76</f>
        <v>-0.105207968715303</v>
      </c>
      <c r="P77" s="252">
        <f t="shared" ref="P77" si="170">C77/D77</f>
        <v>1.06470588235294</v>
      </c>
      <c r="Q77" s="281">
        <f t="shared" ref="Q77" si="171">E77/D77</f>
        <v>23.3074901960784</v>
      </c>
      <c r="R77" s="281">
        <f t="shared" ref="R77" si="172">E77/C77</f>
        <v>21.8910128913444</v>
      </c>
      <c r="S77" s="281">
        <f t="shared" ref="S77" si="173">C77/7</f>
        <v>77.5714285714286</v>
      </c>
      <c r="T77" s="254">
        <f t="shared" ref="T77" si="174">D77-Y77</f>
        <v>156</v>
      </c>
      <c r="U77" s="255">
        <f t="shared" ref="U77" si="175">T77/D77</f>
        <v>0.305882352941176</v>
      </c>
      <c r="V77" s="256">
        <f t="shared" ref="V77" si="176">Z77/(E77-I77)</f>
        <v>0.23895501430298</v>
      </c>
      <c r="W77" s="244">
        <v>315938</v>
      </c>
      <c r="X77" s="244">
        <v>2679</v>
      </c>
      <c r="Y77" s="244">
        <v>354</v>
      </c>
      <c r="Z77" s="257">
        <v>2835.12</v>
      </c>
      <c r="AA77" s="277">
        <v>7310.63</v>
      </c>
      <c r="AB77" s="245">
        <v>1.06</v>
      </c>
      <c r="AC77" s="259">
        <f t="shared" ref="AC77" si="177">Z77/AA77</f>
        <v>0.387807890701622</v>
      </c>
      <c r="AD77" s="260">
        <f t="shared" ref="AD77" si="178">X77/W77</f>
        <v>0.00847951180294868</v>
      </c>
      <c r="AE77" s="260">
        <f t="shared" ref="AE77" si="179">Y77/X77</f>
        <v>0.132138857782755</v>
      </c>
      <c r="AF77" s="253">
        <f t="shared" ref="AF77" si="180">Z77/Y77</f>
        <v>8.00881355932203</v>
      </c>
      <c r="AG77" s="261">
        <v>133</v>
      </c>
      <c r="AH77" s="254">
        <v>214</v>
      </c>
      <c r="AI77" s="262">
        <v>196</v>
      </c>
      <c r="AJ77" s="263">
        <f>AG77*产品成本!$D$2+AH77*产品成本!$D$3+AI77*产品成本!$D$4</f>
        <v>1381.83098591549</v>
      </c>
      <c r="AK77" s="263">
        <f>AG77*产品成本!$E$2+AH77*产品成本!$E$3+AI77*产品成本!$E$4</f>
        <v>105.506826760563</v>
      </c>
      <c r="AL77" s="263">
        <f>AG77*产品成本!$F$2+AH77*产品成本!$F$3+AI77*产品成本!$F$4</f>
        <v>184.62</v>
      </c>
      <c r="AM77" s="263">
        <f>AG77*产品成本!$G$2+AH77*产品成本!$G$3+AI77*产品成本!$G$4</f>
        <v>2089.77</v>
      </c>
      <c r="AN77" s="263">
        <f t="shared" ref="AN77" si="181">(E77-I77)*0.15</f>
        <v>1779.699</v>
      </c>
      <c r="AO77" s="264">
        <f t="shared" ref="AO77" si="182">SUM(AJ77:AN77)</f>
        <v>5541.42681267606</v>
      </c>
      <c r="AP77" s="265">
        <v>12</v>
      </c>
      <c r="AQ77" s="265">
        <v>15</v>
      </c>
      <c r="AR77" s="266">
        <v>21</v>
      </c>
      <c r="AS77" s="267">
        <f t="shared" ref="AS77" si="183">L77/(1-0.15+0.15*0.2)</f>
        <v>1039.26136363636</v>
      </c>
      <c r="AT77" s="267">
        <f>AP77*产品成本!$D$2+AQ77*产品成本!$D$3+AR77*产品成本!$D$4</f>
        <v>126.549295774648</v>
      </c>
      <c r="AU77" s="271">
        <f>AP77*产品成本!$E$2+AQ77*产品成本!$E$3+AR77*产品成本!$E$4</f>
        <v>9.3851366197183</v>
      </c>
      <c r="AV77" s="270">
        <f>AP77*产品成本!$F$2+AQ77*产品成本!$F$3+AR77*产品成本!$F$4</f>
        <v>16.32</v>
      </c>
      <c r="AW77" s="269"/>
      <c r="AX77" s="270">
        <f t="shared" ref="AX77" si="184">AS77*0.15</f>
        <v>155.889204545455</v>
      </c>
      <c r="AY77" s="269">
        <f t="shared" ref="AY77" si="185">-AX77*0.2</f>
        <v>-31.1778409090909</v>
      </c>
      <c r="AZ77" s="271">
        <f t="shared" ref="AZ77" si="186">SUM(AT77:AY77)</f>
        <v>276.96579603073</v>
      </c>
      <c r="BA77" s="272">
        <f t="shared" ref="BA77" si="187">AO77-AZ77</f>
        <v>5264.46101664533</v>
      </c>
      <c r="BB77" s="272">
        <f t="shared" ref="BB77" si="188">E77-I77</f>
        <v>11864.66</v>
      </c>
      <c r="BC77" s="272">
        <f t="shared" ref="BC77" si="189">E77-AS77-I77</f>
        <v>10825.3986363636</v>
      </c>
      <c r="BD77" s="273">
        <f t="shared" ref="BD77" si="190">BC77-BA77-Z77</f>
        <v>2725.81761971831</v>
      </c>
      <c r="BE77" s="274">
        <f t="shared" ref="BE77" si="191">BD77/BC77</f>
        <v>0.25179835969846</v>
      </c>
      <c r="BF77" s="280" t="s">
        <v>268</v>
      </c>
      <c r="BG77" s="280" t="s">
        <v>269</v>
      </c>
      <c r="BH77" s="191"/>
    </row>
    <row r="78" s="217" customFormat="1" ht="24" customHeight="1" spans="1:61">
      <c r="A78" s="217" t="s">
        <v>270</v>
      </c>
      <c r="C78" s="292">
        <f>SUBTOTAL(109,表22[销量])</f>
        <v>31980</v>
      </c>
      <c r="D78" s="293">
        <f>SUBTOTAL(109,表22[订单量])</f>
        <v>30212</v>
      </c>
      <c r="E78" s="293">
        <f>SUBTOTAL(109,表22[销售额])</f>
        <v>720639.24</v>
      </c>
      <c r="F78" s="293">
        <f>SUBTOTAL(109,表22[促销销量])</f>
        <v>3012</v>
      </c>
      <c r="G78" s="293">
        <f>SUBTOTAL(109,表22[促销订单量])</f>
        <v>2637</v>
      </c>
      <c r="H78" s="293">
        <f>SUBTOTAL(109,表22[促销销售额])</f>
        <v>68434.25</v>
      </c>
      <c r="I78" s="293">
        <f>SUBTOTAL(109,表22[促销折扣])</f>
        <v>4999.41</v>
      </c>
      <c r="J78" s="294">
        <f>SUBTOTAL(109,表22[退款量])</f>
        <v>2290</v>
      </c>
      <c r="K78" s="295">
        <f t="shared" si="88"/>
        <v>0.0716072545340838</v>
      </c>
      <c r="L78" s="296">
        <f>SUBTOTAL(109,表22[退款金额])</f>
        <v>44715.04</v>
      </c>
      <c r="M78" s="292"/>
      <c r="N78" s="293"/>
      <c r="O78" s="297"/>
      <c r="P78" s="298">
        <f t="shared" si="92"/>
        <v>1.05851979345955</v>
      </c>
      <c r="Q78" s="299">
        <f t="shared" si="93"/>
        <v>23.8527485767245</v>
      </c>
      <c r="R78" s="299">
        <f t="shared" si="94"/>
        <v>22.5340600375235</v>
      </c>
      <c r="S78" s="299">
        <f t="shared" si="59"/>
        <v>4568.57142857143</v>
      </c>
      <c r="T78" s="300">
        <f t="shared" si="95"/>
        <v>11553</v>
      </c>
      <c r="U78" s="301">
        <f t="shared" si="96"/>
        <v>0.382397722759169</v>
      </c>
      <c r="V78" s="302">
        <f t="shared" si="97"/>
        <v>0.258163355720433</v>
      </c>
      <c r="W78" s="303">
        <f>SUBTOTAL(109,表22[展示])</f>
        <v>17535500</v>
      </c>
      <c r="X78" s="293">
        <f>SUBTOTAL(109,表22[点击])</f>
        <v>180797</v>
      </c>
      <c r="Y78" s="293">
        <f>SUBTOTAL(109,表22[广告订单量])</f>
        <v>18659</v>
      </c>
      <c r="Z78" s="293">
        <f>SUBTOTAL(109,表22[广告花费])</f>
        <v>184751.98</v>
      </c>
      <c r="AA78" s="293">
        <f>SUBTOTAL(109,表22[广告销售额])</f>
        <v>440942.91</v>
      </c>
      <c r="AB78" s="304">
        <f>SUBTOTAL(101,表22[CPC])</f>
        <v>1.02428571428571</v>
      </c>
      <c r="AC78" s="305">
        <f t="shared" si="98"/>
        <v>0.418992971221603</v>
      </c>
      <c r="AD78" s="306">
        <f t="shared" ref="AD78:AF78" si="192">X78/W78</f>
        <v>0.0103103418779048</v>
      </c>
      <c r="AE78" s="306">
        <f t="shared" si="192"/>
        <v>0.103204146086495</v>
      </c>
      <c r="AF78" s="307">
        <f t="shared" si="192"/>
        <v>9.90149418511174</v>
      </c>
      <c r="AG78" s="292">
        <f>SUBTOTAL(109,表22[3.6FT])</f>
        <v>8465</v>
      </c>
      <c r="AH78" s="293">
        <f>SUBTOTAL(109,表22[5.0FT])</f>
        <v>13412</v>
      </c>
      <c r="AI78" s="296">
        <f>SUBTOTAL(109,表22[5.5FT])</f>
        <v>10076</v>
      </c>
      <c r="AJ78" s="308">
        <f>SUBTOTAL(109,表22[产品成本])</f>
        <v>79569.1549295775</v>
      </c>
      <c r="AK78" s="309">
        <f>SUBTOTAL(109,表22[头程])</f>
        <v>6171.24498169013</v>
      </c>
      <c r="AL78" s="309">
        <f>SUBTOTAL(109,表22[入仓费])</f>
        <v>10864.02</v>
      </c>
      <c r="AM78" s="309">
        <f>SUBTOTAL(109,表22[FBA物流])</f>
        <v>122839.05</v>
      </c>
      <c r="AN78" s="309">
        <f>SUBTOTAL(109,表22[佣金])</f>
        <v>107345.9745</v>
      </c>
      <c r="AO78" s="310">
        <f>SUBTOTAL(109,表22[成本小结])</f>
        <v>326789.444411268</v>
      </c>
      <c r="AP78" s="311">
        <f>SUBTOTAL(109,表22[退款3.6FT])</f>
        <v>643</v>
      </c>
      <c r="AQ78" s="312">
        <f>SUBTOTAL(109,表22[退款5.0FT])</f>
        <v>900</v>
      </c>
      <c r="AR78" s="313">
        <f>SUBTOTAL(109,表22[退款5.5FT])</f>
        <v>743</v>
      </c>
      <c r="AS78" s="308">
        <f>SUBTOTAL(109,表22[退款
销售金额])</f>
        <v>50812.5454545454</v>
      </c>
      <c r="AT78" s="309">
        <f>SUBTOTAL(109,表22[退款
产品成本])</f>
        <v>5719.08450704226</v>
      </c>
      <c r="AU78" s="309">
        <f>SUBTOTAL(109,表22[退款头程])</f>
        <v>441.170454929577</v>
      </c>
      <c r="AV78" s="309">
        <f>SUBTOTAL(109,表22[退款
入仓费])</f>
        <v>777.24</v>
      </c>
      <c r="AW78" s="309"/>
      <c r="AX78" s="309">
        <f>SUBTOTAL(109,表22[退款佣金])</f>
        <v>7621.88181818182</v>
      </c>
      <c r="AY78" s="314">
        <f>SUBTOTAL(109,表22[退款
管理费用
佣金的20%])</f>
        <v>-1524.37636363636</v>
      </c>
      <c r="AZ78" s="310">
        <f>SUBTOTAL(109,表22[退款
成本小结])</f>
        <v>13035.0004165173</v>
      </c>
      <c r="BA78" s="308">
        <f>SUBTOTAL(109,表22[净成本])</f>
        <v>313754.44399475</v>
      </c>
      <c r="BB78" s="309">
        <f>SUBTOTAL(109,表22[净销售额])</f>
        <v>715639.83</v>
      </c>
      <c r="BC78" s="309">
        <f>SUBTOTAL(109,表22[净销售额
(-退款金额)])</f>
        <v>664827.284545455</v>
      </c>
      <c r="BD78" s="309">
        <f>SUBTOTAL(109,表22[毛利])</f>
        <v>166320.860550704</v>
      </c>
      <c r="BE78" s="315">
        <f t="shared" si="110"/>
        <v>0.250171532391933</v>
      </c>
      <c r="BG78" s="316" t="s">
        <v>271</v>
      </c>
      <c r="BI78" s="217">
        <f>SUBTOTAL(103,表22[备用])</f>
        <v>0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conditionalFormatting sqref="J4">
    <cfRule type="cellIs" dxfId="55" priority="41" operator="notEqual">
      <formula>AP4+AQ4+AR4</formula>
    </cfRule>
    <cfRule type="cellIs" dxfId="55" priority="42" operator="notEqual">
      <formula>SUM($AP$4:$AR$4)</formula>
    </cfRule>
  </conditionalFormatting>
  <conditionalFormatting sqref="C57">
    <cfRule type="cellIs" dxfId="55" priority="34" operator="notEqual">
      <formula>$AG57+$AH57+$AI57</formula>
    </cfRule>
  </conditionalFormatting>
  <conditionalFormatting sqref="J57">
    <cfRule type="cellIs" dxfId="55" priority="33" operator="notEqual">
      <formula>$AP57+$AQ57+$AR57</formula>
    </cfRule>
  </conditionalFormatting>
  <conditionalFormatting sqref="C58">
    <cfRule type="cellIs" dxfId="55" priority="36" operator="notEqual">
      <formula>$AG58+$AH58+$AI58</formula>
    </cfRule>
  </conditionalFormatting>
  <conditionalFormatting sqref="J58">
    <cfRule type="cellIs" dxfId="55" priority="35" operator="notEqual">
      <formula>$AP58+$AQ58+$AR58</formula>
    </cfRule>
  </conditionalFormatting>
  <conditionalFormatting sqref="C59">
    <cfRule type="cellIs" dxfId="55" priority="38" operator="notEqual">
      <formula>$AG59+$AH59+$AI59</formula>
    </cfRule>
  </conditionalFormatting>
  <conditionalFormatting sqref="J59">
    <cfRule type="cellIs" dxfId="55" priority="37" operator="notEqual">
      <formula>$AP59+$AQ59+$AR59</formula>
    </cfRule>
  </conditionalFormatting>
  <conditionalFormatting sqref="C62">
    <cfRule type="cellIs" dxfId="55" priority="32" operator="notEqual">
      <formula>$AG62+$AH62+$AI62</formula>
    </cfRule>
  </conditionalFormatting>
  <conditionalFormatting sqref="J62">
    <cfRule type="cellIs" dxfId="55" priority="31" operator="notEqual">
      <formula>$AP62+$AQ62+$AR62</formula>
    </cfRule>
  </conditionalFormatting>
  <conditionalFormatting sqref="C63">
    <cfRule type="cellIs" dxfId="55" priority="30" operator="notEqual">
      <formula>$AG63+$AH63+$AI63</formula>
    </cfRule>
  </conditionalFormatting>
  <conditionalFormatting sqref="J63">
    <cfRule type="cellIs" dxfId="55" priority="29" operator="notEqual">
      <formula>$AP63+$AQ63+$AR63</formula>
    </cfRule>
  </conditionalFormatting>
  <conditionalFormatting sqref="C64">
    <cfRule type="cellIs" dxfId="55" priority="28" operator="notEqual">
      <formula>$AG64+$AH64+$AI64</formula>
    </cfRule>
  </conditionalFormatting>
  <conditionalFormatting sqref="J64">
    <cfRule type="cellIs" dxfId="55" priority="27" operator="notEqual">
      <formula>$AP64+$AQ64+$AR64</formula>
    </cfRule>
  </conditionalFormatting>
  <conditionalFormatting sqref="C65">
    <cfRule type="cellIs" dxfId="55" priority="26" operator="notEqual">
      <formula>$AG65+$AH65+$AI65</formula>
    </cfRule>
  </conditionalFormatting>
  <conditionalFormatting sqref="J65">
    <cfRule type="cellIs" dxfId="55" priority="25" operator="notEqual">
      <formula>$AP65+$AQ65+$AR65</formula>
    </cfRule>
  </conditionalFormatting>
  <conditionalFormatting sqref="C66">
    <cfRule type="cellIs" dxfId="55" priority="24" operator="notEqual">
      <formula>$AG66+$AH66+$AI66</formula>
    </cfRule>
  </conditionalFormatting>
  <conditionalFormatting sqref="J66">
    <cfRule type="cellIs" dxfId="55" priority="23" operator="notEqual">
      <formula>$AP66+$AQ66+$AR66</formula>
    </cfRule>
  </conditionalFormatting>
  <conditionalFormatting sqref="C67">
    <cfRule type="cellIs" dxfId="55" priority="22" operator="notEqual">
      <formula>$AG67+$AH67+$AI67</formula>
    </cfRule>
  </conditionalFormatting>
  <conditionalFormatting sqref="J67">
    <cfRule type="cellIs" dxfId="55" priority="21" operator="notEqual">
      <formula>$AP67+$AQ67+$AR67</formula>
    </cfRule>
  </conditionalFormatting>
  <conditionalFormatting sqref="C68">
    <cfRule type="cellIs" dxfId="55" priority="20" operator="notEqual">
      <formula>$AG68+$AH68+$AI68</formula>
    </cfRule>
  </conditionalFormatting>
  <conditionalFormatting sqref="J68">
    <cfRule type="cellIs" dxfId="55" priority="19" operator="notEqual">
      <formula>$AP68+$AQ68+$AR68</formula>
    </cfRule>
  </conditionalFormatting>
  <conditionalFormatting sqref="C69">
    <cfRule type="cellIs" dxfId="55" priority="18" operator="notEqual">
      <formula>$AG69+$AH69+$AI69</formula>
    </cfRule>
  </conditionalFormatting>
  <conditionalFormatting sqref="J69">
    <cfRule type="cellIs" dxfId="55" priority="17" operator="notEqual">
      <formula>$AP69+$AQ69+$AR69</formula>
    </cfRule>
  </conditionalFormatting>
  <conditionalFormatting sqref="C70">
    <cfRule type="cellIs" dxfId="55" priority="16" operator="notEqual">
      <formula>$AG70+$AH70+$AI70</formula>
    </cfRule>
  </conditionalFormatting>
  <conditionalFormatting sqref="J70">
    <cfRule type="cellIs" dxfId="55" priority="15" operator="notEqual">
      <formula>$AP70+$AQ70+$AR70</formula>
    </cfRule>
  </conditionalFormatting>
  <conditionalFormatting sqref="C71">
    <cfRule type="cellIs" dxfId="55" priority="14" operator="notEqual">
      <formula>$AG71+$AH71+$AI71</formula>
    </cfRule>
  </conditionalFormatting>
  <conditionalFormatting sqref="J71">
    <cfRule type="cellIs" dxfId="55" priority="13" operator="notEqual">
      <formula>$AP71+$AQ71+$AR71</formula>
    </cfRule>
  </conditionalFormatting>
  <conditionalFormatting sqref="C72">
    <cfRule type="cellIs" dxfId="55" priority="12" operator="notEqual">
      <formula>$AG72+$AH72+$AI72</formula>
    </cfRule>
  </conditionalFormatting>
  <conditionalFormatting sqref="J72">
    <cfRule type="cellIs" dxfId="55" priority="11" operator="notEqual">
      <formula>$AP72+$AQ72+$AR72</formula>
    </cfRule>
  </conditionalFormatting>
  <conditionalFormatting sqref="C73">
    <cfRule type="cellIs" dxfId="55" priority="10" operator="notEqual">
      <formula>$AG73+$AH73+$AI73</formula>
    </cfRule>
  </conditionalFormatting>
  <conditionalFormatting sqref="J73">
    <cfRule type="cellIs" dxfId="55" priority="9" operator="notEqual">
      <formula>$AP73+$AQ73+$AR73</formula>
    </cfRule>
  </conditionalFormatting>
  <conditionalFormatting sqref="C74">
    <cfRule type="cellIs" dxfId="55" priority="8" operator="notEqual">
      <formula>$AG74+$AH74+$AI74</formula>
    </cfRule>
  </conditionalFormatting>
  <conditionalFormatting sqref="J74">
    <cfRule type="cellIs" dxfId="55" priority="7" operator="notEqual">
      <formula>$AP74+$AQ74+$AR74</formula>
    </cfRule>
  </conditionalFormatting>
  <conditionalFormatting sqref="C75">
    <cfRule type="cellIs" dxfId="55" priority="6" operator="notEqual">
      <formula>$AG75+$AH75+$AI75</formula>
    </cfRule>
  </conditionalFormatting>
  <conditionalFormatting sqref="J75">
    <cfRule type="cellIs" dxfId="55" priority="5" operator="notEqual">
      <formula>$AP75+$AQ75+$AR75</formula>
    </cfRule>
  </conditionalFormatting>
  <conditionalFormatting sqref="C76">
    <cfRule type="cellIs" dxfId="55" priority="4" operator="notEqual">
      <formula>$AG76+$AH76+$AI76</formula>
    </cfRule>
  </conditionalFormatting>
  <conditionalFormatting sqref="J76">
    <cfRule type="cellIs" dxfId="55" priority="3" operator="notEqual">
      <formula>$AP76+$AQ76+$AR76</formula>
    </cfRule>
  </conditionalFormatting>
  <conditionalFormatting sqref="C77">
    <cfRule type="cellIs" dxfId="55" priority="2" operator="notEqual">
      <formula>$AG77+$AH77+$AI77</formula>
    </cfRule>
  </conditionalFormatting>
  <conditionalFormatting sqref="J77">
    <cfRule type="cellIs" dxfId="55" priority="1" operator="notEqual">
      <formula>$AP77+$AQ77+$AR77</formula>
    </cfRule>
  </conditionalFormatting>
  <conditionalFormatting sqref="C56 C60:C61">
    <cfRule type="cellIs" dxfId="55" priority="40" operator="notEqual">
      <formula>$AG56+$AH56+$AI56</formula>
    </cfRule>
  </conditionalFormatting>
  <conditionalFormatting sqref="J56 J60:J61">
    <cfRule type="cellIs" dxfId="55" priority="39" operator="notEqual">
      <formula>$AP56+$AQ56+$AR56</formula>
    </cfRule>
  </conditionalFormatting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8"/>
  </sheetPr>
  <dimension ref="A1:BK78"/>
  <sheetViews>
    <sheetView workbookViewId="0">
      <pane xSplit="12" ySplit="3" topLeftCell="BE66" activePane="bottomRight" state="frozen"/>
      <selection/>
      <selection pane="topRight"/>
      <selection pane="bottomLeft"/>
      <selection pane="bottomRight" activeCell="BK77" sqref="BK77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ht="29.1" customHeight="1" spans="1:63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4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3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203" t="s">
        <v>7</v>
      </c>
      <c r="AL2" s="203"/>
      <c r="AM2" s="203"/>
      <c r="AN2" s="203"/>
      <c r="AO2" s="203"/>
      <c r="AP2" s="203"/>
      <c r="AQ2" s="204" t="s">
        <v>6</v>
      </c>
      <c r="AR2" s="205"/>
      <c r="AS2" s="205"/>
      <c r="AT2" s="205"/>
      <c r="AU2" s="206" t="s">
        <v>7</v>
      </c>
      <c r="AV2" s="206"/>
      <c r="AW2" s="206"/>
      <c r="AX2" s="206"/>
      <c r="AY2" s="206"/>
      <c r="AZ2" s="206"/>
      <c r="BA2" s="206"/>
      <c r="BB2" s="206"/>
      <c r="BC2" s="116"/>
      <c r="BD2" s="117"/>
      <c r="BE2" s="117"/>
      <c r="BF2" s="117"/>
      <c r="BG2" s="117"/>
    </row>
    <row r="3" ht="29.1" customHeight="1" spans="1:6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272</v>
      </c>
      <c r="AH3" s="137" t="s">
        <v>273</v>
      </c>
      <c r="AI3" s="137" t="s">
        <v>274</v>
      </c>
      <c r="AJ3" s="197" t="s">
        <v>275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276</v>
      </c>
      <c r="AR3" s="143" t="s">
        <v>277</v>
      </c>
      <c r="AS3" s="143" t="s">
        <v>278</v>
      </c>
      <c r="AT3" s="143" t="s">
        <v>279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  <c r="BJ3" s="1" t="s">
        <v>67</v>
      </c>
      <c r="BK3" t="s">
        <v>280</v>
      </c>
    </row>
    <row r="4" ht="29.1" customHeight="1" spans="1:6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148"/>
      <c r="G4" s="148"/>
      <c r="H4" s="64"/>
      <c r="I4" s="64"/>
      <c r="J4" s="207">
        <v>0</v>
      </c>
      <c r="K4" s="208">
        <f t="shared" ref="K4:K35" si="0">J4/C4</f>
        <v>0</v>
      </c>
      <c r="L4" s="209">
        <v>0</v>
      </c>
      <c r="M4" s="210" t="e">
        <f t="shared" ref="M4:M35" si="1">(C4-C3)/C3</f>
        <v>#VALUE!</v>
      </c>
      <c r="N4" s="208" t="e">
        <f t="shared" ref="N4:N35" si="2">(D4-D3)/D3</f>
        <v>#VALUE!</v>
      </c>
      <c r="O4" s="208" t="e">
        <f t="shared" ref="O4:O35" si="3">(E4-E3)/E3</f>
        <v>#VALUE!</v>
      </c>
      <c r="P4" s="153">
        <f t="shared" ref="P4:P35" si="4">C4/D4</f>
        <v>1.08108108108108</v>
      </c>
      <c r="Q4" s="154">
        <f t="shared" ref="Q4:Q35" si="5">E4/D4</f>
        <v>25.6648648648649</v>
      </c>
      <c r="R4" s="154">
        <f t="shared" ref="R4:R35" si="6">E4/C4</f>
        <v>23.74</v>
      </c>
      <c r="S4" s="154">
        <f t="shared" ref="S4:S13" si="7">C4/7</f>
        <v>5.71428571428571</v>
      </c>
      <c r="T4" s="193">
        <f t="shared" ref="T4:T35" si="8">D4-Y4</f>
        <v>8</v>
      </c>
      <c r="U4" s="157">
        <f t="shared" ref="U4:U35" si="9">T4/D4</f>
        <v>0.216216216216216</v>
      </c>
      <c r="V4" s="94">
        <f t="shared" ref="V4:V35" si="10">Z4/(E4-I4)</f>
        <v>0.344197556866049</v>
      </c>
      <c r="W4" s="91">
        <v>54006</v>
      </c>
      <c r="X4" s="91">
        <v>248</v>
      </c>
      <c r="Y4" s="91">
        <v>29</v>
      </c>
      <c r="Z4" s="91">
        <v>326.85</v>
      </c>
      <c r="AA4" s="92">
        <v>710.7</v>
      </c>
      <c r="AB4" s="91">
        <v>1.32</v>
      </c>
      <c r="AC4" s="71">
        <f t="shared" ref="AC4:AC35" si="11">Z4/AA4</f>
        <v>0.459898691430984</v>
      </c>
      <c r="AD4" s="72">
        <f t="shared" ref="AD4:AD35" si="12">X4/W4</f>
        <v>0.00459208236121912</v>
      </c>
      <c r="AE4" s="72">
        <f t="shared" ref="AE4:AE35" si="13">Y4/X4</f>
        <v>0.116935483870968</v>
      </c>
      <c r="AF4" s="154">
        <f t="shared" ref="AF4:AF35" si="14">Z4/Y4</f>
        <v>11.2706896551724</v>
      </c>
      <c r="AG4" s="160">
        <v>10</v>
      </c>
      <c r="AH4" s="161">
        <v>10</v>
      </c>
      <c r="AI4" s="161">
        <v>20</v>
      </c>
      <c r="AJ4" s="164">
        <v>0</v>
      </c>
      <c r="AK4" s="163">
        <f>AG4*产品成本!$D$5+AH4*产品成本!$D$6+AI4*产品成本!$D$7+AJ4*产品成本!$D$8</f>
        <v>128.169014084507</v>
      </c>
      <c r="AL4" s="163">
        <f>AG4*产品成本!$E$5+AH4*产品成本!$E$6+AI4*产品成本!$E$7+AJ4*产品成本!$E$8</f>
        <v>13.9</v>
      </c>
      <c r="AM4" s="163">
        <f>AG4*产品成本!$F$5+AH4*产品成本!$F$6+AI4*产品成本!$F$7+AJ4*产品成本!$F$8</f>
        <v>15.7</v>
      </c>
      <c r="AN4" s="163">
        <f>AG4*产品成本!$G$5+AH4*产品成本!$G$6+AI4*产品成本!$G$7+AJ4*产品成本!$G$8</f>
        <v>195.4</v>
      </c>
      <c r="AO4" s="163">
        <f t="shared" ref="AO4:AO35" si="15">(E4-I4)*0.15</f>
        <v>142.44</v>
      </c>
      <c r="AP4" s="164">
        <f t="shared" ref="AP4:AP35" si="16">SUM(AK4:AO4)</f>
        <v>495.609014084507</v>
      </c>
      <c r="AQ4" s="165">
        <v>0</v>
      </c>
      <c r="AR4" s="165">
        <v>0</v>
      </c>
      <c r="AS4" s="165">
        <v>0</v>
      </c>
      <c r="AT4" s="211">
        <v>0</v>
      </c>
      <c r="AU4" s="212">
        <f t="shared" ref="AU4:AU35" si="17">L4/(1-0.15-0.15*0.2)</f>
        <v>0</v>
      </c>
      <c r="AV4" s="163">
        <f>AQ4*产品成本!$D$5+AR4*产品成本!$D$6+AS4*产品成本!$D$7+AT4*产品成本!D8</f>
        <v>0</v>
      </c>
      <c r="AW4" s="163">
        <f>AQ4*产品成本!$E$5+AR4*产品成本!$E$6+AS4*产品成本!$E$7+AT4*产品成本!E8</f>
        <v>0</v>
      </c>
      <c r="AX4" s="163">
        <f>AQ4*产品成本!$F$5+AR4*产品成本!$F$6+AS4*产品成本!$F$7+AT4*产品成本!F8</f>
        <v>0</v>
      </c>
      <c r="AY4" s="163">
        <v>0</v>
      </c>
      <c r="AZ4" s="163">
        <f t="shared" ref="AZ4:AZ35" si="18">AU4*0.15</f>
        <v>0</v>
      </c>
      <c r="BA4" s="163">
        <f t="shared" ref="BA4:BA35" si="19">-AZ4*0.2</f>
        <v>0</v>
      </c>
      <c r="BB4" s="164">
        <f t="shared" ref="BB4:BB35" si="20">SUM(AV4:BA4)</f>
        <v>0</v>
      </c>
      <c r="BC4" s="169">
        <f t="shared" ref="BC4:BC35" si="21">AP4-BB4</f>
        <v>495.609014084507</v>
      </c>
      <c r="BD4" s="169">
        <f t="shared" ref="BD4:BD35" si="22">E4-I4</f>
        <v>949.6</v>
      </c>
      <c r="BE4" s="169">
        <f t="shared" ref="BE4:BE35" si="23">E4-AU4-I4</f>
        <v>949.6</v>
      </c>
      <c r="BF4" s="168">
        <f t="shared" ref="BF4:BF35" si="24">BE4-BC4-Z4</f>
        <v>127.140985915493</v>
      </c>
      <c r="BG4" s="213">
        <f t="shared" ref="BG4:BG35" si="25">BF4/BE4</f>
        <v>0.133888991065178</v>
      </c>
    </row>
    <row r="5" ht="29.1" customHeight="1" spans="1:6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148"/>
      <c r="G5" s="148"/>
      <c r="H5" s="64"/>
      <c r="I5" s="64"/>
      <c r="J5" s="207">
        <v>1</v>
      </c>
      <c r="K5" s="208">
        <f t="shared" si="0"/>
        <v>0.0172413793103448</v>
      </c>
      <c r="L5" s="209">
        <v>20.23</v>
      </c>
      <c r="M5" s="210">
        <f t="shared" si="1"/>
        <v>0.45</v>
      </c>
      <c r="N5" s="208">
        <f t="shared" si="2"/>
        <v>0.486486486486487</v>
      </c>
      <c r="O5" s="208">
        <f t="shared" si="3"/>
        <v>0.444208087615838</v>
      </c>
      <c r="P5" s="153">
        <f t="shared" si="4"/>
        <v>1.05454545454545</v>
      </c>
      <c r="Q5" s="154">
        <f t="shared" si="5"/>
        <v>24.9349090909091</v>
      </c>
      <c r="R5" s="154">
        <f t="shared" si="6"/>
        <v>23.6451724137931</v>
      </c>
      <c r="S5" s="154">
        <f t="shared" si="7"/>
        <v>8.28571428571429</v>
      </c>
      <c r="T5" s="193">
        <f t="shared" si="8"/>
        <v>22</v>
      </c>
      <c r="U5" s="157">
        <f t="shared" si="9"/>
        <v>0.4</v>
      </c>
      <c r="V5" s="94">
        <f t="shared" si="10"/>
        <v>0.22456286185122</v>
      </c>
      <c r="W5" s="91">
        <v>55780</v>
      </c>
      <c r="X5" s="91">
        <v>231</v>
      </c>
      <c r="Y5" s="91">
        <v>33</v>
      </c>
      <c r="Z5" s="91">
        <v>307.97</v>
      </c>
      <c r="AA5" s="92">
        <v>819.65</v>
      </c>
      <c r="AB5" s="91">
        <v>1.33</v>
      </c>
      <c r="AC5" s="71">
        <f t="shared" si="11"/>
        <v>0.37573354480571</v>
      </c>
      <c r="AD5" s="72">
        <f t="shared" si="12"/>
        <v>0.00414126927214055</v>
      </c>
      <c r="AE5" s="72">
        <f t="shared" si="13"/>
        <v>0.142857142857143</v>
      </c>
      <c r="AF5" s="154">
        <f t="shared" si="14"/>
        <v>9.33242424242424</v>
      </c>
      <c r="AG5" s="160">
        <v>20</v>
      </c>
      <c r="AH5" s="161">
        <v>19</v>
      </c>
      <c r="AI5" s="161">
        <v>19</v>
      </c>
      <c r="AJ5" s="164">
        <v>0</v>
      </c>
      <c r="AK5" s="163">
        <f>AG5*产品成本!$D$5+AH5*产品成本!$D$6+AI5*产品成本!$D$7+AJ5*产品成本!$D$8</f>
        <v>176.619718309859</v>
      </c>
      <c r="AL5" s="163">
        <f>AG5*产品成本!$E$5+AH5*产品成本!$E$6+AI5*产品成本!$E$7+AJ5*产品成本!$E$8</f>
        <v>19.08</v>
      </c>
      <c r="AM5" s="163">
        <f>AG5*产品成本!$F$5+AH5*产品成本!$F$6+AI5*产品成本!$F$7+AJ5*产品成本!$F$8</f>
        <v>22.45</v>
      </c>
      <c r="AN5" s="163">
        <f>AG5*产品成本!$G$5+AH5*产品成本!$G$6+AI5*产品成本!$G$7+AJ5*产品成本!$G$8</f>
        <v>275.84</v>
      </c>
      <c r="AO5" s="163">
        <f t="shared" si="15"/>
        <v>205.713</v>
      </c>
      <c r="AP5" s="164">
        <f t="shared" si="16"/>
        <v>699.702718309859</v>
      </c>
      <c r="AQ5" s="165">
        <v>1</v>
      </c>
      <c r="AR5" s="165">
        <v>0</v>
      </c>
      <c r="AS5" s="165">
        <v>0</v>
      </c>
      <c r="AT5" s="211">
        <v>0</v>
      </c>
      <c r="AU5" s="212">
        <f t="shared" si="17"/>
        <v>24.6707317073171</v>
      </c>
      <c r="AV5" s="163">
        <f>AQ5*产品成本!$D$5+AR5*产品成本!$D$6+AS5*产品成本!$D$7+AT5*产品成本!D11</f>
        <v>2.67605633802817</v>
      </c>
      <c r="AW5" s="163">
        <f>AQ5*产品成本!$E$5+AR5*产品成本!$E$6+AS5*产品成本!$E$7+AT5*产品成本!E11</f>
        <v>0.27</v>
      </c>
      <c r="AX5" s="163">
        <f>AQ5*产品成本!$F$5+AR5*产品成本!$F$6+AS5*产品成本!$F$7+AT5*产品成本!F11</f>
        <v>0.41</v>
      </c>
      <c r="AY5" s="163">
        <v>0</v>
      </c>
      <c r="AZ5" s="163">
        <f t="shared" si="18"/>
        <v>3.70060975609756</v>
      </c>
      <c r="BA5" s="163">
        <f t="shared" si="19"/>
        <v>-0.740121951219512</v>
      </c>
      <c r="BB5" s="164">
        <f t="shared" si="20"/>
        <v>6.31654414290622</v>
      </c>
      <c r="BC5" s="169">
        <f t="shared" si="21"/>
        <v>693.386174166953</v>
      </c>
      <c r="BD5" s="169">
        <f t="shared" si="22"/>
        <v>1371.42</v>
      </c>
      <c r="BE5" s="169">
        <f t="shared" si="23"/>
        <v>1346.74926829268</v>
      </c>
      <c r="BF5" s="168">
        <f t="shared" si="24"/>
        <v>345.39309412573</v>
      </c>
      <c r="BG5" s="213">
        <f t="shared" si="25"/>
        <v>0.256464289424561</v>
      </c>
    </row>
    <row r="6" ht="29.1" customHeight="1" spans="1:6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148"/>
      <c r="G6" s="148"/>
      <c r="H6" s="64"/>
      <c r="I6" s="64"/>
      <c r="J6" s="207">
        <v>0</v>
      </c>
      <c r="K6" s="208">
        <f t="shared" si="0"/>
        <v>0</v>
      </c>
      <c r="L6" s="209">
        <v>0</v>
      </c>
      <c r="M6" s="210">
        <f t="shared" si="1"/>
        <v>-0.241379310344828</v>
      </c>
      <c r="N6" s="208">
        <f t="shared" si="2"/>
        <v>-0.236363636363636</v>
      </c>
      <c r="O6" s="208">
        <f t="shared" si="3"/>
        <v>-0.238336906272331</v>
      </c>
      <c r="P6" s="153">
        <f t="shared" si="4"/>
        <v>1.04761904761905</v>
      </c>
      <c r="Q6" s="154">
        <f t="shared" si="5"/>
        <v>24.8704761904762</v>
      </c>
      <c r="R6" s="154">
        <f t="shared" si="6"/>
        <v>23.74</v>
      </c>
      <c r="S6" s="154">
        <f t="shared" si="7"/>
        <v>6.28571428571429</v>
      </c>
      <c r="T6" s="193">
        <f t="shared" si="8"/>
        <v>12</v>
      </c>
      <c r="U6" s="157">
        <f t="shared" si="9"/>
        <v>0.285714285714286</v>
      </c>
      <c r="V6" s="94">
        <f t="shared" si="10"/>
        <v>0.446542084705522</v>
      </c>
      <c r="W6" s="91">
        <v>80855</v>
      </c>
      <c r="X6" s="91">
        <v>306</v>
      </c>
      <c r="Y6" s="91">
        <v>30</v>
      </c>
      <c r="Z6" s="91">
        <v>466.44</v>
      </c>
      <c r="AA6" s="92">
        <v>708.7</v>
      </c>
      <c r="AB6" s="91">
        <v>1.52</v>
      </c>
      <c r="AC6" s="71">
        <f t="shared" si="11"/>
        <v>0.658162833356851</v>
      </c>
      <c r="AD6" s="72">
        <f t="shared" si="12"/>
        <v>0.00378455259415002</v>
      </c>
      <c r="AE6" s="72">
        <f t="shared" si="13"/>
        <v>0.0980392156862745</v>
      </c>
      <c r="AF6" s="154">
        <f t="shared" si="14"/>
        <v>15.548</v>
      </c>
      <c r="AG6" s="160">
        <v>11</v>
      </c>
      <c r="AH6" s="161">
        <v>17</v>
      </c>
      <c r="AI6" s="161">
        <v>16</v>
      </c>
      <c r="AJ6" s="164">
        <v>0</v>
      </c>
      <c r="AK6" s="163">
        <f>AG6*产品成本!$D$5+AH6*产品成本!$D$6+AI6*产品成本!$D$7+AJ6*产品成本!$D$8</f>
        <v>135.915492957746</v>
      </c>
      <c r="AL6" s="163">
        <f>AG6*产品成本!$E$5+AH6*产品成本!$E$6+AI6*产品成本!$E$7+AJ6*产品成本!$E$8</f>
        <v>14.81</v>
      </c>
      <c r="AM6" s="163">
        <f>AG6*产品成本!$F$5+AH6*产品成本!$F$6+AI6*产品成本!$F$7+AJ6*产品成本!$F$8</f>
        <v>16.85</v>
      </c>
      <c r="AN6" s="163">
        <f>AG6*产品成本!$G$5+AH6*产品成本!$G$6+AI6*产品成本!$G$7+AJ6*产品成本!$G$8</f>
        <v>207.74</v>
      </c>
      <c r="AO6" s="163">
        <f t="shared" si="15"/>
        <v>156.684</v>
      </c>
      <c r="AP6" s="164">
        <f t="shared" si="16"/>
        <v>531.999492957746</v>
      </c>
      <c r="AQ6" s="165">
        <v>0</v>
      </c>
      <c r="AR6" s="165">
        <v>0</v>
      </c>
      <c r="AS6" s="165">
        <v>0</v>
      </c>
      <c r="AT6" s="211">
        <v>0</v>
      </c>
      <c r="AU6" s="212">
        <f t="shared" si="17"/>
        <v>0</v>
      </c>
      <c r="AV6" s="163">
        <f>AQ6*产品成本!$D$5+AR6*产品成本!$D$6+AS6*产品成本!$D$7+AT6*产品成本!D12</f>
        <v>0</v>
      </c>
      <c r="AW6" s="163">
        <f>AQ6*产品成本!$E$5+AR6*产品成本!$E$6+AS6*产品成本!$E$7+AT6*产品成本!E12</f>
        <v>0</v>
      </c>
      <c r="AX6" s="163">
        <f>AQ6*产品成本!$F$5+AR6*产品成本!$F$6+AS6*产品成本!$F$7+AT6*产品成本!F12</f>
        <v>0</v>
      </c>
      <c r="AY6" s="163">
        <v>0</v>
      </c>
      <c r="AZ6" s="163">
        <f t="shared" si="18"/>
        <v>0</v>
      </c>
      <c r="BA6" s="163">
        <f t="shared" si="19"/>
        <v>0</v>
      </c>
      <c r="BB6" s="164">
        <f t="shared" si="20"/>
        <v>0</v>
      </c>
      <c r="BC6" s="169">
        <f t="shared" si="21"/>
        <v>531.999492957746</v>
      </c>
      <c r="BD6" s="169">
        <f t="shared" si="22"/>
        <v>1044.56</v>
      </c>
      <c r="BE6" s="169">
        <f t="shared" si="23"/>
        <v>1044.56</v>
      </c>
      <c r="BF6" s="168">
        <f t="shared" si="24"/>
        <v>46.1205070422535</v>
      </c>
      <c r="BG6" s="213">
        <f t="shared" si="25"/>
        <v>0.0441530472565037</v>
      </c>
    </row>
    <row r="7" ht="29.1" customHeight="1" spans="1:6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148"/>
      <c r="G7" s="148"/>
      <c r="H7" s="64"/>
      <c r="I7" s="64"/>
      <c r="J7" s="207">
        <v>0</v>
      </c>
      <c r="K7" s="208">
        <f t="shared" si="0"/>
        <v>0</v>
      </c>
      <c r="L7" s="209">
        <v>0</v>
      </c>
      <c r="M7" s="210">
        <f t="shared" si="1"/>
        <v>0.295454545454545</v>
      </c>
      <c r="N7" s="208">
        <f t="shared" si="2"/>
        <v>0.30952380952381</v>
      </c>
      <c r="O7" s="208">
        <f t="shared" si="3"/>
        <v>0.286120471777591</v>
      </c>
      <c r="P7" s="153">
        <f t="shared" si="4"/>
        <v>1.03636363636364</v>
      </c>
      <c r="Q7" s="154">
        <f t="shared" si="5"/>
        <v>24.426</v>
      </c>
      <c r="R7" s="154">
        <f t="shared" si="6"/>
        <v>23.5689473684211</v>
      </c>
      <c r="S7" s="154">
        <f t="shared" si="7"/>
        <v>8.14285714285714</v>
      </c>
      <c r="T7" s="193">
        <f t="shared" si="8"/>
        <v>20</v>
      </c>
      <c r="U7" s="157">
        <f t="shared" si="9"/>
        <v>0.363636363636364</v>
      </c>
      <c r="V7" s="94">
        <f t="shared" si="10"/>
        <v>0.38619057189433</v>
      </c>
      <c r="W7" s="91">
        <v>107755</v>
      </c>
      <c r="X7" s="91">
        <v>336</v>
      </c>
      <c r="Y7" s="91">
        <v>35</v>
      </c>
      <c r="Z7" s="91">
        <v>518.82</v>
      </c>
      <c r="AA7" s="92">
        <v>815.65</v>
      </c>
      <c r="AB7" s="91">
        <v>1.54</v>
      </c>
      <c r="AC7" s="71">
        <f t="shared" si="11"/>
        <v>0.63608165266965</v>
      </c>
      <c r="AD7" s="72">
        <f t="shared" si="12"/>
        <v>0.00311818477100831</v>
      </c>
      <c r="AE7" s="72">
        <f t="shared" si="13"/>
        <v>0.104166666666667</v>
      </c>
      <c r="AF7" s="154">
        <f t="shared" si="14"/>
        <v>14.8234285714286</v>
      </c>
      <c r="AG7" s="160">
        <v>24</v>
      </c>
      <c r="AH7" s="161">
        <v>22</v>
      </c>
      <c r="AI7" s="161">
        <v>11</v>
      </c>
      <c r="AJ7" s="164">
        <v>0</v>
      </c>
      <c r="AK7" s="163">
        <f>AG7*产品成本!$D$5+AH7*产品成本!$D$6+AI7*产品成本!$D$7+AJ7*产品成本!$D$8</f>
        <v>166.478873239437</v>
      </c>
      <c r="AL7" s="163">
        <f>AG7*产品成本!$E$5+AH7*产品成本!$E$6+AI7*产品成本!$E$7+AJ7*产品成本!$E$8</f>
        <v>17.92</v>
      </c>
      <c r="AM7" s="163">
        <f>AG7*产品成本!$F$5+AH7*产品成本!$F$6+AI7*产品成本!$F$7+AJ7*产品成本!$F$8</f>
        <v>21.83</v>
      </c>
      <c r="AN7" s="163">
        <f>AG7*产品成本!$G$5+AH7*产品成本!$G$6+AI7*产品成本!$G$7+AJ7*产品成本!$G$8</f>
        <v>265.44</v>
      </c>
      <c r="AO7" s="163">
        <f t="shared" si="15"/>
        <v>201.5145</v>
      </c>
      <c r="AP7" s="164">
        <f t="shared" si="16"/>
        <v>673.183373239437</v>
      </c>
      <c r="AQ7" s="165">
        <v>0</v>
      </c>
      <c r="AR7" s="165">
        <v>0</v>
      </c>
      <c r="AS7" s="165">
        <v>0</v>
      </c>
      <c r="AT7" s="211">
        <v>0</v>
      </c>
      <c r="AU7" s="212">
        <f t="shared" si="17"/>
        <v>0</v>
      </c>
      <c r="AV7" s="163">
        <f>AQ7*产品成本!$D$5+AR7*产品成本!$D$6+AS7*产品成本!$D$7+AT7*产品成本!D15</f>
        <v>0</v>
      </c>
      <c r="AW7" s="163">
        <f>AQ7*产品成本!$E$5+AR7*产品成本!$E$6+AS7*产品成本!$E$7+AT7*产品成本!E15</f>
        <v>0</v>
      </c>
      <c r="AX7" s="163">
        <f>AQ7*产品成本!$F$5+AR7*产品成本!$F$6+AS7*产品成本!$F$7+AT7*产品成本!F15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673.183373239437</v>
      </c>
      <c r="BD7" s="169">
        <f t="shared" si="22"/>
        <v>1343.43</v>
      </c>
      <c r="BE7" s="169">
        <f t="shared" si="23"/>
        <v>1343.43</v>
      </c>
      <c r="BF7" s="168">
        <f t="shared" si="24"/>
        <v>151.426626760563</v>
      </c>
      <c r="BG7" s="213">
        <f t="shared" si="25"/>
        <v>0.112716424942545</v>
      </c>
    </row>
    <row r="8" ht="29.1" customHeight="1" spans="1:6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148"/>
      <c r="G8" s="148"/>
      <c r="H8" s="64"/>
      <c r="I8" s="64"/>
      <c r="J8" s="207">
        <v>1</v>
      </c>
      <c r="K8" s="208">
        <f t="shared" si="0"/>
        <v>0.0212765957446809</v>
      </c>
      <c r="L8" s="209">
        <v>21.11</v>
      </c>
      <c r="M8" s="210">
        <f t="shared" si="1"/>
        <v>-0.175438596491228</v>
      </c>
      <c r="N8" s="208">
        <f t="shared" si="2"/>
        <v>-0.163636363636364</v>
      </c>
      <c r="O8" s="208">
        <f t="shared" si="3"/>
        <v>-0.175595304556248</v>
      </c>
      <c r="P8" s="153">
        <f t="shared" si="4"/>
        <v>1.02173913043478</v>
      </c>
      <c r="Q8" s="154">
        <f t="shared" si="5"/>
        <v>24.0767391304348</v>
      </c>
      <c r="R8" s="154">
        <f t="shared" si="6"/>
        <v>23.5644680851064</v>
      </c>
      <c r="S8" s="154">
        <f t="shared" si="7"/>
        <v>6.71428571428571</v>
      </c>
      <c r="T8" s="193">
        <f t="shared" si="8"/>
        <v>21</v>
      </c>
      <c r="U8" s="157">
        <f t="shared" si="9"/>
        <v>0.456521739130435</v>
      </c>
      <c r="V8" s="94">
        <f t="shared" si="10"/>
        <v>0.345453396296263</v>
      </c>
      <c r="W8" s="91">
        <v>70831</v>
      </c>
      <c r="X8" s="91">
        <v>276</v>
      </c>
      <c r="Y8" s="91">
        <v>25</v>
      </c>
      <c r="Z8" s="91">
        <v>382.6</v>
      </c>
      <c r="AA8" s="92">
        <v>591.75</v>
      </c>
      <c r="AB8" s="91">
        <v>1.39</v>
      </c>
      <c r="AC8" s="71">
        <f t="shared" si="11"/>
        <v>0.646556822982679</v>
      </c>
      <c r="AD8" s="72">
        <f t="shared" si="12"/>
        <v>0.00389659894678884</v>
      </c>
      <c r="AE8" s="72">
        <f t="shared" si="13"/>
        <v>0.0905797101449275</v>
      </c>
      <c r="AF8" s="154">
        <f t="shared" si="14"/>
        <v>15.304</v>
      </c>
      <c r="AG8" s="160">
        <v>20</v>
      </c>
      <c r="AH8" s="161">
        <v>14</v>
      </c>
      <c r="AI8" s="161">
        <v>13</v>
      </c>
      <c r="AJ8" s="164">
        <v>0</v>
      </c>
      <c r="AK8" s="163">
        <f>AG8*产品成本!$D$5+AH8*产品成本!$D$6+AI8*产品成本!$D$7+AJ8*产品成本!$D$8</f>
        <v>140.56338028169</v>
      </c>
      <c r="AL8" s="163">
        <f>AG8*产品成本!$E$5+AH8*产品成本!$E$6+AI8*产品成本!$E$7+AJ8*产品成本!$E$8</f>
        <v>15.08</v>
      </c>
      <c r="AM8" s="163">
        <f>AG8*产品成本!$F$5+AH8*产品成本!$F$6+AI8*产品成本!$F$7+AJ8*产品成本!$F$8</f>
        <v>18.29</v>
      </c>
      <c r="AN8" s="163">
        <f>AG8*产品成本!$G$5+AH8*产品成本!$G$6+AI8*产品成本!$G$7+AJ8*产品成本!$G$8</f>
        <v>223.76</v>
      </c>
      <c r="AO8" s="163">
        <f t="shared" si="15"/>
        <v>166.1295</v>
      </c>
      <c r="AP8" s="164">
        <f t="shared" si="16"/>
        <v>563.82288028169</v>
      </c>
      <c r="AQ8" s="194">
        <v>0</v>
      </c>
      <c r="AR8" s="165">
        <v>1</v>
      </c>
      <c r="AS8" s="165">
        <v>0</v>
      </c>
      <c r="AT8" s="211">
        <v>0</v>
      </c>
      <c r="AU8" s="212">
        <f t="shared" si="17"/>
        <v>25.7439024390244</v>
      </c>
      <c r="AV8" s="163">
        <f>AQ8*产品成本!$D$5+AR8*产品成本!$D$6+AS8*产品成本!$D$7+AT8*产品成本!D16</f>
        <v>2.8169014084507</v>
      </c>
      <c r="AW8" s="163">
        <f>AQ8*产品成本!$E$5+AR8*产品成本!$E$6+AS8*产品成本!$E$7+AT8*产品成本!E16</f>
        <v>0.32</v>
      </c>
      <c r="AX8" s="163">
        <f>AQ8*产品成本!$F$5+AR8*产品成本!$F$6+AS8*产品成本!$F$7+AT8*产品成本!F16</f>
        <v>0.34</v>
      </c>
      <c r="AY8" s="163">
        <v>0</v>
      </c>
      <c r="AZ8" s="163">
        <f t="shared" si="18"/>
        <v>3.86158536585366</v>
      </c>
      <c r="BA8" s="163">
        <f t="shared" si="19"/>
        <v>-0.772317073170732</v>
      </c>
      <c r="BB8" s="164">
        <f t="shared" si="20"/>
        <v>6.56616970113363</v>
      </c>
      <c r="BC8" s="169">
        <f t="shared" si="21"/>
        <v>557.256710580557</v>
      </c>
      <c r="BD8" s="169">
        <f t="shared" si="22"/>
        <v>1107.53</v>
      </c>
      <c r="BE8" s="169">
        <f t="shared" si="23"/>
        <v>1081.78609756098</v>
      </c>
      <c r="BF8" s="168">
        <f t="shared" si="24"/>
        <v>141.929386980419</v>
      </c>
      <c r="BG8" s="213">
        <f t="shared" si="25"/>
        <v>0.131199122728991</v>
      </c>
    </row>
    <row r="9" ht="29.1" customHeight="1" spans="1:6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148"/>
      <c r="G9" s="148"/>
      <c r="H9" s="64"/>
      <c r="I9" s="64"/>
      <c r="J9" s="207">
        <v>4</v>
      </c>
      <c r="K9" s="208">
        <f t="shared" si="0"/>
        <v>0.0579710144927536</v>
      </c>
      <c r="L9" s="209">
        <v>64.72</v>
      </c>
      <c r="M9" s="210">
        <f t="shared" si="1"/>
        <v>0.468085106382979</v>
      </c>
      <c r="N9" s="208">
        <f t="shared" si="2"/>
        <v>0.434782608695652</v>
      </c>
      <c r="O9" s="208">
        <f t="shared" si="3"/>
        <v>0.475634971513187</v>
      </c>
      <c r="P9" s="153">
        <f t="shared" si="4"/>
        <v>1.04545454545455</v>
      </c>
      <c r="Q9" s="154">
        <f t="shared" si="5"/>
        <v>24.7622727272727</v>
      </c>
      <c r="R9" s="154">
        <f t="shared" si="6"/>
        <v>23.685652173913</v>
      </c>
      <c r="S9" s="154">
        <f t="shared" si="7"/>
        <v>9.85714285714286</v>
      </c>
      <c r="T9" s="193">
        <f t="shared" si="8"/>
        <v>30</v>
      </c>
      <c r="U9" s="157">
        <f t="shared" si="9"/>
        <v>0.454545454545455</v>
      </c>
      <c r="V9" s="94">
        <f t="shared" si="10"/>
        <v>0.248649277064939</v>
      </c>
      <c r="W9" s="91">
        <v>76019</v>
      </c>
      <c r="X9" s="91">
        <v>284</v>
      </c>
      <c r="Y9" s="91">
        <v>36</v>
      </c>
      <c r="Z9" s="91">
        <v>406.37</v>
      </c>
      <c r="AA9" s="92">
        <v>847.84</v>
      </c>
      <c r="AB9" s="91">
        <v>1.43</v>
      </c>
      <c r="AC9" s="71">
        <f t="shared" si="11"/>
        <v>0.479300339686733</v>
      </c>
      <c r="AD9" s="72">
        <f t="shared" si="12"/>
        <v>0.0037359081282311</v>
      </c>
      <c r="AE9" s="72">
        <f t="shared" si="13"/>
        <v>0.126760563380282</v>
      </c>
      <c r="AF9" s="154">
        <f t="shared" si="14"/>
        <v>11.2880555555556</v>
      </c>
      <c r="AG9" s="160">
        <v>21</v>
      </c>
      <c r="AH9" s="161">
        <v>24</v>
      </c>
      <c r="AI9" s="161">
        <v>24</v>
      </c>
      <c r="AJ9" s="164">
        <v>0</v>
      </c>
      <c r="AK9" s="163">
        <f>AG9*产品成本!$D$5+AH9*产品成本!$D$6+AI9*产品成本!$D$7+AJ9*产品成本!$D$8</f>
        <v>211.69014084507</v>
      </c>
      <c r="AL9" s="163">
        <f>AG9*产品成本!$E$5+AH9*产品成本!$E$6+AI9*产品成本!$E$7+AJ9*产品成本!$E$8</f>
        <v>22.95</v>
      </c>
      <c r="AM9" s="163">
        <f>AG9*产品成本!$F$5+AH9*产品成本!$F$6+AI9*产品成本!$F$7+AJ9*产品成本!$F$8</f>
        <v>26.61</v>
      </c>
      <c r="AN9" s="163">
        <f>AG9*产品成本!$G$5+AH9*产品成本!$G$6+AI9*产品成本!$G$7+AJ9*产品成本!$G$8</f>
        <v>327.54</v>
      </c>
      <c r="AO9" s="163">
        <f t="shared" si="15"/>
        <v>245.1465</v>
      </c>
      <c r="AP9" s="164">
        <f t="shared" si="16"/>
        <v>833.93664084507</v>
      </c>
      <c r="AQ9" s="165">
        <v>4</v>
      </c>
      <c r="AR9" s="165">
        <v>0</v>
      </c>
      <c r="AS9" s="165">
        <v>0</v>
      </c>
      <c r="AT9" s="211">
        <v>0</v>
      </c>
      <c r="AU9" s="212">
        <f t="shared" si="17"/>
        <v>78.9268292682927</v>
      </c>
      <c r="AV9" s="163">
        <f>AQ9*产品成本!$D$5+AR9*产品成本!$D$6+AS9*产品成本!$D$7+AT9*产品成本!D17</f>
        <v>10.7042253521127</v>
      </c>
      <c r="AW9" s="163">
        <f>AQ9*产品成本!$E$5+AR9*产品成本!$E$6+AS9*产品成本!$E$7+AT9*产品成本!E17</f>
        <v>1.08</v>
      </c>
      <c r="AX9" s="163">
        <f>AQ9*产品成本!$F$5+AR9*产品成本!$F$6+AS9*产品成本!$F$7+AT9*产品成本!F17</f>
        <v>1.64</v>
      </c>
      <c r="AY9" s="163">
        <v>0</v>
      </c>
      <c r="AZ9" s="163">
        <f t="shared" si="18"/>
        <v>11.8390243902439</v>
      </c>
      <c r="BA9" s="163">
        <f t="shared" si="19"/>
        <v>-2.36780487804878</v>
      </c>
      <c r="BB9" s="164">
        <f t="shared" si="20"/>
        <v>22.8954448643078</v>
      </c>
      <c r="BC9" s="169">
        <f t="shared" si="21"/>
        <v>811.041195980763</v>
      </c>
      <c r="BD9" s="169">
        <f t="shared" si="22"/>
        <v>1634.31</v>
      </c>
      <c r="BE9" s="169">
        <f t="shared" si="23"/>
        <v>1555.38317073171</v>
      </c>
      <c r="BF9" s="168">
        <f t="shared" si="24"/>
        <v>337.971974750945</v>
      </c>
      <c r="BG9" s="213">
        <f t="shared" si="25"/>
        <v>0.217291778071606</v>
      </c>
    </row>
    <row r="10" ht="29.1" customHeight="1" spans="1:6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148"/>
      <c r="G10" s="148"/>
      <c r="H10" s="64"/>
      <c r="I10" s="64"/>
      <c r="J10" s="207">
        <v>3</v>
      </c>
      <c r="K10" s="214">
        <f t="shared" si="0"/>
        <v>0.0384615384615385</v>
      </c>
      <c r="L10" s="209">
        <v>57.52</v>
      </c>
      <c r="M10" s="210">
        <f t="shared" si="1"/>
        <v>0.130434782608696</v>
      </c>
      <c r="N10" s="208">
        <f t="shared" si="2"/>
        <v>0.151515151515152</v>
      </c>
      <c r="O10" s="208">
        <f t="shared" si="3"/>
        <v>0.0569108675832614</v>
      </c>
      <c r="P10" s="153">
        <f t="shared" si="4"/>
        <v>1.02631578947368</v>
      </c>
      <c r="Q10" s="154">
        <f t="shared" si="5"/>
        <v>22.7278947368421</v>
      </c>
      <c r="R10" s="154">
        <f t="shared" si="6"/>
        <v>22.1451282051282</v>
      </c>
      <c r="S10" s="154">
        <f t="shared" si="7"/>
        <v>11.1428571428571</v>
      </c>
      <c r="T10" s="193">
        <f t="shared" si="8"/>
        <v>29</v>
      </c>
      <c r="U10" s="157">
        <f t="shared" si="9"/>
        <v>0.381578947368421</v>
      </c>
      <c r="V10" s="94">
        <f t="shared" si="10"/>
        <v>0.294687724335966</v>
      </c>
      <c r="W10" s="91">
        <v>95228</v>
      </c>
      <c r="X10" s="91">
        <v>359</v>
      </c>
      <c r="Y10" s="91">
        <v>47</v>
      </c>
      <c r="Z10" s="91">
        <v>509.02</v>
      </c>
      <c r="AA10" s="92">
        <v>1027.73</v>
      </c>
      <c r="AB10" s="91">
        <v>1.42</v>
      </c>
      <c r="AC10" s="71">
        <f t="shared" si="11"/>
        <v>0.495285726795948</v>
      </c>
      <c r="AD10" s="72">
        <f t="shared" si="12"/>
        <v>0.00376989960935859</v>
      </c>
      <c r="AE10" s="72">
        <f t="shared" si="13"/>
        <v>0.13091922005571</v>
      </c>
      <c r="AF10" s="154">
        <f t="shared" si="14"/>
        <v>10.8302127659574</v>
      </c>
      <c r="AG10" s="160">
        <v>23</v>
      </c>
      <c r="AH10" s="161">
        <v>28</v>
      </c>
      <c r="AI10" s="161">
        <v>27</v>
      </c>
      <c r="AJ10" s="164">
        <v>0</v>
      </c>
      <c r="AK10" s="163">
        <f>AG10*产品成本!$D$5+AH10*产品成本!$D$6+AI10*产品成本!$D$7+AJ10*产品成本!$D$8</f>
        <v>239.295774647887</v>
      </c>
      <c r="AL10" s="163">
        <f>AG10*产品成本!$E$5+AH10*产品成本!$E$6+AI10*产品成本!$E$7+AJ10*产品成本!$E$8</f>
        <v>25.97</v>
      </c>
      <c r="AM10" s="163">
        <f>AG10*产品成本!$F$5+AH10*产品成本!$F$6+AI10*产品成本!$F$7+AJ10*产品成本!$F$8</f>
        <v>30.02</v>
      </c>
      <c r="AN10" s="163">
        <f>AG10*产品成本!$G$5+AH10*产品成本!$G$6+AI10*产品成本!$G$7+AJ10*产品成本!$G$8</f>
        <v>369.5</v>
      </c>
      <c r="AO10" s="163">
        <f t="shared" si="15"/>
        <v>259.098</v>
      </c>
      <c r="AP10" s="164">
        <f t="shared" si="16"/>
        <v>923.883774647887</v>
      </c>
      <c r="AQ10" s="165">
        <v>2</v>
      </c>
      <c r="AR10" s="165">
        <v>0</v>
      </c>
      <c r="AS10" s="165">
        <v>1</v>
      </c>
      <c r="AT10" s="211">
        <v>0</v>
      </c>
      <c r="AU10" s="212">
        <f t="shared" si="17"/>
        <v>70.1463414634146</v>
      </c>
      <c r="AV10" s="163">
        <f>AQ10*产品成本!$D$5+AR10*产品成本!$D$6+AS10*产品成本!$D$7+AT10*产品成本!D19</f>
        <v>9.01408450704226</v>
      </c>
      <c r="AW10" s="163">
        <f>AQ10*产品成本!$E$5+AR10*产品成本!$E$6+AS10*产品成本!$E$7+AT10*产品成本!E19</f>
        <v>0.94</v>
      </c>
      <c r="AX10" s="163">
        <f>AQ10*产品成本!$F$5+AR10*产品成本!$F$6+AS10*产品成本!$F$7+AT10*产品成本!F19</f>
        <v>1.23</v>
      </c>
      <c r="AY10" s="163">
        <v>0</v>
      </c>
      <c r="AZ10" s="163">
        <f t="shared" si="18"/>
        <v>10.5219512195122</v>
      </c>
      <c r="BA10" s="163">
        <f t="shared" si="19"/>
        <v>-2.10439024390244</v>
      </c>
      <c r="BB10" s="164">
        <f t="shared" si="20"/>
        <v>19.601645482652</v>
      </c>
      <c r="BC10" s="169">
        <f t="shared" si="21"/>
        <v>904.282129165235</v>
      </c>
      <c r="BD10" s="169">
        <f t="shared" si="22"/>
        <v>1727.32</v>
      </c>
      <c r="BE10" s="169">
        <f t="shared" si="23"/>
        <v>1657.17365853659</v>
      </c>
      <c r="BF10" s="168">
        <f t="shared" si="24"/>
        <v>243.87152937135</v>
      </c>
      <c r="BG10" s="213">
        <f t="shared" si="25"/>
        <v>0.14716111864022</v>
      </c>
    </row>
    <row r="11" ht="29.1" customHeight="1" spans="1:6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148"/>
      <c r="G11" s="148"/>
      <c r="H11" s="64"/>
      <c r="I11" s="64"/>
      <c r="J11" s="207">
        <v>1</v>
      </c>
      <c r="K11" s="215">
        <f t="shared" si="0"/>
        <v>0.0227272727272727</v>
      </c>
      <c r="L11" s="209">
        <v>21.59</v>
      </c>
      <c r="M11" s="210">
        <f t="shared" si="1"/>
        <v>-0.435897435897436</v>
      </c>
      <c r="N11" s="208">
        <f t="shared" si="2"/>
        <v>-0.447368421052632</v>
      </c>
      <c r="O11" s="208">
        <f t="shared" si="3"/>
        <v>-0.455769631567978</v>
      </c>
      <c r="P11" s="153">
        <f t="shared" si="4"/>
        <v>1.04761904761905</v>
      </c>
      <c r="Q11" s="154">
        <f t="shared" si="5"/>
        <v>22.382380952381</v>
      </c>
      <c r="R11" s="154">
        <f t="shared" si="6"/>
        <v>21.365</v>
      </c>
      <c r="S11" s="154">
        <f t="shared" si="7"/>
        <v>6.28571428571429</v>
      </c>
      <c r="T11" s="193">
        <f t="shared" si="8"/>
        <v>22</v>
      </c>
      <c r="U11" s="157">
        <f t="shared" si="9"/>
        <v>0.523809523809524</v>
      </c>
      <c r="V11" s="94">
        <f t="shared" si="10"/>
        <v>0.288385847711848</v>
      </c>
      <c r="W11" s="91">
        <v>38905</v>
      </c>
      <c r="X11" s="91">
        <v>205</v>
      </c>
      <c r="Y11" s="91">
        <v>20</v>
      </c>
      <c r="Z11" s="91">
        <v>271.1</v>
      </c>
      <c r="AA11" s="92">
        <v>450.69</v>
      </c>
      <c r="AB11" s="91">
        <v>1.32</v>
      </c>
      <c r="AC11" s="71">
        <f t="shared" si="11"/>
        <v>0.601522110541614</v>
      </c>
      <c r="AD11" s="72">
        <f t="shared" si="12"/>
        <v>0.00526924559825215</v>
      </c>
      <c r="AE11" s="72">
        <f t="shared" si="13"/>
        <v>0.0975609756097561</v>
      </c>
      <c r="AF11" s="154">
        <f t="shared" si="14"/>
        <v>13.555</v>
      </c>
      <c r="AG11" s="160">
        <v>11</v>
      </c>
      <c r="AH11" s="161">
        <v>18</v>
      </c>
      <c r="AI11" s="161">
        <v>15</v>
      </c>
      <c r="AJ11" s="164">
        <v>0</v>
      </c>
      <c r="AK11" s="163">
        <f>AG11*产品成本!$D$5+AH11*产品成本!$D$6+AI11*产品成本!$D$7+AJ11*产品成本!$D$8</f>
        <v>135.070422535211</v>
      </c>
      <c r="AL11" s="163">
        <f>AG11*产品成本!$E$5+AH11*产品成本!$E$6+AI11*产品成本!$E$7+AJ11*产品成本!$E$8</f>
        <v>14.73</v>
      </c>
      <c r="AM11" s="163">
        <f>AG11*产品成本!$F$5+AH11*产品成本!$F$6+AI11*产品成本!$F$7+AJ11*产品成本!$F$8</f>
        <v>16.78</v>
      </c>
      <c r="AN11" s="163">
        <f>AG11*产品成本!$G$5+AH11*产品成本!$G$6+AI11*产品成本!$G$7+AJ11*产品成本!$G$8</f>
        <v>206.54</v>
      </c>
      <c r="AO11" s="163">
        <f t="shared" si="15"/>
        <v>141.009</v>
      </c>
      <c r="AP11" s="164">
        <f t="shared" si="16"/>
        <v>514.129422535211</v>
      </c>
      <c r="AQ11" s="165">
        <v>0</v>
      </c>
      <c r="AR11" s="165">
        <v>1</v>
      </c>
      <c r="AS11" s="165">
        <v>0</v>
      </c>
      <c r="AT11" s="211">
        <v>0</v>
      </c>
      <c r="AU11" s="212">
        <f t="shared" si="17"/>
        <v>26.3292682926829</v>
      </c>
      <c r="AV11" s="163">
        <f>AQ11*产品成本!$D$5+AR11*产品成本!$D$6+AS11*产品成本!$D$7+AT11*产品成本!D20</f>
        <v>2.8169014084507</v>
      </c>
      <c r="AW11" s="163">
        <f>AQ11*产品成本!$E$5+AR11*产品成本!$E$6+AS11*产品成本!$E$7+AT11*产品成本!E20</f>
        <v>0.32</v>
      </c>
      <c r="AX11" s="163">
        <f>AQ11*产品成本!$F$5+AR11*产品成本!$F$6+AS11*产品成本!$F$7+AT11*产品成本!F20</f>
        <v>0.34</v>
      </c>
      <c r="AY11" s="163">
        <v>0</v>
      </c>
      <c r="AZ11" s="163">
        <f t="shared" si="18"/>
        <v>3.94939024390244</v>
      </c>
      <c r="BA11" s="163">
        <f t="shared" si="19"/>
        <v>-0.789878048780488</v>
      </c>
      <c r="BB11" s="164">
        <f t="shared" si="20"/>
        <v>6.63641360357265</v>
      </c>
      <c r="BC11" s="169">
        <f t="shared" si="21"/>
        <v>507.493008931639</v>
      </c>
      <c r="BD11" s="169">
        <f t="shared" si="22"/>
        <v>940.06</v>
      </c>
      <c r="BE11" s="169">
        <f t="shared" si="23"/>
        <v>913.730731707317</v>
      </c>
      <c r="BF11" s="168">
        <f t="shared" si="24"/>
        <v>135.137722775678</v>
      </c>
      <c r="BG11" s="213">
        <f t="shared" si="25"/>
        <v>0.147896659361749</v>
      </c>
      <c r="BI11" t="s">
        <v>281</v>
      </c>
    </row>
    <row r="12" ht="29.1" customHeight="1" spans="1:63">
      <c r="A12" s="93" t="s">
        <v>89</v>
      </c>
      <c r="B12" s="90" t="s">
        <v>90</v>
      </c>
      <c r="C12" s="90">
        <v>40</v>
      </c>
      <c r="D12" s="91">
        <v>40</v>
      </c>
      <c r="E12" s="64">
        <v>853.7</v>
      </c>
      <c r="F12" s="148"/>
      <c r="G12" s="148"/>
      <c r="H12" s="64"/>
      <c r="I12" s="64"/>
      <c r="J12" s="207">
        <v>1</v>
      </c>
      <c r="K12" s="215">
        <f t="shared" si="0"/>
        <v>0.025</v>
      </c>
      <c r="L12" s="209">
        <v>19</v>
      </c>
      <c r="M12" s="210">
        <f t="shared" si="1"/>
        <v>-0.0909090909090909</v>
      </c>
      <c r="N12" s="208">
        <f t="shared" si="2"/>
        <v>-0.0476190476190476</v>
      </c>
      <c r="O12" s="208">
        <f t="shared" si="3"/>
        <v>-0.091866476607876</v>
      </c>
      <c r="P12" s="153">
        <f t="shared" si="4"/>
        <v>1</v>
      </c>
      <c r="Q12" s="154">
        <f t="shared" si="5"/>
        <v>21.3425</v>
      </c>
      <c r="R12" s="154">
        <f t="shared" si="6"/>
        <v>21.3425</v>
      </c>
      <c r="S12" s="154">
        <f t="shared" si="7"/>
        <v>5.71428571428571</v>
      </c>
      <c r="T12" s="193">
        <f t="shared" si="8"/>
        <v>17</v>
      </c>
      <c r="U12" s="157">
        <f t="shared" si="9"/>
        <v>0.425</v>
      </c>
      <c r="V12" s="94">
        <f t="shared" si="10"/>
        <v>0.297961813283355</v>
      </c>
      <c r="W12" s="91">
        <v>33555</v>
      </c>
      <c r="X12" s="91">
        <v>218</v>
      </c>
      <c r="Y12" s="91">
        <v>23</v>
      </c>
      <c r="Z12" s="91">
        <v>254.37</v>
      </c>
      <c r="AA12" s="92">
        <v>485.47</v>
      </c>
      <c r="AB12" s="91">
        <v>1.17</v>
      </c>
      <c r="AC12" s="71">
        <f t="shared" si="11"/>
        <v>0.523966465487054</v>
      </c>
      <c r="AD12" s="72">
        <f t="shared" si="12"/>
        <v>0.00649679630457458</v>
      </c>
      <c r="AE12" s="72">
        <f t="shared" si="13"/>
        <v>0.105504587155963</v>
      </c>
      <c r="AF12" s="154">
        <f t="shared" si="14"/>
        <v>11.0595652173913</v>
      </c>
      <c r="AG12" s="160">
        <v>11</v>
      </c>
      <c r="AH12" s="161">
        <v>17</v>
      </c>
      <c r="AI12" s="161">
        <v>12</v>
      </c>
      <c r="AJ12" s="164">
        <v>0</v>
      </c>
      <c r="AK12" s="163">
        <f>AG12*产品成本!$D$5+AH12*产品成本!$D$6+AI12*产品成本!$D$7+AJ12*产品成本!$D$8</f>
        <v>121.267605633803</v>
      </c>
      <c r="AL12" s="163">
        <f>AG12*产品成本!$E$5+AH12*产品成本!$E$6+AI12*产品成本!$E$7+AJ12*产品成本!$E$8</f>
        <v>13.21</v>
      </c>
      <c r="AM12" s="163">
        <f>AG12*产品成本!$F$5+AH12*产品成本!$F$6+AI12*产品成本!$F$7+AJ12*产品成本!$F$8</f>
        <v>15.21</v>
      </c>
      <c r="AN12" s="163">
        <f>AG12*产品成本!$G$5+AH12*产品成本!$G$6+AI12*产品成本!$G$7+AJ12*产品成本!$G$8</f>
        <v>186.62</v>
      </c>
      <c r="AO12" s="163">
        <f t="shared" si="15"/>
        <v>128.055</v>
      </c>
      <c r="AP12" s="164">
        <f t="shared" si="16"/>
        <v>464.362605633803</v>
      </c>
      <c r="AQ12" s="165">
        <v>0</v>
      </c>
      <c r="AR12" s="165">
        <v>0</v>
      </c>
      <c r="AS12" s="165">
        <v>1</v>
      </c>
      <c r="AT12" s="211">
        <v>0</v>
      </c>
      <c r="AU12" s="212">
        <f t="shared" si="17"/>
        <v>23.1707317073171</v>
      </c>
      <c r="AV12" s="163">
        <f>AQ12*产品成本!$D$5+AR12*产品成本!$D$6+AS12*产品成本!$D$7+AT12*产品成本!D21</f>
        <v>3.66197183098592</v>
      </c>
      <c r="AW12" s="163">
        <f>AQ12*产品成本!$E$5+AR12*产品成本!$E$6+AS12*产品成本!$E$7+AT12*产品成本!E21</f>
        <v>0.4</v>
      </c>
      <c r="AX12" s="163">
        <f>AQ12*产品成本!$F$5+AR12*产品成本!$F$6+AS12*产品成本!$F$7+AT12*产品成本!F21</f>
        <v>0.41</v>
      </c>
      <c r="AY12" s="163">
        <v>0</v>
      </c>
      <c r="AZ12" s="163">
        <f t="shared" si="18"/>
        <v>3.47560975609756</v>
      </c>
      <c r="BA12" s="163">
        <f t="shared" si="19"/>
        <v>-0.695121951219512</v>
      </c>
      <c r="BB12" s="164">
        <f t="shared" si="20"/>
        <v>7.25245963586397</v>
      </c>
      <c r="BC12" s="169">
        <f t="shared" si="21"/>
        <v>457.110145997939</v>
      </c>
      <c r="BD12" s="169">
        <f t="shared" si="22"/>
        <v>853.7</v>
      </c>
      <c r="BE12" s="169">
        <f t="shared" si="23"/>
        <v>830.529268292683</v>
      </c>
      <c r="BF12" s="168">
        <f t="shared" si="24"/>
        <v>119.049122294744</v>
      </c>
      <c r="BG12" s="213">
        <f t="shared" si="25"/>
        <v>0.143341272655536</v>
      </c>
      <c r="BI12" t="s">
        <v>282</v>
      </c>
    </row>
    <row r="13" ht="29.1" customHeight="1" spans="1:6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148"/>
      <c r="G13" s="148"/>
      <c r="H13" s="64"/>
      <c r="I13" s="64"/>
      <c r="J13" s="207">
        <v>1</v>
      </c>
      <c r="K13" s="215">
        <f t="shared" si="0"/>
        <v>0.03125</v>
      </c>
      <c r="L13" s="209">
        <v>19</v>
      </c>
      <c r="M13" s="210">
        <f t="shared" si="1"/>
        <v>-0.2</v>
      </c>
      <c r="N13" s="208">
        <f t="shared" si="2"/>
        <v>-0.225</v>
      </c>
      <c r="O13" s="208">
        <f t="shared" si="3"/>
        <v>-0.108960993323182</v>
      </c>
      <c r="P13" s="153">
        <f t="shared" si="4"/>
        <v>1.03225806451613</v>
      </c>
      <c r="Q13" s="155">
        <f t="shared" si="5"/>
        <v>24.538064516129</v>
      </c>
      <c r="R13" s="187">
        <f t="shared" si="6"/>
        <v>23.77125</v>
      </c>
      <c r="S13" s="187">
        <f t="shared" si="7"/>
        <v>4.57142857142857</v>
      </c>
      <c r="T13" s="193">
        <f t="shared" si="8"/>
        <v>11</v>
      </c>
      <c r="U13" s="157">
        <f t="shared" si="9"/>
        <v>0.354838709677419</v>
      </c>
      <c r="V13" s="94">
        <f t="shared" si="10"/>
        <v>0.304753641478677</v>
      </c>
      <c r="W13" s="91">
        <v>32697</v>
      </c>
      <c r="X13" s="91">
        <v>197</v>
      </c>
      <c r="Y13" s="91">
        <v>20</v>
      </c>
      <c r="Z13" s="91">
        <v>231.82</v>
      </c>
      <c r="AA13" s="92">
        <v>475.8</v>
      </c>
      <c r="AB13" s="91">
        <v>1.18</v>
      </c>
      <c r="AC13" s="71">
        <f t="shared" si="11"/>
        <v>0.487221521647751</v>
      </c>
      <c r="AD13" s="72">
        <f t="shared" si="12"/>
        <v>0.00602501758571123</v>
      </c>
      <c r="AE13" s="72">
        <f t="shared" si="13"/>
        <v>0.101522842639594</v>
      </c>
      <c r="AF13" s="154">
        <f t="shared" si="14"/>
        <v>11.591</v>
      </c>
      <c r="AG13" s="160">
        <v>7</v>
      </c>
      <c r="AH13" s="161">
        <v>10</v>
      </c>
      <c r="AI13" s="161">
        <v>15</v>
      </c>
      <c r="AJ13" s="164">
        <v>0</v>
      </c>
      <c r="AK13" s="163">
        <f>AG13*产品成本!$D$5+AH13*产品成本!$D$6+AI13*产品成本!$D$7+AJ13*产品成本!$D$8</f>
        <v>101.830985915493</v>
      </c>
      <c r="AL13" s="163">
        <f>AG13*产品成本!$E$5+AH13*产品成本!$E$6+AI13*产品成本!$E$7+AJ13*产品成本!$E$8</f>
        <v>11.09</v>
      </c>
      <c r="AM13" s="163">
        <f>AG13*产品成本!$F$5+AH13*产品成本!$F$6+AI13*产品成本!$F$7+AJ13*产品成本!$F$8</f>
        <v>12.42</v>
      </c>
      <c r="AN13" s="163">
        <f>AG13*产品成本!$G$5+AH13*产品成本!$G$6+AI13*产品成本!$G$7+AJ13*产品成本!$G$8</f>
        <v>154.3</v>
      </c>
      <c r="AO13" s="163">
        <f t="shared" si="15"/>
        <v>114.102</v>
      </c>
      <c r="AP13" s="164">
        <f t="shared" si="16"/>
        <v>393.742985915493</v>
      </c>
      <c r="AQ13" s="165">
        <v>0</v>
      </c>
      <c r="AR13" s="165">
        <v>0</v>
      </c>
      <c r="AS13" s="165">
        <v>1</v>
      </c>
      <c r="AT13" s="211">
        <v>0</v>
      </c>
      <c r="AU13" s="212">
        <f t="shared" si="17"/>
        <v>23.1707317073171</v>
      </c>
      <c r="AV13" s="163">
        <f>AQ13*产品成本!$D$5+AR13*产品成本!$D$6+AS13*产品成本!$D$7+AT13*产品成本!D22</f>
        <v>3.66197183098592</v>
      </c>
      <c r="AW13" s="163">
        <f>AQ13*产品成本!$E$5+AR13*产品成本!$E$6+AS13*产品成本!$E$7+AT13*产品成本!E22</f>
        <v>0.4</v>
      </c>
      <c r="AX13" s="163">
        <f>AQ13*产品成本!$F$5+AR13*产品成本!$F$6+AS13*产品成本!$F$7+AT13*产品成本!F22</f>
        <v>0.41</v>
      </c>
      <c r="AY13" s="163">
        <v>0</v>
      </c>
      <c r="AZ13" s="163">
        <f t="shared" si="18"/>
        <v>3.47560975609756</v>
      </c>
      <c r="BA13" s="163">
        <f t="shared" si="19"/>
        <v>-0.695121951219512</v>
      </c>
      <c r="BB13" s="164">
        <f t="shared" si="20"/>
        <v>7.25245963586397</v>
      </c>
      <c r="BC13" s="169">
        <f t="shared" si="21"/>
        <v>386.490526279629</v>
      </c>
      <c r="BD13" s="169">
        <f t="shared" si="22"/>
        <v>760.68</v>
      </c>
      <c r="BE13" s="169">
        <f t="shared" si="23"/>
        <v>737.509268292683</v>
      </c>
      <c r="BF13" s="168">
        <f t="shared" si="24"/>
        <v>119.198742013054</v>
      </c>
      <c r="BG13" s="213">
        <f t="shared" si="25"/>
        <v>0.161623381749488</v>
      </c>
      <c r="BI13" t="s">
        <v>94</v>
      </c>
    </row>
    <row r="14" ht="29.1" customHeight="1" spans="1:6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148"/>
      <c r="G14" s="148"/>
      <c r="H14" s="64"/>
      <c r="I14" s="64"/>
      <c r="J14" s="207">
        <v>1</v>
      </c>
      <c r="K14" s="215">
        <f t="shared" si="0"/>
        <v>0.0256410256410256</v>
      </c>
      <c r="L14" s="209">
        <v>18.21</v>
      </c>
      <c r="M14" s="210">
        <f t="shared" si="1"/>
        <v>0.21875</v>
      </c>
      <c r="N14" s="208">
        <f t="shared" si="2"/>
        <v>0.193548387096774</v>
      </c>
      <c r="O14" s="208">
        <f t="shared" si="3"/>
        <v>0.180798759005101</v>
      </c>
      <c r="P14" s="153">
        <f t="shared" si="4"/>
        <v>1.05405405405405</v>
      </c>
      <c r="Q14" s="155">
        <f t="shared" si="5"/>
        <v>24.2759459459459</v>
      </c>
      <c r="R14" s="187">
        <f t="shared" si="6"/>
        <v>23.0310256410256</v>
      </c>
      <c r="S14" s="187">
        <f t="shared" ref="S14:S38" si="26">C14/7</f>
        <v>5.57142857142857</v>
      </c>
      <c r="T14" s="193">
        <f t="shared" si="8"/>
        <v>17</v>
      </c>
      <c r="U14" s="157">
        <f t="shared" si="9"/>
        <v>0.459459459459459</v>
      </c>
      <c r="V14" s="94">
        <f t="shared" si="10"/>
        <v>0.282795782723417</v>
      </c>
      <c r="W14" s="91">
        <v>46155</v>
      </c>
      <c r="X14" s="91">
        <v>217</v>
      </c>
      <c r="Y14" s="91">
        <v>20</v>
      </c>
      <c r="Z14" s="91">
        <v>254.01</v>
      </c>
      <c r="AA14" s="92">
        <v>470.99</v>
      </c>
      <c r="AB14" s="91">
        <v>1.17</v>
      </c>
      <c r="AC14" s="71">
        <f t="shared" si="11"/>
        <v>0.539310813393066</v>
      </c>
      <c r="AD14" s="72">
        <f t="shared" si="12"/>
        <v>0.00470154912793847</v>
      </c>
      <c r="AE14" s="72">
        <f t="shared" si="13"/>
        <v>0.0921658986175115</v>
      </c>
      <c r="AF14" s="154">
        <f t="shared" si="14"/>
        <v>12.7005</v>
      </c>
      <c r="AG14" s="160">
        <v>9</v>
      </c>
      <c r="AH14" s="161">
        <v>19</v>
      </c>
      <c r="AI14" s="161">
        <v>11</v>
      </c>
      <c r="AJ14" s="164">
        <v>0</v>
      </c>
      <c r="AK14" s="163">
        <f>AG14*产品成本!$D$5+AH14*产品成本!$D$6+AI14*产品成本!$D$7+AJ14*产品成本!$D$8</f>
        <v>117.887323943662</v>
      </c>
      <c r="AL14" s="163">
        <f>AG14*产品成本!$E$5+AH14*产品成本!$E$6+AI14*产品成本!$E$7+AJ14*产品成本!$E$8</f>
        <v>12.91</v>
      </c>
      <c r="AM14" s="163">
        <f>AG14*产品成本!$F$5+AH14*产品成本!$F$6+AI14*产品成本!$F$7+AJ14*产品成本!$F$8</f>
        <v>14.66</v>
      </c>
      <c r="AN14" s="163">
        <f>AG14*产品成本!$G$5+AH14*产品成本!$G$6+AI14*产品成本!$G$7+AJ14*产品成本!$G$8</f>
        <v>179.7</v>
      </c>
      <c r="AO14" s="163">
        <f t="shared" si="15"/>
        <v>134.7315</v>
      </c>
      <c r="AP14" s="164">
        <f t="shared" si="16"/>
        <v>459.888823943662</v>
      </c>
      <c r="AQ14" s="165">
        <v>1</v>
      </c>
      <c r="AR14" s="165">
        <v>0</v>
      </c>
      <c r="AS14" s="165">
        <v>0</v>
      </c>
      <c r="AT14" s="211">
        <v>0</v>
      </c>
      <c r="AU14" s="212">
        <f t="shared" si="17"/>
        <v>22.2073170731707</v>
      </c>
      <c r="AV14" s="163">
        <f>AQ14*产品成本!$D$5+AR14*产品成本!$D$6+AS14*产品成本!$D$7+AT14*产品成本!D23</f>
        <v>2.67605633802817</v>
      </c>
      <c r="AW14" s="163">
        <f>AQ14*产品成本!$E$5+AR14*产品成本!$E$6+AS14*产品成本!$E$7+AT14*产品成本!E23</f>
        <v>0.27</v>
      </c>
      <c r="AX14" s="163">
        <f>AQ14*产品成本!$F$5+AR14*产品成本!$F$6+AS14*产品成本!$F$7+AT14*产品成本!F23</f>
        <v>0.41</v>
      </c>
      <c r="AY14" s="163"/>
      <c r="AZ14" s="163">
        <f t="shared" si="18"/>
        <v>3.33109756097561</v>
      </c>
      <c r="BA14" s="163">
        <f t="shared" si="19"/>
        <v>-0.666219512195122</v>
      </c>
      <c r="BB14" s="164">
        <f t="shared" si="20"/>
        <v>6.02093438680866</v>
      </c>
      <c r="BC14" s="169">
        <f t="shared" si="21"/>
        <v>453.867889556853</v>
      </c>
      <c r="BD14" s="169">
        <f t="shared" si="22"/>
        <v>898.21</v>
      </c>
      <c r="BE14" s="169">
        <f t="shared" si="23"/>
        <v>876.002682926829</v>
      </c>
      <c r="BF14" s="168">
        <f t="shared" si="24"/>
        <v>168.124793369976</v>
      </c>
      <c r="BG14" s="213">
        <f t="shared" si="25"/>
        <v>0.191922692300726</v>
      </c>
      <c r="BH14" s="172"/>
      <c r="BI14" s="172" t="s">
        <v>283</v>
      </c>
    </row>
    <row r="15" ht="29.1" customHeight="1" spans="1:6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148"/>
      <c r="G15" s="148"/>
      <c r="H15" s="64"/>
      <c r="I15" s="64"/>
      <c r="J15" s="207">
        <v>3</v>
      </c>
      <c r="K15" s="215">
        <f t="shared" si="0"/>
        <v>0.0666666666666667</v>
      </c>
      <c r="L15" s="209">
        <v>62.45</v>
      </c>
      <c r="M15" s="210">
        <f t="shared" si="1"/>
        <v>0.153846153846154</v>
      </c>
      <c r="N15" s="208">
        <f t="shared" si="2"/>
        <v>0.135135135135135</v>
      </c>
      <c r="O15" s="208">
        <f t="shared" si="3"/>
        <v>0.122844323710491</v>
      </c>
      <c r="P15" s="153">
        <f t="shared" si="4"/>
        <v>1.07142857142857</v>
      </c>
      <c r="Q15" s="155">
        <f t="shared" si="5"/>
        <v>24.0130952380952</v>
      </c>
      <c r="R15" s="187">
        <f t="shared" si="6"/>
        <v>22.4122222222222</v>
      </c>
      <c r="S15" s="187">
        <f t="shared" si="26"/>
        <v>6.42857142857143</v>
      </c>
      <c r="T15" s="193">
        <f t="shared" si="8"/>
        <v>17</v>
      </c>
      <c r="U15" s="157">
        <f t="shared" si="9"/>
        <v>0.404761904761905</v>
      </c>
      <c r="V15" s="94">
        <f t="shared" si="10"/>
        <v>0.347935154429627</v>
      </c>
      <c r="W15" s="91">
        <v>76033</v>
      </c>
      <c r="X15" s="91">
        <v>299</v>
      </c>
      <c r="Y15" s="91">
        <v>25</v>
      </c>
      <c r="Z15" s="91">
        <v>350.91</v>
      </c>
      <c r="AA15" s="92">
        <v>682.89</v>
      </c>
      <c r="AB15" s="91">
        <v>1.17</v>
      </c>
      <c r="AC15" s="71">
        <f t="shared" si="11"/>
        <v>0.513860211747134</v>
      </c>
      <c r="AD15" s="72">
        <f t="shared" si="12"/>
        <v>0.00393250299212184</v>
      </c>
      <c r="AE15" s="72">
        <f t="shared" si="13"/>
        <v>0.0836120401337793</v>
      </c>
      <c r="AF15" s="154">
        <f t="shared" si="14"/>
        <v>14.0364</v>
      </c>
      <c r="AG15" s="160">
        <v>9</v>
      </c>
      <c r="AH15" s="161">
        <v>18</v>
      </c>
      <c r="AI15" s="161">
        <v>18</v>
      </c>
      <c r="AJ15" s="164">
        <v>0</v>
      </c>
      <c r="AK15" s="163">
        <f>AG15*产品成本!$D$5+AH15*产品成本!$D$6+AI15*产品成本!$D$7+AJ15*产品成本!$D$8</f>
        <v>140.704225352113</v>
      </c>
      <c r="AL15" s="163">
        <f>AG15*产品成本!$E$5+AH15*产品成本!$E$6+AI15*产品成本!$E$7+AJ15*产品成本!$E$8</f>
        <v>15.39</v>
      </c>
      <c r="AM15" s="163">
        <f>AG15*产品成本!$F$5+AH15*产品成本!$F$6+AI15*产品成本!$F$7+AJ15*产品成本!$F$8</f>
        <v>17.19</v>
      </c>
      <c r="AN15" s="163">
        <f>AG15*产品成本!$G$5+AH15*产品成本!$G$6+AI15*产品成本!$G$7+AJ15*产品成本!$G$8</f>
        <v>212.58</v>
      </c>
      <c r="AO15" s="163">
        <f t="shared" si="15"/>
        <v>151.2825</v>
      </c>
      <c r="AP15" s="164">
        <f t="shared" si="16"/>
        <v>537.146725352113</v>
      </c>
      <c r="AQ15" s="165">
        <v>1</v>
      </c>
      <c r="AR15" s="165">
        <v>0</v>
      </c>
      <c r="AS15" s="165">
        <v>2</v>
      </c>
      <c r="AT15" s="211">
        <v>0</v>
      </c>
      <c r="AU15" s="212">
        <f t="shared" si="17"/>
        <v>76.1585365853659</v>
      </c>
      <c r="AV15" s="163">
        <f>AQ15*产品成本!$D$5+AR15*产品成本!$D$6+AS15*产品成本!$D$7+AT15*产品成本!D24</f>
        <v>10</v>
      </c>
      <c r="AW15" s="163">
        <f>AQ15*产品成本!$E$5+AR15*产品成本!$E$6+AS15*产品成本!$E$7+AT15*产品成本!E24</f>
        <v>1.07</v>
      </c>
      <c r="AX15" s="163">
        <f>AQ15*产品成本!$F$5+AR15*产品成本!$F$6+AS15*产品成本!$F$7+AT15*产品成本!F24</f>
        <v>1.23</v>
      </c>
      <c r="AY15" s="163"/>
      <c r="AZ15" s="163">
        <f t="shared" si="18"/>
        <v>11.4237804878049</v>
      </c>
      <c r="BA15" s="163">
        <f t="shared" si="19"/>
        <v>-2.28475609756098</v>
      </c>
      <c r="BB15" s="164">
        <f t="shared" si="20"/>
        <v>21.4390243902439</v>
      </c>
      <c r="BC15" s="169">
        <f t="shared" si="21"/>
        <v>515.707700961869</v>
      </c>
      <c r="BD15" s="169">
        <f t="shared" si="22"/>
        <v>1008.55</v>
      </c>
      <c r="BE15" s="169">
        <f t="shared" si="23"/>
        <v>932.391463414634</v>
      </c>
      <c r="BF15" s="168">
        <f t="shared" si="24"/>
        <v>65.7737624527654</v>
      </c>
      <c r="BG15" s="213">
        <f t="shared" si="25"/>
        <v>0.0705430766299454</v>
      </c>
    </row>
    <row r="16" ht="29.1" customHeight="1" spans="1:6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148"/>
      <c r="G16" s="148"/>
      <c r="H16" s="64"/>
      <c r="I16" s="64"/>
      <c r="J16" s="207">
        <v>1</v>
      </c>
      <c r="K16" s="215">
        <f t="shared" si="0"/>
        <v>0.0175438596491228</v>
      </c>
      <c r="L16" s="209">
        <v>21.11</v>
      </c>
      <c r="M16" s="210">
        <f t="shared" si="1"/>
        <v>0.266666666666667</v>
      </c>
      <c r="N16" s="208">
        <f t="shared" si="2"/>
        <v>0.357142857142857</v>
      </c>
      <c r="O16" s="208">
        <f t="shared" si="3"/>
        <v>0.209488870160131</v>
      </c>
      <c r="P16" s="153">
        <f t="shared" si="4"/>
        <v>1</v>
      </c>
      <c r="Q16" s="155">
        <f t="shared" si="5"/>
        <v>21.4005263157895</v>
      </c>
      <c r="R16" s="187">
        <f t="shared" si="6"/>
        <v>21.4005263157895</v>
      </c>
      <c r="S16" s="187">
        <f t="shared" si="26"/>
        <v>8.14285714285714</v>
      </c>
      <c r="T16" s="193">
        <f t="shared" si="8"/>
        <v>22</v>
      </c>
      <c r="U16" s="157">
        <f t="shared" si="9"/>
        <v>0.385964912280702</v>
      </c>
      <c r="V16" s="94">
        <f t="shared" si="10"/>
        <v>0.252330242738742</v>
      </c>
      <c r="W16" s="91">
        <v>48720</v>
      </c>
      <c r="X16" s="91">
        <v>267</v>
      </c>
      <c r="Y16" s="91">
        <v>35</v>
      </c>
      <c r="Z16" s="91">
        <v>307.8</v>
      </c>
      <c r="AA16" s="92">
        <v>754.86</v>
      </c>
      <c r="AB16" s="91">
        <v>1.15</v>
      </c>
      <c r="AC16" s="71">
        <f t="shared" si="11"/>
        <v>0.407757729910182</v>
      </c>
      <c r="AD16" s="72">
        <f t="shared" si="12"/>
        <v>0.00548029556650246</v>
      </c>
      <c r="AE16" s="72">
        <f t="shared" si="13"/>
        <v>0.131086142322097</v>
      </c>
      <c r="AF16" s="154">
        <f t="shared" si="14"/>
        <v>8.79428571428572</v>
      </c>
      <c r="AG16" s="160">
        <v>12</v>
      </c>
      <c r="AH16" s="161">
        <v>21</v>
      </c>
      <c r="AI16" s="161">
        <v>24</v>
      </c>
      <c r="AJ16" s="164">
        <v>0</v>
      </c>
      <c r="AK16" s="163">
        <f>AG16*产品成本!$D$5+AH16*产品成本!$D$6+AI16*产品成本!$D$7+AJ16*产品成本!$D$8</f>
        <v>179.154929577465</v>
      </c>
      <c r="AL16" s="163">
        <f>AG16*产品成本!$E$5+AH16*产品成本!$E$6+AI16*产品成本!$E$7+AJ16*产品成本!$E$8</f>
        <v>19.56</v>
      </c>
      <c r="AM16" s="163">
        <f>AG16*产品成本!$F$5+AH16*产品成本!$F$6+AI16*产品成本!$F$7+AJ16*产品成本!$F$8</f>
        <v>21.9</v>
      </c>
      <c r="AN16" s="163">
        <f>AG16*产品成本!$G$5+AH16*产品成本!$G$6+AI16*产品成本!$G$7+AJ16*产品成本!$G$8</f>
        <v>271.2</v>
      </c>
      <c r="AO16" s="163">
        <f t="shared" si="15"/>
        <v>182.9745</v>
      </c>
      <c r="AP16" s="164">
        <f t="shared" si="16"/>
        <v>674.789429577465</v>
      </c>
      <c r="AQ16" s="165">
        <v>0</v>
      </c>
      <c r="AR16" s="165">
        <v>0</v>
      </c>
      <c r="AS16" s="165">
        <v>1</v>
      </c>
      <c r="AT16" s="211">
        <v>0</v>
      </c>
      <c r="AU16" s="212">
        <f t="shared" si="17"/>
        <v>25.7439024390244</v>
      </c>
      <c r="AV16" s="163">
        <f>AQ16*产品成本!$D$5+AR16*产品成本!$D$6+AS16*产品成本!$D$7+AT16*产品成本!D25</f>
        <v>3.66197183098592</v>
      </c>
      <c r="AW16" s="163">
        <f>AQ16*产品成本!$E$5+AR16*产品成本!$E$6+AS16*产品成本!$E$7+AT16*产品成本!E25</f>
        <v>0.4</v>
      </c>
      <c r="AX16" s="163">
        <f>AQ16*产品成本!$F$5+AR16*产品成本!$F$6+AS16*产品成本!$F$7+AT16*产品成本!F25</f>
        <v>0.41</v>
      </c>
      <c r="AY16" s="163"/>
      <c r="AZ16" s="163">
        <f t="shared" si="18"/>
        <v>3.86158536585366</v>
      </c>
      <c r="BA16" s="163">
        <f t="shared" si="19"/>
        <v>-0.772317073170732</v>
      </c>
      <c r="BB16" s="164">
        <f t="shared" si="20"/>
        <v>7.56124012366885</v>
      </c>
      <c r="BC16" s="169">
        <f t="shared" si="21"/>
        <v>667.228189453796</v>
      </c>
      <c r="BD16" s="169">
        <f t="shared" si="22"/>
        <v>1219.83</v>
      </c>
      <c r="BE16" s="169">
        <f t="shared" si="23"/>
        <v>1194.08609756098</v>
      </c>
      <c r="BF16" s="168">
        <f t="shared" si="24"/>
        <v>219.057908107179</v>
      </c>
      <c r="BG16" s="213">
        <f t="shared" si="25"/>
        <v>0.183452356203313</v>
      </c>
    </row>
    <row r="17" ht="29.1" customHeight="1" spans="1:61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148"/>
      <c r="G17" s="148"/>
      <c r="H17" s="64"/>
      <c r="I17" s="64"/>
      <c r="J17" s="207">
        <v>3</v>
      </c>
      <c r="K17" s="215">
        <f t="shared" si="0"/>
        <v>0.0441176470588235</v>
      </c>
      <c r="L17" s="209">
        <v>60.34</v>
      </c>
      <c r="M17" s="210">
        <f t="shared" si="1"/>
        <v>0.192982456140351</v>
      </c>
      <c r="N17" s="208">
        <f t="shared" si="2"/>
        <v>0</v>
      </c>
      <c r="O17" s="208">
        <f t="shared" si="3"/>
        <v>0.278801144421764</v>
      </c>
      <c r="P17" s="153">
        <f t="shared" si="4"/>
        <v>1.19298245614035</v>
      </c>
      <c r="Q17" s="155">
        <f t="shared" si="5"/>
        <v>27.3670175438596</v>
      </c>
      <c r="R17" s="187">
        <f t="shared" si="6"/>
        <v>22.94</v>
      </c>
      <c r="S17" s="187">
        <f t="shared" si="26"/>
        <v>9.71428571428571</v>
      </c>
      <c r="T17" s="193">
        <f t="shared" si="8"/>
        <v>18</v>
      </c>
      <c r="U17" s="157">
        <f t="shared" si="9"/>
        <v>0.315789473684211</v>
      </c>
      <c r="V17" s="94">
        <f t="shared" si="10"/>
        <v>0.205997743474024</v>
      </c>
      <c r="W17" s="91">
        <v>47496</v>
      </c>
      <c r="X17" s="91">
        <v>291</v>
      </c>
      <c r="Y17" s="91">
        <v>39</v>
      </c>
      <c r="Z17" s="91">
        <v>321.34</v>
      </c>
      <c r="AA17" s="92">
        <v>1029.05</v>
      </c>
      <c r="AB17" s="91">
        <v>1.1</v>
      </c>
      <c r="AC17" s="71">
        <f t="shared" si="11"/>
        <v>0.312268597249891</v>
      </c>
      <c r="AD17" s="72">
        <f t="shared" si="12"/>
        <v>0.00612683173319859</v>
      </c>
      <c r="AE17" s="72">
        <f t="shared" si="13"/>
        <v>0.134020618556701</v>
      </c>
      <c r="AF17" s="154">
        <f t="shared" si="14"/>
        <v>8.23948717948718</v>
      </c>
      <c r="AG17" s="160">
        <v>14</v>
      </c>
      <c r="AH17" s="161">
        <v>28</v>
      </c>
      <c r="AI17" s="161">
        <v>26</v>
      </c>
      <c r="AJ17" s="164">
        <v>0</v>
      </c>
      <c r="AK17" s="163">
        <f>AG17*产品成本!$D$5+AH17*产品成本!$D$6+AI17*产品成本!$D$7+AJ17*产品成本!$D$8</f>
        <v>211.549295774648</v>
      </c>
      <c r="AL17" s="163">
        <f>AG17*产品成本!$E$5+AH17*产品成本!$E$6+AI17*产品成本!$E$7+AJ17*产品成本!$E$8</f>
        <v>23.14</v>
      </c>
      <c r="AM17" s="163">
        <f>AG17*产品成本!$F$5+AH17*产品成本!$F$6+AI17*产品成本!$F$7+AJ17*产品成本!$F$8</f>
        <v>25.92</v>
      </c>
      <c r="AN17" s="163">
        <f>AG17*产品成本!$G$5+AH17*产品成本!$G$6+AI17*产品成本!$G$7+AJ17*产品成本!$G$8</f>
        <v>320.12</v>
      </c>
      <c r="AO17" s="163">
        <f t="shared" si="15"/>
        <v>233.988</v>
      </c>
      <c r="AP17" s="164">
        <f t="shared" si="16"/>
        <v>814.717295774648</v>
      </c>
      <c r="AQ17" s="165">
        <v>1</v>
      </c>
      <c r="AR17" s="165">
        <v>1</v>
      </c>
      <c r="AS17" s="165">
        <v>1</v>
      </c>
      <c r="AT17" s="211">
        <v>0</v>
      </c>
      <c r="AU17" s="212">
        <f t="shared" si="17"/>
        <v>73.5853658536585</v>
      </c>
      <c r="AV17" s="163">
        <f>AQ17*产品成本!$D$5+AR17*产品成本!$D$6+AS17*产品成本!$D$7+AT17*产品成本!D26</f>
        <v>9.15492957746479</v>
      </c>
      <c r="AW17" s="163">
        <f>AQ17*产品成本!$E$5+AR17*产品成本!$E$6+AS17*产品成本!$E$7+AT17*产品成本!E26</f>
        <v>0.99</v>
      </c>
      <c r="AX17" s="163">
        <f>AQ17*产品成本!$F$5+AR17*产品成本!$F$6+AS17*产品成本!$F$7+AT17*产品成本!F26</f>
        <v>1.16</v>
      </c>
      <c r="AY17" s="163"/>
      <c r="AZ17" s="163">
        <f t="shared" si="18"/>
        <v>11.0378048780488</v>
      </c>
      <c r="BA17" s="163">
        <f t="shared" si="19"/>
        <v>-2.20756097560976</v>
      </c>
      <c r="BB17" s="164">
        <f t="shared" si="20"/>
        <v>20.1351734799038</v>
      </c>
      <c r="BC17" s="169">
        <f t="shared" si="21"/>
        <v>794.582122294744</v>
      </c>
      <c r="BD17" s="169">
        <f t="shared" si="22"/>
        <v>1559.92</v>
      </c>
      <c r="BE17" s="169">
        <f t="shared" si="23"/>
        <v>1486.33463414634</v>
      </c>
      <c r="BF17" s="168">
        <f t="shared" si="24"/>
        <v>370.412511851598</v>
      </c>
      <c r="BG17" s="213">
        <f t="shared" si="25"/>
        <v>0.249212057192181</v>
      </c>
    </row>
    <row r="18" ht="29.1" customHeight="1" spans="1:61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148"/>
      <c r="G18" s="148"/>
      <c r="H18" s="64"/>
      <c r="I18" s="64"/>
      <c r="J18" s="207">
        <v>2</v>
      </c>
      <c r="K18" s="215">
        <f t="shared" si="0"/>
        <v>0.0526315789473684</v>
      </c>
      <c r="L18" s="209">
        <v>38</v>
      </c>
      <c r="M18" s="210">
        <f t="shared" si="1"/>
        <v>-0.441176470588235</v>
      </c>
      <c r="N18" s="208">
        <f t="shared" si="2"/>
        <v>-0.368421052631579</v>
      </c>
      <c r="O18" s="208">
        <f t="shared" si="3"/>
        <v>-0.422649879480999</v>
      </c>
      <c r="P18" s="153">
        <f t="shared" si="4"/>
        <v>1.05555555555556</v>
      </c>
      <c r="Q18" s="155">
        <f t="shared" si="5"/>
        <v>25.0172222222222</v>
      </c>
      <c r="R18" s="187">
        <f t="shared" si="6"/>
        <v>23.7005263157895</v>
      </c>
      <c r="S18" s="187">
        <f t="shared" si="26"/>
        <v>5.42857142857143</v>
      </c>
      <c r="T18" s="193">
        <f t="shared" si="8"/>
        <v>18</v>
      </c>
      <c r="U18" s="157">
        <f t="shared" si="9"/>
        <v>0.5</v>
      </c>
      <c r="V18" s="94">
        <f t="shared" si="10"/>
        <v>0.315282805178655</v>
      </c>
      <c r="W18" s="91">
        <v>43873</v>
      </c>
      <c r="X18" s="91">
        <v>252</v>
      </c>
      <c r="Y18" s="91">
        <v>18</v>
      </c>
      <c r="Z18" s="91">
        <v>283.95</v>
      </c>
      <c r="AA18" s="92">
        <v>454.81</v>
      </c>
      <c r="AB18" s="91">
        <v>1.13</v>
      </c>
      <c r="AC18" s="71">
        <f t="shared" si="11"/>
        <v>0.624326641894417</v>
      </c>
      <c r="AD18" s="72">
        <f t="shared" si="12"/>
        <v>0.00574385157158161</v>
      </c>
      <c r="AE18" s="72">
        <f t="shared" si="13"/>
        <v>0.0714285714285714</v>
      </c>
      <c r="AF18" s="154">
        <f t="shared" si="14"/>
        <v>15.775</v>
      </c>
      <c r="AG18" s="160">
        <v>11</v>
      </c>
      <c r="AH18" s="161">
        <v>12</v>
      </c>
      <c r="AI18" s="161">
        <v>15</v>
      </c>
      <c r="AJ18" s="164">
        <v>0</v>
      </c>
      <c r="AK18" s="163">
        <f>AG18*产品成本!$D$5+AH18*产品成本!$D$6+AI18*产品成本!$D$7+AJ18*产品成本!$D$8</f>
        <v>118.169014084507</v>
      </c>
      <c r="AL18" s="163">
        <f>AG18*产品成本!$E$5+AH18*产品成本!$E$6+AI18*产品成本!$E$7+AJ18*产品成本!$E$8</f>
        <v>12.81</v>
      </c>
      <c r="AM18" s="163">
        <f>AG18*产品成本!$F$5+AH18*产品成本!$F$6+AI18*产品成本!$F$7+AJ18*产品成本!$F$8</f>
        <v>14.74</v>
      </c>
      <c r="AN18" s="163">
        <f>AG18*产品成本!$G$5+AH18*产品成本!$G$6+AI18*产品成本!$G$7+AJ18*产品成本!$G$8</f>
        <v>182.06</v>
      </c>
      <c r="AO18" s="163">
        <f t="shared" si="15"/>
        <v>135.093</v>
      </c>
      <c r="AP18" s="164">
        <f t="shared" si="16"/>
        <v>462.872014084507</v>
      </c>
      <c r="AQ18" s="165">
        <v>0</v>
      </c>
      <c r="AR18" s="165">
        <v>0</v>
      </c>
      <c r="AS18" s="165">
        <v>2</v>
      </c>
      <c r="AT18" s="211">
        <v>0</v>
      </c>
      <c r="AU18" s="212">
        <f t="shared" si="17"/>
        <v>46.3414634146341</v>
      </c>
      <c r="AV18" s="163">
        <f>AQ18*产品成本!$D$5+AR18*产品成本!$D$6+AS18*产品成本!$D$7+AT18*产品成本!D27</f>
        <v>7.32394366197184</v>
      </c>
      <c r="AW18" s="163">
        <f>AQ18*产品成本!$E$5+AR18*产品成本!$E$6+AS18*产品成本!$E$7+AT18*产品成本!E27</f>
        <v>0.8</v>
      </c>
      <c r="AX18" s="163">
        <f>AQ18*产品成本!$F$5+AR18*产品成本!$F$6+AS18*产品成本!$F$7+AT18*产品成本!F27</f>
        <v>0.82</v>
      </c>
      <c r="AY18" s="163"/>
      <c r="AZ18" s="163">
        <f t="shared" si="18"/>
        <v>6.95121951219512</v>
      </c>
      <c r="BA18" s="163">
        <f t="shared" si="19"/>
        <v>-1.39024390243902</v>
      </c>
      <c r="BB18" s="164">
        <f t="shared" si="20"/>
        <v>14.5049192717279</v>
      </c>
      <c r="BC18" s="169">
        <f t="shared" si="21"/>
        <v>448.367094812779</v>
      </c>
      <c r="BD18" s="169">
        <f t="shared" si="22"/>
        <v>900.62</v>
      </c>
      <c r="BE18" s="169">
        <f t="shared" si="23"/>
        <v>854.278536585366</v>
      </c>
      <c r="BF18" s="168">
        <f t="shared" si="24"/>
        <v>121.961441772587</v>
      </c>
      <c r="BG18" s="213">
        <f t="shared" si="25"/>
        <v>0.142765429013444</v>
      </c>
      <c r="BI18" t="s">
        <v>284</v>
      </c>
    </row>
    <row r="19" ht="29.1" customHeight="1" spans="1:61">
      <c r="A19" s="61" t="s">
        <v>110</v>
      </c>
      <c r="B19" s="89" t="s">
        <v>111</v>
      </c>
      <c r="C19" s="90">
        <v>37</v>
      </c>
      <c r="D19" s="91">
        <v>37</v>
      </c>
      <c r="E19" s="64">
        <v>855.64</v>
      </c>
      <c r="F19" s="148"/>
      <c r="G19" s="148"/>
      <c r="H19" s="64"/>
      <c r="I19" s="64"/>
      <c r="J19" s="207">
        <v>2</v>
      </c>
      <c r="K19" s="215">
        <f t="shared" si="0"/>
        <v>0.0540540540540541</v>
      </c>
      <c r="L19" s="209">
        <v>41.34</v>
      </c>
      <c r="M19" s="210">
        <f t="shared" si="1"/>
        <v>-0.0263157894736842</v>
      </c>
      <c r="N19" s="208">
        <f t="shared" si="2"/>
        <v>0.0277777777777778</v>
      </c>
      <c r="O19" s="208">
        <f t="shared" si="3"/>
        <v>-0.0499433723434967</v>
      </c>
      <c r="P19" s="153">
        <f t="shared" si="4"/>
        <v>1</v>
      </c>
      <c r="Q19" s="155">
        <f t="shared" si="5"/>
        <v>23.1254054054054</v>
      </c>
      <c r="R19" s="187">
        <f t="shared" si="6"/>
        <v>23.1254054054054</v>
      </c>
      <c r="S19" s="187">
        <f t="shared" si="26"/>
        <v>5.28571428571429</v>
      </c>
      <c r="T19" s="193">
        <f t="shared" si="8"/>
        <v>12</v>
      </c>
      <c r="U19" s="157">
        <f t="shared" si="9"/>
        <v>0.324324324324324</v>
      </c>
      <c r="V19" s="94">
        <f t="shared" si="10"/>
        <v>0.30954607077743</v>
      </c>
      <c r="W19" s="91">
        <v>49981</v>
      </c>
      <c r="X19" s="91">
        <v>235</v>
      </c>
      <c r="Y19" s="91">
        <v>25</v>
      </c>
      <c r="Z19" s="91">
        <v>264.86</v>
      </c>
      <c r="AA19" s="92">
        <v>592.75</v>
      </c>
      <c r="AB19" s="91">
        <v>1.13</v>
      </c>
      <c r="AC19" s="71">
        <f t="shared" si="11"/>
        <v>0.446832560101223</v>
      </c>
      <c r="AD19" s="72">
        <f t="shared" si="12"/>
        <v>0.004701786678938</v>
      </c>
      <c r="AE19" s="72">
        <f t="shared" si="13"/>
        <v>0.106382978723404</v>
      </c>
      <c r="AF19" s="154">
        <f t="shared" si="14"/>
        <v>10.5944</v>
      </c>
      <c r="AG19" s="160">
        <v>8</v>
      </c>
      <c r="AH19" s="161">
        <v>20</v>
      </c>
      <c r="AI19" s="161">
        <v>9</v>
      </c>
      <c r="AJ19" s="164">
        <v>0</v>
      </c>
      <c r="AK19" s="163">
        <f>AG19*产品成本!$D$5+AH19*产品成本!$D$6+AI19*产品成本!$D$7+AJ19*产品成本!$D$8</f>
        <v>110.704225352113</v>
      </c>
      <c r="AL19" s="163">
        <f>AG19*产品成本!$E$5+AH19*产品成本!$E$6+AI19*产品成本!$E$7+AJ19*产品成本!$E$8</f>
        <v>12.16</v>
      </c>
      <c r="AM19" s="163">
        <f>AG19*产品成本!$F$5+AH19*产品成本!$F$6+AI19*产品成本!$F$7+AJ19*产品成本!$F$8</f>
        <v>13.77</v>
      </c>
      <c r="AN19" s="163">
        <f>AG19*产品成本!$G$5+AH19*产品成本!$G$6+AI19*产品成本!$G$7+AJ19*产品成本!$G$8</f>
        <v>168.32</v>
      </c>
      <c r="AO19" s="163">
        <f t="shared" si="15"/>
        <v>128.346</v>
      </c>
      <c r="AP19" s="164">
        <f t="shared" si="16"/>
        <v>433.300225352113</v>
      </c>
      <c r="AQ19" s="165">
        <v>1</v>
      </c>
      <c r="AR19" s="165">
        <v>1</v>
      </c>
      <c r="AS19" s="165">
        <v>0</v>
      </c>
      <c r="AT19" s="211">
        <v>0</v>
      </c>
      <c r="AU19" s="212">
        <f t="shared" si="17"/>
        <v>50.4146341463415</v>
      </c>
      <c r="AV19" s="163">
        <f>AQ19*产品成本!$D$5+AR19*产品成本!$D$6+AS19*产品成本!$D$7+AT19*产品成本!D28</f>
        <v>5.49295774647887</v>
      </c>
      <c r="AW19" s="163">
        <f>AQ19*产品成本!$E$5+AR19*产品成本!$E$6+AS19*产品成本!$E$7+AT19*产品成本!E28</f>
        <v>0.59</v>
      </c>
      <c r="AX19" s="163">
        <f>AQ19*产品成本!$F$5+AR19*产品成本!$F$6+AS19*产品成本!$F$7+AT19*产品成本!F28</f>
        <v>0.75</v>
      </c>
      <c r="AY19" s="163"/>
      <c r="AZ19" s="163">
        <f t="shared" si="18"/>
        <v>7.56219512195122</v>
      </c>
      <c r="BA19" s="163">
        <f t="shared" si="19"/>
        <v>-1.51243902439024</v>
      </c>
      <c r="BB19" s="164">
        <f t="shared" si="20"/>
        <v>12.8827138440398</v>
      </c>
      <c r="BC19" s="169">
        <f t="shared" si="21"/>
        <v>420.417511508073</v>
      </c>
      <c r="BD19" s="169">
        <f t="shared" si="22"/>
        <v>855.64</v>
      </c>
      <c r="BE19" s="169">
        <f t="shared" si="23"/>
        <v>805.225365853659</v>
      </c>
      <c r="BF19" s="168">
        <f t="shared" si="24"/>
        <v>119.947854345586</v>
      </c>
      <c r="BG19" s="213">
        <f t="shared" si="25"/>
        <v>0.148961842773573</v>
      </c>
      <c r="BH19" s="172"/>
      <c r="BI19" s="172" t="s">
        <v>285</v>
      </c>
    </row>
    <row r="20" ht="29.1" customHeight="1" spans="1:61">
      <c r="A20" s="61" t="s">
        <v>113</v>
      </c>
      <c r="B20" s="89" t="s">
        <v>114</v>
      </c>
      <c r="C20" s="90">
        <v>48</v>
      </c>
      <c r="D20" s="91">
        <v>46</v>
      </c>
      <c r="E20" s="64">
        <v>1142.52</v>
      </c>
      <c r="F20" s="148"/>
      <c r="G20" s="148"/>
      <c r="H20" s="64"/>
      <c r="I20" s="64"/>
      <c r="J20" s="207">
        <v>2</v>
      </c>
      <c r="K20" s="215">
        <f t="shared" si="0"/>
        <v>0.0416666666666667</v>
      </c>
      <c r="L20" s="209">
        <v>42.22</v>
      </c>
      <c r="M20" s="210">
        <f t="shared" si="1"/>
        <v>0.297297297297297</v>
      </c>
      <c r="N20" s="208">
        <f t="shared" si="2"/>
        <v>0.243243243243243</v>
      </c>
      <c r="O20" s="208">
        <f t="shared" si="3"/>
        <v>0.335281193025104</v>
      </c>
      <c r="P20" s="153">
        <f t="shared" si="4"/>
        <v>1.04347826086957</v>
      </c>
      <c r="Q20" s="155">
        <f t="shared" si="5"/>
        <v>24.8373913043478</v>
      </c>
      <c r="R20" s="187">
        <f t="shared" si="6"/>
        <v>23.8025</v>
      </c>
      <c r="S20" s="187">
        <f t="shared" si="26"/>
        <v>6.85714285714286</v>
      </c>
      <c r="T20" s="193">
        <f t="shared" si="8"/>
        <v>21</v>
      </c>
      <c r="U20" s="157">
        <f t="shared" si="9"/>
        <v>0.456521739130435</v>
      </c>
      <c r="V20" s="94">
        <f t="shared" si="10"/>
        <v>0.173064804117215</v>
      </c>
      <c r="W20" s="91">
        <v>30704</v>
      </c>
      <c r="X20" s="91">
        <v>193</v>
      </c>
      <c r="Y20" s="91">
        <v>25</v>
      </c>
      <c r="Z20" s="91">
        <v>197.73</v>
      </c>
      <c r="AA20" s="92">
        <v>620.64</v>
      </c>
      <c r="AB20" s="91">
        <v>1.02</v>
      </c>
      <c r="AC20" s="71">
        <f t="shared" si="11"/>
        <v>0.318590487238979</v>
      </c>
      <c r="AD20" s="72">
        <f t="shared" si="12"/>
        <v>0.00628582595101615</v>
      </c>
      <c r="AE20" s="72">
        <f t="shared" si="13"/>
        <v>0.129533678756477</v>
      </c>
      <c r="AF20" s="154">
        <f t="shared" si="14"/>
        <v>7.9092</v>
      </c>
      <c r="AG20" s="160">
        <v>9</v>
      </c>
      <c r="AH20" s="161">
        <v>26</v>
      </c>
      <c r="AI20" s="161">
        <v>13</v>
      </c>
      <c r="AJ20" s="164">
        <v>0</v>
      </c>
      <c r="AK20" s="163">
        <f>AG20*产品成本!$D$5+AH20*产品成本!$D$6+AI20*产品成本!$D$7+AJ20*产品成本!$D$8</f>
        <v>144.929577464789</v>
      </c>
      <c r="AL20" s="163">
        <f>AG20*产品成本!$E$5+AH20*产品成本!$E$6+AI20*产品成本!$E$7+AJ20*产品成本!$E$8</f>
        <v>15.95</v>
      </c>
      <c r="AM20" s="163">
        <f>AG20*产品成本!$F$5+AH20*产品成本!$F$6+AI20*产品成本!$F$7+AJ20*产品成本!$F$8</f>
        <v>17.86</v>
      </c>
      <c r="AN20" s="163">
        <f>AG20*产品成本!$G$5+AH20*产品成本!$G$6+AI20*产品成本!$G$7+AJ20*产品成本!$G$8</f>
        <v>218.82</v>
      </c>
      <c r="AO20" s="163">
        <f t="shared" si="15"/>
        <v>171.378</v>
      </c>
      <c r="AP20" s="164">
        <f t="shared" si="16"/>
        <v>568.937577464789</v>
      </c>
      <c r="AQ20" s="165">
        <v>0</v>
      </c>
      <c r="AR20" s="165">
        <v>1</v>
      </c>
      <c r="AS20" s="165">
        <v>1</v>
      </c>
      <c r="AT20" s="211">
        <v>0</v>
      </c>
      <c r="AU20" s="212">
        <f t="shared" si="17"/>
        <v>51.4878048780488</v>
      </c>
      <c r="AV20" s="163">
        <f>AQ20*产品成本!$D$5+AR20*产品成本!$D$6+AS20*产品成本!$D$7+AT20*产品成本!D29</f>
        <v>6.47887323943662</v>
      </c>
      <c r="AW20" s="163">
        <f>AQ20*产品成本!$E$5+AR20*产品成本!$E$6+AS20*产品成本!$E$7+AT20*产品成本!E29</f>
        <v>0.72</v>
      </c>
      <c r="AX20" s="163">
        <f>AQ20*产品成本!$F$5+AR20*产品成本!$F$6+AS20*产品成本!$F$7+AT20*产品成本!F29</f>
        <v>0.75</v>
      </c>
      <c r="AY20" s="163"/>
      <c r="AZ20" s="163">
        <f t="shared" si="18"/>
        <v>7.72317073170732</v>
      </c>
      <c r="BA20" s="163">
        <f t="shared" si="19"/>
        <v>-1.54463414634146</v>
      </c>
      <c r="BB20" s="164">
        <f t="shared" si="20"/>
        <v>14.1274098248025</v>
      </c>
      <c r="BC20" s="169">
        <f t="shared" si="21"/>
        <v>554.810167639986</v>
      </c>
      <c r="BD20" s="169">
        <f t="shared" si="22"/>
        <v>1142.52</v>
      </c>
      <c r="BE20" s="169">
        <f t="shared" si="23"/>
        <v>1091.03219512195</v>
      </c>
      <c r="BF20" s="168">
        <f t="shared" si="24"/>
        <v>338.492027481965</v>
      </c>
      <c r="BG20" s="213">
        <f t="shared" si="25"/>
        <v>0.310249348273476</v>
      </c>
    </row>
    <row r="21" ht="29.1" customHeight="1" spans="1:61">
      <c r="A21" s="61" t="s">
        <v>115</v>
      </c>
      <c r="B21" s="89" t="s">
        <v>116</v>
      </c>
      <c r="C21" s="90">
        <v>34</v>
      </c>
      <c r="D21" s="91">
        <v>33</v>
      </c>
      <c r="E21" s="64">
        <v>806.66</v>
      </c>
      <c r="F21" s="148"/>
      <c r="G21" s="148"/>
      <c r="H21" s="64"/>
      <c r="I21" s="64"/>
      <c r="J21" s="207">
        <v>0</v>
      </c>
      <c r="K21" s="215">
        <f t="shared" si="0"/>
        <v>0</v>
      </c>
      <c r="L21" s="209">
        <v>0</v>
      </c>
      <c r="M21" s="210">
        <f t="shared" si="1"/>
        <v>-0.291666666666667</v>
      </c>
      <c r="N21" s="208">
        <f t="shared" si="2"/>
        <v>-0.282608695652174</v>
      </c>
      <c r="O21" s="208">
        <f t="shared" si="3"/>
        <v>-0.293964219444736</v>
      </c>
      <c r="P21" s="153">
        <f t="shared" si="4"/>
        <v>1.03030303030303</v>
      </c>
      <c r="Q21" s="155">
        <f t="shared" si="5"/>
        <v>24.4442424242424</v>
      </c>
      <c r="R21" s="187">
        <f t="shared" si="6"/>
        <v>23.7252941176471</v>
      </c>
      <c r="S21" s="187">
        <f t="shared" si="26"/>
        <v>4.85714285714286</v>
      </c>
      <c r="T21" s="193">
        <f t="shared" si="8"/>
        <v>9</v>
      </c>
      <c r="U21" s="157">
        <f t="shared" si="9"/>
        <v>0.272727272727273</v>
      </c>
      <c r="V21" s="94">
        <f t="shared" si="10"/>
        <v>0.285956908734783</v>
      </c>
      <c r="W21" s="91">
        <v>32552</v>
      </c>
      <c r="X21" s="91">
        <v>215</v>
      </c>
      <c r="Y21" s="91">
        <v>24</v>
      </c>
      <c r="Z21" s="91">
        <v>230.67</v>
      </c>
      <c r="AA21" s="92">
        <v>584.85</v>
      </c>
      <c r="AB21" s="91">
        <v>1.07</v>
      </c>
      <c r="AC21" s="71">
        <f t="shared" si="11"/>
        <v>0.39440882277507</v>
      </c>
      <c r="AD21" s="72">
        <f t="shared" si="12"/>
        <v>0.00660481690833129</v>
      </c>
      <c r="AE21" s="72">
        <f t="shared" si="13"/>
        <v>0.111627906976744</v>
      </c>
      <c r="AF21" s="154">
        <f t="shared" si="14"/>
        <v>9.61125</v>
      </c>
      <c r="AG21" s="160">
        <v>9</v>
      </c>
      <c r="AH21" s="161">
        <v>18</v>
      </c>
      <c r="AI21" s="161">
        <v>7</v>
      </c>
      <c r="AJ21" s="164">
        <v>0</v>
      </c>
      <c r="AK21" s="163">
        <f>AG21*产品成本!$D$5+AH21*产品成本!$D$6+AI21*产品成本!$D$7+AJ21*产品成本!$D$8</f>
        <v>100.422535211268</v>
      </c>
      <c r="AL21" s="163">
        <f>AG21*产品成本!$E$5+AH21*产品成本!$E$6+AI21*产品成本!$E$7+AJ21*产品成本!$E$8</f>
        <v>10.99</v>
      </c>
      <c r="AM21" s="163">
        <f>AG21*产品成本!$F$5+AH21*产品成本!$F$6+AI21*产品成本!$F$7+AJ21*产品成本!$F$8</f>
        <v>12.68</v>
      </c>
      <c r="AN21" s="163">
        <f>AG21*产品成本!$G$5+AH21*产品成本!$G$6+AI21*产品成本!$G$7+AJ21*产品成本!$G$8</f>
        <v>154.5</v>
      </c>
      <c r="AO21" s="163">
        <f t="shared" si="15"/>
        <v>120.999</v>
      </c>
      <c r="AP21" s="164">
        <f t="shared" si="16"/>
        <v>399.591535211268</v>
      </c>
      <c r="AQ21" s="165">
        <v>0</v>
      </c>
      <c r="AR21" s="165">
        <v>0</v>
      </c>
      <c r="AS21" s="165">
        <v>0</v>
      </c>
      <c r="AT21" s="211">
        <v>0</v>
      </c>
      <c r="AU21" s="212">
        <f t="shared" si="17"/>
        <v>0</v>
      </c>
      <c r="AV21" s="163">
        <f>AQ21*产品成本!$D$5+AR21*产品成本!$D$6+AS21*产品成本!$D$7+AT21*产品成本!D30</f>
        <v>0</v>
      </c>
      <c r="AW21" s="163">
        <f>AQ21*产品成本!$E$5+AR21*产品成本!$E$6+AS21*产品成本!$E$7+AT21*产品成本!E30</f>
        <v>0</v>
      </c>
      <c r="AX21" s="163">
        <f>AQ21*产品成本!$F$5+AR21*产品成本!$F$6+AS21*产品成本!$F$7+AT21*产品成本!F30</f>
        <v>0</v>
      </c>
      <c r="AY21" s="163"/>
      <c r="AZ21" s="163">
        <f t="shared" si="18"/>
        <v>0</v>
      </c>
      <c r="BA21" s="163">
        <f t="shared" si="19"/>
        <v>0</v>
      </c>
      <c r="BB21" s="164">
        <f t="shared" si="20"/>
        <v>0</v>
      </c>
      <c r="BC21" s="169">
        <f t="shared" si="21"/>
        <v>399.591535211268</v>
      </c>
      <c r="BD21" s="169">
        <f t="shared" si="22"/>
        <v>806.66</v>
      </c>
      <c r="BE21" s="169">
        <f t="shared" si="23"/>
        <v>806.66</v>
      </c>
      <c r="BF21" s="168">
        <f t="shared" si="24"/>
        <v>176.398464788732</v>
      </c>
      <c r="BG21" s="213">
        <f t="shared" si="25"/>
        <v>0.21867759004876</v>
      </c>
    </row>
    <row r="22" ht="29.1" customHeight="1" spans="1:61">
      <c r="A22" s="61" t="s">
        <v>118</v>
      </c>
      <c r="B22" s="89" t="s">
        <v>119</v>
      </c>
      <c r="C22" s="90">
        <v>38</v>
      </c>
      <c r="D22" s="91">
        <v>36</v>
      </c>
      <c r="E22" s="64">
        <v>902.62</v>
      </c>
      <c r="F22" s="148"/>
      <c r="G22" s="148"/>
      <c r="H22" s="64"/>
      <c r="I22" s="64"/>
      <c r="J22" s="207">
        <v>1</v>
      </c>
      <c r="K22" s="215">
        <f t="shared" si="0"/>
        <v>0.0263157894736842</v>
      </c>
      <c r="L22" s="209">
        <v>21.11</v>
      </c>
      <c r="M22" s="210">
        <f t="shared" si="1"/>
        <v>0.117647058823529</v>
      </c>
      <c r="N22" s="208">
        <f t="shared" si="2"/>
        <v>0.0909090909090909</v>
      </c>
      <c r="O22" s="208">
        <f t="shared" si="3"/>
        <v>0.118959660823643</v>
      </c>
      <c r="P22" s="153">
        <f t="shared" si="4"/>
        <v>1.05555555555556</v>
      </c>
      <c r="Q22" s="155">
        <f t="shared" si="5"/>
        <v>25.0727777777778</v>
      </c>
      <c r="R22" s="187">
        <f t="shared" si="6"/>
        <v>23.7531578947368</v>
      </c>
      <c r="S22" s="187">
        <f t="shared" si="26"/>
        <v>5.42857142857143</v>
      </c>
      <c r="T22" s="193">
        <f t="shared" si="8"/>
        <v>17</v>
      </c>
      <c r="U22" s="157">
        <f t="shared" si="9"/>
        <v>0.472222222222222</v>
      </c>
      <c r="V22" s="94">
        <f t="shared" si="10"/>
        <v>0.203308147393144</v>
      </c>
      <c r="W22" s="91">
        <v>30728</v>
      </c>
      <c r="X22" s="91">
        <v>173</v>
      </c>
      <c r="Y22" s="91">
        <v>19</v>
      </c>
      <c r="Z22" s="91">
        <v>183.51</v>
      </c>
      <c r="AA22" s="92">
        <v>472.8</v>
      </c>
      <c r="AB22" s="91">
        <v>1.06</v>
      </c>
      <c r="AC22" s="71">
        <f t="shared" si="11"/>
        <v>0.388134517766497</v>
      </c>
      <c r="AD22" s="72">
        <f t="shared" si="12"/>
        <v>0.00563004425930747</v>
      </c>
      <c r="AE22" s="72">
        <f t="shared" si="13"/>
        <v>0.109826589595376</v>
      </c>
      <c r="AF22" s="154">
        <f t="shared" si="14"/>
        <v>9.65842105263158</v>
      </c>
      <c r="AG22" s="160">
        <v>9</v>
      </c>
      <c r="AH22" s="161">
        <v>18</v>
      </c>
      <c r="AI22" s="161">
        <v>11</v>
      </c>
      <c r="AJ22" s="164">
        <v>0</v>
      </c>
      <c r="AK22" s="163">
        <f>AG22*产品成本!$D$5+AH22*产品成本!$D$6+AI22*产品成本!$D$7+AJ22*产品成本!$D$8</f>
        <v>115.070422535211</v>
      </c>
      <c r="AL22" s="163">
        <f>AG22*产品成本!$E$5+AH22*产品成本!$E$6+AI22*产品成本!$E$7+AJ22*产品成本!$E$8</f>
        <v>12.59</v>
      </c>
      <c r="AM22" s="163">
        <f>AG22*产品成本!$F$5+AH22*产品成本!$F$6+AI22*产品成本!$F$7+AJ22*产品成本!$F$8</f>
        <v>14.32</v>
      </c>
      <c r="AN22" s="163">
        <f>AG22*产品成本!$G$5+AH22*产品成本!$G$6+AI22*产品成本!$G$7+AJ22*产品成本!$G$8</f>
        <v>175.62</v>
      </c>
      <c r="AO22" s="163">
        <f t="shared" si="15"/>
        <v>135.393</v>
      </c>
      <c r="AP22" s="164">
        <f t="shared" si="16"/>
        <v>452.993422535211</v>
      </c>
      <c r="AQ22" s="165">
        <v>0</v>
      </c>
      <c r="AR22" s="165">
        <v>0</v>
      </c>
      <c r="AS22" s="165">
        <v>1</v>
      </c>
      <c r="AT22" s="211">
        <v>0</v>
      </c>
      <c r="AU22" s="212">
        <f t="shared" si="17"/>
        <v>25.7439024390244</v>
      </c>
      <c r="AV22" s="163">
        <f>AQ22*产品成本!$D$5+AR22*产品成本!$D$6+AS22*产品成本!$D$7+AT22*产品成本!D31</f>
        <v>3.66197183098592</v>
      </c>
      <c r="AW22" s="163">
        <f>AQ22*产品成本!$E$5+AR22*产品成本!$E$6+AS22*产品成本!$E$7+AT22*产品成本!E31</f>
        <v>0.4</v>
      </c>
      <c r="AX22" s="163">
        <f>AQ22*产品成本!$F$5+AR22*产品成本!$F$6+AS22*产品成本!$F$7+AT22*产品成本!F31</f>
        <v>0.41</v>
      </c>
      <c r="AY22" s="163"/>
      <c r="AZ22" s="163">
        <f t="shared" si="18"/>
        <v>3.86158536585366</v>
      </c>
      <c r="BA22" s="163">
        <f t="shared" si="19"/>
        <v>-0.772317073170732</v>
      </c>
      <c r="BB22" s="164">
        <f t="shared" si="20"/>
        <v>7.56124012366885</v>
      </c>
      <c r="BC22" s="169">
        <f t="shared" si="21"/>
        <v>445.432182411542</v>
      </c>
      <c r="BD22" s="169">
        <f t="shared" si="22"/>
        <v>902.62</v>
      </c>
      <c r="BE22" s="169">
        <f t="shared" si="23"/>
        <v>876.876097560976</v>
      </c>
      <c r="BF22" s="168">
        <f t="shared" si="24"/>
        <v>247.933915149433</v>
      </c>
      <c r="BG22" s="213">
        <f t="shared" si="25"/>
        <v>0.282746805208922</v>
      </c>
    </row>
    <row r="23" ht="29.1" customHeight="1" spans="1:61">
      <c r="A23" s="61" t="s">
        <v>121</v>
      </c>
      <c r="B23" s="89" t="s">
        <v>122</v>
      </c>
      <c r="C23" s="90">
        <v>41</v>
      </c>
      <c r="D23" s="91">
        <v>40</v>
      </c>
      <c r="E23" s="64">
        <v>972.59</v>
      </c>
      <c r="F23" s="148"/>
      <c r="G23" s="148"/>
      <c r="H23" s="64"/>
      <c r="I23" s="64"/>
      <c r="J23" s="207">
        <v>0</v>
      </c>
      <c r="K23" s="215">
        <f t="shared" si="0"/>
        <v>0</v>
      </c>
      <c r="L23" s="209">
        <v>0</v>
      </c>
      <c r="M23" s="210">
        <f t="shared" si="1"/>
        <v>0.0789473684210526</v>
      </c>
      <c r="N23" s="208">
        <f t="shared" si="2"/>
        <v>0.111111111111111</v>
      </c>
      <c r="O23" s="208">
        <f t="shared" si="3"/>
        <v>0.0775187786665485</v>
      </c>
      <c r="P23" s="153">
        <f t="shared" si="4"/>
        <v>1.025</v>
      </c>
      <c r="Q23" s="155">
        <f t="shared" si="5"/>
        <v>24.31475</v>
      </c>
      <c r="R23" s="187">
        <f t="shared" si="6"/>
        <v>23.7217073170732</v>
      </c>
      <c r="S23" s="187">
        <f t="shared" si="26"/>
        <v>5.85714285714286</v>
      </c>
      <c r="T23" s="193">
        <f t="shared" si="8"/>
        <v>12</v>
      </c>
      <c r="U23" s="157">
        <f t="shared" si="9"/>
        <v>0.3</v>
      </c>
      <c r="V23" s="94">
        <f t="shared" si="10"/>
        <v>0.280385362794189</v>
      </c>
      <c r="W23" s="91">
        <v>35047</v>
      </c>
      <c r="X23" s="91">
        <v>253</v>
      </c>
      <c r="Y23" s="91">
        <v>28</v>
      </c>
      <c r="Z23" s="91">
        <v>272.7</v>
      </c>
      <c r="AA23" s="92">
        <v>653.71</v>
      </c>
      <c r="AB23" s="91">
        <v>1.11</v>
      </c>
      <c r="AC23" s="71">
        <f t="shared" si="11"/>
        <v>0.417157455140659</v>
      </c>
      <c r="AD23" s="72">
        <f t="shared" si="12"/>
        <v>0.00721887750734728</v>
      </c>
      <c r="AE23" s="72">
        <f t="shared" si="13"/>
        <v>0.110671936758893</v>
      </c>
      <c r="AF23" s="154">
        <f t="shared" si="14"/>
        <v>9.73928571428571</v>
      </c>
      <c r="AG23" s="160">
        <v>11</v>
      </c>
      <c r="AH23" s="161">
        <v>16</v>
      </c>
      <c r="AI23" s="161">
        <v>14</v>
      </c>
      <c r="AJ23" s="164">
        <v>0</v>
      </c>
      <c r="AK23" s="163">
        <f>AG23*产品成本!$D$5+AH23*产品成本!$D$6+AI23*产品成本!$D$7+AJ23*产品成本!$D$8</f>
        <v>125.774647887324</v>
      </c>
      <c r="AL23" s="163">
        <f>AG23*产品成本!$E$5+AH23*产品成本!$E$6+AI23*产品成本!$E$7+AJ23*产品成本!$E$8</f>
        <v>13.69</v>
      </c>
      <c r="AM23" s="163">
        <f>AG23*产品成本!$F$5+AH23*产品成本!$F$6+AI23*产品成本!$F$7+AJ23*产品成本!$F$8</f>
        <v>15.69</v>
      </c>
      <c r="AN23" s="163">
        <f>AG23*产品成本!$G$5+AH23*产品成本!$G$6+AI23*产品成本!$G$7+AJ23*产品成本!$G$8</f>
        <v>193.1</v>
      </c>
      <c r="AO23" s="163">
        <f t="shared" si="15"/>
        <v>145.8885</v>
      </c>
      <c r="AP23" s="164">
        <f t="shared" si="16"/>
        <v>494.143147887324</v>
      </c>
      <c r="AQ23" s="165">
        <v>0</v>
      </c>
      <c r="AR23" s="165">
        <v>0</v>
      </c>
      <c r="AS23" s="165">
        <v>0</v>
      </c>
      <c r="AT23" s="211">
        <v>0</v>
      </c>
      <c r="AU23" s="212">
        <f t="shared" si="17"/>
        <v>0</v>
      </c>
      <c r="AV23" s="163">
        <f>AQ23*产品成本!$D$5+AR23*产品成本!$D$6+AS23*产品成本!$D$7+AT23*产品成本!D32</f>
        <v>0</v>
      </c>
      <c r="AW23" s="163">
        <f>AQ23*产品成本!$E$5+AR23*产品成本!$E$6+AS23*产品成本!$E$7+AT23*产品成本!E32</f>
        <v>0</v>
      </c>
      <c r="AX23" s="163">
        <f>AQ23*产品成本!$F$5+AR23*产品成本!$F$6+AS23*产品成本!$F$7+AT23*产品成本!F32</f>
        <v>0</v>
      </c>
      <c r="AY23" s="163"/>
      <c r="AZ23" s="163">
        <f t="shared" si="18"/>
        <v>0</v>
      </c>
      <c r="BA23" s="163">
        <f t="shared" si="19"/>
        <v>0</v>
      </c>
      <c r="BB23" s="164">
        <f t="shared" si="20"/>
        <v>0</v>
      </c>
      <c r="BC23" s="169">
        <f t="shared" si="21"/>
        <v>494.143147887324</v>
      </c>
      <c r="BD23" s="169">
        <f t="shared" si="22"/>
        <v>972.59</v>
      </c>
      <c r="BE23" s="169">
        <f t="shared" si="23"/>
        <v>972.59</v>
      </c>
      <c r="BF23" s="168">
        <f t="shared" si="24"/>
        <v>205.746852112676</v>
      </c>
      <c r="BG23" s="213">
        <f t="shared" si="25"/>
        <v>0.211545309033278</v>
      </c>
      <c r="BI23" t="s">
        <v>286</v>
      </c>
    </row>
    <row r="24" ht="29.1" customHeight="1" spans="1:61">
      <c r="A24" s="61" t="s">
        <v>124</v>
      </c>
      <c r="B24" s="89" t="s">
        <v>125</v>
      </c>
      <c r="C24" s="90">
        <v>56</v>
      </c>
      <c r="D24" s="91">
        <v>53</v>
      </c>
      <c r="E24" s="64">
        <v>1151.05</v>
      </c>
      <c r="F24" s="148"/>
      <c r="G24" s="148"/>
      <c r="H24" s="64"/>
      <c r="I24" s="64"/>
      <c r="J24" s="207">
        <v>1</v>
      </c>
      <c r="K24" s="215">
        <f t="shared" si="0"/>
        <v>0.0178571428571429</v>
      </c>
      <c r="L24" s="209">
        <v>21.11</v>
      </c>
      <c r="M24" s="210">
        <f t="shared" si="1"/>
        <v>0.365853658536585</v>
      </c>
      <c r="N24" s="208">
        <f t="shared" si="2"/>
        <v>0.325</v>
      </c>
      <c r="O24" s="208">
        <f t="shared" si="3"/>
        <v>0.183489445706824</v>
      </c>
      <c r="P24" s="153">
        <f t="shared" si="4"/>
        <v>1.05660377358491</v>
      </c>
      <c r="Q24" s="155">
        <f t="shared" si="5"/>
        <v>21.7179245283019</v>
      </c>
      <c r="R24" s="187">
        <f t="shared" si="6"/>
        <v>20.5544642857143</v>
      </c>
      <c r="S24" s="187">
        <f t="shared" si="26"/>
        <v>8</v>
      </c>
      <c r="T24" s="193">
        <f t="shared" si="8"/>
        <v>21</v>
      </c>
      <c r="U24" s="157">
        <f t="shared" si="9"/>
        <v>0.39622641509434</v>
      </c>
      <c r="V24" s="94">
        <f t="shared" si="10"/>
        <v>0.257417140871378</v>
      </c>
      <c r="W24" s="91">
        <v>41621</v>
      </c>
      <c r="X24" s="91">
        <v>248</v>
      </c>
      <c r="Y24" s="91">
        <v>32</v>
      </c>
      <c r="Z24" s="91">
        <v>296.3</v>
      </c>
      <c r="AA24" s="92">
        <v>681.37</v>
      </c>
      <c r="AB24" s="91">
        <v>1.19</v>
      </c>
      <c r="AC24" s="71">
        <f t="shared" si="11"/>
        <v>0.434859180768158</v>
      </c>
      <c r="AD24" s="72">
        <f t="shared" si="12"/>
        <v>0.00595853054948223</v>
      </c>
      <c r="AE24" s="72">
        <f t="shared" si="13"/>
        <v>0.129032258064516</v>
      </c>
      <c r="AF24" s="154">
        <f t="shared" si="14"/>
        <v>9.259375</v>
      </c>
      <c r="AG24" s="160">
        <v>15</v>
      </c>
      <c r="AH24" s="161">
        <v>22</v>
      </c>
      <c r="AI24" s="161">
        <v>19</v>
      </c>
      <c r="AJ24" s="164">
        <v>0</v>
      </c>
      <c r="AK24" s="163">
        <f>AG24*产品成本!$D$5+AH24*产品成本!$D$6+AI24*产品成本!$D$7+AJ24*产品成本!$D$8</f>
        <v>171.69014084507</v>
      </c>
      <c r="AL24" s="163">
        <f>AG24*产品成本!$E$5+AH24*产品成本!$E$6+AI24*产品成本!$E$7+AJ24*产品成本!$E$8</f>
        <v>18.69</v>
      </c>
      <c r="AM24" s="163">
        <f>AG24*产品成本!$F$5+AH24*产品成本!$F$6+AI24*产品成本!$F$7+AJ24*产品成本!$F$8</f>
        <v>21.42</v>
      </c>
      <c r="AN24" s="163">
        <f>AG24*产品成本!$G$5+AH24*产品成本!$G$6+AI24*产品成本!$G$7+AJ24*产品成本!$G$8</f>
        <v>263.58</v>
      </c>
      <c r="AO24" s="163">
        <f t="shared" si="15"/>
        <v>172.6575</v>
      </c>
      <c r="AP24" s="164">
        <f t="shared" si="16"/>
        <v>648.03764084507</v>
      </c>
      <c r="AQ24" s="165">
        <v>0</v>
      </c>
      <c r="AR24" s="165">
        <v>0</v>
      </c>
      <c r="AS24" s="165">
        <v>1</v>
      </c>
      <c r="AT24" s="211">
        <v>0</v>
      </c>
      <c r="AU24" s="212">
        <f t="shared" si="17"/>
        <v>25.7439024390244</v>
      </c>
      <c r="AV24" s="163">
        <f>AQ24*产品成本!$D$5+AR24*产品成本!$D$6+AS24*产品成本!$D$7+AT24*产品成本!D33</f>
        <v>3.66197183098592</v>
      </c>
      <c r="AW24" s="163">
        <f>AQ24*产品成本!$E$5+AR24*产品成本!$E$6+AS24*产品成本!$E$7+AT24*产品成本!E33</f>
        <v>0.4</v>
      </c>
      <c r="AX24" s="163">
        <f>AQ24*产品成本!$F$5+AR24*产品成本!$F$6+AS24*产品成本!$F$7+AT24*产品成本!F33</f>
        <v>0.41</v>
      </c>
      <c r="AY24" s="163"/>
      <c r="AZ24" s="163">
        <f t="shared" si="18"/>
        <v>3.86158536585366</v>
      </c>
      <c r="BA24" s="163">
        <f t="shared" si="19"/>
        <v>-0.772317073170732</v>
      </c>
      <c r="BB24" s="164">
        <f t="shared" si="20"/>
        <v>7.56124012366885</v>
      </c>
      <c r="BC24" s="169">
        <f t="shared" si="21"/>
        <v>640.476400721402</v>
      </c>
      <c r="BD24" s="169">
        <f t="shared" si="22"/>
        <v>1151.05</v>
      </c>
      <c r="BE24" s="169">
        <f t="shared" si="23"/>
        <v>1125.30609756098</v>
      </c>
      <c r="BF24" s="168">
        <f t="shared" si="24"/>
        <v>188.529696839574</v>
      </c>
      <c r="BG24" s="213">
        <f t="shared" si="25"/>
        <v>0.167536368325204</v>
      </c>
      <c r="BI24" t="s">
        <v>287</v>
      </c>
    </row>
    <row r="25" ht="29.1" customHeight="1" spans="1:61">
      <c r="A25" s="61" t="s">
        <v>128</v>
      </c>
      <c r="B25" s="89" t="s">
        <v>129</v>
      </c>
      <c r="C25" s="90">
        <v>30</v>
      </c>
      <c r="D25" s="91">
        <v>29</v>
      </c>
      <c r="E25" s="64">
        <v>686.7</v>
      </c>
      <c r="F25" s="148"/>
      <c r="G25" s="148"/>
      <c r="H25" s="64"/>
      <c r="I25" s="64"/>
      <c r="J25" s="207">
        <v>1</v>
      </c>
      <c r="K25" s="215">
        <f t="shared" si="0"/>
        <v>0.0333333333333333</v>
      </c>
      <c r="L25" s="209">
        <v>21.11</v>
      </c>
      <c r="M25" s="210">
        <f t="shared" si="1"/>
        <v>-0.464285714285714</v>
      </c>
      <c r="N25" s="208">
        <f t="shared" si="2"/>
        <v>-0.452830188679245</v>
      </c>
      <c r="O25" s="208">
        <f t="shared" si="3"/>
        <v>-0.403414273923809</v>
      </c>
      <c r="P25" s="153">
        <f t="shared" si="4"/>
        <v>1.03448275862069</v>
      </c>
      <c r="Q25" s="155">
        <f t="shared" si="5"/>
        <v>23.6793103448276</v>
      </c>
      <c r="R25" s="187">
        <f t="shared" si="6"/>
        <v>22.89</v>
      </c>
      <c r="S25" s="187">
        <f t="shared" si="26"/>
        <v>4.28571428571429</v>
      </c>
      <c r="T25" s="193">
        <f t="shared" si="8"/>
        <v>14</v>
      </c>
      <c r="U25" s="157">
        <f t="shared" si="9"/>
        <v>0.482758620689655</v>
      </c>
      <c r="V25" s="94">
        <f t="shared" si="10"/>
        <v>0.265880297072958</v>
      </c>
      <c r="W25" s="91">
        <v>18306</v>
      </c>
      <c r="X25" s="91">
        <v>158</v>
      </c>
      <c r="Y25" s="91">
        <v>15</v>
      </c>
      <c r="Z25" s="91">
        <v>182.58</v>
      </c>
      <c r="AA25" s="92">
        <v>347.8</v>
      </c>
      <c r="AB25" s="91">
        <v>1.16</v>
      </c>
      <c r="AC25" s="71">
        <f t="shared" si="11"/>
        <v>0.524956871765382</v>
      </c>
      <c r="AD25" s="72">
        <f t="shared" si="12"/>
        <v>0.00863104992898503</v>
      </c>
      <c r="AE25" s="72">
        <f t="shared" si="13"/>
        <v>0.0949367088607595</v>
      </c>
      <c r="AF25" s="154">
        <f t="shared" si="14"/>
        <v>12.172</v>
      </c>
      <c r="AG25" s="160">
        <v>12</v>
      </c>
      <c r="AH25" s="161">
        <v>13</v>
      </c>
      <c r="AI25" s="161">
        <v>5</v>
      </c>
      <c r="AJ25" s="164">
        <v>0</v>
      </c>
      <c r="AK25" s="163">
        <f>AG25*产品成本!$D$5+AH25*产品成本!$D$6+AI25*产品成本!$D$7+AJ25*产品成本!$D$8</f>
        <v>87.0422535211267</v>
      </c>
      <c r="AL25" s="163">
        <f>AG25*产品成本!$E$5+AH25*产品成本!$E$6+AI25*产品成本!$E$7+AJ25*产品成本!$E$8</f>
        <v>9.4</v>
      </c>
      <c r="AM25" s="163">
        <f>AG25*产品成本!$F$5+AH25*产品成本!$F$6+AI25*产品成本!$F$7+AJ25*产品成本!$F$8</f>
        <v>11.39</v>
      </c>
      <c r="AN25" s="163">
        <f>AG25*产品成本!$G$5+AH25*产品成本!$G$6+AI25*产品成本!$G$7+AJ25*产品成本!$G$8</f>
        <v>138.24</v>
      </c>
      <c r="AO25" s="163">
        <f t="shared" si="15"/>
        <v>103.005</v>
      </c>
      <c r="AP25" s="164">
        <f t="shared" si="16"/>
        <v>349.077253521127</v>
      </c>
      <c r="AQ25" s="165">
        <v>0</v>
      </c>
      <c r="AR25" s="165">
        <v>1</v>
      </c>
      <c r="AS25" s="165">
        <v>0</v>
      </c>
      <c r="AT25" s="211">
        <v>0</v>
      </c>
      <c r="AU25" s="212">
        <f t="shared" si="17"/>
        <v>25.7439024390244</v>
      </c>
      <c r="AV25" s="163">
        <f>AQ25*产品成本!$D$5+AR25*产品成本!$D$6+AS25*产品成本!$D$7+AT25*产品成本!D34</f>
        <v>2.8169014084507</v>
      </c>
      <c r="AW25" s="163">
        <f>AQ25*产品成本!$E$5+AR25*产品成本!$E$6+AS25*产品成本!$E$7+AT25*产品成本!E34</f>
        <v>0.32</v>
      </c>
      <c r="AX25" s="163">
        <f>AQ25*产品成本!$F$5+AR25*产品成本!$F$6+AS25*产品成本!$F$7+AT25*产品成本!F34</f>
        <v>0.34</v>
      </c>
      <c r="AY25" s="163"/>
      <c r="AZ25" s="163">
        <f t="shared" si="18"/>
        <v>3.86158536585366</v>
      </c>
      <c r="BA25" s="163">
        <f t="shared" si="19"/>
        <v>-0.772317073170732</v>
      </c>
      <c r="BB25" s="164">
        <f t="shared" si="20"/>
        <v>6.56616970113363</v>
      </c>
      <c r="BC25" s="169">
        <f t="shared" si="21"/>
        <v>342.511083819993</v>
      </c>
      <c r="BD25" s="169">
        <f t="shared" si="22"/>
        <v>686.7</v>
      </c>
      <c r="BE25" s="169">
        <f t="shared" si="23"/>
        <v>660.956097560976</v>
      </c>
      <c r="BF25" s="168">
        <f t="shared" si="24"/>
        <v>135.865013740983</v>
      </c>
      <c r="BG25" s="213">
        <f t="shared" si="25"/>
        <v>0.205558302952865</v>
      </c>
    </row>
    <row r="26" ht="29.1" customHeight="1" spans="1:61">
      <c r="A26" s="61" t="s">
        <v>130</v>
      </c>
      <c r="B26" s="89" t="s">
        <v>131</v>
      </c>
      <c r="C26" s="90">
        <v>40</v>
      </c>
      <c r="D26" s="91">
        <v>38</v>
      </c>
      <c r="E26" s="64">
        <v>956.6</v>
      </c>
      <c r="F26" s="148"/>
      <c r="G26" s="148"/>
      <c r="H26" s="64"/>
      <c r="I26" s="64"/>
      <c r="J26" s="207">
        <v>1</v>
      </c>
      <c r="K26" s="215">
        <f t="shared" si="0"/>
        <v>0.025</v>
      </c>
      <c r="L26" s="209">
        <v>17.1</v>
      </c>
      <c r="M26" s="210">
        <f t="shared" si="1"/>
        <v>0.333333333333333</v>
      </c>
      <c r="N26" s="208">
        <f t="shared" si="2"/>
        <v>0.310344827586207</v>
      </c>
      <c r="O26" s="208">
        <f t="shared" si="3"/>
        <v>0.393039172855687</v>
      </c>
      <c r="P26" s="153">
        <f t="shared" si="4"/>
        <v>1.05263157894737</v>
      </c>
      <c r="Q26" s="155">
        <f t="shared" si="5"/>
        <v>25.1736842105263</v>
      </c>
      <c r="R26" s="187">
        <f t="shared" si="6"/>
        <v>23.915</v>
      </c>
      <c r="S26" s="187">
        <f t="shared" si="26"/>
        <v>5.71428571428571</v>
      </c>
      <c r="T26" s="193">
        <f t="shared" si="8"/>
        <v>13</v>
      </c>
      <c r="U26" s="157">
        <f t="shared" si="9"/>
        <v>0.342105263157895</v>
      </c>
      <c r="V26" s="94">
        <f t="shared" si="10"/>
        <v>0.177670917833995</v>
      </c>
      <c r="W26" s="91">
        <v>18638</v>
      </c>
      <c r="X26" s="91">
        <v>148</v>
      </c>
      <c r="Y26" s="91">
        <v>25</v>
      </c>
      <c r="Z26" s="91">
        <v>169.96</v>
      </c>
      <c r="AA26" s="92">
        <v>622.64</v>
      </c>
      <c r="AB26" s="91">
        <v>1.11</v>
      </c>
      <c r="AC26" s="71">
        <f t="shared" si="11"/>
        <v>0.272966722343569</v>
      </c>
      <c r="AD26" s="72">
        <f t="shared" si="12"/>
        <v>0.00794076617662839</v>
      </c>
      <c r="AE26" s="72">
        <f t="shared" si="13"/>
        <v>0.168918918918919</v>
      </c>
      <c r="AF26" s="154">
        <f t="shared" si="14"/>
        <v>6.7984</v>
      </c>
      <c r="AG26" s="160">
        <v>3</v>
      </c>
      <c r="AH26" s="161">
        <v>26</v>
      </c>
      <c r="AI26" s="161">
        <v>11</v>
      </c>
      <c r="AJ26" s="164">
        <v>0</v>
      </c>
      <c r="AK26" s="163">
        <f>AG26*产品成本!$D$5+AH26*产品成本!$D$6+AI26*产品成本!$D$7+AJ26*产品成本!$D$8</f>
        <v>121.549295774648</v>
      </c>
      <c r="AL26" s="163">
        <f>AG26*产品成本!$E$5+AH26*产品成本!$E$6+AI26*产品成本!$E$7+AJ26*产品成本!$E$8</f>
        <v>13.53</v>
      </c>
      <c r="AM26" s="163">
        <f>AG26*产品成本!$F$5+AH26*产品成本!$F$6+AI26*产品成本!$F$7+AJ26*产品成本!$F$8</f>
        <v>14.58</v>
      </c>
      <c r="AN26" s="163">
        <f>AG26*产品成本!$G$5+AH26*产品成本!$G$6+AI26*产品成本!$G$7+AJ26*产品成本!$G$8</f>
        <v>178.86</v>
      </c>
      <c r="AO26" s="163">
        <f t="shared" si="15"/>
        <v>143.49</v>
      </c>
      <c r="AP26" s="164">
        <f t="shared" si="16"/>
        <v>472.009295774648</v>
      </c>
      <c r="AQ26" s="165">
        <v>0</v>
      </c>
      <c r="AR26" s="165">
        <v>0</v>
      </c>
      <c r="AS26" s="165">
        <v>1</v>
      </c>
      <c r="AT26" s="211">
        <v>0</v>
      </c>
      <c r="AU26" s="212">
        <f t="shared" si="17"/>
        <v>20.8536585365854</v>
      </c>
      <c r="AV26" s="163">
        <f>AQ26*产品成本!$D$5+AR26*产品成本!$D$6+AS26*产品成本!$D$7+AT26*产品成本!D35</f>
        <v>3.66197183098592</v>
      </c>
      <c r="AW26" s="163">
        <f>AQ26*产品成本!$E$5+AR26*产品成本!$E$6+AS26*产品成本!$E$7+AT26*产品成本!E35</f>
        <v>0.4</v>
      </c>
      <c r="AX26" s="163">
        <f>AQ26*产品成本!$F$5+AR26*产品成本!$F$6+AS26*产品成本!$F$7+AT26*产品成本!F35</f>
        <v>0.41</v>
      </c>
      <c r="AY26" s="163"/>
      <c r="AZ26" s="163">
        <f t="shared" si="18"/>
        <v>3.12804878048781</v>
      </c>
      <c r="BA26" s="163">
        <f t="shared" si="19"/>
        <v>-0.625609756097561</v>
      </c>
      <c r="BB26" s="164">
        <f t="shared" si="20"/>
        <v>6.97441085537616</v>
      </c>
      <c r="BC26" s="169">
        <f t="shared" si="21"/>
        <v>465.034884919272</v>
      </c>
      <c r="BD26" s="169">
        <f t="shared" si="22"/>
        <v>956.6</v>
      </c>
      <c r="BE26" s="169">
        <f t="shared" si="23"/>
        <v>935.746341463415</v>
      </c>
      <c r="BF26" s="168">
        <f t="shared" si="24"/>
        <v>300.751456544143</v>
      </c>
      <c r="BG26" s="213">
        <f t="shared" si="25"/>
        <v>0.321402759719902</v>
      </c>
    </row>
    <row r="27" ht="29.1" customHeight="1" spans="1:61">
      <c r="A27" s="61" t="s">
        <v>133</v>
      </c>
      <c r="B27" s="89" t="s">
        <v>134</v>
      </c>
      <c r="C27" s="90">
        <v>22</v>
      </c>
      <c r="D27" s="91">
        <v>22</v>
      </c>
      <c r="E27" s="64">
        <v>524.78</v>
      </c>
      <c r="F27" s="148"/>
      <c r="G27" s="148"/>
      <c r="H27" s="64"/>
      <c r="I27" s="64"/>
      <c r="J27" s="207">
        <v>1</v>
      </c>
      <c r="K27" s="215">
        <f t="shared" si="0"/>
        <v>0.0454545454545455</v>
      </c>
      <c r="L27" s="209">
        <v>21.11</v>
      </c>
      <c r="M27" s="210">
        <f t="shared" si="1"/>
        <v>-0.45</v>
      </c>
      <c r="N27" s="208">
        <f t="shared" si="2"/>
        <v>-0.421052631578947</v>
      </c>
      <c r="O27" s="208">
        <f t="shared" si="3"/>
        <v>-0.451411248170604</v>
      </c>
      <c r="P27" s="153">
        <f t="shared" si="4"/>
        <v>1</v>
      </c>
      <c r="Q27" s="155">
        <f t="shared" si="5"/>
        <v>23.8536363636364</v>
      </c>
      <c r="R27" s="187">
        <f t="shared" si="6"/>
        <v>23.8536363636364</v>
      </c>
      <c r="S27" s="187">
        <f t="shared" si="26"/>
        <v>3.14285714285714</v>
      </c>
      <c r="T27" s="193">
        <f t="shared" si="8"/>
        <v>7</v>
      </c>
      <c r="U27" s="157">
        <f t="shared" si="9"/>
        <v>0.318181818181818</v>
      </c>
      <c r="V27" s="94">
        <f t="shared" si="10"/>
        <v>0.312740577003697</v>
      </c>
      <c r="W27" s="91">
        <v>29556</v>
      </c>
      <c r="X27" s="91">
        <v>160</v>
      </c>
      <c r="Y27" s="91">
        <v>15</v>
      </c>
      <c r="Z27" s="91">
        <v>164.12</v>
      </c>
      <c r="AA27" s="92">
        <v>356.85</v>
      </c>
      <c r="AB27" s="91">
        <v>1.03</v>
      </c>
      <c r="AC27" s="71">
        <f t="shared" si="11"/>
        <v>0.459913128765588</v>
      </c>
      <c r="AD27" s="72">
        <f t="shared" si="12"/>
        <v>0.00541345242928678</v>
      </c>
      <c r="AE27" s="72">
        <f t="shared" si="13"/>
        <v>0.09375</v>
      </c>
      <c r="AF27" s="154">
        <f t="shared" si="14"/>
        <v>10.9413333333333</v>
      </c>
      <c r="AG27" s="160">
        <v>3</v>
      </c>
      <c r="AH27" s="161">
        <v>15</v>
      </c>
      <c r="AI27" s="161">
        <v>4</v>
      </c>
      <c r="AJ27" s="164">
        <v>0</v>
      </c>
      <c r="AK27" s="163">
        <f>AG27*产品成本!$D$5+AH27*产品成本!$D$6+AI27*产品成本!$D$7+AJ27*产品成本!$D$8</f>
        <v>64.9295774647887</v>
      </c>
      <c r="AL27" s="163">
        <f>AG27*产品成本!$E$5+AH27*产品成本!$E$6+AI27*产品成本!$E$7+AJ27*产品成本!$E$8</f>
        <v>7.21</v>
      </c>
      <c r="AM27" s="163">
        <f>AG27*产品成本!$F$5+AH27*产品成本!$F$6+AI27*产品成本!$F$7+AJ27*产品成本!$F$8</f>
        <v>7.97</v>
      </c>
      <c r="AN27" s="163">
        <f>AG27*产品成本!$G$5+AH27*产品成本!$G$6+AI27*产品成本!$G$7+AJ27*产品成本!$G$8</f>
        <v>97.02</v>
      </c>
      <c r="AO27" s="163">
        <f t="shared" si="15"/>
        <v>78.717</v>
      </c>
      <c r="AP27" s="164">
        <f t="shared" si="16"/>
        <v>255.846577464789</v>
      </c>
      <c r="AQ27" s="165">
        <v>0</v>
      </c>
      <c r="AR27" s="165">
        <v>1</v>
      </c>
      <c r="AS27" s="165">
        <v>0</v>
      </c>
      <c r="AT27" s="211">
        <v>0</v>
      </c>
      <c r="AU27" s="212">
        <f t="shared" si="17"/>
        <v>25.7439024390244</v>
      </c>
      <c r="AV27" s="163">
        <f>AQ27*产品成本!$D$5+AR27*产品成本!$D$6+AS27*产品成本!$D$7+AT27*产品成本!D36</f>
        <v>2.8169014084507</v>
      </c>
      <c r="AW27" s="163">
        <f>AQ27*产品成本!$E$5+AR27*产品成本!$E$6+AS27*产品成本!$E$7+AT27*产品成本!E36</f>
        <v>0.32</v>
      </c>
      <c r="AX27" s="163">
        <f>AQ27*产品成本!$F$5+AR27*产品成本!$F$6+AS27*产品成本!$F$7+AT27*产品成本!F36</f>
        <v>0.34</v>
      </c>
      <c r="AY27" s="163"/>
      <c r="AZ27" s="163">
        <f t="shared" si="18"/>
        <v>3.86158536585366</v>
      </c>
      <c r="BA27" s="163">
        <f t="shared" si="19"/>
        <v>-0.772317073170732</v>
      </c>
      <c r="BB27" s="164">
        <f t="shared" si="20"/>
        <v>6.56616970113363</v>
      </c>
      <c r="BC27" s="169">
        <f t="shared" si="21"/>
        <v>249.280407763655</v>
      </c>
      <c r="BD27" s="169">
        <f t="shared" si="22"/>
        <v>524.78</v>
      </c>
      <c r="BE27" s="169">
        <f t="shared" si="23"/>
        <v>499.036097560976</v>
      </c>
      <c r="BF27" s="168">
        <f t="shared" si="24"/>
        <v>85.6356897973205</v>
      </c>
      <c r="BG27" s="213">
        <f t="shared" si="25"/>
        <v>0.171602195143523</v>
      </c>
    </row>
    <row r="28" ht="29.1" customHeight="1" spans="1:61">
      <c r="A28" s="61" t="s">
        <v>136</v>
      </c>
      <c r="B28" s="89" t="s">
        <v>137</v>
      </c>
      <c r="C28" s="90">
        <v>22</v>
      </c>
      <c r="D28" s="91">
        <v>22</v>
      </c>
      <c r="E28" s="64">
        <v>522.78</v>
      </c>
      <c r="F28" s="148"/>
      <c r="G28" s="148"/>
      <c r="H28" s="64"/>
      <c r="I28" s="64"/>
      <c r="J28" s="207">
        <v>1</v>
      </c>
      <c r="K28" s="215">
        <f t="shared" si="0"/>
        <v>0.0454545454545455</v>
      </c>
      <c r="L28" s="209">
        <v>20.23</v>
      </c>
      <c r="M28" s="210">
        <f t="shared" si="1"/>
        <v>0</v>
      </c>
      <c r="N28" s="208">
        <f t="shared" si="2"/>
        <v>0</v>
      </c>
      <c r="O28" s="208">
        <f t="shared" si="3"/>
        <v>-0.00381112085064217</v>
      </c>
      <c r="P28" s="153">
        <f t="shared" si="4"/>
        <v>1</v>
      </c>
      <c r="Q28" s="155">
        <f t="shared" si="5"/>
        <v>23.7627272727273</v>
      </c>
      <c r="R28" s="187">
        <f t="shared" si="6"/>
        <v>23.7627272727273</v>
      </c>
      <c r="S28" s="187">
        <f t="shared" si="26"/>
        <v>3.14285714285714</v>
      </c>
      <c r="T28" s="193">
        <f t="shared" si="8"/>
        <v>9</v>
      </c>
      <c r="U28" s="157">
        <f t="shared" si="9"/>
        <v>0.409090909090909</v>
      </c>
      <c r="V28" s="94">
        <f t="shared" si="10"/>
        <v>0.446401928153334</v>
      </c>
      <c r="W28" s="91">
        <v>36296</v>
      </c>
      <c r="X28" s="91">
        <v>220</v>
      </c>
      <c r="Y28" s="91">
        <v>13</v>
      </c>
      <c r="Z28" s="91">
        <v>233.37</v>
      </c>
      <c r="AA28" s="92">
        <v>307.87</v>
      </c>
      <c r="AB28" s="91">
        <v>1.06</v>
      </c>
      <c r="AC28" s="71">
        <f t="shared" si="11"/>
        <v>0.758014746483906</v>
      </c>
      <c r="AD28" s="72">
        <f t="shared" si="12"/>
        <v>0.00606127396958343</v>
      </c>
      <c r="AE28" s="72">
        <f t="shared" si="13"/>
        <v>0.0590909090909091</v>
      </c>
      <c r="AF28" s="154">
        <f t="shared" si="14"/>
        <v>17.9515384615385</v>
      </c>
      <c r="AG28" s="160">
        <v>5</v>
      </c>
      <c r="AH28" s="161">
        <v>8</v>
      </c>
      <c r="AI28" s="161">
        <v>9</v>
      </c>
      <c r="AJ28" s="164">
        <v>0</v>
      </c>
      <c r="AK28" s="163">
        <f>AG28*产品成本!$D$5+AH28*产品成本!$D$6+AI28*产品成本!$D$7+AJ28*产品成本!$D$8</f>
        <v>68.8732394366197</v>
      </c>
      <c r="AL28" s="163">
        <f>AG28*产品成本!$E$5+AH28*产品成本!$E$6+AI28*产品成本!$E$7+AJ28*产品成本!$E$8</f>
        <v>7.51</v>
      </c>
      <c r="AM28" s="163">
        <f>AG28*产品成本!$F$5+AH28*产品成本!$F$6+AI28*产品成本!$F$7+AJ28*产品成本!$F$8</f>
        <v>8.46</v>
      </c>
      <c r="AN28" s="163">
        <f>AG28*产品成本!$G$5+AH28*产品成本!$G$6+AI28*产品成本!$G$7+AJ28*产品成本!$G$8</f>
        <v>104.66</v>
      </c>
      <c r="AO28" s="163">
        <f t="shared" si="15"/>
        <v>78.417</v>
      </c>
      <c r="AP28" s="164">
        <f t="shared" si="16"/>
        <v>267.92023943662</v>
      </c>
      <c r="AQ28" s="165">
        <v>0</v>
      </c>
      <c r="AR28" s="165">
        <v>1</v>
      </c>
      <c r="AS28" s="165">
        <v>0</v>
      </c>
      <c r="AT28" s="211">
        <v>0</v>
      </c>
      <c r="AU28" s="212">
        <f t="shared" si="17"/>
        <v>24.6707317073171</v>
      </c>
      <c r="AV28" s="163">
        <f>AQ28*产品成本!$D$5+AR28*产品成本!$D$6+AS28*产品成本!$D$7+AT28*产品成本!D37</f>
        <v>2.8169014084507</v>
      </c>
      <c r="AW28" s="163">
        <f>AQ28*产品成本!$E$5+AR28*产品成本!$E$6+AS28*产品成本!$E$7+AT28*产品成本!E37</f>
        <v>0.32</v>
      </c>
      <c r="AX28" s="163">
        <f>AQ28*产品成本!$F$5+AR28*产品成本!$F$6+AS28*产品成本!$F$7+AT28*产品成本!F37</f>
        <v>0.34</v>
      </c>
      <c r="AY28" s="163"/>
      <c r="AZ28" s="163">
        <f t="shared" si="18"/>
        <v>3.70060975609756</v>
      </c>
      <c r="BA28" s="163">
        <f t="shared" si="19"/>
        <v>-0.740121951219512</v>
      </c>
      <c r="BB28" s="164">
        <f t="shared" si="20"/>
        <v>6.43738921332875</v>
      </c>
      <c r="BC28" s="169">
        <f t="shared" si="21"/>
        <v>261.482850223291</v>
      </c>
      <c r="BD28" s="169">
        <f t="shared" si="22"/>
        <v>522.78</v>
      </c>
      <c r="BE28" s="169">
        <f t="shared" si="23"/>
        <v>498.109268292683</v>
      </c>
      <c r="BF28" s="168">
        <f t="shared" si="24"/>
        <v>3.25641806939188</v>
      </c>
      <c r="BG28" s="213">
        <f t="shared" si="25"/>
        <v>0.00653755767394887</v>
      </c>
      <c r="BI28" t="s">
        <v>288</v>
      </c>
    </row>
    <row r="29" ht="29.1" customHeight="1" spans="1:61">
      <c r="A29" s="61" t="s">
        <v>139</v>
      </c>
      <c r="B29" s="89" t="s">
        <v>140</v>
      </c>
      <c r="C29" s="90">
        <v>50</v>
      </c>
      <c r="D29" s="91">
        <v>49</v>
      </c>
      <c r="E29" s="64">
        <v>1190.5</v>
      </c>
      <c r="F29" s="148"/>
      <c r="G29" s="148"/>
      <c r="H29" s="64"/>
      <c r="I29" s="64"/>
      <c r="J29" s="207">
        <v>0</v>
      </c>
      <c r="K29" s="215">
        <f t="shared" si="0"/>
        <v>0</v>
      </c>
      <c r="L29" s="209">
        <v>0</v>
      </c>
      <c r="M29" s="210">
        <f t="shared" si="1"/>
        <v>1.27272727272727</v>
      </c>
      <c r="N29" s="208">
        <f t="shared" si="2"/>
        <v>1.22727272727273</v>
      </c>
      <c r="O29" s="208">
        <f t="shared" si="3"/>
        <v>1.27724855579785</v>
      </c>
      <c r="P29" s="153">
        <f t="shared" si="4"/>
        <v>1.02040816326531</v>
      </c>
      <c r="Q29" s="155">
        <f t="shared" si="5"/>
        <v>24.2959183673469</v>
      </c>
      <c r="R29" s="187">
        <f t="shared" si="6"/>
        <v>23.81</v>
      </c>
      <c r="S29" s="187">
        <f t="shared" si="26"/>
        <v>7.14285714285714</v>
      </c>
      <c r="T29" s="193">
        <f t="shared" si="8"/>
        <v>14</v>
      </c>
      <c r="U29" s="157">
        <f t="shared" si="9"/>
        <v>0.285714285714286</v>
      </c>
      <c r="V29" s="94">
        <f t="shared" si="10"/>
        <v>0.168719025619488</v>
      </c>
      <c r="W29" s="91">
        <v>30152</v>
      </c>
      <c r="X29" s="91">
        <v>181</v>
      </c>
      <c r="Y29" s="91">
        <v>35</v>
      </c>
      <c r="Z29" s="91">
        <v>200.86</v>
      </c>
      <c r="AA29" s="92">
        <v>831.65</v>
      </c>
      <c r="AB29" s="91">
        <v>1.11</v>
      </c>
      <c r="AC29" s="71">
        <f t="shared" si="11"/>
        <v>0.241519870137678</v>
      </c>
      <c r="AD29" s="72">
        <f t="shared" si="12"/>
        <v>0.00600291854603343</v>
      </c>
      <c r="AE29" s="72">
        <f t="shared" si="13"/>
        <v>0.193370165745856</v>
      </c>
      <c r="AF29" s="154">
        <f t="shared" si="14"/>
        <v>5.73885714285714</v>
      </c>
      <c r="AG29" s="160">
        <v>9</v>
      </c>
      <c r="AH29" s="161">
        <v>30</v>
      </c>
      <c r="AI29" s="161">
        <v>11</v>
      </c>
      <c r="AJ29" s="164">
        <v>0</v>
      </c>
      <c r="AK29" s="163">
        <f>AG29*产品成本!$D$5+AH29*产品成本!$D$6+AI29*产品成本!$D$7+AJ29*产品成本!$D$8</f>
        <v>148.87323943662</v>
      </c>
      <c r="AL29" s="163">
        <f>AG29*产品成本!$E$5+AH29*产品成本!$E$6+AI29*产品成本!$E$7+AJ29*产品成本!$E$8</f>
        <v>16.43</v>
      </c>
      <c r="AM29" s="163">
        <f>AG29*产品成本!$F$5+AH29*产品成本!$F$6+AI29*产品成本!$F$7+AJ29*产品成本!$F$8</f>
        <v>18.4</v>
      </c>
      <c r="AN29" s="163">
        <f>AG29*产品成本!$G$5+AH29*产品成本!$G$6+AI29*产品成本!$G$7+AJ29*产品成本!$G$8</f>
        <v>224.58</v>
      </c>
      <c r="AO29" s="163">
        <f t="shared" si="15"/>
        <v>178.575</v>
      </c>
      <c r="AP29" s="164">
        <f t="shared" si="16"/>
        <v>586.85823943662</v>
      </c>
      <c r="AQ29" s="165">
        <v>0</v>
      </c>
      <c r="AR29" s="165">
        <v>0</v>
      </c>
      <c r="AS29" s="165">
        <v>0</v>
      </c>
      <c r="AT29" s="211">
        <v>0</v>
      </c>
      <c r="AU29" s="212">
        <f t="shared" si="17"/>
        <v>0</v>
      </c>
      <c r="AV29" s="163">
        <f>AQ29*产品成本!$D$5+AR29*产品成本!$D$6+AS29*产品成本!$D$7+AT29*产品成本!D38</f>
        <v>0</v>
      </c>
      <c r="AW29" s="163">
        <f>AQ29*产品成本!$E$5+AR29*产品成本!$E$6+AS29*产品成本!$E$7+AT29*产品成本!E38</f>
        <v>0</v>
      </c>
      <c r="AX29" s="163">
        <f>AQ29*产品成本!$F$5+AR29*产品成本!$F$6+AS29*产品成本!$F$7+AT29*产品成本!F38</f>
        <v>0</v>
      </c>
      <c r="AY29" s="163"/>
      <c r="AZ29" s="163">
        <f t="shared" si="18"/>
        <v>0</v>
      </c>
      <c r="BA29" s="163">
        <f t="shared" si="19"/>
        <v>0</v>
      </c>
      <c r="BB29" s="164">
        <f t="shared" si="20"/>
        <v>0</v>
      </c>
      <c r="BC29" s="169">
        <f t="shared" si="21"/>
        <v>586.85823943662</v>
      </c>
      <c r="BD29" s="169">
        <f t="shared" si="22"/>
        <v>1190.5</v>
      </c>
      <c r="BE29" s="169">
        <f t="shared" si="23"/>
        <v>1190.5</v>
      </c>
      <c r="BF29" s="168">
        <f t="shared" si="24"/>
        <v>402.78176056338</v>
      </c>
      <c r="BG29" s="213">
        <f t="shared" si="25"/>
        <v>0.338329912274994</v>
      </c>
    </row>
    <row r="30" ht="29.1" customHeight="1" spans="1:61">
      <c r="A30" s="61" t="s">
        <v>142</v>
      </c>
      <c r="B30" s="89" t="s">
        <v>143</v>
      </c>
      <c r="C30" s="90">
        <v>44</v>
      </c>
      <c r="D30" s="91">
        <v>44</v>
      </c>
      <c r="E30" s="64">
        <v>1067.55</v>
      </c>
      <c r="F30" s="148"/>
      <c r="G30" s="148"/>
      <c r="H30" s="64"/>
      <c r="I30" s="64"/>
      <c r="J30" s="207">
        <v>0</v>
      </c>
      <c r="K30" s="215">
        <f t="shared" si="0"/>
        <v>0</v>
      </c>
      <c r="L30" s="209">
        <v>0</v>
      </c>
      <c r="M30" s="210">
        <f t="shared" si="1"/>
        <v>-0.12</v>
      </c>
      <c r="N30" s="208">
        <f t="shared" si="2"/>
        <v>-0.102040816326531</v>
      </c>
      <c r="O30" s="208">
        <f t="shared" si="3"/>
        <v>-0.10327593448131</v>
      </c>
      <c r="P30" s="153">
        <f t="shared" si="4"/>
        <v>1</v>
      </c>
      <c r="Q30" s="155">
        <f t="shared" si="5"/>
        <v>24.2625</v>
      </c>
      <c r="R30" s="187">
        <f t="shared" si="6"/>
        <v>24.2625</v>
      </c>
      <c r="S30" s="187">
        <f t="shared" si="26"/>
        <v>6.28571428571429</v>
      </c>
      <c r="T30" s="193">
        <f t="shared" si="8"/>
        <v>20</v>
      </c>
      <c r="U30" s="157">
        <f t="shared" si="9"/>
        <v>0.454545454545455</v>
      </c>
      <c r="V30" s="94">
        <f t="shared" si="10"/>
        <v>0.181068802398014</v>
      </c>
      <c r="W30" s="91">
        <v>27516</v>
      </c>
      <c r="X30" s="91">
        <v>177</v>
      </c>
      <c r="Y30" s="91">
        <v>24</v>
      </c>
      <c r="Z30" s="91">
        <v>193.3</v>
      </c>
      <c r="AA30" s="92">
        <v>568.76</v>
      </c>
      <c r="AB30" s="91">
        <v>1.09</v>
      </c>
      <c r="AC30" s="71">
        <f t="shared" si="11"/>
        <v>0.33986215626978</v>
      </c>
      <c r="AD30" s="72">
        <f t="shared" si="12"/>
        <v>0.00643262102049717</v>
      </c>
      <c r="AE30" s="72">
        <f t="shared" si="13"/>
        <v>0.135593220338983</v>
      </c>
      <c r="AF30" s="154">
        <f t="shared" si="14"/>
        <v>8.05416666666667</v>
      </c>
      <c r="AG30" s="160">
        <v>12</v>
      </c>
      <c r="AH30" s="161">
        <v>17</v>
      </c>
      <c r="AI30" s="161">
        <v>15</v>
      </c>
      <c r="AJ30" s="164">
        <v>0</v>
      </c>
      <c r="AK30" s="163">
        <f>AG30*产品成本!$D$5+AH30*产品成本!$D$6+AI30*产品成本!$D$7+AJ30*产品成本!$D$8</f>
        <v>134.929577464789</v>
      </c>
      <c r="AL30" s="163">
        <f>AG30*产品成本!$E$5+AH30*产品成本!$E$6+AI30*产品成本!$E$7+AJ30*产品成本!$E$8</f>
        <v>14.68</v>
      </c>
      <c r="AM30" s="163">
        <f>AG30*产品成本!$F$5+AH30*产品成本!$F$6+AI30*产品成本!$F$7+AJ30*产品成本!$F$8</f>
        <v>16.85</v>
      </c>
      <c r="AN30" s="163">
        <f>AG30*产品成本!$G$5+AH30*产品成本!$G$6+AI30*产品成本!$G$7+AJ30*产品成本!$G$8</f>
        <v>207.36</v>
      </c>
      <c r="AO30" s="163">
        <f t="shared" si="15"/>
        <v>160.1325</v>
      </c>
      <c r="AP30" s="164">
        <f t="shared" si="16"/>
        <v>533.952077464789</v>
      </c>
      <c r="AQ30" s="165">
        <v>0</v>
      </c>
      <c r="AR30" s="165">
        <v>0</v>
      </c>
      <c r="AS30" s="165">
        <v>0</v>
      </c>
      <c r="AT30" s="211">
        <v>0</v>
      </c>
      <c r="AU30" s="212">
        <f t="shared" si="17"/>
        <v>0</v>
      </c>
      <c r="AV30" s="163">
        <f>AQ30*产品成本!$D$5+AR30*产品成本!$D$6+AS30*产品成本!$D$7+AT30*产品成本!D39</f>
        <v>0</v>
      </c>
      <c r="AW30" s="163">
        <f>AQ30*产品成本!$E$5+AR30*产品成本!$E$6+AS30*产品成本!$E$7+AT30*产品成本!E39</f>
        <v>0</v>
      </c>
      <c r="AX30" s="163">
        <f>AQ30*产品成本!$F$5+AR30*产品成本!$F$6+AS30*产品成本!$F$7+AT30*产品成本!F39</f>
        <v>0</v>
      </c>
      <c r="AY30" s="163"/>
      <c r="AZ30" s="163">
        <f t="shared" si="18"/>
        <v>0</v>
      </c>
      <c r="BA30" s="163">
        <f t="shared" si="19"/>
        <v>0</v>
      </c>
      <c r="BB30" s="164">
        <f t="shared" si="20"/>
        <v>0</v>
      </c>
      <c r="BC30" s="169">
        <f t="shared" si="21"/>
        <v>533.952077464789</v>
      </c>
      <c r="BD30" s="169">
        <f t="shared" si="22"/>
        <v>1067.55</v>
      </c>
      <c r="BE30" s="169">
        <f t="shared" si="23"/>
        <v>1067.55</v>
      </c>
      <c r="BF30" s="168">
        <f t="shared" si="24"/>
        <v>340.297922535211</v>
      </c>
      <c r="BG30" s="213">
        <f t="shared" si="25"/>
        <v>0.318765324842126</v>
      </c>
      <c r="BI30" t="s">
        <v>289</v>
      </c>
    </row>
    <row r="31" ht="29.1" customHeight="1" spans="1:61">
      <c r="A31" s="61" t="s">
        <v>144</v>
      </c>
      <c r="B31" s="89" t="s">
        <v>145</v>
      </c>
      <c r="C31" s="90">
        <v>49</v>
      </c>
      <c r="D31" s="91">
        <v>47</v>
      </c>
      <c r="E31" s="64">
        <v>1169.51</v>
      </c>
      <c r="F31" s="148"/>
      <c r="G31" s="148"/>
      <c r="H31" s="64"/>
      <c r="I31" s="64"/>
      <c r="J31" s="207">
        <v>0</v>
      </c>
      <c r="K31" s="215">
        <f t="shared" si="0"/>
        <v>0</v>
      </c>
      <c r="L31" s="209">
        <v>0</v>
      </c>
      <c r="M31" s="210">
        <f t="shared" si="1"/>
        <v>0.113636363636364</v>
      </c>
      <c r="N31" s="208">
        <f t="shared" si="2"/>
        <v>0.0681818181818182</v>
      </c>
      <c r="O31" s="208">
        <f t="shared" si="3"/>
        <v>0.09550840710037</v>
      </c>
      <c r="P31" s="153">
        <f t="shared" si="4"/>
        <v>1.04255319148936</v>
      </c>
      <c r="Q31" s="155">
        <f t="shared" si="5"/>
        <v>24.8831914893617</v>
      </c>
      <c r="R31" s="187">
        <f t="shared" si="6"/>
        <v>23.8675510204082</v>
      </c>
      <c r="S31" s="187">
        <f t="shared" si="26"/>
        <v>7</v>
      </c>
      <c r="T31" s="193">
        <f t="shared" si="8"/>
        <v>23</v>
      </c>
      <c r="U31" s="157">
        <f t="shared" si="9"/>
        <v>0.48936170212766</v>
      </c>
      <c r="V31" s="94">
        <f t="shared" si="10"/>
        <v>0.165282896255697</v>
      </c>
      <c r="W31" s="91">
        <v>27516</v>
      </c>
      <c r="X31" s="91">
        <v>177</v>
      </c>
      <c r="Y31" s="91">
        <v>24</v>
      </c>
      <c r="Z31" s="91">
        <v>193.3</v>
      </c>
      <c r="AA31" s="92">
        <v>568.76</v>
      </c>
      <c r="AB31" s="91">
        <v>1.09</v>
      </c>
      <c r="AC31" s="71">
        <f t="shared" si="11"/>
        <v>0.33986215626978</v>
      </c>
      <c r="AD31" s="72">
        <f t="shared" si="12"/>
        <v>0.00643262102049717</v>
      </c>
      <c r="AE31" s="72">
        <f t="shared" si="13"/>
        <v>0.135593220338983</v>
      </c>
      <c r="AF31" s="154">
        <f t="shared" si="14"/>
        <v>8.05416666666667</v>
      </c>
      <c r="AG31" s="160">
        <v>6</v>
      </c>
      <c r="AH31" s="161">
        <v>24</v>
      </c>
      <c r="AI31" s="161">
        <v>19</v>
      </c>
      <c r="AJ31" s="164">
        <v>0</v>
      </c>
      <c r="AK31" s="163">
        <f>AG31*产品成本!$D$5+AH31*产品成本!$D$6+AI31*产品成本!$D$7+AJ31*产品成本!$D$8</f>
        <v>153.239436619718</v>
      </c>
      <c r="AL31" s="163">
        <f>AG31*产品成本!$E$5+AH31*产品成本!$E$6+AI31*产品成本!$E$7+AJ31*产品成本!$E$8</f>
        <v>16.9</v>
      </c>
      <c r="AM31" s="163">
        <f>AG31*产品成本!$F$5+AH31*产品成本!$F$6+AI31*产品成本!$F$7+AJ31*产品成本!$F$8</f>
        <v>18.41</v>
      </c>
      <c r="AN31" s="163">
        <f>AG31*产品成本!$G$5+AH31*产品成本!$G$6+AI31*产品成本!$G$7+AJ31*产品成本!$G$8</f>
        <v>227.64</v>
      </c>
      <c r="AO31" s="163">
        <f t="shared" si="15"/>
        <v>175.4265</v>
      </c>
      <c r="AP31" s="164">
        <f t="shared" si="16"/>
        <v>591.615936619718</v>
      </c>
      <c r="AQ31" s="165">
        <v>0</v>
      </c>
      <c r="AR31" s="165">
        <v>0</v>
      </c>
      <c r="AS31" s="165">
        <v>0</v>
      </c>
      <c r="AT31" s="211">
        <v>0</v>
      </c>
      <c r="AU31" s="212">
        <f t="shared" si="17"/>
        <v>0</v>
      </c>
      <c r="AV31" s="163">
        <f>AQ31*产品成本!$D$5+AR31*产品成本!$D$6+AS31*产品成本!$D$7+AT31*产品成本!D40</f>
        <v>0</v>
      </c>
      <c r="AW31" s="163">
        <f>AQ31*产品成本!$E$5+AR31*产品成本!$E$6+AS31*产品成本!$E$7+AT31*产品成本!E40</f>
        <v>0</v>
      </c>
      <c r="AX31" s="163">
        <f>AQ31*产品成本!$F$5+AR31*产品成本!$F$6+AS31*产品成本!$F$7+AT31*产品成本!F40</f>
        <v>0</v>
      </c>
      <c r="AY31" s="163"/>
      <c r="AZ31" s="163">
        <f t="shared" si="18"/>
        <v>0</v>
      </c>
      <c r="BA31" s="163">
        <f t="shared" si="19"/>
        <v>0</v>
      </c>
      <c r="BB31" s="164">
        <f t="shared" si="20"/>
        <v>0</v>
      </c>
      <c r="BC31" s="169">
        <f t="shared" si="21"/>
        <v>591.615936619718</v>
      </c>
      <c r="BD31" s="169">
        <f t="shared" si="22"/>
        <v>1169.51</v>
      </c>
      <c r="BE31" s="169">
        <f t="shared" si="23"/>
        <v>1169.51</v>
      </c>
      <c r="BF31" s="168">
        <f t="shared" si="24"/>
        <v>384.594063380282</v>
      </c>
      <c r="BG31" s="213">
        <f t="shared" si="25"/>
        <v>0.328850598438903</v>
      </c>
    </row>
    <row r="32" ht="29.1" customHeight="1" spans="1:61">
      <c r="A32" s="61" t="s">
        <v>147</v>
      </c>
      <c r="B32" s="89" t="s">
        <v>148</v>
      </c>
      <c r="C32" s="90">
        <v>42</v>
      </c>
      <c r="D32" s="91">
        <v>42</v>
      </c>
      <c r="E32" s="64">
        <v>1002.58</v>
      </c>
      <c r="F32" s="148"/>
      <c r="G32" s="148"/>
      <c r="H32" s="64"/>
      <c r="I32" s="64"/>
      <c r="J32" s="207">
        <v>1</v>
      </c>
      <c r="K32" s="215">
        <f t="shared" si="0"/>
        <v>0.0238095238095238</v>
      </c>
      <c r="L32" s="209">
        <v>21.11</v>
      </c>
      <c r="M32" s="210">
        <f t="shared" si="1"/>
        <v>-0.142857142857143</v>
      </c>
      <c r="N32" s="208">
        <f t="shared" si="2"/>
        <v>-0.106382978723404</v>
      </c>
      <c r="O32" s="208">
        <f t="shared" si="3"/>
        <v>-0.142734991577669</v>
      </c>
      <c r="P32" s="153">
        <f t="shared" si="4"/>
        <v>1</v>
      </c>
      <c r="Q32" s="155">
        <f t="shared" si="5"/>
        <v>23.8709523809524</v>
      </c>
      <c r="R32" s="187">
        <f t="shared" si="6"/>
        <v>23.8709523809524</v>
      </c>
      <c r="S32" s="187">
        <f t="shared" si="26"/>
        <v>6</v>
      </c>
      <c r="T32" s="193">
        <f t="shared" si="8"/>
        <v>17</v>
      </c>
      <c r="U32" s="157">
        <f t="shared" si="9"/>
        <v>0.404761904761905</v>
      </c>
      <c r="V32" s="94">
        <f t="shared" si="10"/>
        <v>0.161852420754454</v>
      </c>
      <c r="W32" s="91">
        <v>25169</v>
      </c>
      <c r="X32" s="91">
        <v>167</v>
      </c>
      <c r="Y32" s="91">
        <v>25</v>
      </c>
      <c r="Z32" s="91">
        <v>162.27</v>
      </c>
      <c r="AA32" s="92">
        <v>597.86</v>
      </c>
      <c r="AB32" s="91">
        <v>0.97</v>
      </c>
      <c r="AC32" s="71">
        <f t="shared" si="11"/>
        <v>0.27141805773927</v>
      </c>
      <c r="AD32" s="72">
        <f t="shared" si="12"/>
        <v>0.0066351464102666</v>
      </c>
      <c r="AE32" s="72">
        <f t="shared" si="13"/>
        <v>0.149700598802395</v>
      </c>
      <c r="AF32" s="154">
        <f t="shared" si="14"/>
        <v>6.4908</v>
      </c>
      <c r="AG32" s="160">
        <v>5</v>
      </c>
      <c r="AH32" s="161">
        <v>27</v>
      </c>
      <c r="AI32" s="161">
        <v>10</v>
      </c>
      <c r="AJ32" s="164">
        <v>0</v>
      </c>
      <c r="AK32" s="163">
        <f>AG32*产品成本!$D$5+AH32*产品成本!$D$6+AI32*产品成本!$D$7+AJ32*产品成本!$D$8</f>
        <v>126.056338028169</v>
      </c>
      <c r="AL32" s="163">
        <f>AG32*产品成本!$E$5+AH32*产品成本!$E$6+AI32*产品成本!$E$7+AJ32*产品成本!$E$8</f>
        <v>13.99</v>
      </c>
      <c r="AM32" s="163">
        <f>AG32*产品成本!$F$5+AH32*产品成本!$F$6+AI32*产品成本!$F$7+AJ32*产品成本!$F$8</f>
        <v>15.33</v>
      </c>
      <c r="AN32" s="163">
        <f>AG32*产品成本!$G$5+AH32*产品成本!$G$6+AI32*产品成本!$G$7+AJ32*产品成本!$G$8</f>
        <v>187.46</v>
      </c>
      <c r="AO32" s="163">
        <f t="shared" si="15"/>
        <v>150.387</v>
      </c>
      <c r="AP32" s="164">
        <f t="shared" si="16"/>
        <v>493.223338028169</v>
      </c>
      <c r="AQ32" s="165">
        <v>0</v>
      </c>
      <c r="AR32" s="165">
        <v>0</v>
      </c>
      <c r="AS32" s="165">
        <v>1</v>
      </c>
      <c r="AT32" s="211">
        <v>0</v>
      </c>
      <c r="AU32" s="212">
        <f t="shared" si="17"/>
        <v>25.7439024390244</v>
      </c>
      <c r="AV32" s="163">
        <f>AQ32*产品成本!$D$5+AR32*产品成本!$D$6+AS32*产品成本!$D$7+AT32*产品成本!D41</f>
        <v>3.66197183098592</v>
      </c>
      <c r="AW32" s="163">
        <f>AQ32*产品成本!$E$5+AR32*产品成本!$E$6+AS32*产品成本!$E$7+AT32*产品成本!E41</f>
        <v>0.4</v>
      </c>
      <c r="AX32" s="163">
        <f>AQ32*产品成本!$F$5+AR32*产品成本!$F$6+AS32*产品成本!$F$7+AT32*产品成本!F41</f>
        <v>0.41</v>
      </c>
      <c r="AY32" s="163"/>
      <c r="AZ32" s="163">
        <f t="shared" si="18"/>
        <v>3.86158536585366</v>
      </c>
      <c r="BA32" s="163">
        <f t="shared" si="19"/>
        <v>-0.772317073170732</v>
      </c>
      <c r="BB32" s="164">
        <f t="shared" si="20"/>
        <v>7.56124012366885</v>
      </c>
      <c r="BC32" s="169">
        <f t="shared" si="21"/>
        <v>485.6620979045</v>
      </c>
      <c r="BD32" s="169">
        <f t="shared" si="22"/>
        <v>1002.58</v>
      </c>
      <c r="BE32" s="169">
        <f t="shared" si="23"/>
        <v>976.836097560976</v>
      </c>
      <c r="BF32" s="168">
        <f t="shared" si="24"/>
        <v>328.903999656476</v>
      </c>
      <c r="BG32" s="213">
        <f t="shared" si="25"/>
        <v>0.336703363519943</v>
      </c>
    </row>
    <row r="33" ht="29.1" customHeight="1" spans="1:61">
      <c r="A33" s="61" t="s">
        <v>150</v>
      </c>
      <c r="B33" s="89" t="s">
        <v>151</v>
      </c>
      <c r="C33" s="90">
        <v>56</v>
      </c>
      <c r="D33" s="91">
        <v>54</v>
      </c>
      <c r="E33" s="64">
        <v>1200.94</v>
      </c>
      <c r="F33" s="148"/>
      <c r="G33" s="148"/>
      <c r="H33" s="64"/>
      <c r="I33" s="64"/>
      <c r="J33" s="207">
        <v>2</v>
      </c>
      <c r="K33" s="215">
        <f t="shared" si="0"/>
        <v>0.0357142857142857</v>
      </c>
      <c r="L33" s="209">
        <v>38.44</v>
      </c>
      <c r="M33" s="210">
        <f t="shared" si="1"/>
        <v>0.333333333333333</v>
      </c>
      <c r="N33" s="208">
        <f t="shared" si="2"/>
        <v>0.285714285714286</v>
      </c>
      <c r="O33" s="208">
        <f t="shared" si="3"/>
        <v>0.197849548165732</v>
      </c>
      <c r="P33" s="153">
        <f t="shared" si="4"/>
        <v>1.03703703703704</v>
      </c>
      <c r="Q33" s="155">
        <f t="shared" si="5"/>
        <v>22.2396296296296</v>
      </c>
      <c r="R33" s="187">
        <f t="shared" si="6"/>
        <v>21.4453571428571</v>
      </c>
      <c r="S33" s="187">
        <f t="shared" si="26"/>
        <v>8</v>
      </c>
      <c r="T33" s="193">
        <f t="shared" si="8"/>
        <v>14</v>
      </c>
      <c r="U33" s="157">
        <f t="shared" si="9"/>
        <v>0.259259259259259</v>
      </c>
      <c r="V33" s="94">
        <f t="shared" si="10"/>
        <v>0.234333105733842</v>
      </c>
      <c r="W33" s="91">
        <v>30427</v>
      </c>
      <c r="X33" s="91">
        <v>255</v>
      </c>
      <c r="Y33" s="91">
        <v>40</v>
      </c>
      <c r="Z33" s="91">
        <v>281.42</v>
      </c>
      <c r="AA33" s="92">
        <v>845.31</v>
      </c>
      <c r="AB33" s="91">
        <v>1.1</v>
      </c>
      <c r="AC33" s="71">
        <f t="shared" si="11"/>
        <v>0.332919284049639</v>
      </c>
      <c r="AD33" s="72">
        <f t="shared" si="12"/>
        <v>0.0083807144969928</v>
      </c>
      <c r="AE33" s="72">
        <f t="shared" si="13"/>
        <v>0.156862745098039</v>
      </c>
      <c r="AF33" s="154">
        <f t="shared" si="14"/>
        <v>7.0355</v>
      </c>
      <c r="AG33" s="160">
        <v>22</v>
      </c>
      <c r="AH33" s="161">
        <v>22</v>
      </c>
      <c r="AI33" s="161">
        <v>12</v>
      </c>
      <c r="AJ33" s="164">
        <v>0</v>
      </c>
      <c r="AK33" s="163">
        <f>AG33*产品成本!$D$5+AH33*产品成本!$D$6+AI33*产品成本!$D$7+AJ33*产品成本!$D$8</f>
        <v>164.788732394366</v>
      </c>
      <c r="AL33" s="163">
        <f>AG33*产品成本!$E$5+AH33*产品成本!$E$6+AI33*产品成本!$E$7+AJ33*产品成本!$E$8</f>
        <v>17.78</v>
      </c>
      <c r="AM33" s="163">
        <f>AG33*产品成本!$F$5+AH33*产品成本!$F$6+AI33*产品成本!$F$7+AJ33*产品成本!$F$8</f>
        <v>21.42</v>
      </c>
      <c r="AN33" s="163">
        <f>AG33*产品成本!$G$5+AH33*产品成本!$G$6+AI33*产品成本!$G$7+AJ33*产品成本!$G$8</f>
        <v>260.92</v>
      </c>
      <c r="AO33" s="163">
        <f t="shared" si="15"/>
        <v>180.141</v>
      </c>
      <c r="AP33" s="164">
        <f t="shared" si="16"/>
        <v>645.049732394366</v>
      </c>
      <c r="AQ33" s="165">
        <v>2</v>
      </c>
      <c r="AR33" s="165">
        <v>0</v>
      </c>
      <c r="AS33" s="165">
        <v>0</v>
      </c>
      <c r="AT33" s="211">
        <v>0</v>
      </c>
      <c r="AU33" s="212">
        <f t="shared" si="17"/>
        <v>46.8780487804878</v>
      </c>
      <c r="AV33" s="163">
        <f>AQ33*产品成本!$D$5+AR33*产品成本!$D$6+AS33*产品成本!$D$7+AT33*产品成本!D42</f>
        <v>5.35211267605634</v>
      </c>
      <c r="AW33" s="163">
        <f>AQ33*产品成本!$E$5+AR33*产品成本!$E$6+AS33*产品成本!$E$7+AT33*产品成本!E42</f>
        <v>0.54</v>
      </c>
      <c r="AX33" s="163">
        <f>AQ33*产品成本!$F$5+AR33*产品成本!$F$6+AS33*产品成本!$F$7+AT33*产品成本!F42</f>
        <v>0.82</v>
      </c>
      <c r="AY33" s="163"/>
      <c r="AZ33" s="163">
        <f t="shared" si="18"/>
        <v>7.03170731707317</v>
      </c>
      <c r="BA33" s="163">
        <f t="shared" si="19"/>
        <v>-1.40634146341463</v>
      </c>
      <c r="BB33" s="164">
        <f t="shared" si="20"/>
        <v>12.3374785297149</v>
      </c>
      <c r="BC33" s="169">
        <f t="shared" si="21"/>
        <v>632.712253864651</v>
      </c>
      <c r="BD33" s="169">
        <f t="shared" si="22"/>
        <v>1200.94</v>
      </c>
      <c r="BE33" s="169">
        <f t="shared" si="23"/>
        <v>1154.06195121951</v>
      </c>
      <c r="BF33" s="168">
        <f t="shared" si="24"/>
        <v>239.929697354861</v>
      </c>
      <c r="BG33" s="213">
        <f t="shared" si="25"/>
        <v>0.207900188634868</v>
      </c>
      <c r="BI33" t="s">
        <v>290</v>
      </c>
    </row>
    <row r="34" ht="29.1" customHeight="1" spans="1:61">
      <c r="A34" s="61" t="s">
        <v>154</v>
      </c>
      <c r="B34" s="89" t="s">
        <v>155</v>
      </c>
      <c r="C34" s="90">
        <v>80</v>
      </c>
      <c r="D34" s="91">
        <v>73</v>
      </c>
      <c r="E34" s="64">
        <v>1609.14</v>
      </c>
      <c r="F34" s="148">
        <v>4</v>
      </c>
      <c r="G34" s="148">
        <v>4</v>
      </c>
      <c r="H34" s="64">
        <v>78.58</v>
      </c>
      <c r="I34" s="64">
        <v>7.86</v>
      </c>
      <c r="J34" s="207">
        <v>2</v>
      </c>
      <c r="K34" s="215">
        <f t="shared" si="0"/>
        <v>0.025</v>
      </c>
      <c r="L34" s="209">
        <v>36.52</v>
      </c>
      <c r="M34" s="210">
        <f t="shared" si="1"/>
        <v>0.428571428571429</v>
      </c>
      <c r="N34" s="208">
        <f t="shared" si="2"/>
        <v>0.351851851851852</v>
      </c>
      <c r="O34" s="208">
        <f t="shared" si="3"/>
        <v>0.339900411344447</v>
      </c>
      <c r="P34" s="153">
        <f t="shared" si="4"/>
        <v>1.0958904109589</v>
      </c>
      <c r="Q34" s="155">
        <f t="shared" si="5"/>
        <v>22.0430136986301</v>
      </c>
      <c r="R34" s="187">
        <f t="shared" si="6"/>
        <v>20.11425</v>
      </c>
      <c r="S34" s="187">
        <f t="shared" si="26"/>
        <v>11.4285714285714</v>
      </c>
      <c r="T34" s="193">
        <f t="shared" si="8"/>
        <v>31</v>
      </c>
      <c r="U34" s="157">
        <f t="shared" si="9"/>
        <v>0.424657534246575</v>
      </c>
      <c r="V34" s="94">
        <f t="shared" si="10"/>
        <v>0.196879996003197</v>
      </c>
      <c r="W34" s="91">
        <v>35717</v>
      </c>
      <c r="X34" s="91">
        <v>282</v>
      </c>
      <c r="Y34" s="91">
        <v>42</v>
      </c>
      <c r="Z34" s="91">
        <v>315.26</v>
      </c>
      <c r="AA34" s="92">
        <v>847.04</v>
      </c>
      <c r="AB34" s="91">
        <v>1.12</v>
      </c>
      <c r="AC34" s="71">
        <f t="shared" si="11"/>
        <v>0.372190215338119</v>
      </c>
      <c r="AD34" s="72">
        <f t="shared" si="12"/>
        <v>0.00789539994960383</v>
      </c>
      <c r="AE34" s="72">
        <f t="shared" si="13"/>
        <v>0.148936170212766</v>
      </c>
      <c r="AF34" s="154">
        <f t="shared" si="14"/>
        <v>7.50619047619048</v>
      </c>
      <c r="AG34" s="160">
        <v>31</v>
      </c>
      <c r="AH34" s="161">
        <v>29</v>
      </c>
      <c r="AI34" s="161">
        <v>20</v>
      </c>
      <c r="AJ34" s="164">
        <v>0</v>
      </c>
      <c r="AK34" s="163">
        <f>AG34*产品成本!$D$5+AH34*产品成本!$D$6+AI34*产品成本!$D$7+AJ34*产品成本!$D$8</f>
        <v>237.887323943662</v>
      </c>
      <c r="AL34" s="163">
        <f>AG34*产品成本!$E$5+AH34*产品成本!$E$6+AI34*产品成本!$E$7+AJ34*产品成本!$E$8</f>
        <v>25.65</v>
      </c>
      <c r="AM34" s="163">
        <f>AG34*产品成本!$F$5+AH34*产品成本!$F$6+AI34*产品成本!$F$7+AJ34*产品成本!$F$8</f>
        <v>30.77</v>
      </c>
      <c r="AN34" s="163">
        <f>AG34*产品成本!$G$5+AH34*产品成本!$G$6+AI34*产品成本!$G$7+AJ34*产品成本!$G$8</f>
        <v>375.82</v>
      </c>
      <c r="AO34" s="163">
        <f t="shared" si="15"/>
        <v>240.192</v>
      </c>
      <c r="AP34" s="164">
        <f t="shared" si="16"/>
        <v>910.319323943662</v>
      </c>
      <c r="AQ34" s="165">
        <v>0</v>
      </c>
      <c r="AR34" s="165">
        <v>1</v>
      </c>
      <c r="AS34" s="165">
        <v>1</v>
      </c>
      <c r="AT34" s="211">
        <v>0</v>
      </c>
      <c r="AU34" s="212">
        <f t="shared" si="17"/>
        <v>44.5365853658537</v>
      </c>
      <c r="AV34" s="163">
        <f>AQ34*产品成本!$D$5+AR34*产品成本!$D$6+AS34*产品成本!$D$7+AT34*产品成本!D43</f>
        <v>6.47887323943662</v>
      </c>
      <c r="AW34" s="163">
        <f>AQ34*产品成本!$E$5+AR34*产品成本!$E$6+AS34*产品成本!$E$7+AT34*产品成本!E43</f>
        <v>0.72</v>
      </c>
      <c r="AX34" s="163">
        <f>AQ34*产品成本!$F$5+AR34*产品成本!$F$6+AS34*产品成本!$F$7+AT34*产品成本!F43</f>
        <v>0.75</v>
      </c>
      <c r="AY34" s="163"/>
      <c r="AZ34" s="163">
        <f t="shared" si="18"/>
        <v>6.68048780487805</v>
      </c>
      <c r="BA34" s="163">
        <f t="shared" si="19"/>
        <v>-1.33609756097561</v>
      </c>
      <c r="BB34" s="164">
        <f t="shared" si="20"/>
        <v>13.2932634833391</v>
      </c>
      <c r="BC34" s="169">
        <f t="shared" si="21"/>
        <v>897.026060460323</v>
      </c>
      <c r="BD34" s="169">
        <f t="shared" si="22"/>
        <v>1601.28</v>
      </c>
      <c r="BE34" s="169">
        <f t="shared" si="23"/>
        <v>1556.74341463415</v>
      </c>
      <c r="BF34" s="168">
        <f t="shared" si="24"/>
        <v>344.457354173824</v>
      </c>
      <c r="BG34" s="213">
        <f t="shared" si="25"/>
        <v>0.221267905125377</v>
      </c>
    </row>
    <row r="35" ht="29.1" customHeight="1" spans="1:61">
      <c r="A35" s="61" t="s">
        <v>156</v>
      </c>
      <c r="B35" s="89" t="s">
        <v>157</v>
      </c>
      <c r="C35" s="90">
        <v>55</v>
      </c>
      <c r="D35" s="91">
        <v>52</v>
      </c>
      <c r="E35" s="64">
        <v>1205.75</v>
      </c>
      <c r="F35" s="148">
        <v>3</v>
      </c>
      <c r="G35" s="148">
        <v>3</v>
      </c>
      <c r="H35" s="64">
        <v>63.87</v>
      </c>
      <c r="I35" s="64">
        <v>6.39</v>
      </c>
      <c r="J35" s="207">
        <v>2</v>
      </c>
      <c r="K35" s="215">
        <f t="shared" si="0"/>
        <v>0.0363636363636364</v>
      </c>
      <c r="L35" s="209">
        <v>35.04</v>
      </c>
      <c r="M35" s="210">
        <f t="shared" si="1"/>
        <v>-0.3125</v>
      </c>
      <c r="N35" s="208">
        <f t="shared" si="2"/>
        <v>-0.287671232876712</v>
      </c>
      <c r="O35" s="208">
        <f t="shared" si="3"/>
        <v>-0.250686702213605</v>
      </c>
      <c r="P35" s="153">
        <f t="shared" si="4"/>
        <v>1.05769230769231</v>
      </c>
      <c r="Q35" s="155">
        <f t="shared" si="5"/>
        <v>23.1875</v>
      </c>
      <c r="R35" s="187">
        <f t="shared" si="6"/>
        <v>21.9227272727273</v>
      </c>
      <c r="S35" s="187">
        <f t="shared" si="26"/>
        <v>7.85714285714286</v>
      </c>
      <c r="T35" s="193">
        <f t="shared" si="8"/>
        <v>13</v>
      </c>
      <c r="U35" s="157">
        <f t="shared" si="9"/>
        <v>0.25</v>
      </c>
      <c r="V35" s="94">
        <f t="shared" si="10"/>
        <v>0.220934498399146</v>
      </c>
      <c r="W35" s="91">
        <v>24731</v>
      </c>
      <c r="X35" s="91">
        <v>249</v>
      </c>
      <c r="Y35" s="91">
        <v>39</v>
      </c>
      <c r="Z35" s="91">
        <v>264.98</v>
      </c>
      <c r="AA35" s="92">
        <v>920.08</v>
      </c>
      <c r="AB35" s="91">
        <v>1.06</v>
      </c>
      <c r="AC35" s="71">
        <f t="shared" si="11"/>
        <v>0.287996695939484</v>
      </c>
      <c r="AD35" s="72">
        <f t="shared" si="12"/>
        <v>0.0100683352876956</v>
      </c>
      <c r="AE35" s="72">
        <f t="shared" si="13"/>
        <v>0.156626506024096</v>
      </c>
      <c r="AF35" s="154">
        <f t="shared" si="14"/>
        <v>6.79435897435897</v>
      </c>
      <c r="AG35" s="160">
        <v>14</v>
      </c>
      <c r="AH35" s="161">
        <v>30</v>
      </c>
      <c r="AI35" s="161">
        <v>12</v>
      </c>
      <c r="AJ35" s="164">
        <v>0</v>
      </c>
      <c r="AK35" s="163">
        <f>AG35*产品成本!$D$5+AH35*产品成本!$D$6+AI35*产品成本!$D$7+AJ35*产品成本!$D$8</f>
        <v>165.915492957746</v>
      </c>
      <c r="AL35" s="163">
        <f>AG35*产品成本!$E$5+AH35*产品成本!$E$6+AI35*产品成本!$E$7+AJ35*产品成本!$E$8</f>
        <v>18.18</v>
      </c>
      <c r="AM35" s="163">
        <f>AG35*产品成本!$F$5+AH35*产品成本!$F$6+AI35*产品成本!$F$7+AJ35*产品成本!$F$8</f>
        <v>20.86</v>
      </c>
      <c r="AN35" s="163">
        <f>AG35*产品成本!$G$5+AH35*产品成本!$G$6+AI35*产品成本!$G$7+AJ35*产品成本!$G$8</f>
        <v>254.36</v>
      </c>
      <c r="AO35" s="163">
        <f t="shared" si="15"/>
        <v>179.904</v>
      </c>
      <c r="AP35" s="164">
        <f t="shared" si="16"/>
        <v>639.219492957746</v>
      </c>
      <c r="AQ35" s="165">
        <v>0</v>
      </c>
      <c r="AR35" s="165">
        <v>0</v>
      </c>
      <c r="AS35" s="165">
        <v>2</v>
      </c>
      <c r="AT35" s="211">
        <v>0</v>
      </c>
      <c r="AU35" s="212">
        <f t="shared" si="17"/>
        <v>42.7317073170732</v>
      </c>
      <c r="AV35" s="163">
        <f>AQ35*产品成本!$D$5+AR35*产品成本!$D$6+AS35*产品成本!$D$7+AT35*产品成本!D44</f>
        <v>7.32394366197184</v>
      </c>
      <c r="AW35" s="163">
        <f>AQ35*产品成本!$E$5+AR35*产品成本!$E$6+AS35*产品成本!$E$7+AT35*产品成本!E44</f>
        <v>0.8</v>
      </c>
      <c r="AX35" s="163">
        <f>AQ35*产品成本!$F$5+AR35*产品成本!$F$6+AS35*产品成本!$F$7+AT35*产品成本!F44</f>
        <v>0.82</v>
      </c>
      <c r="AY35" s="163"/>
      <c r="AZ35" s="163">
        <f t="shared" si="18"/>
        <v>6.40975609756098</v>
      </c>
      <c r="BA35" s="163">
        <f t="shared" si="19"/>
        <v>-1.2819512195122</v>
      </c>
      <c r="BB35" s="164">
        <f t="shared" si="20"/>
        <v>14.0717485400206</v>
      </c>
      <c r="BC35" s="169">
        <f t="shared" si="21"/>
        <v>625.147744417726</v>
      </c>
      <c r="BD35" s="169">
        <f t="shared" si="22"/>
        <v>1199.36</v>
      </c>
      <c r="BE35" s="169">
        <f t="shared" si="23"/>
        <v>1156.62829268293</v>
      </c>
      <c r="BF35" s="168">
        <f t="shared" si="24"/>
        <v>266.500548265201</v>
      </c>
      <c r="BG35" s="213">
        <f t="shared" si="25"/>
        <v>0.230411576433967</v>
      </c>
    </row>
    <row r="36" ht="29.1" customHeight="1" spans="1:61">
      <c r="A36" s="61" t="s">
        <v>158</v>
      </c>
      <c r="B36" s="89" t="s">
        <v>159</v>
      </c>
      <c r="C36" s="90">
        <v>63</v>
      </c>
      <c r="D36" s="91">
        <v>62</v>
      </c>
      <c r="E36" s="64">
        <v>1371.33</v>
      </c>
      <c r="F36" s="148">
        <v>7</v>
      </c>
      <c r="G36" s="148">
        <v>7</v>
      </c>
      <c r="H36" s="64">
        <v>150.23</v>
      </c>
      <c r="I36" s="64">
        <v>13.92</v>
      </c>
      <c r="J36" s="207">
        <v>3</v>
      </c>
      <c r="K36" s="215">
        <f t="shared" ref="K36:K78" si="27">J36/C36</f>
        <v>0.0476190476190476</v>
      </c>
      <c r="L36" s="209">
        <v>35.73</v>
      </c>
      <c r="M36" s="210">
        <f t="shared" ref="M36:M74" si="28">(C36-C35)/C35</f>
        <v>0.145454545454545</v>
      </c>
      <c r="N36" s="208">
        <f t="shared" ref="N36:N74" si="29">(D36-D35)/D35</f>
        <v>0.192307692307692</v>
      </c>
      <c r="O36" s="208">
        <f t="shared" ref="O36:O74" si="30">(E36-E35)/E35</f>
        <v>0.137325316193241</v>
      </c>
      <c r="P36" s="153">
        <f t="shared" ref="P36:P74" si="31">C36/D36</f>
        <v>1.01612903225806</v>
      </c>
      <c r="Q36" s="155">
        <f t="shared" ref="Q36:Q74" si="32">E36/D36</f>
        <v>22.1182258064516</v>
      </c>
      <c r="R36" s="187">
        <f t="shared" ref="R36:R74" si="33">E36/C36</f>
        <v>21.7671428571429</v>
      </c>
      <c r="S36" s="187">
        <f t="shared" si="26"/>
        <v>9</v>
      </c>
      <c r="T36" s="193">
        <f t="shared" ref="T36:T74" si="34">D36-Y36</f>
        <v>30</v>
      </c>
      <c r="U36" s="157">
        <f t="shared" ref="U36:U78" si="35">T36/D36</f>
        <v>0.483870967741935</v>
      </c>
      <c r="V36" s="94">
        <f t="shared" ref="V36:V74" si="36">Z36/(E36-I36)</f>
        <v>0.158684553672067</v>
      </c>
      <c r="W36" s="91">
        <v>23646</v>
      </c>
      <c r="X36" s="91">
        <v>200</v>
      </c>
      <c r="Y36" s="91">
        <v>32</v>
      </c>
      <c r="Z36" s="91">
        <v>215.4</v>
      </c>
      <c r="AA36" s="92">
        <v>694.66</v>
      </c>
      <c r="AB36" s="91">
        <v>1.08</v>
      </c>
      <c r="AC36" s="71">
        <f t="shared" ref="AC36:AC78" si="37">Z36/AA36</f>
        <v>0.310079751245214</v>
      </c>
      <c r="AD36" s="72">
        <f t="shared" ref="AD36:AD74" si="38">X36/W36</f>
        <v>0.00845809016324114</v>
      </c>
      <c r="AE36" s="72">
        <f t="shared" ref="AE36:AE75" si="39">Y36/X36</f>
        <v>0.16</v>
      </c>
      <c r="AF36" s="154">
        <f t="shared" ref="AF36:AF74" si="40">Z36/Y36</f>
        <v>6.73125</v>
      </c>
      <c r="AG36" s="160">
        <v>26</v>
      </c>
      <c r="AH36" s="161">
        <v>19</v>
      </c>
      <c r="AI36" s="161">
        <v>16</v>
      </c>
      <c r="AJ36" s="211">
        <v>2</v>
      </c>
      <c r="AK36" s="163">
        <f>AG36*产品成本!$D$5+AH36*产品成本!$D$6+AI36*产品成本!$D$7+AJ36*产品成本!$D$8</f>
        <v>192.957746478873</v>
      </c>
      <c r="AL36" s="163">
        <f>AG36*产品成本!$E$5+AH36*产品成本!$E$6+AI36*产品成本!$E$7+AJ36*产品成本!$E$8</f>
        <v>21.1</v>
      </c>
      <c r="AM36" s="163">
        <f>AG36*产品成本!$F$5+AH36*产品成本!$F$6+AI36*产品成本!$F$7+AJ36*产品成本!$F$8</f>
        <v>24.5</v>
      </c>
      <c r="AN36" s="163">
        <f>AG36*产品成本!$G$5+AH36*产品成本!$G$6+AI36*产品成本!$G$7+AJ36*产品成本!$G$8</f>
        <v>300.44</v>
      </c>
      <c r="AO36" s="163">
        <f t="shared" ref="AO36:AO74" si="41">(E36-I36)*0.15</f>
        <v>203.6115</v>
      </c>
      <c r="AP36" s="164">
        <f t="shared" ref="AP36:AP74" si="42">SUM(AK36:AO36)</f>
        <v>742.609246478873</v>
      </c>
      <c r="AQ36" s="165">
        <v>2</v>
      </c>
      <c r="AR36" s="165">
        <v>0</v>
      </c>
      <c r="AS36" s="165">
        <v>1</v>
      </c>
      <c r="AT36" s="211">
        <v>0</v>
      </c>
      <c r="AU36" s="212">
        <f t="shared" ref="AU36:AU74" si="43">L36/(1-0.15-0.15*0.2)</f>
        <v>43.5731707317073</v>
      </c>
      <c r="AV36" s="163">
        <f>AQ36*产品成本!$D$5+AR36*产品成本!$D$6+AS36*产品成本!$D$7+AT36*产品成本!D45</f>
        <v>9.01408450704226</v>
      </c>
      <c r="AW36" s="163">
        <f>AQ36*产品成本!$E$5+AR36*产品成本!$E$6+AS36*产品成本!$E$7+AT36*产品成本!E45</f>
        <v>0.94</v>
      </c>
      <c r="AX36" s="163">
        <f>AQ36*产品成本!$F$5+AR36*产品成本!$F$6+AS36*产品成本!$F$7+AT36*产品成本!F45</f>
        <v>1.23</v>
      </c>
      <c r="AY36" s="163"/>
      <c r="AZ36" s="163">
        <f t="shared" ref="AZ36:AZ74" si="44">AU36*0.15</f>
        <v>6.5359756097561</v>
      </c>
      <c r="BA36" s="163">
        <f t="shared" ref="BA36:BA74" si="45">-AZ36*0.2</f>
        <v>-1.30719512195122</v>
      </c>
      <c r="BB36" s="164">
        <f t="shared" ref="BB36:BB74" si="46">SUM(AV36:BA36)</f>
        <v>16.4128649948471</v>
      </c>
      <c r="BC36" s="169">
        <f t="shared" ref="BC36:BC74" si="47">AP36-BB36</f>
        <v>726.196381484026</v>
      </c>
      <c r="BD36" s="169">
        <f t="shared" ref="BD36:BD74" si="48">E36-I36</f>
        <v>1357.41</v>
      </c>
      <c r="BE36" s="169">
        <f t="shared" ref="BE36:BE74" si="49">E36-AU36-I36</f>
        <v>1313.83682926829</v>
      </c>
      <c r="BF36" s="168">
        <f t="shared" ref="BF36:BF74" si="50">BE36-BC36-Z36</f>
        <v>372.240447784267</v>
      </c>
      <c r="BG36" s="213">
        <f t="shared" ref="BG36:BG74" si="51">BF36/BE36</f>
        <v>0.283323194701108</v>
      </c>
    </row>
    <row r="37" ht="29.1" customHeight="1" spans="1:61">
      <c r="A37" s="61" t="s">
        <v>160</v>
      </c>
      <c r="B37" s="89" t="s">
        <v>161</v>
      </c>
      <c r="C37" s="90">
        <v>47</v>
      </c>
      <c r="D37" s="91">
        <v>47</v>
      </c>
      <c r="E37" s="64">
        <v>1055.77</v>
      </c>
      <c r="F37" s="148">
        <v>3</v>
      </c>
      <c r="G37" s="148">
        <v>3</v>
      </c>
      <c r="H37" s="64">
        <v>64.77</v>
      </c>
      <c r="I37" s="64">
        <v>6.48</v>
      </c>
      <c r="J37" s="207">
        <v>4</v>
      </c>
      <c r="K37" s="215">
        <f t="shared" si="27"/>
        <v>0.0851063829787234</v>
      </c>
      <c r="L37" s="209">
        <v>69.91</v>
      </c>
      <c r="M37" s="210">
        <f t="shared" si="28"/>
        <v>-0.253968253968254</v>
      </c>
      <c r="N37" s="208">
        <f t="shared" si="29"/>
        <v>-0.241935483870968</v>
      </c>
      <c r="O37" s="208">
        <f t="shared" si="30"/>
        <v>-0.230112372660118</v>
      </c>
      <c r="P37" s="153">
        <f t="shared" si="31"/>
        <v>1</v>
      </c>
      <c r="Q37" s="155">
        <f t="shared" si="32"/>
        <v>22.4631914893617</v>
      </c>
      <c r="R37" s="187">
        <f t="shared" si="33"/>
        <v>22.4631914893617</v>
      </c>
      <c r="S37" s="187">
        <f t="shared" si="26"/>
        <v>6.71428571428571</v>
      </c>
      <c r="T37" s="193">
        <f t="shared" si="34"/>
        <v>15</v>
      </c>
      <c r="U37" s="157">
        <f t="shared" si="35"/>
        <v>0.319148936170213</v>
      </c>
      <c r="V37" s="94">
        <f t="shared" si="36"/>
        <v>0.218462007643264</v>
      </c>
      <c r="W37" s="91">
        <v>24533</v>
      </c>
      <c r="X37" s="91">
        <v>218</v>
      </c>
      <c r="Y37" s="91">
        <v>32</v>
      </c>
      <c r="Z37" s="91">
        <v>229.23</v>
      </c>
      <c r="AA37" s="92">
        <v>714.53</v>
      </c>
      <c r="AB37" s="91">
        <v>1.05</v>
      </c>
      <c r="AC37" s="71">
        <f t="shared" si="37"/>
        <v>0.320812282199488</v>
      </c>
      <c r="AD37" s="72">
        <f t="shared" si="38"/>
        <v>0.00888599029878123</v>
      </c>
      <c r="AE37" s="72">
        <f t="shared" si="39"/>
        <v>0.146788990825688</v>
      </c>
      <c r="AF37" s="154">
        <f t="shared" si="40"/>
        <v>7.1634375</v>
      </c>
      <c r="AG37" s="160">
        <v>12</v>
      </c>
      <c r="AH37" s="161">
        <v>20</v>
      </c>
      <c r="AI37" s="161">
        <v>12</v>
      </c>
      <c r="AJ37" s="211">
        <v>3</v>
      </c>
      <c r="AK37" s="163">
        <f>AG37*产品成本!$D$5+AH37*产品成本!$D$6+AI37*产品成本!$D$7+AJ37*产品成本!$D$8</f>
        <v>149.295774647887</v>
      </c>
      <c r="AL37" s="163">
        <f>AG37*产品成本!$E$5+AH37*产品成本!$E$6+AI37*产品成本!$E$7+AJ37*产品成本!$E$8</f>
        <v>16.84</v>
      </c>
      <c r="AM37" s="163">
        <f>AG37*产品成本!$F$5+AH37*产品成本!$F$6+AI37*产品成本!$F$7+AJ37*产品成本!$F$8</f>
        <v>17.87</v>
      </c>
      <c r="AN37" s="163">
        <f>AG37*产品成本!$G$5+AH37*产品成本!$G$6+AI37*产品成本!$G$7+AJ37*产品成本!$G$8</f>
        <v>220.32</v>
      </c>
      <c r="AO37" s="163">
        <f t="shared" si="41"/>
        <v>157.3935</v>
      </c>
      <c r="AP37" s="164">
        <f t="shared" si="42"/>
        <v>561.719274647887</v>
      </c>
      <c r="AQ37" s="165">
        <v>2</v>
      </c>
      <c r="AR37" s="165">
        <v>1</v>
      </c>
      <c r="AS37" s="165">
        <v>0</v>
      </c>
      <c r="AT37" s="211">
        <v>0</v>
      </c>
      <c r="AU37" s="212">
        <f t="shared" si="43"/>
        <v>85.2560975609756</v>
      </c>
      <c r="AV37" s="163">
        <f>AQ37*产品成本!$D$5+AR37*产品成本!$D$6+AS37*产品成本!$D$7+AT37*产品成本!D46</f>
        <v>8.16901408450704</v>
      </c>
      <c r="AW37" s="163">
        <f>AQ37*产品成本!$E$5+AR37*产品成本!$E$6+AS37*产品成本!$E$7+AT37*产品成本!E46</f>
        <v>0.86</v>
      </c>
      <c r="AX37" s="163">
        <f>AQ37*产品成本!$F$5+AR37*产品成本!$F$6+AS37*产品成本!$F$7+AT37*产品成本!F46</f>
        <v>1.16</v>
      </c>
      <c r="AY37" s="163"/>
      <c r="AZ37" s="163">
        <f t="shared" si="44"/>
        <v>12.7884146341463</v>
      </c>
      <c r="BA37" s="163">
        <f t="shared" si="45"/>
        <v>-2.55768292682927</v>
      </c>
      <c r="BB37" s="164">
        <f t="shared" si="46"/>
        <v>20.4197457918241</v>
      </c>
      <c r="BC37" s="169">
        <f t="shared" si="47"/>
        <v>541.299528856063</v>
      </c>
      <c r="BD37" s="169">
        <f t="shared" si="48"/>
        <v>1049.29</v>
      </c>
      <c r="BE37" s="169">
        <f t="shared" si="49"/>
        <v>964.033902439024</v>
      </c>
      <c r="BF37" s="168">
        <f t="shared" si="50"/>
        <v>193.504373582961</v>
      </c>
      <c r="BG37" s="213">
        <f t="shared" si="51"/>
        <v>0.200723618840988</v>
      </c>
    </row>
    <row r="38" ht="29.1" customHeight="1" spans="1:61">
      <c r="A38" s="61" t="s">
        <v>162</v>
      </c>
      <c r="B38" s="89" t="s">
        <v>163</v>
      </c>
      <c r="C38" s="90">
        <v>47</v>
      </c>
      <c r="D38" s="91">
        <v>45</v>
      </c>
      <c r="E38" s="64">
        <v>993.62</v>
      </c>
      <c r="F38" s="148">
        <v>1</v>
      </c>
      <c r="G38" s="148">
        <v>1</v>
      </c>
      <c r="H38" s="64">
        <v>18.78</v>
      </c>
      <c r="I38" s="64">
        <v>1.88</v>
      </c>
      <c r="J38" s="207">
        <v>4</v>
      </c>
      <c r="K38" s="215">
        <f t="shared" si="27"/>
        <v>0.0851063829787234</v>
      </c>
      <c r="L38" s="209">
        <v>68.29</v>
      </c>
      <c r="M38" s="210">
        <f t="shared" si="28"/>
        <v>0</v>
      </c>
      <c r="N38" s="208">
        <f t="shared" si="29"/>
        <v>-0.0425531914893617</v>
      </c>
      <c r="O38" s="208">
        <f t="shared" si="30"/>
        <v>-0.0588669880750542</v>
      </c>
      <c r="P38" s="153">
        <f t="shared" si="31"/>
        <v>1.04444444444444</v>
      </c>
      <c r="Q38" s="155">
        <f t="shared" si="32"/>
        <v>22.0804444444444</v>
      </c>
      <c r="R38" s="187">
        <f t="shared" si="33"/>
        <v>21.1408510638298</v>
      </c>
      <c r="S38" s="187">
        <f t="shared" si="26"/>
        <v>6.71428571428571</v>
      </c>
      <c r="T38" s="193">
        <f t="shared" si="34"/>
        <v>14</v>
      </c>
      <c r="U38" s="157">
        <f t="shared" si="35"/>
        <v>0.311111111111111</v>
      </c>
      <c r="V38" s="94">
        <f t="shared" si="36"/>
        <v>0.237975679109444</v>
      </c>
      <c r="W38" s="91">
        <v>21172</v>
      </c>
      <c r="X38" s="91">
        <v>214</v>
      </c>
      <c r="Y38" s="91">
        <v>31</v>
      </c>
      <c r="Z38" s="91">
        <v>236.01</v>
      </c>
      <c r="AA38" s="92">
        <v>665.06</v>
      </c>
      <c r="AB38" s="91">
        <v>1.1</v>
      </c>
      <c r="AC38" s="71">
        <f t="shared" si="37"/>
        <v>0.354870237271825</v>
      </c>
      <c r="AD38" s="72">
        <f t="shared" si="38"/>
        <v>0.0101076894010958</v>
      </c>
      <c r="AE38" s="72">
        <f t="shared" si="39"/>
        <v>0.144859813084112</v>
      </c>
      <c r="AF38" s="154">
        <f t="shared" si="40"/>
        <v>7.61322580645161</v>
      </c>
      <c r="AG38" s="160">
        <v>13</v>
      </c>
      <c r="AH38" s="161">
        <v>20</v>
      </c>
      <c r="AI38" s="161">
        <v>11</v>
      </c>
      <c r="AJ38" s="211">
        <v>3</v>
      </c>
      <c r="AK38" s="163">
        <f>AG38*产品成本!$D$5+AH38*产品成本!$D$6+AI38*产品成本!$D$7+AJ38*产品成本!$D$8</f>
        <v>148.30985915493</v>
      </c>
      <c r="AL38" s="163">
        <f>AG38*产品成本!$E$5+AH38*产品成本!$E$6+AI38*产品成本!$E$7+AJ38*产品成本!$E$8</f>
        <v>16.71</v>
      </c>
      <c r="AM38" s="163">
        <f>AG38*产品成本!$F$5+AH38*产品成本!$F$6+AI38*产品成本!$F$7+AJ38*产品成本!$F$8</f>
        <v>17.87</v>
      </c>
      <c r="AN38" s="163">
        <f>AG38*产品成本!$G$5+AH38*产品成本!$G$6+AI38*产品成本!$G$7+AJ38*产品成本!$G$8</f>
        <v>219.94</v>
      </c>
      <c r="AO38" s="163">
        <f t="shared" si="41"/>
        <v>148.761</v>
      </c>
      <c r="AP38" s="164">
        <f t="shared" si="42"/>
        <v>551.59085915493</v>
      </c>
      <c r="AQ38" s="165">
        <v>1</v>
      </c>
      <c r="AR38" s="165">
        <v>1</v>
      </c>
      <c r="AS38" s="165">
        <v>2</v>
      </c>
      <c r="AT38" s="211">
        <v>0</v>
      </c>
      <c r="AU38" s="212">
        <f t="shared" si="43"/>
        <v>83.2804878048781</v>
      </c>
      <c r="AV38" s="163">
        <f>AQ38*产品成本!$D$5+AR38*产品成本!$D$6+AS38*产品成本!$D$7+AT38*产品成本!D47</f>
        <v>12.8169014084507</v>
      </c>
      <c r="AW38" s="163">
        <f>AQ38*产品成本!$E$5+AR38*产品成本!$E$6+AS38*产品成本!$E$7+AT38*产品成本!E47</f>
        <v>1.39</v>
      </c>
      <c r="AX38" s="163">
        <f>AQ38*产品成本!$F$5+AR38*产品成本!$F$6+AS38*产品成本!$F$7+AT38*产品成本!F47</f>
        <v>1.57</v>
      </c>
      <c r="AY38" s="163"/>
      <c r="AZ38" s="163">
        <f t="shared" si="44"/>
        <v>12.4920731707317</v>
      </c>
      <c r="BA38" s="163">
        <f t="shared" si="45"/>
        <v>-2.49841463414634</v>
      </c>
      <c r="BB38" s="164">
        <f t="shared" si="46"/>
        <v>25.7705599450361</v>
      </c>
      <c r="BC38" s="169">
        <f t="shared" si="47"/>
        <v>525.820299209894</v>
      </c>
      <c r="BD38" s="169">
        <f t="shared" si="48"/>
        <v>991.74</v>
      </c>
      <c r="BE38" s="169">
        <f t="shared" si="49"/>
        <v>908.459512195122</v>
      </c>
      <c r="BF38" s="168">
        <f t="shared" si="50"/>
        <v>146.629212985228</v>
      </c>
      <c r="BG38" s="213">
        <f t="shared" si="51"/>
        <v>0.161404235430291</v>
      </c>
    </row>
    <row r="39" ht="29.1" customHeight="1" spans="1:61">
      <c r="A39" s="61" t="s">
        <v>165</v>
      </c>
      <c r="B39" s="61" t="s">
        <v>166</v>
      </c>
      <c r="C39" s="90">
        <v>51</v>
      </c>
      <c r="D39" s="91">
        <v>46</v>
      </c>
      <c r="E39" s="64">
        <v>967.06</v>
      </c>
      <c r="F39" s="148">
        <v>0</v>
      </c>
      <c r="G39" s="148">
        <v>0</v>
      </c>
      <c r="H39" s="64">
        <v>0</v>
      </c>
      <c r="I39" s="64">
        <v>0</v>
      </c>
      <c r="J39" s="207">
        <v>2</v>
      </c>
      <c r="K39" s="215">
        <f t="shared" si="27"/>
        <v>0.0392156862745098</v>
      </c>
      <c r="L39" s="209">
        <v>32.36</v>
      </c>
      <c r="M39" s="210">
        <f t="shared" si="28"/>
        <v>0.0851063829787234</v>
      </c>
      <c r="N39" s="208">
        <f t="shared" si="29"/>
        <v>0.0222222222222222</v>
      </c>
      <c r="O39" s="208">
        <f t="shared" si="30"/>
        <v>-0.0267305408506271</v>
      </c>
      <c r="P39" s="153">
        <f t="shared" si="31"/>
        <v>1.10869565217391</v>
      </c>
      <c r="Q39" s="155">
        <f t="shared" si="32"/>
        <v>21.0230434782609</v>
      </c>
      <c r="R39" s="187">
        <f t="shared" si="33"/>
        <v>18.9619607843137</v>
      </c>
      <c r="S39" s="187">
        <f t="shared" ref="S39:S46" si="52">C39/4</f>
        <v>12.75</v>
      </c>
      <c r="T39" s="193">
        <f t="shared" si="34"/>
        <v>24</v>
      </c>
      <c r="U39" s="157">
        <f t="shared" si="35"/>
        <v>0.521739130434783</v>
      </c>
      <c r="V39" s="94">
        <f t="shared" si="36"/>
        <v>0.249405414348644</v>
      </c>
      <c r="W39" s="91">
        <v>20363</v>
      </c>
      <c r="X39" s="91">
        <v>187</v>
      </c>
      <c r="Y39" s="91">
        <v>22</v>
      </c>
      <c r="Z39" s="91">
        <v>241.19</v>
      </c>
      <c r="AA39" s="92">
        <v>469.42</v>
      </c>
      <c r="AB39" s="91">
        <v>1.29</v>
      </c>
      <c r="AC39" s="71">
        <f t="shared" si="37"/>
        <v>0.513804269098036</v>
      </c>
      <c r="AD39" s="72">
        <f t="shared" si="38"/>
        <v>0.00918332269311987</v>
      </c>
      <c r="AE39" s="72">
        <f t="shared" si="39"/>
        <v>0.117647058823529</v>
      </c>
      <c r="AF39" s="154">
        <f t="shared" si="40"/>
        <v>10.9631818181818</v>
      </c>
      <c r="AG39" s="160">
        <v>13</v>
      </c>
      <c r="AH39" s="161">
        <v>18</v>
      </c>
      <c r="AI39" s="161">
        <v>16</v>
      </c>
      <c r="AJ39" s="211">
        <v>2</v>
      </c>
      <c r="AK39" s="163">
        <f>AG39*产品成本!$D$5+AH39*产品成本!$D$6+AI39*产品成本!$D$7+AJ39*产品成本!$D$8</f>
        <v>155.352112676056</v>
      </c>
      <c r="AL39" s="163">
        <f>AG39*产品成本!$E$5+AH39*产品成本!$E$6+AI39*产品成本!$E$7+AJ39*产品成本!$E$8</f>
        <v>17.27</v>
      </c>
      <c r="AM39" s="163">
        <f>AG39*产品成本!$F$5+AH39*产品成本!$F$6+AI39*产品成本!$F$7+AJ39*产品成本!$F$8</f>
        <v>18.83</v>
      </c>
      <c r="AN39" s="163">
        <f>AG39*产品成本!$G$5+AH39*产品成本!$G$6+AI39*产品成本!$G$7+AJ39*产品成本!$G$8</f>
        <v>232.66</v>
      </c>
      <c r="AO39" s="163">
        <f t="shared" si="41"/>
        <v>145.059</v>
      </c>
      <c r="AP39" s="164">
        <f t="shared" si="42"/>
        <v>569.171112676056</v>
      </c>
      <c r="AQ39" s="165">
        <v>1</v>
      </c>
      <c r="AR39" s="165">
        <v>0</v>
      </c>
      <c r="AS39" s="165">
        <v>1</v>
      </c>
      <c r="AT39" s="211">
        <v>0</v>
      </c>
      <c r="AU39" s="212">
        <f t="shared" si="43"/>
        <v>39.4634146341463</v>
      </c>
      <c r="AV39" s="163">
        <f>AQ39*产品成本!$D$5+AR39*产品成本!$D$6+AS39*产品成本!$D$7+AT39*产品成本!D48</f>
        <v>6.33802816901409</v>
      </c>
      <c r="AW39" s="163">
        <f>AQ39*产品成本!$E$5+AR39*产品成本!$E$6+AS39*产品成本!$E$7+AT39*产品成本!E48</f>
        <v>0.67</v>
      </c>
      <c r="AX39" s="163">
        <f>AQ39*产品成本!$F$5+AR39*产品成本!$F$6+AS39*产品成本!$F$7+AT39*产品成本!F48</f>
        <v>0.82</v>
      </c>
      <c r="AY39" s="163"/>
      <c r="AZ39" s="163">
        <f t="shared" si="44"/>
        <v>5.91951219512195</v>
      </c>
      <c r="BA39" s="163">
        <f t="shared" si="45"/>
        <v>-1.18390243902439</v>
      </c>
      <c r="BB39" s="164">
        <f t="shared" si="46"/>
        <v>12.5636379251117</v>
      </c>
      <c r="BC39" s="169">
        <f t="shared" si="47"/>
        <v>556.607474750945</v>
      </c>
      <c r="BD39" s="169">
        <f t="shared" si="48"/>
        <v>967.06</v>
      </c>
      <c r="BE39" s="169">
        <f t="shared" si="49"/>
        <v>927.596585365854</v>
      </c>
      <c r="BF39" s="168">
        <f t="shared" si="50"/>
        <v>129.799110614909</v>
      </c>
      <c r="BG39" s="213">
        <f t="shared" si="51"/>
        <v>0.139930561046335</v>
      </c>
    </row>
    <row r="40" ht="29.1" customHeight="1" spans="1:61">
      <c r="A40" s="61" t="s">
        <v>167</v>
      </c>
      <c r="B40" s="61" t="s">
        <v>168</v>
      </c>
      <c r="C40" s="90">
        <v>68</v>
      </c>
      <c r="D40" s="91">
        <v>63</v>
      </c>
      <c r="E40" s="64">
        <v>1333.48</v>
      </c>
      <c r="F40" s="148">
        <v>0</v>
      </c>
      <c r="G40" s="148">
        <v>0</v>
      </c>
      <c r="H40" s="64">
        <v>0</v>
      </c>
      <c r="I40" s="64">
        <v>0</v>
      </c>
      <c r="J40" s="207">
        <v>4</v>
      </c>
      <c r="K40" s="215">
        <f t="shared" si="27"/>
        <v>0.0588235294117647</v>
      </c>
      <c r="L40" s="209">
        <v>65.13</v>
      </c>
      <c r="M40" s="210">
        <f t="shared" si="28"/>
        <v>0.333333333333333</v>
      </c>
      <c r="N40" s="208">
        <f t="shared" si="29"/>
        <v>0.369565217391304</v>
      </c>
      <c r="O40" s="208">
        <f t="shared" si="30"/>
        <v>0.378900998903894</v>
      </c>
      <c r="P40" s="153">
        <f t="shared" si="31"/>
        <v>1.07936507936508</v>
      </c>
      <c r="Q40" s="155">
        <f t="shared" si="32"/>
        <v>21.1663492063492</v>
      </c>
      <c r="R40" s="187">
        <f t="shared" si="33"/>
        <v>19.61</v>
      </c>
      <c r="S40" s="187">
        <f t="shared" si="52"/>
        <v>17</v>
      </c>
      <c r="T40" s="193">
        <f t="shared" si="34"/>
        <v>28</v>
      </c>
      <c r="U40" s="157">
        <f t="shared" si="35"/>
        <v>0.444444444444444</v>
      </c>
      <c r="V40" s="94">
        <f t="shared" si="36"/>
        <v>0.246850346461889</v>
      </c>
      <c r="W40" s="91">
        <v>27726</v>
      </c>
      <c r="X40" s="91">
        <v>262</v>
      </c>
      <c r="Y40" s="91">
        <v>35</v>
      </c>
      <c r="Z40" s="91">
        <v>329.17</v>
      </c>
      <c r="AA40" s="92">
        <v>735.36</v>
      </c>
      <c r="AB40" s="91">
        <v>1.26</v>
      </c>
      <c r="AC40" s="71">
        <f t="shared" si="37"/>
        <v>0.447631092254134</v>
      </c>
      <c r="AD40" s="72">
        <f t="shared" si="38"/>
        <v>0.00944961408064632</v>
      </c>
      <c r="AE40" s="72">
        <f t="shared" si="39"/>
        <v>0.133587786259542</v>
      </c>
      <c r="AF40" s="154">
        <f t="shared" si="40"/>
        <v>9.40485714285714</v>
      </c>
      <c r="AG40" s="160">
        <v>14</v>
      </c>
      <c r="AH40" s="161">
        <v>28</v>
      </c>
      <c r="AI40" s="161">
        <v>23</v>
      </c>
      <c r="AJ40" s="211">
        <v>3</v>
      </c>
      <c r="AK40" s="163">
        <f>AG40*产品成本!$D$5+AH40*产品成本!$D$6+AI40*产品成本!$D$7+AJ40*产品成本!$D$8</f>
        <v>217.464788732394</v>
      </c>
      <c r="AL40" s="163">
        <f>AG40*产品成本!$E$5+AH40*产品成本!$E$6+AI40*产品成本!$E$7+AJ40*产品成本!$E$8</f>
        <v>24.34</v>
      </c>
      <c r="AM40" s="163">
        <f>AG40*产品成本!$F$5+AH40*产品成本!$F$6+AI40*产品成本!$F$7+AJ40*产品成本!$F$8</f>
        <v>25.92</v>
      </c>
      <c r="AN40" s="163">
        <f>AG40*产品成本!$G$5+AH40*产品成本!$G$6+AI40*产品成本!$G$7+AJ40*产品成本!$G$8</f>
        <v>320.84</v>
      </c>
      <c r="AO40" s="163">
        <f t="shared" si="41"/>
        <v>200.022</v>
      </c>
      <c r="AP40" s="164">
        <f t="shared" si="42"/>
        <v>788.586788732394</v>
      </c>
      <c r="AQ40" s="165">
        <v>1</v>
      </c>
      <c r="AR40" s="165">
        <v>1</v>
      </c>
      <c r="AS40" s="165">
        <v>2</v>
      </c>
      <c r="AT40" s="211">
        <v>0</v>
      </c>
      <c r="AU40" s="212">
        <f t="shared" si="43"/>
        <v>79.4268292682927</v>
      </c>
      <c r="AV40" s="163">
        <f>AQ40*产品成本!$D$5+AR40*产品成本!$D$6+AS40*产品成本!$D$7+AT40*产品成本!D49</f>
        <v>12.8169014084507</v>
      </c>
      <c r="AW40" s="163">
        <f>AQ40*产品成本!$E$5+AR40*产品成本!$E$6+AS40*产品成本!$E$7+AT40*产品成本!E49</f>
        <v>1.39</v>
      </c>
      <c r="AX40" s="163">
        <f>AQ40*产品成本!$F$5+AR40*产品成本!$F$6+AS40*产品成本!$F$7+AT40*产品成本!F49</f>
        <v>1.57</v>
      </c>
      <c r="AY40" s="163"/>
      <c r="AZ40" s="163">
        <f t="shared" si="44"/>
        <v>11.9140243902439</v>
      </c>
      <c r="BA40" s="163">
        <f t="shared" si="45"/>
        <v>-2.38280487804878</v>
      </c>
      <c r="BB40" s="164">
        <f t="shared" si="46"/>
        <v>25.3081209206458</v>
      </c>
      <c r="BC40" s="169">
        <f t="shared" si="47"/>
        <v>763.278667811749</v>
      </c>
      <c r="BD40" s="169">
        <f t="shared" si="48"/>
        <v>1333.48</v>
      </c>
      <c r="BE40" s="169">
        <f t="shared" si="49"/>
        <v>1254.05317073171</v>
      </c>
      <c r="BF40" s="168">
        <f t="shared" si="50"/>
        <v>161.604502919959</v>
      </c>
      <c r="BG40" s="213">
        <f t="shared" si="51"/>
        <v>0.128865750425611</v>
      </c>
    </row>
    <row r="41" ht="29.1" customHeight="1" spans="1:61">
      <c r="A41" s="61" t="s">
        <v>169</v>
      </c>
      <c r="B41" s="61" t="s">
        <v>170</v>
      </c>
      <c r="C41" s="90">
        <v>56</v>
      </c>
      <c r="D41" s="91">
        <v>52</v>
      </c>
      <c r="E41" s="64">
        <v>1253.65</v>
      </c>
      <c r="F41" s="148">
        <v>1</v>
      </c>
      <c r="G41" s="148">
        <v>1</v>
      </c>
      <c r="H41" s="64">
        <v>20.39</v>
      </c>
      <c r="I41" s="64">
        <v>2.04</v>
      </c>
      <c r="J41" s="207">
        <v>4</v>
      </c>
      <c r="K41" s="215">
        <f t="shared" si="27"/>
        <v>0.0714285714285714</v>
      </c>
      <c r="L41" s="209">
        <v>72.55</v>
      </c>
      <c r="M41" s="210">
        <f t="shared" si="28"/>
        <v>-0.176470588235294</v>
      </c>
      <c r="N41" s="208">
        <f t="shared" si="29"/>
        <v>-0.174603174603175</v>
      </c>
      <c r="O41" s="208">
        <f t="shared" si="30"/>
        <v>-0.0598659147493775</v>
      </c>
      <c r="P41" s="153">
        <f t="shared" si="31"/>
        <v>1.07692307692308</v>
      </c>
      <c r="Q41" s="155">
        <f t="shared" si="32"/>
        <v>24.1086538461538</v>
      </c>
      <c r="R41" s="187">
        <f t="shared" si="33"/>
        <v>22.3866071428571</v>
      </c>
      <c r="S41" s="187">
        <f t="shared" si="52"/>
        <v>14</v>
      </c>
      <c r="T41" s="193">
        <f t="shared" si="34"/>
        <v>17</v>
      </c>
      <c r="U41" s="157">
        <f t="shared" si="35"/>
        <v>0.326923076923077</v>
      </c>
      <c r="V41" s="94">
        <f t="shared" si="36"/>
        <v>0.206246354695153</v>
      </c>
      <c r="W41" s="91">
        <v>19871</v>
      </c>
      <c r="X41" s="91">
        <v>226</v>
      </c>
      <c r="Y41" s="91">
        <v>35</v>
      </c>
      <c r="Z41" s="91">
        <v>258.14</v>
      </c>
      <c r="AA41" s="92">
        <v>824.14</v>
      </c>
      <c r="AB41" s="91">
        <v>1.14</v>
      </c>
      <c r="AC41" s="71">
        <f t="shared" si="37"/>
        <v>0.313223481447327</v>
      </c>
      <c r="AD41" s="72">
        <f t="shared" si="38"/>
        <v>0.0113733581601329</v>
      </c>
      <c r="AE41" s="72">
        <f t="shared" si="39"/>
        <v>0.154867256637168</v>
      </c>
      <c r="AF41" s="154">
        <f t="shared" si="40"/>
        <v>7.37542857142857</v>
      </c>
      <c r="AG41" s="160">
        <v>15</v>
      </c>
      <c r="AH41" s="161">
        <v>13</v>
      </c>
      <c r="AI41" s="161">
        <v>27</v>
      </c>
      <c r="AJ41" s="211">
        <v>1</v>
      </c>
      <c r="AK41" s="163">
        <f>AG41*产品成本!$D$5+AH41*产品成本!$D$6+AI41*产品成本!$D$7+AJ41*产品成本!$D$8</f>
        <v>181.267605633803</v>
      </c>
      <c r="AL41" s="163">
        <f>AG41*产品成本!$E$5+AH41*产品成本!$E$6+AI41*产品成本!$E$7+AJ41*产品成本!$E$8</f>
        <v>19.81</v>
      </c>
      <c r="AM41" s="163">
        <f>AG41*产品成本!$F$5+AH41*产品成本!$F$6+AI41*产品成本!$F$7+AJ41*产品成本!$F$8</f>
        <v>22.05</v>
      </c>
      <c r="AN41" s="163">
        <f>AG41*产品成本!$G$5+AH41*产品成本!$G$6+AI41*产品成本!$G$7+AJ41*产品成本!$G$8</f>
        <v>274.62</v>
      </c>
      <c r="AO41" s="163">
        <f t="shared" si="41"/>
        <v>187.7415</v>
      </c>
      <c r="AP41" s="164">
        <f t="shared" si="42"/>
        <v>685.489105633803</v>
      </c>
      <c r="AQ41" s="165">
        <v>3</v>
      </c>
      <c r="AR41" s="165">
        <v>1</v>
      </c>
      <c r="AS41" s="165">
        <v>0</v>
      </c>
      <c r="AT41" s="211">
        <v>0</v>
      </c>
      <c r="AU41" s="212">
        <f t="shared" si="43"/>
        <v>88.4756097560976</v>
      </c>
      <c r="AV41" s="163">
        <f>AQ41*产品成本!$D$5+AR41*产品成本!$D$6+AS41*产品成本!$D$7+AT41*产品成本!D50</f>
        <v>10.8450704225352</v>
      </c>
      <c r="AW41" s="163">
        <f>AQ41*产品成本!$E$5+AR41*产品成本!$E$6+AS41*产品成本!$E$7+AT41*产品成本!E50</f>
        <v>1.13</v>
      </c>
      <c r="AX41" s="163">
        <f>AQ41*产品成本!$F$5+AR41*产品成本!$F$6+AS41*产品成本!$F$7+AT41*产品成本!F50</f>
        <v>1.57</v>
      </c>
      <c r="AY41" s="163"/>
      <c r="AZ41" s="163">
        <f t="shared" si="44"/>
        <v>13.2713414634146</v>
      </c>
      <c r="BA41" s="163">
        <f t="shared" si="45"/>
        <v>-2.65426829268293</v>
      </c>
      <c r="BB41" s="164">
        <f t="shared" si="46"/>
        <v>24.1621435932669</v>
      </c>
      <c r="BC41" s="169">
        <f t="shared" si="47"/>
        <v>661.326962040536</v>
      </c>
      <c r="BD41" s="169">
        <f t="shared" si="48"/>
        <v>1251.61</v>
      </c>
      <c r="BE41" s="169">
        <f t="shared" si="49"/>
        <v>1163.1343902439</v>
      </c>
      <c r="BF41" s="168">
        <f t="shared" si="50"/>
        <v>243.667428203367</v>
      </c>
      <c r="BG41" s="213">
        <f t="shared" si="51"/>
        <v>0.209492067509302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72</v>
      </c>
      <c r="E42" s="64">
        <v>1502.9</v>
      </c>
      <c r="F42" s="148">
        <v>7</v>
      </c>
      <c r="G42" s="148">
        <v>6</v>
      </c>
      <c r="H42" s="64">
        <v>152.64</v>
      </c>
      <c r="I42" s="64">
        <v>11.46</v>
      </c>
      <c r="J42" s="207">
        <v>3</v>
      </c>
      <c r="K42" s="215">
        <f t="shared" si="27"/>
        <v>0.0405405405405405</v>
      </c>
      <c r="L42" s="209">
        <v>52.93</v>
      </c>
      <c r="M42" s="210">
        <f t="shared" si="28"/>
        <v>0.321428571428571</v>
      </c>
      <c r="N42" s="208">
        <f t="shared" si="29"/>
        <v>0.384615384615385</v>
      </c>
      <c r="O42" s="208">
        <f t="shared" si="30"/>
        <v>0.198819447214135</v>
      </c>
      <c r="P42" s="153">
        <f t="shared" si="31"/>
        <v>1.02777777777778</v>
      </c>
      <c r="Q42" s="155">
        <f t="shared" si="32"/>
        <v>20.8736111111111</v>
      </c>
      <c r="R42" s="187">
        <f t="shared" si="33"/>
        <v>20.3094594594595</v>
      </c>
      <c r="S42" s="187">
        <f t="shared" si="52"/>
        <v>18.5</v>
      </c>
      <c r="T42" s="193">
        <f t="shared" si="34"/>
        <v>27</v>
      </c>
      <c r="U42" s="157">
        <f t="shared" si="35"/>
        <v>0.375</v>
      </c>
      <c r="V42" s="94">
        <f t="shared" si="36"/>
        <v>0.221611328648823</v>
      </c>
      <c r="W42" s="91">
        <v>26370</v>
      </c>
      <c r="X42" s="91">
        <v>294</v>
      </c>
      <c r="Y42" s="91">
        <v>45</v>
      </c>
      <c r="Z42" s="91">
        <v>330.52</v>
      </c>
      <c r="AA42" s="92">
        <v>986.95</v>
      </c>
      <c r="AB42" s="91">
        <v>1.12</v>
      </c>
      <c r="AC42" s="71">
        <f t="shared" si="37"/>
        <v>0.334890318658493</v>
      </c>
      <c r="AD42" s="72">
        <f t="shared" si="38"/>
        <v>0.0111490329920364</v>
      </c>
      <c r="AE42" s="72">
        <f t="shared" si="39"/>
        <v>0.153061224489796</v>
      </c>
      <c r="AF42" s="154">
        <f t="shared" si="40"/>
        <v>7.34488888888889</v>
      </c>
      <c r="AG42" s="160">
        <v>33</v>
      </c>
      <c r="AH42" s="161">
        <v>21</v>
      </c>
      <c r="AI42" s="161">
        <v>17</v>
      </c>
      <c r="AJ42" s="211">
        <v>3</v>
      </c>
      <c r="AK42" s="163">
        <f>AG42*产品成本!$D$5+AH42*产品成本!$D$6+AI42*产品成本!$D$7+AJ42*产品成本!$D$8</f>
        <v>226.619718309859</v>
      </c>
      <c r="AL42" s="163">
        <f>AG42*产品成本!$E$5+AH42*产品成本!$E$6+AI42*产品成本!$E$7+AJ42*产品成本!$E$8</f>
        <v>24.83</v>
      </c>
      <c r="AM42" s="163">
        <f>AG42*产品成本!$F$5+AH42*产品成本!$F$6+AI42*产品成本!$F$7+AJ42*产品成本!$F$8</f>
        <v>28.87</v>
      </c>
      <c r="AN42" s="163">
        <f>AG42*产品成本!$G$5+AH42*产品成本!$G$6+AI42*产品成本!$G$7+AJ42*产品成本!$G$8</f>
        <v>353.7</v>
      </c>
      <c r="AO42" s="163">
        <f t="shared" si="41"/>
        <v>223.716</v>
      </c>
      <c r="AP42" s="164">
        <f t="shared" si="42"/>
        <v>857.735718309859</v>
      </c>
      <c r="AQ42" s="165">
        <v>1</v>
      </c>
      <c r="AR42" s="165">
        <v>1</v>
      </c>
      <c r="AS42" s="165">
        <v>1</v>
      </c>
      <c r="AT42" s="211">
        <v>0</v>
      </c>
      <c r="AU42" s="212">
        <f t="shared" si="43"/>
        <v>64.5487804878049</v>
      </c>
      <c r="AV42" s="163">
        <f>AQ42*产品成本!$D$5+AR42*产品成本!$D$6+AS42*产品成本!$D$7+AT42*产品成本!D51</f>
        <v>9.15492957746479</v>
      </c>
      <c r="AW42" s="163">
        <f>AQ42*产品成本!$E$5+AR42*产品成本!$E$6+AS42*产品成本!$E$7+AT42*产品成本!E51</f>
        <v>0.99</v>
      </c>
      <c r="AX42" s="163">
        <f>AQ42*产品成本!$F$5+AR42*产品成本!$F$6+AS42*产品成本!$F$7+AT42*产品成本!F51</f>
        <v>1.16</v>
      </c>
      <c r="AY42" s="163"/>
      <c r="AZ42" s="163">
        <f t="shared" si="44"/>
        <v>9.68231707317073</v>
      </c>
      <c r="BA42" s="163">
        <f t="shared" si="45"/>
        <v>-1.93646341463415</v>
      </c>
      <c r="BB42" s="164">
        <f t="shared" si="46"/>
        <v>19.0507832360014</v>
      </c>
      <c r="BC42" s="169">
        <f t="shared" si="47"/>
        <v>838.684935073858</v>
      </c>
      <c r="BD42" s="169">
        <f t="shared" si="48"/>
        <v>1491.44</v>
      </c>
      <c r="BE42" s="169">
        <f t="shared" si="49"/>
        <v>1426.8912195122</v>
      </c>
      <c r="BF42" s="168">
        <f t="shared" si="50"/>
        <v>257.686284438337</v>
      </c>
      <c r="BG42" s="213">
        <f t="shared" si="51"/>
        <v>0.180592802670992</v>
      </c>
    </row>
    <row r="43" ht="29.1" customHeight="1" spans="1:61">
      <c r="A43" s="61" t="s">
        <v>175</v>
      </c>
      <c r="B43" s="61" t="s">
        <v>176</v>
      </c>
      <c r="C43" s="90">
        <v>44</v>
      </c>
      <c r="D43" s="91">
        <v>44</v>
      </c>
      <c r="E43" s="64">
        <v>1057.76</v>
      </c>
      <c r="F43" s="148">
        <v>3</v>
      </c>
      <c r="G43" s="148">
        <v>3</v>
      </c>
      <c r="H43" s="64">
        <v>71.97</v>
      </c>
      <c r="I43" s="64">
        <v>7.2</v>
      </c>
      <c r="J43" s="207">
        <v>4</v>
      </c>
      <c r="K43" s="215">
        <f t="shared" si="27"/>
        <v>0.0909090909090909</v>
      </c>
      <c r="L43" s="209">
        <v>49.83</v>
      </c>
      <c r="M43" s="210">
        <f t="shared" si="28"/>
        <v>-0.405405405405405</v>
      </c>
      <c r="N43" s="208">
        <f t="shared" si="29"/>
        <v>-0.388888888888889</v>
      </c>
      <c r="O43" s="208">
        <f t="shared" si="30"/>
        <v>-0.296187371082574</v>
      </c>
      <c r="P43" s="153">
        <f t="shared" si="31"/>
        <v>1</v>
      </c>
      <c r="Q43" s="155">
        <f t="shared" si="32"/>
        <v>24.04</v>
      </c>
      <c r="R43" s="187">
        <f t="shared" si="33"/>
        <v>24.04</v>
      </c>
      <c r="S43" s="187">
        <f t="shared" si="52"/>
        <v>11</v>
      </c>
      <c r="T43" s="193">
        <f t="shared" si="34"/>
        <v>19</v>
      </c>
      <c r="U43" s="157">
        <f t="shared" si="35"/>
        <v>0.431818181818182</v>
      </c>
      <c r="V43" s="94">
        <f t="shared" si="36"/>
        <v>0.268532972890649</v>
      </c>
      <c r="W43" s="91">
        <v>25424</v>
      </c>
      <c r="X43" s="91">
        <v>250</v>
      </c>
      <c r="Y43" s="91">
        <v>25</v>
      </c>
      <c r="Z43" s="91">
        <v>282.11</v>
      </c>
      <c r="AA43" s="92">
        <v>588.75</v>
      </c>
      <c r="AB43" s="91">
        <v>1.13</v>
      </c>
      <c r="AC43" s="71">
        <f t="shared" si="37"/>
        <v>0.479167728237792</v>
      </c>
      <c r="AD43" s="72">
        <f t="shared" si="38"/>
        <v>0.00983322844556325</v>
      </c>
      <c r="AE43" s="72">
        <f t="shared" si="39"/>
        <v>0.1</v>
      </c>
      <c r="AF43" s="154">
        <f t="shared" si="40"/>
        <v>11.2844</v>
      </c>
      <c r="AG43" s="160">
        <v>17</v>
      </c>
      <c r="AH43" s="161">
        <v>11</v>
      </c>
      <c r="AI43" s="161">
        <v>15</v>
      </c>
      <c r="AJ43" s="211">
        <v>1</v>
      </c>
      <c r="AK43" s="163">
        <f>AG43*产品成本!$D$5+AH43*产品成本!$D$6+AI43*产品成本!$D$7+AJ43*产品成本!$D$8</f>
        <v>137.042253521127</v>
      </c>
      <c r="AL43" s="163">
        <f>AG43*产品成本!$E$5+AH43*产品成本!$E$6+AI43*产品成本!$E$7+AJ43*产品成本!$E$8</f>
        <v>14.91</v>
      </c>
      <c r="AM43" s="163">
        <f>AG43*产品成本!$F$5+AH43*产品成本!$F$6+AI43*产品成本!$F$7+AJ43*产品成本!$F$8</f>
        <v>17.27</v>
      </c>
      <c r="AN43" s="163">
        <f>AG43*产品成本!$G$5+AH43*产品成本!$G$6+AI43*产品成本!$G$7+AJ43*产品成本!$G$8</f>
        <v>212.9</v>
      </c>
      <c r="AO43" s="163">
        <f t="shared" si="41"/>
        <v>157.584</v>
      </c>
      <c r="AP43" s="164">
        <f t="shared" si="42"/>
        <v>539.706253521127</v>
      </c>
      <c r="AQ43" s="165">
        <v>2</v>
      </c>
      <c r="AR43" s="165">
        <v>2</v>
      </c>
      <c r="AS43" s="165">
        <v>0</v>
      </c>
      <c r="AT43" s="211">
        <v>0</v>
      </c>
      <c r="AU43" s="212">
        <f t="shared" si="43"/>
        <v>60.7682926829268</v>
      </c>
      <c r="AV43" s="163">
        <f>AQ43*产品成本!$D$5+AR43*产品成本!$D$6+AS43*产品成本!$D$7+AT43*产品成本!D52</f>
        <v>10.9859154929577</v>
      </c>
      <c r="AW43" s="163">
        <f>AQ43*产品成本!$E$5+AR43*产品成本!$E$6+AS43*产品成本!$E$7+AT43*产品成本!E52</f>
        <v>1.18</v>
      </c>
      <c r="AX43" s="163">
        <f>AQ43*产品成本!$F$5+AR43*产品成本!$F$6+AS43*产品成本!$F$7+AT43*产品成本!F52</f>
        <v>1.5</v>
      </c>
      <c r="AY43" s="163"/>
      <c r="AZ43" s="163">
        <f t="shared" si="44"/>
        <v>9.11524390243902</v>
      </c>
      <c r="BA43" s="163">
        <f t="shared" si="45"/>
        <v>-1.82304878048781</v>
      </c>
      <c r="BB43" s="164">
        <f t="shared" si="46"/>
        <v>20.958110614909</v>
      </c>
      <c r="BC43" s="169">
        <f t="shared" si="47"/>
        <v>518.748142906218</v>
      </c>
      <c r="BD43" s="169">
        <f t="shared" si="48"/>
        <v>1050.56</v>
      </c>
      <c r="BE43" s="169">
        <f t="shared" si="49"/>
        <v>989.791707317073</v>
      </c>
      <c r="BF43" s="168">
        <f t="shared" si="50"/>
        <v>188.933564410855</v>
      </c>
      <c r="BG43" s="213">
        <f t="shared" si="51"/>
        <v>0.190882145217177</v>
      </c>
      <c r="BI43" t="s">
        <v>291</v>
      </c>
    </row>
    <row r="44" ht="29.1" customHeight="1" spans="1:61">
      <c r="A44" s="61" t="s">
        <v>177</v>
      </c>
      <c r="B44" s="61" t="s">
        <v>178</v>
      </c>
      <c r="C44" s="90">
        <v>60</v>
      </c>
      <c r="D44" s="91">
        <v>60</v>
      </c>
      <c r="E44" s="64">
        <v>1272.53</v>
      </c>
      <c r="F44" s="148">
        <v>0</v>
      </c>
      <c r="G44" s="148">
        <v>0</v>
      </c>
      <c r="H44" s="64">
        <v>0</v>
      </c>
      <c r="I44" s="64">
        <v>0</v>
      </c>
      <c r="J44" s="207">
        <v>5</v>
      </c>
      <c r="K44" s="215">
        <f t="shared" si="27"/>
        <v>0.0833333333333333</v>
      </c>
      <c r="L44" s="209">
        <v>84.76</v>
      </c>
      <c r="M44" s="210">
        <f t="shared" si="28"/>
        <v>0.363636363636364</v>
      </c>
      <c r="N44" s="208">
        <f t="shared" si="29"/>
        <v>0.363636363636364</v>
      </c>
      <c r="O44" s="208">
        <f t="shared" si="30"/>
        <v>0.203042278021479</v>
      </c>
      <c r="P44" s="153">
        <f t="shared" si="31"/>
        <v>1</v>
      </c>
      <c r="Q44" s="155">
        <f t="shared" si="32"/>
        <v>21.2088333333333</v>
      </c>
      <c r="R44" s="187">
        <f t="shared" si="33"/>
        <v>21.2088333333333</v>
      </c>
      <c r="S44" s="187">
        <f t="shared" si="52"/>
        <v>15</v>
      </c>
      <c r="T44" s="193">
        <f t="shared" si="34"/>
        <v>20</v>
      </c>
      <c r="U44" s="157">
        <f t="shared" si="35"/>
        <v>0.333333333333333</v>
      </c>
      <c r="V44" s="94">
        <f t="shared" si="36"/>
        <v>0.263875900764619</v>
      </c>
      <c r="W44" s="91">
        <v>23851</v>
      </c>
      <c r="X44" s="91">
        <v>295</v>
      </c>
      <c r="Y44" s="91">
        <v>40</v>
      </c>
      <c r="Z44" s="91">
        <v>335.79</v>
      </c>
      <c r="AA44" s="92">
        <v>842.42</v>
      </c>
      <c r="AB44" s="91">
        <v>1.14</v>
      </c>
      <c r="AC44" s="71">
        <f t="shared" si="37"/>
        <v>0.398601647634197</v>
      </c>
      <c r="AD44" s="72">
        <f t="shared" si="38"/>
        <v>0.0123684541528657</v>
      </c>
      <c r="AE44" s="72">
        <f t="shared" si="39"/>
        <v>0.135593220338983</v>
      </c>
      <c r="AF44" s="154">
        <f t="shared" si="40"/>
        <v>8.39475</v>
      </c>
      <c r="AG44" s="160">
        <v>19</v>
      </c>
      <c r="AH44" s="161">
        <v>19</v>
      </c>
      <c r="AI44" s="161">
        <v>18</v>
      </c>
      <c r="AJ44" s="211">
        <v>4</v>
      </c>
      <c r="AK44" s="163">
        <f>AG44*产品成本!$D$5+AH44*产品成本!$D$6+AI44*产品成本!$D$7+AJ44*产品成本!$D$8</f>
        <v>192.816901408451</v>
      </c>
      <c r="AL44" s="163">
        <f>AG44*产品成本!$E$5+AH44*产品成本!$E$6+AI44*产品成本!$E$7+AJ44*产品成本!$E$8</f>
        <v>21.61</v>
      </c>
      <c r="AM44" s="163">
        <f>AG44*产品成本!$F$5+AH44*产品成本!$F$6+AI44*产品成本!$F$7+AJ44*产品成本!$F$8</f>
        <v>23.27</v>
      </c>
      <c r="AN44" s="163">
        <f>AG44*产品成本!$G$5+AH44*产品成本!$G$6+AI44*产品成本!$G$7+AJ44*产品成本!$G$8</f>
        <v>287.74</v>
      </c>
      <c r="AO44" s="163">
        <f t="shared" si="41"/>
        <v>190.8795</v>
      </c>
      <c r="AP44" s="164">
        <f t="shared" si="42"/>
        <v>716.316401408451</v>
      </c>
      <c r="AQ44" s="165">
        <v>3</v>
      </c>
      <c r="AR44" s="165">
        <v>2</v>
      </c>
      <c r="AS44" s="165">
        <v>0</v>
      </c>
      <c r="AT44" s="211">
        <v>0</v>
      </c>
      <c r="AU44" s="212">
        <f t="shared" si="43"/>
        <v>103.365853658537</v>
      </c>
      <c r="AV44" s="163">
        <f>AQ44*产品成本!$D$5+AR44*产品成本!$D$6+AS44*产品成本!$D$7+AT44*产品成本!D53</f>
        <v>13.6619718309859</v>
      </c>
      <c r="AW44" s="163">
        <f>AQ44*产品成本!$E$5+AR44*产品成本!$E$6+AS44*产品成本!$E$7+AT44*产品成本!E53</f>
        <v>1.45</v>
      </c>
      <c r="AX44" s="163">
        <f>AQ44*产品成本!$F$5+AR44*产品成本!$F$6+AS44*产品成本!$F$7+AT44*产品成本!F53</f>
        <v>1.91</v>
      </c>
      <c r="AY44" s="163"/>
      <c r="AZ44" s="163">
        <f t="shared" si="44"/>
        <v>15.5048780487805</v>
      </c>
      <c r="BA44" s="163">
        <f t="shared" si="45"/>
        <v>-3.1009756097561</v>
      </c>
      <c r="BB44" s="164">
        <f t="shared" si="46"/>
        <v>29.4258742700103</v>
      </c>
      <c r="BC44" s="169">
        <f t="shared" si="47"/>
        <v>686.890527138441</v>
      </c>
      <c r="BD44" s="169">
        <f t="shared" si="48"/>
        <v>1272.53</v>
      </c>
      <c r="BE44" s="169">
        <f t="shared" si="49"/>
        <v>1169.16414634146</v>
      </c>
      <c r="BF44" s="168">
        <f t="shared" si="50"/>
        <v>146.483619203023</v>
      </c>
      <c r="BG44" s="213">
        <f t="shared" si="51"/>
        <v>0.125289181729869</v>
      </c>
    </row>
    <row r="45" ht="29.1" customHeight="1" spans="1:61">
      <c r="A45" s="61" t="s">
        <v>179</v>
      </c>
      <c r="B45" s="61" t="s">
        <v>180</v>
      </c>
      <c r="C45" s="90">
        <v>57</v>
      </c>
      <c r="D45" s="91">
        <v>56</v>
      </c>
      <c r="E45" s="64">
        <v>1193.34</v>
      </c>
      <c r="F45" s="148">
        <v>1</v>
      </c>
      <c r="G45" s="148">
        <v>1</v>
      </c>
      <c r="H45" s="64">
        <v>20.39</v>
      </c>
      <c r="I45" s="64">
        <v>20.39</v>
      </c>
      <c r="J45" s="207">
        <v>1</v>
      </c>
      <c r="K45" s="215">
        <f t="shared" si="27"/>
        <v>0.0175438596491228</v>
      </c>
      <c r="L45" s="209">
        <v>17.2</v>
      </c>
      <c r="M45" s="210">
        <f t="shared" si="28"/>
        <v>-0.05</v>
      </c>
      <c r="N45" s="208">
        <f t="shared" si="29"/>
        <v>-0.0666666666666667</v>
      </c>
      <c r="O45" s="208">
        <f t="shared" si="30"/>
        <v>-0.062230359991513</v>
      </c>
      <c r="P45" s="153">
        <f t="shared" si="31"/>
        <v>1.01785714285714</v>
      </c>
      <c r="Q45" s="155">
        <f t="shared" si="32"/>
        <v>21.3096428571429</v>
      </c>
      <c r="R45" s="187">
        <f t="shared" si="33"/>
        <v>20.9357894736842</v>
      </c>
      <c r="S45" s="187">
        <f t="shared" si="52"/>
        <v>14.25</v>
      </c>
      <c r="T45" s="193">
        <f t="shared" si="34"/>
        <v>20</v>
      </c>
      <c r="U45" s="157">
        <f t="shared" si="35"/>
        <v>0.357142857142857</v>
      </c>
      <c r="V45" s="94">
        <f t="shared" si="36"/>
        <v>0.250922886738565</v>
      </c>
      <c r="W45" s="91">
        <v>22921</v>
      </c>
      <c r="X45" s="91">
        <v>255</v>
      </c>
      <c r="Y45" s="91">
        <v>36</v>
      </c>
      <c r="Z45" s="91">
        <v>294.32</v>
      </c>
      <c r="AA45" s="92">
        <v>772.76</v>
      </c>
      <c r="AB45" s="91">
        <v>1.15</v>
      </c>
      <c r="AC45" s="71">
        <f t="shared" si="37"/>
        <v>0.380868574978001</v>
      </c>
      <c r="AD45" s="72">
        <f t="shared" si="38"/>
        <v>0.0111251690589416</v>
      </c>
      <c r="AE45" s="72">
        <f t="shared" si="39"/>
        <v>0.141176470588235</v>
      </c>
      <c r="AF45" s="154">
        <f t="shared" si="40"/>
        <v>8.17555555555555</v>
      </c>
      <c r="AG45" s="160">
        <v>21</v>
      </c>
      <c r="AH45" s="161">
        <v>18</v>
      </c>
      <c r="AI45" s="161">
        <v>15</v>
      </c>
      <c r="AJ45" s="211">
        <v>3</v>
      </c>
      <c r="AK45" s="163">
        <f>AG45*产品成本!$D$5+AH45*产品成本!$D$6+AI45*产品成本!$D$7+AJ45*产品成本!$D$8</f>
        <v>178.732394366197</v>
      </c>
      <c r="AL45" s="163">
        <f>AG45*产品成本!$E$5+AH45*产品成本!$E$6+AI45*产品成本!$E$7+AJ45*产品成本!$E$8</f>
        <v>19.83</v>
      </c>
      <c r="AM45" s="163">
        <f>AG45*产品成本!$F$5+AH45*产品成本!$F$6+AI45*产品成本!$F$7+AJ45*产品成本!$F$8</f>
        <v>22.11</v>
      </c>
      <c r="AN45" s="163">
        <f>AG45*产品成本!$G$5+AH45*产品成本!$G$6+AI45*产品成本!$G$7+AJ45*产品成本!$G$8</f>
        <v>272.1</v>
      </c>
      <c r="AO45" s="163">
        <f t="shared" si="41"/>
        <v>175.9425</v>
      </c>
      <c r="AP45" s="164">
        <f t="shared" si="42"/>
        <v>668.714894366197</v>
      </c>
      <c r="AQ45" s="165">
        <v>1</v>
      </c>
      <c r="AR45" s="165">
        <v>0</v>
      </c>
      <c r="AS45" s="165">
        <v>0</v>
      </c>
      <c r="AT45" s="211">
        <v>0</v>
      </c>
      <c r="AU45" s="212">
        <f t="shared" si="43"/>
        <v>20.9756097560976</v>
      </c>
      <c r="AV45" s="163">
        <f>AQ45*产品成本!$D$5+AR45*产品成本!$D$6+AS45*产品成本!$D$7+AT45*产品成本!D54</f>
        <v>2.67605633802817</v>
      </c>
      <c r="AW45" s="163">
        <f>AQ45*产品成本!$E$5+AR45*产品成本!$E$6+AS45*产品成本!$E$7+AT45*产品成本!E54</f>
        <v>0.27</v>
      </c>
      <c r="AX45" s="163">
        <f>AQ45*产品成本!$F$5+AR45*产品成本!$F$6+AS45*产品成本!$F$7+AT45*产品成本!F54</f>
        <v>0.41</v>
      </c>
      <c r="AY45" s="163"/>
      <c r="AZ45" s="163">
        <f t="shared" si="44"/>
        <v>3.14634146341463</v>
      </c>
      <c r="BA45" s="163">
        <f t="shared" si="45"/>
        <v>-0.629268292682927</v>
      </c>
      <c r="BB45" s="164">
        <f t="shared" si="46"/>
        <v>5.87312950875988</v>
      </c>
      <c r="BC45" s="169">
        <f t="shared" si="47"/>
        <v>662.841764857437</v>
      </c>
      <c r="BD45" s="169">
        <f t="shared" si="48"/>
        <v>1172.95</v>
      </c>
      <c r="BE45" s="169">
        <f t="shared" si="49"/>
        <v>1151.9743902439</v>
      </c>
      <c r="BF45" s="168">
        <f t="shared" si="50"/>
        <v>194.812625386465</v>
      </c>
      <c r="BG45" s="213">
        <f t="shared" si="51"/>
        <v>0.169111941234404</v>
      </c>
    </row>
    <row r="46" ht="29.1" customHeight="1" spans="1:61">
      <c r="A46" s="61" t="s">
        <v>181</v>
      </c>
      <c r="B46" s="61" t="s">
        <v>182</v>
      </c>
      <c r="C46" s="90">
        <v>92</v>
      </c>
      <c r="D46" s="91">
        <v>90</v>
      </c>
      <c r="E46" s="64">
        <v>1872.8</v>
      </c>
      <c r="F46" s="148">
        <v>7</v>
      </c>
      <c r="G46" s="148">
        <v>7</v>
      </c>
      <c r="H46" s="64">
        <v>139.33</v>
      </c>
      <c r="I46" s="64">
        <v>19.9</v>
      </c>
      <c r="J46" s="207">
        <v>1</v>
      </c>
      <c r="K46" s="215">
        <f t="shared" si="27"/>
        <v>0.0108695652173913</v>
      </c>
      <c r="L46" s="209">
        <v>17.94</v>
      </c>
      <c r="M46" s="210">
        <f t="shared" si="28"/>
        <v>0.614035087719298</v>
      </c>
      <c r="N46" s="208">
        <f t="shared" si="29"/>
        <v>0.607142857142857</v>
      </c>
      <c r="O46" s="208">
        <f t="shared" si="30"/>
        <v>0.569376707392696</v>
      </c>
      <c r="P46" s="153">
        <f t="shared" si="31"/>
        <v>1.02222222222222</v>
      </c>
      <c r="Q46" s="155">
        <f t="shared" si="32"/>
        <v>20.8088888888889</v>
      </c>
      <c r="R46" s="187">
        <f t="shared" si="33"/>
        <v>20.3565217391304</v>
      </c>
      <c r="S46" s="187">
        <f t="shared" si="52"/>
        <v>23</v>
      </c>
      <c r="T46" s="193">
        <f t="shared" si="34"/>
        <v>33</v>
      </c>
      <c r="U46" s="157">
        <f t="shared" si="35"/>
        <v>0.366666666666667</v>
      </c>
      <c r="V46" s="94">
        <f t="shared" si="36"/>
        <v>0.188698796481192</v>
      </c>
      <c r="W46" s="91">
        <v>36290</v>
      </c>
      <c r="X46" s="91">
        <v>334</v>
      </c>
      <c r="Y46" s="91">
        <v>57</v>
      </c>
      <c r="Z46" s="91">
        <v>349.64</v>
      </c>
      <c r="AA46" s="92">
        <v>1161.87</v>
      </c>
      <c r="AB46" s="91">
        <v>1.05</v>
      </c>
      <c r="AC46" s="71">
        <f t="shared" si="37"/>
        <v>0.300928675325122</v>
      </c>
      <c r="AD46" s="72">
        <f t="shared" si="38"/>
        <v>0.00920363736566547</v>
      </c>
      <c r="AE46" s="72">
        <f t="shared" si="39"/>
        <v>0.170658682634731</v>
      </c>
      <c r="AF46" s="154">
        <f t="shared" si="40"/>
        <v>6.1340350877193</v>
      </c>
      <c r="AG46" s="160">
        <v>30</v>
      </c>
      <c r="AH46" s="161">
        <v>32</v>
      </c>
      <c r="AI46" s="161">
        <v>27</v>
      </c>
      <c r="AJ46" s="211">
        <v>3</v>
      </c>
      <c r="AK46" s="163">
        <f>AG46*产品成本!$D$5+AH46*产品成本!$D$6+AI46*产品成本!$D$7+AJ46*产品成本!$D$8</f>
        <v>286.197183098592</v>
      </c>
      <c r="AL46" s="163">
        <f>AG46*产品成本!$E$5+AH46*产品成本!$E$6+AI46*产品成本!$E$7+AJ46*产品成本!$E$8</f>
        <v>31.54</v>
      </c>
      <c r="AM46" s="163">
        <f>AG46*产品成本!$F$5+AH46*产品成本!$F$6+AI46*产品成本!$F$7+AJ46*产品成本!$F$8</f>
        <v>35.48</v>
      </c>
      <c r="AN46" s="163">
        <f>AG46*产品成本!$G$5+AH46*产品成本!$G$6+AI46*产品成本!$G$7+AJ46*产品成本!$G$8</f>
        <v>436.68</v>
      </c>
      <c r="AO46" s="163">
        <f t="shared" si="41"/>
        <v>277.935</v>
      </c>
      <c r="AP46" s="164">
        <f t="shared" si="42"/>
        <v>1067.83218309859</v>
      </c>
      <c r="AQ46" s="165">
        <v>0</v>
      </c>
      <c r="AR46" s="165">
        <v>0</v>
      </c>
      <c r="AS46" s="165">
        <v>1</v>
      </c>
      <c r="AT46" s="211">
        <v>0</v>
      </c>
      <c r="AU46" s="212">
        <f t="shared" si="43"/>
        <v>21.8780487804878</v>
      </c>
      <c r="AV46" s="163">
        <f>AQ46*产品成本!$D$5+AR46*产品成本!$D$6+AS46*产品成本!$D$7+AT46*产品成本!D55</f>
        <v>3.66197183098592</v>
      </c>
      <c r="AW46" s="163">
        <f>AQ46*产品成本!$E$5+AR46*产品成本!$E$6+AS46*产品成本!$E$7+AT46*产品成本!E55</f>
        <v>0.4</v>
      </c>
      <c r="AX46" s="163">
        <f>AQ46*产品成本!$F$5+AR46*产品成本!$F$6+AS46*产品成本!$F$7+AT46*产品成本!F55</f>
        <v>0.41</v>
      </c>
      <c r="AY46" s="163"/>
      <c r="AZ46" s="163">
        <f t="shared" si="44"/>
        <v>3.28170731707317</v>
      </c>
      <c r="BA46" s="163">
        <f t="shared" si="45"/>
        <v>-0.656341463414634</v>
      </c>
      <c r="BB46" s="164">
        <f t="shared" si="46"/>
        <v>7.09733768464446</v>
      </c>
      <c r="BC46" s="169">
        <f t="shared" si="47"/>
        <v>1060.73484541395</v>
      </c>
      <c r="BD46" s="169">
        <f t="shared" si="48"/>
        <v>1852.9</v>
      </c>
      <c r="BE46" s="169">
        <f t="shared" si="49"/>
        <v>1831.02195121951</v>
      </c>
      <c r="BF46" s="168">
        <f t="shared" si="50"/>
        <v>420.647105805565</v>
      </c>
      <c r="BG46" s="213">
        <f t="shared" si="51"/>
        <v>0.22973351331228</v>
      </c>
    </row>
    <row r="47" ht="29.1" customHeight="1" spans="1:61">
      <c r="A47" s="61" t="s">
        <v>183</v>
      </c>
      <c r="B47" s="61" t="s">
        <v>184</v>
      </c>
      <c r="C47" s="90">
        <v>65</v>
      </c>
      <c r="D47" s="91">
        <v>65</v>
      </c>
      <c r="E47" s="64">
        <v>1337.59</v>
      </c>
      <c r="F47" s="148">
        <v>8</v>
      </c>
      <c r="G47" s="148">
        <v>8</v>
      </c>
      <c r="H47" s="64">
        <v>161.42</v>
      </c>
      <c r="I47" s="64">
        <v>20.18</v>
      </c>
      <c r="J47" s="207">
        <v>2</v>
      </c>
      <c r="K47" s="215">
        <f t="shared" si="27"/>
        <v>0.0307692307692308</v>
      </c>
      <c r="L47" s="209">
        <v>39.05</v>
      </c>
      <c r="M47" s="210">
        <f t="shared" si="28"/>
        <v>-0.293478260869565</v>
      </c>
      <c r="N47" s="208">
        <f t="shared" si="29"/>
        <v>-0.277777777777778</v>
      </c>
      <c r="O47" s="208">
        <f t="shared" si="30"/>
        <v>-0.285780649295173</v>
      </c>
      <c r="P47" s="153">
        <f t="shared" si="31"/>
        <v>1</v>
      </c>
      <c r="Q47" s="155">
        <f t="shared" si="32"/>
        <v>20.5783076923077</v>
      </c>
      <c r="R47" s="187">
        <f t="shared" si="33"/>
        <v>20.5783076923077</v>
      </c>
      <c r="S47" s="187">
        <f t="shared" ref="S47:S74" si="53">G47/7</f>
        <v>1.14285714285714</v>
      </c>
      <c r="T47" s="193">
        <f t="shared" si="34"/>
        <v>29</v>
      </c>
      <c r="U47" s="157">
        <f t="shared" si="35"/>
        <v>0.446153846153846</v>
      </c>
      <c r="V47" s="94">
        <f t="shared" si="36"/>
        <v>0.226262135553852</v>
      </c>
      <c r="W47" s="91">
        <v>26377</v>
      </c>
      <c r="X47" s="91">
        <v>253</v>
      </c>
      <c r="Y47" s="91">
        <v>36</v>
      </c>
      <c r="Z47" s="91">
        <v>298.08</v>
      </c>
      <c r="AA47" s="92">
        <v>741.06</v>
      </c>
      <c r="AB47" s="91">
        <v>1.18</v>
      </c>
      <c r="AC47" s="71">
        <f t="shared" si="37"/>
        <v>0.402234636871508</v>
      </c>
      <c r="AD47" s="72">
        <f t="shared" si="38"/>
        <v>0.00959168972968874</v>
      </c>
      <c r="AE47" s="72">
        <f t="shared" si="39"/>
        <v>0.142292490118577</v>
      </c>
      <c r="AF47" s="154">
        <f t="shared" si="40"/>
        <v>8.28</v>
      </c>
      <c r="AG47" s="160">
        <v>24</v>
      </c>
      <c r="AH47" s="161">
        <v>19</v>
      </c>
      <c r="AI47" s="161">
        <v>20</v>
      </c>
      <c r="AJ47" s="211">
        <v>2</v>
      </c>
      <c r="AK47" s="163">
        <f>AG47*产品成本!$D$5+AH47*产品成本!$D$6+AI47*产品成本!$D$7+AJ47*产品成本!$D$8</f>
        <v>202.253521126761</v>
      </c>
      <c r="AL47" s="163">
        <f>AG47*产品成本!$E$5+AH47*产品成本!$E$6+AI47*产品成本!$E$7+AJ47*产品成本!$E$8</f>
        <v>22.16</v>
      </c>
      <c r="AM47" s="163">
        <f>AG47*产品成本!$F$5+AH47*产品成本!$F$6+AI47*产品成本!$F$7+AJ47*产品成本!$F$8</f>
        <v>25.32</v>
      </c>
      <c r="AN47" s="163">
        <f>AG47*产品成本!$G$5+AH47*产品成本!$G$6+AI47*产品成本!$G$7+AJ47*产品成本!$G$8</f>
        <v>311.76</v>
      </c>
      <c r="AO47" s="163">
        <f t="shared" si="41"/>
        <v>197.6115</v>
      </c>
      <c r="AP47" s="164">
        <f t="shared" si="42"/>
        <v>759.105021126761</v>
      </c>
      <c r="AQ47" s="165">
        <v>0</v>
      </c>
      <c r="AR47" s="165">
        <v>1</v>
      </c>
      <c r="AS47" s="165">
        <v>1</v>
      </c>
      <c r="AT47" s="211">
        <v>0</v>
      </c>
      <c r="AU47" s="212">
        <f t="shared" si="43"/>
        <v>47.6219512195122</v>
      </c>
      <c r="AV47" s="163">
        <f>AQ47*产品成本!$D$5+AR47*产品成本!$D$6+AS47*产品成本!$D$7+AT47*产品成本!D56</f>
        <v>6.47887323943662</v>
      </c>
      <c r="AW47" s="163">
        <f>AQ47*产品成本!$E$5+AR47*产品成本!$E$6+AS47*产品成本!$E$7+AT47*产品成本!E56</f>
        <v>0.72</v>
      </c>
      <c r="AX47" s="163">
        <f>AQ47*产品成本!$F$5+AR47*产品成本!$F$6+AS47*产品成本!$F$7+AT47*产品成本!F56</f>
        <v>0.75</v>
      </c>
      <c r="AY47" s="163"/>
      <c r="AZ47" s="163">
        <f t="shared" si="44"/>
        <v>7.14329268292683</v>
      </c>
      <c r="BA47" s="163">
        <f t="shared" si="45"/>
        <v>-1.42865853658537</v>
      </c>
      <c r="BB47" s="164">
        <f t="shared" si="46"/>
        <v>13.6635073857781</v>
      </c>
      <c r="BC47" s="169">
        <f t="shared" si="47"/>
        <v>745.441513740982</v>
      </c>
      <c r="BD47" s="169">
        <f t="shared" si="48"/>
        <v>1317.41</v>
      </c>
      <c r="BE47" s="169">
        <f t="shared" si="49"/>
        <v>1269.78804878049</v>
      </c>
      <c r="BF47" s="168">
        <f t="shared" si="50"/>
        <v>226.266535039505</v>
      </c>
      <c r="BG47" s="213">
        <f t="shared" si="51"/>
        <v>0.178192364668114</v>
      </c>
    </row>
    <row r="48" ht="29.1" customHeight="1" spans="1:61">
      <c r="A48" s="61" t="s">
        <v>185</v>
      </c>
      <c r="B48" s="61" t="s">
        <v>186</v>
      </c>
      <c r="C48" s="90">
        <v>51</v>
      </c>
      <c r="D48" s="91">
        <v>49</v>
      </c>
      <c r="E48" s="64">
        <v>1027.52</v>
      </c>
      <c r="F48" s="148">
        <v>1</v>
      </c>
      <c r="G48" s="148">
        <v>1</v>
      </c>
      <c r="H48" s="64">
        <v>18.39</v>
      </c>
      <c r="I48" s="64">
        <v>18.39</v>
      </c>
      <c r="J48" s="207">
        <v>5</v>
      </c>
      <c r="K48" s="215">
        <f t="shared" si="27"/>
        <v>0.0980392156862745</v>
      </c>
      <c r="L48" s="209">
        <v>87.48</v>
      </c>
      <c r="M48" s="210">
        <f t="shared" si="28"/>
        <v>-0.215384615384615</v>
      </c>
      <c r="N48" s="208">
        <f t="shared" si="29"/>
        <v>-0.246153846153846</v>
      </c>
      <c r="O48" s="208">
        <f t="shared" si="30"/>
        <v>-0.231812438789166</v>
      </c>
      <c r="P48" s="153">
        <f t="shared" si="31"/>
        <v>1.04081632653061</v>
      </c>
      <c r="Q48" s="155">
        <f t="shared" si="32"/>
        <v>20.9697959183673</v>
      </c>
      <c r="R48" s="187">
        <f t="shared" si="33"/>
        <v>20.1474509803922</v>
      </c>
      <c r="S48" s="187">
        <f t="shared" si="53"/>
        <v>0.142857142857143</v>
      </c>
      <c r="T48" s="193">
        <f t="shared" si="34"/>
        <v>25</v>
      </c>
      <c r="U48" s="157">
        <f t="shared" si="35"/>
        <v>0.510204081632653</v>
      </c>
      <c r="V48" s="94">
        <f t="shared" si="36"/>
        <v>0.283402534856758</v>
      </c>
      <c r="W48" s="91">
        <v>24380</v>
      </c>
      <c r="X48" s="91">
        <v>242</v>
      </c>
      <c r="Y48" s="91">
        <v>24</v>
      </c>
      <c r="Z48" s="91">
        <v>285.99</v>
      </c>
      <c r="AA48" s="92">
        <v>509.27</v>
      </c>
      <c r="AB48" s="91">
        <v>1.18</v>
      </c>
      <c r="AC48" s="71">
        <f t="shared" si="37"/>
        <v>0.561568519645767</v>
      </c>
      <c r="AD48" s="72">
        <f t="shared" si="38"/>
        <v>0.00992616899097621</v>
      </c>
      <c r="AE48" s="72">
        <f t="shared" si="39"/>
        <v>0.0991735537190083</v>
      </c>
      <c r="AF48" s="154">
        <f t="shared" si="40"/>
        <v>11.91625</v>
      </c>
      <c r="AG48" s="160">
        <v>13</v>
      </c>
      <c r="AH48" s="161">
        <v>19</v>
      </c>
      <c r="AI48" s="161">
        <v>16</v>
      </c>
      <c r="AJ48" s="211">
        <v>3</v>
      </c>
      <c r="AK48" s="163">
        <f>AG48*产品成本!$D$5+AH48*产品成本!$D$6+AI48*产品成本!$D$7+AJ48*产品成本!$D$8</f>
        <v>163.802816901408</v>
      </c>
      <c r="AL48" s="163">
        <f>AG48*产品成本!$E$5+AH48*产品成本!$E$6+AI48*产品成本!$E$7+AJ48*产品成本!$E$8</f>
        <v>18.39</v>
      </c>
      <c r="AM48" s="163">
        <f>AG48*产品成本!$F$5+AH48*产品成本!$F$6+AI48*产品成本!$F$7+AJ48*产品成本!$F$8</f>
        <v>19.58</v>
      </c>
      <c r="AN48" s="163">
        <f>AG48*产品成本!$G$5+AH48*产品成本!$G$6+AI48*产品成本!$G$7+AJ48*产品成本!$G$8</f>
        <v>242.26</v>
      </c>
      <c r="AO48" s="163">
        <f t="shared" si="41"/>
        <v>151.3695</v>
      </c>
      <c r="AP48" s="164">
        <f t="shared" si="42"/>
        <v>595.402316901408</v>
      </c>
      <c r="AQ48" s="165">
        <v>3</v>
      </c>
      <c r="AR48" s="165">
        <v>1</v>
      </c>
      <c r="AS48" s="165">
        <v>1</v>
      </c>
      <c r="AT48" s="211">
        <v>0</v>
      </c>
      <c r="AU48" s="212">
        <f t="shared" si="43"/>
        <v>106.682926829268</v>
      </c>
      <c r="AV48" s="163">
        <f>AQ48*产品成本!$D$5+AR48*产品成本!$D$6+AS48*产品成本!$D$7+AT48*产品成本!D57</f>
        <v>14.5070422535211</v>
      </c>
      <c r="AW48" s="163">
        <f>AQ48*产品成本!$E$5+AR48*产品成本!$E$6+AS48*产品成本!$E$7+AT48*产品成本!E57</f>
        <v>1.53</v>
      </c>
      <c r="AX48" s="163">
        <f>AQ48*产品成本!$F$5+AR48*产品成本!$F$6+AS48*产品成本!$F$7+AT48*产品成本!F57</f>
        <v>1.98</v>
      </c>
      <c r="AY48" s="163"/>
      <c r="AZ48" s="163">
        <f t="shared" si="44"/>
        <v>16.0024390243902</v>
      </c>
      <c r="BA48" s="163">
        <f t="shared" si="45"/>
        <v>-3.20048780487805</v>
      </c>
      <c r="BB48" s="164">
        <f t="shared" si="46"/>
        <v>30.8189934730333</v>
      </c>
      <c r="BC48" s="169">
        <f t="shared" si="47"/>
        <v>564.583323428375</v>
      </c>
      <c r="BD48" s="169">
        <f t="shared" si="48"/>
        <v>1009.13</v>
      </c>
      <c r="BE48" s="169">
        <f t="shared" si="49"/>
        <v>902.447073170732</v>
      </c>
      <c r="BF48" s="168">
        <f t="shared" si="50"/>
        <v>51.8737497423565</v>
      </c>
      <c r="BG48" s="213">
        <f t="shared" si="51"/>
        <v>0.0574812100172246</v>
      </c>
    </row>
    <row r="49" ht="29.1" customHeight="1" spans="1:62">
      <c r="A49" s="61" t="s">
        <v>187</v>
      </c>
      <c r="B49" s="61" t="s">
        <v>188</v>
      </c>
      <c r="C49" s="90">
        <v>63</v>
      </c>
      <c r="D49" s="91">
        <v>61</v>
      </c>
      <c r="E49" s="64">
        <v>1222.09</v>
      </c>
      <c r="F49" s="148">
        <v>7</v>
      </c>
      <c r="G49" s="148">
        <v>7</v>
      </c>
      <c r="H49" s="64">
        <v>132.73</v>
      </c>
      <c r="I49" s="64">
        <v>18.96</v>
      </c>
      <c r="J49" s="207">
        <v>3</v>
      </c>
      <c r="K49" s="215">
        <f t="shared" si="27"/>
        <v>0.0476190476190476</v>
      </c>
      <c r="L49" s="209">
        <v>52.03</v>
      </c>
      <c r="M49" s="210">
        <f t="shared" si="28"/>
        <v>0.235294117647059</v>
      </c>
      <c r="N49" s="208">
        <f t="shared" si="29"/>
        <v>0.244897959183673</v>
      </c>
      <c r="O49" s="208">
        <f t="shared" si="30"/>
        <v>0.189358844596699</v>
      </c>
      <c r="P49" s="153">
        <f t="shared" si="31"/>
        <v>1.0327868852459</v>
      </c>
      <c r="Q49" s="155">
        <f t="shared" si="32"/>
        <v>20.034262295082</v>
      </c>
      <c r="R49" s="187">
        <f t="shared" si="33"/>
        <v>19.398253968254</v>
      </c>
      <c r="S49" s="187">
        <f t="shared" si="53"/>
        <v>1</v>
      </c>
      <c r="T49" s="193">
        <f t="shared" si="34"/>
        <v>29</v>
      </c>
      <c r="U49" s="157">
        <f t="shared" si="35"/>
        <v>0.475409836065574</v>
      </c>
      <c r="V49" s="94">
        <f t="shared" si="36"/>
        <v>0.271009782816487</v>
      </c>
      <c r="W49" s="91">
        <v>26878</v>
      </c>
      <c r="X49" s="91">
        <v>275</v>
      </c>
      <c r="Y49" s="91">
        <v>32</v>
      </c>
      <c r="Z49" s="91">
        <v>326.06</v>
      </c>
      <c r="AA49" s="92">
        <v>642.23</v>
      </c>
      <c r="AB49" s="91">
        <v>1.19</v>
      </c>
      <c r="AC49" s="71">
        <f t="shared" si="37"/>
        <v>0.507699733740249</v>
      </c>
      <c r="AD49" s="72">
        <f t="shared" si="38"/>
        <v>0.0102314160279783</v>
      </c>
      <c r="AE49" s="72">
        <f t="shared" si="39"/>
        <v>0.116363636363636</v>
      </c>
      <c r="AF49" s="154">
        <f t="shared" si="40"/>
        <v>10.189375</v>
      </c>
      <c r="AG49" s="160">
        <v>22</v>
      </c>
      <c r="AH49" s="161">
        <v>21</v>
      </c>
      <c r="AI49" s="161">
        <v>18</v>
      </c>
      <c r="AJ49" s="211">
        <v>2</v>
      </c>
      <c r="AK49" s="163">
        <f>AG49*产品成本!$D$5+AH49*产品成本!$D$6+AI49*产品成本!$D$7+AJ49*产品成本!$D$8</f>
        <v>195.211267605634</v>
      </c>
      <c r="AL49" s="163">
        <f>AG49*产品成本!$E$5+AH49*产品成本!$E$6+AI49*产品成本!$E$7+AJ49*产品成本!$E$8</f>
        <v>21.46</v>
      </c>
      <c r="AM49" s="163">
        <f>AG49*产品成本!$F$5+AH49*产品成本!$F$6+AI49*产品成本!$F$7+AJ49*产品成本!$F$8</f>
        <v>24.36</v>
      </c>
      <c r="AN49" s="163">
        <f>AG49*产品成本!$G$5+AH49*产品成本!$G$6+AI49*产品成本!$G$7+AJ49*产品成本!$G$8</f>
        <v>299.56</v>
      </c>
      <c r="AO49" s="163">
        <f t="shared" si="41"/>
        <v>180.4695</v>
      </c>
      <c r="AP49" s="164">
        <f t="shared" si="42"/>
        <v>721.060767605634</v>
      </c>
      <c r="AQ49" s="165">
        <v>1</v>
      </c>
      <c r="AR49" s="165">
        <v>1</v>
      </c>
      <c r="AS49" s="165">
        <v>1</v>
      </c>
      <c r="AT49" s="211">
        <v>0</v>
      </c>
      <c r="AU49" s="212">
        <f t="shared" si="43"/>
        <v>63.4512195121951</v>
      </c>
      <c r="AV49" s="163">
        <f>AQ49*产品成本!$D$5+AR49*产品成本!$D$6+AS49*产品成本!$D$7+AT49*产品成本!D58</f>
        <v>9.15492957746479</v>
      </c>
      <c r="AW49" s="163">
        <f>AQ49*产品成本!$E$5+AR49*产品成本!$E$6+AS49*产品成本!$E$7+AT49*产品成本!E58</f>
        <v>0.99</v>
      </c>
      <c r="AX49" s="163">
        <f>AQ49*产品成本!$F$5+AR49*产品成本!$F$6+AS49*产品成本!$F$7+AT49*产品成本!F58</f>
        <v>1.16</v>
      </c>
      <c r="AY49" s="163"/>
      <c r="AZ49" s="163">
        <f t="shared" si="44"/>
        <v>9.51768292682927</v>
      </c>
      <c r="BA49" s="163">
        <f t="shared" si="45"/>
        <v>-1.90353658536585</v>
      </c>
      <c r="BB49" s="164">
        <f t="shared" si="46"/>
        <v>18.9190759189282</v>
      </c>
      <c r="BC49" s="169">
        <f t="shared" si="47"/>
        <v>702.141691686706</v>
      </c>
      <c r="BD49" s="169">
        <f t="shared" si="48"/>
        <v>1203.13</v>
      </c>
      <c r="BE49" s="169">
        <f t="shared" si="49"/>
        <v>1139.6787804878</v>
      </c>
      <c r="BF49" s="168">
        <f t="shared" si="50"/>
        <v>111.477088801099</v>
      </c>
      <c r="BG49" s="213">
        <f t="shared" si="51"/>
        <v>0.0978144813342798</v>
      </c>
    </row>
    <row r="50" ht="29.1" customHeight="1" spans="1:62">
      <c r="A50" s="61" t="s">
        <v>189</v>
      </c>
      <c r="B50" s="61" t="s">
        <v>190</v>
      </c>
      <c r="C50" s="90">
        <v>78</v>
      </c>
      <c r="D50" s="91">
        <v>75</v>
      </c>
      <c r="E50" s="64">
        <v>1503.54</v>
      </c>
      <c r="F50" s="148">
        <v>9</v>
      </c>
      <c r="G50" s="148">
        <v>7</v>
      </c>
      <c r="H50" s="64">
        <v>170.31</v>
      </c>
      <c r="I50" s="64">
        <v>18.92</v>
      </c>
      <c r="J50" s="207">
        <v>0</v>
      </c>
      <c r="K50" s="215">
        <f t="shared" si="27"/>
        <v>0</v>
      </c>
      <c r="L50" s="209">
        <v>0</v>
      </c>
      <c r="M50" s="210">
        <f t="shared" si="28"/>
        <v>0.238095238095238</v>
      </c>
      <c r="N50" s="208">
        <f t="shared" si="29"/>
        <v>0.229508196721311</v>
      </c>
      <c r="O50" s="208">
        <f t="shared" si="30"/>
        <v>0.230302187236619</v>
      </c>
      <c r="P50" s="153">
        <f t="shared" si="31"/>
        <v>1.04</v>
      </c>
      <c r="Q50" s="155">
        <f t="shared" si="32"/>
        <v>20.0472</v>
      </c>
      <c r="R50" s="187">
        <f t="shared" si="33"/>
        <v>19.2761538461538</v>
      </c>
      <c r="S50" s="187">
        <f t="shared" si="53"/>
        <v>1</v>
      </c>
      <c r="T50" s="193">
        <f t="shared" si="34"/>
        <v>33</v>
      </c>
      <c r="U50" s="157">
        <f t="shared" si="35"/>
        <v>0.44</v>
      </c>
      <c r="V50" s="94">
        <f t="shared" si="36"/>
        <v>0.244183696838248</v>
      </c>
      <c r="W50" s="91">
        <v>43106</v>
      </c>
      <c r="X50" s="91">
        <v>313</v>
      </c>
      <c r="Y50" s="91">
        <v>42</v>
      </c>
      <c r="Z50" s="91">
        <v>362.52</v>
      </c>
      <c r="AA50" s="92">
        <v>828.53</v>
      </c>
      <c r="AB50" s="91">
        <v>1.16</v>
      </c>
      <c r="AC50" s="71">
        <f t="shared" si="37"/>
        <v>0.437546015231796</v>
      </c>
      <c r="AD50" s="72">
        <f t="shared" si="38"/>
        <v>0.00726117013872779</v>
      </c>
      <c r="AE50" s="72">
        <f t="shared" si="39"/>
        <v>0.134185303514377</v>
      </c>
      <c r="AF50" s="154">
        <f t="shared" si="40"/>
        <v>8.63142857142857</v>
      </c>
      <c r="AG50" s="160">
        <v>30</v>
      </c>
      <c r="AH50" s="161">
        <v>24</v>
      </c>
      <c r="AI50" s="161">
        <v>22</v>
      </c>
      <c r="AJ50" s="211">
        <v>2</v>
      </c>
      <c r="AK50" s="163">
        <f>AG50*产品成本!$D$5+AH50*产品成本!$D$6+AI50*产品成本!$D$7+AJ50*产品成本!$D$8</f>
        <v>239.718309859155</v>
      </c>
      <c r="AL50" s="163">
        <f>AG50*产品成本!$E$5+AH50*产品成本!$E$6+AI50*产品成本!$E$7+AJ50*产品成本!$E$8</f>
        <v>26.18</v>
      </c>
      <c r="AM50" s="163">
        <f>AG50*产品成本!$F$5+AH50*产品成本!$F$6+AI50*产品成本!$F$7+AJ50*产品成本!$F$8</f>
        <v>30.3</v>
      </c>
      <c r="AN50" s="163">
        <f>AG50*产品成本!$G$5+AH50*产品成本!$G$6+AI50*产品成本!$G$7+AJ50*产品成本!$G$8</f>
        <v>372.12</v>
      </c>
      <c r="AO50" s="163">
        <f t="shared" si="41"/>
        <v>222.693</v>
      </c>
      <c r="AP50" s="164">
        <f t="shared" si="42"/>
        <v>891.011309859155</v>
      </c>
      <c r="AQ50" s="165">
        <v>0</v>
      </c>
      <c r="AR50" s="165">
        <v>0</v>
      </c>
      <c r="AS50" s="165">
        <v>0</v>
      </c>
      <c r="AT50" s="211">
        <v>0</v>
      </c>
      <c r="AU50" s="212">
        <f t="shared" si="43"/>
        <v>0</v>
      </c>
      <c r="AV50" s="163">
        <f>AQ50*产品成本!$D$5+AR50*产品成本!$D$6+AS50*产品成本!$D$7+AT50*产品成本!D59</f>
        <v>0</v>
      </c>
      <c r="AW50" s="163">
        <f>AQ50*产品成本!$E$5+AR50*产品成本!$E$6+AS50*产品成本!$E$7+AT50*产品成本!E59</f>
        <v>0</v>
      </c>
      <c r="AX50" s="163">
        <f>AQ50*产品成本!$F$5+AR50*产品成本!$F$6+AS50*产品成本!$F$7+AT50*产品成本!F59</f>
        <v>0</v>
      </c>
      <c r="AY50" s="163"/>
      <c r="AZ50" s="163">
        <f t="shared" si="44"/>
        <v>0</v>
      </c>
      <c r="BA50" s="163">
        <f t="shared" si="45"/>
        <v>0</v>
      </c>
      <c r="BB50" s="164">
        <f t="shared" si="46"/>
        <v>0</v>
      </c>
      <c r="BC50" s="169">
        <f t="shared" si="47"/>
        <v>891.011309859155</v>
      </c>
      <c r="BD50" s="169">
        <f t="shared" si="48"/>
        <v>1484.62</v>
      </c>
      <c r="BE50" s="169">
        <f t="shared" si="49"/>
        <v>1484.62</v>
      </c>
      <c r="BF50" s="168">
        <f t="shared" si="50"/>
        <v>231.088690140845</v>
      </c>
      <c r="BG50" s="213">
        <f t="shared" si="51"/>
        <v>0.15565511049349</v>
      </c>
    </row>
    <row r="51" ht="29.1" customHeight="1" spans="1:62">
      <c r="A51" s="61" t="s">
        <v>191</v>
      </c>
      <c r="B51" s="61" t="s">
        <v>192</v>
      </c>
      <c r="C51" s="90">
        <v>55</v>
      </c>
      <c r="D51" s="91">
        <v>51</v>
      </c>
      <c r="E51" s="64">
        <v>1128.94</v>
      </c>
      <c r="F51" s="148">
        <v>2</v>
      </c>
      <c r="G51" s="148">
        <v>2</v>
      </c>
      <c r="H51" s="64">
        <v>39.93</v>
      </c>
      <c r="I51" s="64">
        <v>3.99</v>
      </c>
      <c r="J51" s="207">
        <v>0</v>
      </c>
      <c r="K51" s="215">
        <f t="shared" si="27"/>
        <v>0</v>
      </c>
      <c r="L51" s="209">
        <v>0</v>
      </c>
      <c r="M51" s="210">
        <f t="shared" si="28"/>
        <v>-0.294871794871795</v>
      </c>
      <c r="N51" s="208">
        <f t="shared" si="29"/>
        <v>-0.32</v>
      </c>
      <c r="O51" s="208">
        <f t="shared" si="30"/>
        <v>-0.24914535030661</v>
      </c>
      <c r="P51" s="153">
        <f t="shared" si="31"/>
        <v>1.07843137254902</v>
      </c>
      <c r="Q51" s="155">
        <f t="shared" si="32"/>
        <v>22.1360784313725</v>
      </c>
      <c r="R51" s="187">
        <f t="shared" si="33"/>
        <v>20.5261818181818</v>
      </c>
      <c r="S51" s="187">
        <f t="shared" si="53"/>
        <v>0.285714285714286</v>
      </c>
      <c r="T51" s="193">
        <f t="shared" si="34"/>
        <v>20</v>
      </c>
      <c r="U51" s="157">
        <f t="shared" si="35"/>
        <v>0.392156862745098</v>
      </c>
      <c r="V51" s="94">
        <f t="shared" si="36"/>
        <v>0.277772345437575</v>
      </c>
      <c r="W51" s="91">
        <v>36559</v>
      </c>
      <c r="X51" s="91">
        <v>274</v>
      </c>
      <c r="Y51" s="91">
        <v>31</v>
      </c>
      <c r="Z51" s="91">
        <v>312.48</v>
      </c>
      <c r="AA51" s="92">
        <v>663.58</v>
      </c>
      <c r="AB51" s="91">
        <v>1.14</v>
      </c>
      <c r="AC51" s="71">
        <f t="shared" si="37"/>
        <v>0.47090026824196</v>
      </c>
      <c r="AD51" s="72">
        <f t="shared" si="38"/>
        <v>0.00749473453869088</v>
      </c>
      <c r="AE51" s="72">
        <f t="shared" si="39"/>
        <v>0.113138686131387</v>
      </c>
      <c r="AF51" s="154">
        <f t="shared" si="40"/>
        <v>10.08</v>
      </c>
      <c r="AG51" s="160">
        <v>20</v>
      </c>
      <c r="AH51" s="161">
        <v>18</v>
      </c>
      <c r="AI51" s="161">
        <v>15</v>
      </c>
      <c r="AJ51" s="211">
        <v>2</v>
      </c>
      <c r="AK51" s="163">
        <f>AG51*产品成本!$D$5+AH51*产品成本!$D$6+AI51*产品成本!$D$7+AJ51*产品成本!$D$8</f>
        <v>170.422535211268</v>
      </c>
      <c r="AL51" s="163">
        <f>AG51*产品成本!$E$5+AH51*产品成本!$E$6+AI51*产品成本!$E$7+AJ51*产品成本!$E$8</f>
        <v>18.76</v>
      </c>
      <c r="AM51" s="163">
        <f>AG51*产品成本!$F$5+AH51*产品成本!$F$6+AI51*产品成本!$F$7+AJ51*产品成本!$F$8</f>
        <v>21.29</v>
      </c>
      <c r="AN51" s="163">
        <f>AG51*产品成本!$G$5+AH51*产品成本!$G$6+AI51*产品成本!$G$7+AJ51*产品成本!$G$8</f>
        <v>261.68</v>
      </c>
      <c r="AO51" s="163">
        <f t="shared" si="41"/>
        <v>168.7425</v>
      </c>
      <c r="AP51" s="164">
        <f t="shared" si="42"/>
        <v>640.895035211268</v>
      </c>
      <c r="AQ51" s="165">
        <v>0</v>
      </c>
      <c r="AR51" s="165">
        <v>0</v>
      </c>
      <c r="AS51" s="165">
        <v>0</v>
      </c>
      <c r="AT51" s="211">
        <v>0</v>
      </c>
      <c r="AU51" s="212">
        <f t="shared" si="43"/>
        <v>0</v>
      </c>
      <c r="AV51" s="163">
        <f>AQ51*产品成本!$D$5+AR51*产品成本!$D$6+AS51*产品成本!$D$7+AT51*产品成本!D60</f>
        <v>0</v>
      </c>
      <c r="AW51" s="163">
        <f>AQ51*产品成本!$E$5+AR51*产品成本!$E$6+AS51*产品成本!$E$7+AT51*产品成本!E60</f>
        <v>0</v>
      </c>
      <c r="AX51" s="163">
        <f>AQ51*产品成本!$F$5+AR51*产品成本!$F$6+AS51*产品成本!$F$7+AT51*产品成本!F60</f>
        <v>0</v>
      </c>
      <c r="AY51" s="163"/>
      <c r="AZ51" s="163">
        <f t="shared" si="44"/>
        <v>0</v>
      </c>
      <c r="BA51" s="163">
        <f t="shared" si="45"/>
        <v>0</v>
      </c>
      <c r="BB51" s="164">
        <f t="shared" si="46"/>
        <v>0</v>
      </c>
      <c r="BC51" s="169">
        <f t="shared" si="47"/>
        <v>640.895035211268</v>
      </c>
      <c r="BD51" s="169">
        <f t="shared" si="48"/>
        <v>1124.95</v>
      </c>
      <c r="BE51" s="169">
        <f t="shared" si="49"/>
        <v>1124.95</v>
      </c>
      <c r="BF51" s="168">
        <f t="shared" si="50"/>
        <v>171.574964788732</v>
      </c>
      <c r="BG51" s="213">
        <f t="shared" si="51"/>
        <v>0.15251785838369</v>
      </c>
    </row>
    <row r="52" ht="29.1" customHeight="1" spans="1:62">
      <c r="A52" s="61" t="s">
        <v>193</v>
      </c>
      <c r="B52" s="61" t="s">
        <v>194</v>
      </c>
      <c r="C52" s="90">
        <v>61</v>
      </c>
      <c r="D52" s="91">
        <v>58</v>
      </c>
      <c r="E52" s="64">
        <v>1450.54</v>
      </c>
      <c r="F52" s="148">
        <v>7</v>
      </c>
      <c r="G52" s="148">
        <v>7</v>
      </c>
      <c r="H52" s="64">
        <v>182.53</v>
      </c>
      <c r="I52" s="64">
        <v>18.26</v>
      </c>
      <c r="J52" s="207">
        <v>5</v>
      </c>
      <c r="K52" s="215">
        <f t="shared" si="27"/>
        <v>0.0819672131147541</v>
      </c>
      <c r="L52" s="209">
        <v>86.15</v>
      </c>
      <c r="M52" s="210">
        <f t="shared" si="28"/>
        <v>0.109090909090909</v>
      </c>
      <c r="N52" s="208">
        <f t="shared" si="29"/>
        <v>0.137254901960784</v>
      </c>
      <c r="O52" s="208">
        <f t="shared" si="30"/>
        <v>0.28486899215193</v>
      </c>
      <c r="P52" s="153">
        <f t="shared" si="31"/>
        <v>1.05172413793103</v>
      </c>
      <c r="Q52" s="155">
        <f t="shared" si="32"/>
        <v>25.0093103448276</v>
      </c>
      <c r="R52" s="187">
        <f t="shared" si="33"/>
        <v>23.7793442622951</v>
      </c>
      <c r="S52" s="187">
        <f t="shared" si="53"/>
        <v>1</v>
      </c>
      <c r="T52" s="193">
        <f t="shared" si="34"/>
        <v>9</v>
      </c>
      <c r="U52" s="157">
        <f t="shared" si="35"/>
        <v>0.155172413793103</v>
      </c>
      <c r="V52" s="94">
        <f t="shared" si="36"/>
        <v>0.223720222302902</v>
      </c>
      <c r="W52" s="91">
        <v>65756</v>
      </c>
      <c r="X52" s="91">
        <v>281</v>
      </c>
      <c r="Y52" s="91">
        <v>49</v>
      </c>
      <c r="Z52" s="91">
        <v>320.43</v>
      </c>
      <c r="AA52" s="92">
        <v>1172.1</v>
      </c>
      <c r="AB52" s="91">
        <v>1.14</v>
      </c>
      <c r="AC52" s="71">
        <f t="shared" si="37"/>
        <v>0.273381110826721</v>
      </c>
      <c r="AD52" s="72">
        <f t="shared" si="38"/>
        <v>0.0042733742928402</v>
      </c>
      <c r="AE52" s="72">
        <f t="shared" si="39"/>
        <v>0.174377224199288</v>
      </c>
      <c r="AF52" s="154">
        <f t="shared" si="40"/>
        <v>6.53938775510204</v>
      </c>
      <c r="AG52" s="160">
        <v>19</v>
      </c>
      <c r="AH52" s="161">
        <v>20</v>
      </c>
      <c r="AI52" s="161">
        <v>20</v>
      </c>
      <c r="AJ52" s="211">
        <v>2</v>
      </c>
      <c r="AK52" s="163">
        <f>AG52*产品成本!$D$5+AH52*产品成本!$D$6+AI52*产品成本!$D$7+AJ52*产品成本!$D$8</f>
        <v>191.69014084507</v>
      </c>
      <c r="AL52" s="163">
        <f>AG52*产品成本!$E$5+AH52*产品成本!$E$6+AI52*产品成本!$E$7+AJ52*产品成本!$E$8</f>
        <v>21.13</v>
      </c>
      <c r="AM52" s="163">
        <f>AG52*产品成本!$F$5+AH52*产品成本!$F$6+AI52*产品成本!$F$7+AJ52*产品成本!$F$8</f>
        <v>23.61</v>
      </c>
      <c r="AN52" s="163">
        <f>AG52*产品成本!$G$5+AH52*产品成本!$G$6+AI52*产品成本!$G$7+AJ52*产品成本!$G$8</f>
        <v>291.34</v>
      </c>
      <c r="AO52" s="163">
        <f t="shared" si="41"/>
        <v>214.842</v>
      </c>
      <c r="AP52" s="164">
        <f t="shared" si="42"/>
        <v>742.61214084507</v>
      </c>
      <c r="AQ52" s="165">
        <v>2</v>
      </c>
      <c r="AR52" s="165">
        <v>0</v>
      </c>
      <c r="AS52" s="165">
        <v>3</v>
      </c>
      <c r="AT52" s="211">
        <v>0</v>
      </c>
      <c r="AU52" s="212">
        <f t="shared" si="43"/>
        <v>105.060975609756</v>
      </c>
      <c r="AV52" s="163">
        <f>AQ52*产品成本!$D$5+AR52*产品成本!$D$6+AS52*产品成本!$D$7+AT52*产品成本!D61</f>
        <v>16.3380281690141</v>
      </c>
      <c r="AW52" s="163">
        <f>AQ52*产品成本!$E$5+AR52*产品成本!$E$6+AS52*产品成本!$E$7+AT52*产品成本!E61</f>
        <v>1.74</v>
      </c>
      <c r="AX52" s="163">
        <f>AQ52*产品成本!$F$5+AR52*产品成本!$F$6+AS52*产品成本!$F$7+AT52*产品成本!F61</f>
        <v>2.05</v>
      </c>
      <c r="AY52" s="163"/>
      <c r="AZ52" s="163">
        <f t="shared" si="44"/>
        <v>15.7591463414634</v>
      </c>
      <c r="BA52" s="163">
        <f t="shared" si="45"/>
        <v>-3.15182926829268</v>
      </c>
      <c r="BB52" s="164">
        <f t="shared" si="46"/>
        <v>32.7353452421848</v>
      </c>
      <c r="BC52" s="169">
        <f t="shared" si="47"/>
        <v>709.876795602886</v>
      </c>
      <c r="BD52" s="169">
        <f t="shared" si="48"/>
        <v>1432.28</v>
      </c>
      <c r="BE52" s="169">
        <f t="shared" si="49"/>
        <v>1327.21902439024</v>
      </c>
      <c r="BF52" s="168">
        <f t="shared" si="50"/>
        <v>296.912228787358</v>
      </c>
      <c r="BG52" s="213">
        <f t="shared" si="51"/>
        <v>0.223710045840977</v>
      </c>
    </row>
    <row r="53" ht="29.1" customHeight="1" spans="1:62">
      <c r="A53" s="61" t="s">
        <v>195</v>
      </c>
      <c r="B53" s="61" t="s">
        <v>196</v>
      </c>
      <c r="C53" s="90">
        <v>109</v>
      </c>
      <c r="D53" s="91">
        <v>103</v>
      </c>
      <c r="E53" s="64">
        <v>2018.2</v>
      </c>
      <c r="F53" s="148">
        <v>0</v>
      </c>
      <c r="G53" s="148">
        <v>0</v>
      </c>
      <c r="H53" s="64">
        <v>0</v>
      </c>
      <c r="I53" s="64">
        <v>0</v>
      </c>
      <c r="J53" s="207">
        <v>3</v>
      </c>
      <c r="K53" s="215">
        <f t="shared" si="27"/>
        <v>0.0275229357798165</v>
      </c>
      <c r="L53" s="209">
        <v>57.49</v>
      </c>
      <c r="M53" s="210">
        <f t="shared" si="28"/>
        <v>0.786885245901639</v>
      </c>
      <c r="N53" s="208">
        <f t="shared" si="29"/>
        <v>0.775862068965517</v>
      </c>
      <c r="O53" s="208">
        <f t="shared" si="30"/>
        <v>0.391343913301253</v>
      </c>
      <c r="P53" s="153">
        <f t="shared" si="31"/>
        <v>1.05825242718447</v>
      </c>
      <c r="Q53" s="155">
        <f t="shared" si="32"/>
        <v>19.5941747572816</v>
      </c>
      <c r="R53" s="187">
        <f t="shared" si="33"/>
        <v>18.5155963302752</v>
      </c>
      <c r="S53" s="187">
        <f t="shared" si="53"/>
        <v>0</v>
      </c>
      <c r="T53" s="193">
        <f t="shared" si="34"/>
        <v>56</v>
      </c>
      <c r="U53" s="157">
        <f t="shared" si="35"/>
        <v>0.543689320388349</v>
      </c>
      <c r="V53" s="94">
        <f t="shared" si="36"/>
        <v>0.171960162521058</v>
      </c>
      <c r="W53" s="91">
        <v>38519</v>
      </c>
      <c r="X53" s="91">
        <v>293</v>
      </c>
      <c r="Y53" s="91">
        <v>47</v>
      </c>
      <c r="Z53" s="91">
        <v>347.05</v>
      </c>
      <c r="AA53" s="92">
        <v>959.53</v>
      </c>
      <c r="AB53" s="91">
        <v>1.18</v>
      </c>
      <c r="AC53" s="71">
        <f t="shared" si="37"/>
        <v>0.361687492835034</v>
      </c>
      <c r="AD53" s="72">
        <f t="shared" si="38"/>
        <v>0.00760663568628469</v>
      </c>
      <c r="AE53" s="72">
        <f t="shared" si="39"/>
        <v>0.160409556313993</v>
      </c>
      <c r="AF53" s="154">
        <f t="shared" si="40"/>
        <v>7.38404255319149</v>
      </c>
      <c r="AG53" s="160">
        <v>40</v>
      </c>
      <c r="AH53" s="161">
        <v>41</v>
      </c>
      <c r="AI53" s="161">
        <v>25</v>
      </c>
      <c r="AJ53" s="211">
        <v>3</v>
      </c>
      <c r="AK53" s="163">
        <f>AG53*产品成本!$D$5+AH53*产品成本!$D$6+AI53*产品成本!$D$7+AJ53*产品成本!$D$8</f>
        <v>330.985915492958</v>
      </c>
      <c r="AL53" s="163">
        <f>AG53*产品成本!$E$5+AH53*产品成本!$E$6+AI53*产品成本!$E$7+AJ53*产品成本!$E$8</f>
        <v>36.32</v>
      </c>
      <c r="AM53" s="163">
        <f>AG53*产品成本!$F$5+AH53*产品成本!$F$6+AI53*产品成本!$F$7+AJ53*产品成本!$F$8</f>
        <v>41.82</v>
      </c>
      <c r="AN53" s="163">
        <f>AG53*产品成本!$G$5+AH53*产品成本!$G$6+AI53*产品成本!$G$7+AJ53*产品成本!$G$8</f>
        <v>511.84</v>
      </c>
      <c r="AO53" s="163">
        <f t="shared" si="41"/>
        <v>302.73</v>
      </c>
      <c r="AP53" s="164">
        <f t="shared" si="42"/>
        <v>1223.69591549296</v>
      </c>
      <c r="AQ53" s="165">
        <v>1</v>
      </c>
      <c r="AR53" s="165">
        <v>0</v>
      </c>
      <c r="AS53" s="165">
        <v>2</v>
      </c>
      <c r="AT53" s="211">
        <v>0</v>
      </c>
      <c r="AU53" s="212">
        <f t="shared" si="43"/>
        <v>70.109756097561</v>
      </c>
      <c r="AV53" s="163">
        <f>AQ53*产品成本!$D$5+AR53*产品成本!$D$6+AS53*产品成本!$D$7+AT53*产品成本!D62</f>
        <v>10</v>
      </c>
      <c r="AW53" s="163">
        <f>AQ53*产品成本!$E$5+AR53*产品成本!$E$6+AS53*产品成本!$E$7+AT53*产品成本!E62</f>
        <v>1.07</v>
      </c>
      <c r="AX53" s="163">
        <f>AQ53*产品成本!$F$5+AR53*产品成本!$F$6+AS53*产品成本!$F$7+AT53*产品成本!F62</f>
        <v>1.23</v>
      </c>
      <c r="AY53" s="163"/>
      <c r="AZ53" s="163">
        <f t="shared" si="44"/>
        <v>10.5164634146341</v>
      </c>
      <c r="BA53" s="163">
        <f t="shared" si="45"/>
        <v>-2.10329268292683</v>
      </c>
      <c r="BB53" s="164">
        <f t="shared" si="46"/>
        <v>20.7131707317073</v>
      </c>
      <c r="BC53" s="169">
        <f t="shared" si="47"/>
        <v>1202.98274476125</v>
      </c>
      <c r="BD53" s="169">
        <f t="shared" si="48"/>
        <v>2018.2</v>
      </c>
      <c r="BE53" s="169">
        <f t="shared" si="49"/>
        <v>1948.09024390244</v>
      </c>
      <c r="BF53" s="168">
        <f t="shared" si="50"/>
        <v>398.057499141189</v>
      </c>
      <c r="BG53" s="213">
        <f t="shared" si="51"/>
        <v>0.204332166021116</v>
      </c>
      <c r="BI53" t="s">
        <v>197</v>
      </c>
    </row>
    <row r="54" ht="29.1" customHeight="1" spans="1:62">
      <c r="A54" s="61" t="s">
        <v>200</v>
      </c>
      <c r="B54" s="61" t="s">
        <v>201</v>
      </c>
      <c r="C54" s="90">
        <v>67</v>
      </c>
      <c r="D54" s="91">
        <v>67</v>
      </c>
      <c r="E54" s="64">
        <v>1412.71</v>
      </c>
      <c r="F54" s="148">
        <v>7</v>
      </c>
      <c r="G54" s="148">
        <v>7</v>
      </c>
      <c r="H54" s="64">
        <v>156.5</v>
      </c>
      <c r="I54" s="64">
        <v>15.15</v>
      </c>
      <c r="J54" s="207">
        <v>3</v>
      </c>
      <c r="K54" s="215">
        <f t="shared" si="27"/>
        <v>0.0447761194029851</v>
      </c>
      <c r="L54" s="209">
        <v>62.37</v>
      </c>
      <c r="M54" s="210">
        <f t="shared" si="28"/>
        <v>-0.385321100917431</v>
      </c>
      <c r="N54" s="208">
        <f t="shared" si="29"/>
        <v>-0.349514563106796</v>
      </c>
      <c r="O54" s="208">
        <f t="shared" si="30"/>
        <v>-0.300014864730948</v>
      </c>
      <c r="P54" s="153">
        <f t="shared" si="31"/>
        <v>1</v>
      </c>
      <c r="Q54" s="155">
        <f t="shared" si="32"/>
        <v>21.085223880597</v>
      </c>
      <c r="R54" s="187">
        <f t="shared" si="33"/>
        <v>21.085223880597</v>
      </c>
      <c r="S54" s="187">
        <f t="shared" si="53"/>
        <v>1</v>
      </c>
      <c r="T54" s="193">
        <f t="shared" si="34"/>
        <v>27</v>
      </c>
      <c r="U54" s="157">
        <f t="shared" si="35"/>
        <v>0.402985074626866</v>
      </c>
      <c r="V54" s="94">
        <f t="shared" si="36"/>
        <v>0.240204356163599</v>
      </c>
      <c r="W54" s="91">
        <v>90691</v>
      </c>
      <c r="X54" s="91">
        <v>287</v>
      </c>
      <c r="Y54" s="91">
        <v>40</v>
      </c>
      <c r="Z54" s="91">
        <v>335.7</v>
      </c>
      <c r="AA54" s="92">
        <v>854.36</v>
      </c>
      <c r="AB54" s="91">
        <v>1.17</v>
      </c>
      <c r="AC54" s="71">
        <f t="shared" si="37"/>
        <v>0.392925698768669</v>
      </c>
      <c r="AD54" s="72">
        <f t="shared" si="38"/>
        <v>0.00316459185586221</v>
      </c>
      <c r="AE54" s="72">
        <f t="shared" si="39"/>
        <v>0.139372822299652</v>
      </c>
      <c r="AF54" s="154">
        <f t="shared" si="40"/>
        <v>8.3925</v>
      </c>
      <c r="AG54" s="160">
        <v>23</v>
      </c>
      <c r="AH54" s="161">
        <v>16</v>
      </c>
      <c r="AI54" s="161">
        <v>24</v>
      </c>
      <c r="AJ54" s="211">
        <v>4</v>
      </c>
      <c r="AK54" s="163">
        <f>AG54*产品成本!$D$5+AH54*产品成本!$D$6+AI54*产品成本!$D$7+AJ54*产品成本!$D$8</f>
        <v>217.042253521127</v>
      </c>
      <c r="AL54" s="163">
        <f>AG54*产品成本!$E$5+AH54*产品成本!$E$6+AI54*产品成本!$E$7+AJ54*产品成本!$E$8</f>
        <v>24.13</v>
      </c>
      <c r="AM54" s="163">
        <f>AG54*产品成本!$F$5+AH54*产品成本!$F$6+AI54*产品成本!$F$7+AJ54*产品成本!$F$8</f>
        <v>26.35</v>
      </c>
      <c r="AN54" s="163">
        <f>AG54*产品成本!$G$5+AH54*产品成本!$G$6+AI54*产品成本!$G$7+AJ54*产品成本!$G$8</f>
        <v>326.78</v>
      </c>
      <c r="AO54" s="163">
        <f t="shared" si="41"/>
        <v>209.634</v>
      </c>
      <c r="AP54" s="164">
        <f t="shared" si="42"/>
        <v>803.936253521127</v>
      </c>
      <c r="AQ54" s="165">
        <v>1</v>
      </c>
      <c r="AR54" s="165">
        <v>0</v>
      </c>
      <c r="AS54" s="165">
        <v>1</v>
      </c>
      <c r="AT54" s="211">
        <v>1</v>
      </c>
      <c r="AU54" s="212">
        <f t="shared" si="43"/>
        <v>76.0609756097561</v>
      </c>
      <c r="AV54" s="163">
        <f>AQ54*产品成本!$D$5+AR54*产品成本!$D$6+AS54*产品成本!$D$7+AT54*产品成本!D63</f>
        <v>6.33802816901409</v>
      </c>
      <c r="AW54" s="163">
        <f>AQ54*产品成本!$E$5+AR54*产品成本!$E$6+AS54*产品成本!$E$7+AT54*产品成本!E63</f>
        <v>0.67</v>
      </c>
      <c r="AX54" s="163">
        <f>AQ54*产品成本!$F$5+AR54*产品成本!$F$6+AS54*产品成本!$F$7+AT54*产品成本!F63</f>
        <v>0.82</v>
      </c>
      <c r="AY54" s="163"/>
      <c r="AZ54" s="163">
        <f t="shared" si="44"/>
        <v>11.4091463414634</v>
      </c>
      <c r="BA54" s="163">
        <f t="shared" si="45"/>
        <v>-2.28182926829268</v>
      </c>
      <c r="BB54" s="164">
        <f t="shared" si="46"/>
        <v>16.9553452421848</v>
      </c>
      <c r="BC54" s="169">
        <f t="shared" si="47"/>
        <v>786.980908278942</v>
      </c>
      <c r="BD54" s="169">
        <f t="shared" si="48"/>
        <v>1397.56</v>
      </c>
      <c r="BE54" s="169">
        <f t="shared" si="49"/>
        <v>1321.49902439024</v>
      </c>
      <c r="BF54" s="168">
        <f t="shared" si="50"/>
        <v>198.818116111302</v>
      </c>
      <c r="BG54" s="213">
        <f t="shared" si="51"/>
        <v>0.150448931434542</v>
      </c>
    </row>
    <row r="55" ht="29.1" customHeight="1" spans="1:62">
      <c r="A55" s="61" t="s">
        <v>200</v>
      </c>
      <c r="B55" s="61" t="s">
        <v>201</v>
      </c>
      <c r="C55" s="90">
        <v>58</v>
      </c>
      <c r="D55" s="91">
        <v>58</v>
      </c>
      <c r="E55" s="64">
        <v>1164.1</v>
      </c>
      <c r="F55" s="148">
        <v>7</v>
      </c>
      <c r="G55" s="148">
        <v>7</v>
      </c>
      <c r="H55" s="64">
        <v>141.03</v>
      </c>
      <c r="I55" s="64">
        <v>14.1</v>
      </c>
      <c r="J55" s="207">
        <v>0</v>
      </c>
      <c r="K55" s="215">
        <f t="shared" si="27"/>
        <v>0</v>
      </c>
      <c r="L55" s="209">
        <v>0</v>
      </c>
      <c r="M55" s="210">
        <f t="shared" si="28"/>
        <v>-0.134328358208955</v>
      </c>
      <c r="N55" s="208">
        <f t="shared" si="29"/>
        <v>-0.134328358208955</v>
      </c>
      <c r="O55" s="208">
        <f t="shared" si="30"/>
        <v>-0.175980916111587</v>
      </c>
      <c r="P55" s="153">
        <f t="shared" si="31"/>
        <v>1</v>
      </c>
      <c r="Q55" s="155">
        <f t="shared" si="32"/>
        <v>20.0706896551724</v>
      </c>
      <c r="R55" s="187">
        <f t="shared" si="33"/>
        <v>20.0706896551724</v>
      </c>
      <c r="S55" s="187">
        <f t="shared" si="53"/>
        <v>1</v>
      </c>
      <c r="T55" s="193">
        <f t="shared" si="34"/>
        <v>15</v>
      </c>
      <c r="U55" s="157">
        <f t="shared" si="35"/>
        <v>0.258620689655172</v>
      </c>
      <c r="V55" s="94">
        <f t="shared" si="36"/>
        <v>0.249747826086957</v>
      </c>
      <c r="W55" s="91">
        <v>24156</v>
      </c>
      <c r="X55" s="91">
        <v>255</v>
      </c>
      <c r="Y55" s="91">
        <v>43</v>
      </c>
      <c r="Z55" s="91">
        <v>287.21</v>
      </c>
      <c r="AA55" s="92">
        <v>871.76</v>
      </c>
      <c r="AB55" s="91">
        <v>1.13</v>
      </c>
      <c r="AC55" s="71">
        <f t="shared" si="37"/>
        <v>0.329459943103606</v>
      </c>
      <c r="AD55" s="72">
        <f t="shared" si="38"/>
        <v>0.0105563835072032</v>
      </c>
      <c r="AE55" s="72">
        <f t="shared" si="39"/>
        <v>0.168627450980392</v>
      </c>
      <c r="AF55" s="154">
        <f t="shared" si="40"/>
        <v>6.67930232558139</v>
      </c>
      <c r="AG55" s="160">
        <v>17</v>
      </c>
      <c r="AH55" s="161">
        <v>27</v>
      </c>
      <c r="AI55" s="161">
        <v>13</v>
      </c>
      <c r="AJ55" s="211">
        <v>1</v>
      </c>
      <c r="AK55" s="163">
        <f>AG55*产品成本!$D$5+AH55*产品成本!$D$6+AI55*产品成本!$D$7+AJ55*产品成本!$D$8</f>
        <v>174.788732394366</v>
      </c>
      <c r="AL55" s="163">
        <f>AG55*产品成本!$E$5+AH55*产品成本!$E$6+AI55*产品成本!$E$7+AJ55*产品成本!$E$8</f>
        <v>19.23</v>
      </c>
      <c r="AM55" s="163">
        <f>AG55*产品成本!$F$5+AH55*产品成本!$F$6+AI55*产品成本!$F$7+AJ55*产品成本!$F$8</f>
        <v>21.89</v>
      </c>
      <c r="AN55" s="163">
        <f>AG55*产品成本!$G$5+AH55*产品成本!$G$6+AI55*产品成本!$G$7+AJ55*产品成本!$G$8</f>
        <v>267.62</v>
      </c>
      <c r="AO55" s="163">
        <f t="shared" si="41"/>
        <v>172.5</v>
      </c>
      <c r="AP55" s="164">
        <f t="shared" si="42"/>
        <v>656.028732394366</v>
      </c>
      <c r="AQ55" s="165">
        <v>0</v>
      </c>
      <c r="AR55" s="165">
        <v>0</v>
      </c>
      <c r="AS55" s="165">
        <v>0</v>
      </c>
      <c r="AT55" s="211">
        <v>0</v>
      </c>
      <c r="AU55" s="212">
        <f t="shared" si="43"/>
        <v>0</v>
      </c>
      <c r="AV55" s="163">
        <f>AQ55*产品成本!$D$5+AR55*产品成本!$D$6+AS55*产品成本!$D$7+AT55*产品成本!D64</f>
        <v>0</v>
      </c>
      <c r="AW55" s="163">
        <f>AQ55*产品成本!$E$5+AR55*产品成本!$E$6+AS55*产品成本!$E$7+AT55*产品成本!E64</f>
        <v>0</v>
      </c>
      <c r="AX55" s="163">
        <f>AQ55*产品成本!$F$5+AR55*产品成本!$F$6+AS55*产品成本!$F$7+AT55*产品成本!F64</f>
        <v>0</v>
      </c>
      <c r="AY55" s="163"/>
      <c r="AZ55" s="163">
        <f t="shared" si="44"/>
        <v>0</v>
      </c>
      <c r="BA55" s="163">
        <f t="shared" si="45"/>
        <v>0</v>
      </c>
      <c r="BB55" s="164">
        <f t="shared" si="46"/>
        <v>0</v>
      </c>
      <c r="BC55" s="169">
        <f t="shared" si="47"/>
        <v>656.028732394366</v>
      </c>
      <c r="BD55" s="169">
        <f t="shared" si="48"/>
        <v>1150</v>
      </c>
      <c r="BE55" s="169">
        <f t="shared" si="49"/>
        <v>1150</v>
      </c>
      <c r="BF55" s="168">
        <f t="shared" si="50"/>
        <v>206.761267605634</v>
      </c>
      <c r="BG55" s="213">
        <f t="shared" si="51"/>
        <v>0.179792406613595</v>
      </c>
    </row>
    <row r="56" ht="29.1" customHeight="1" spans="1:62">
      <c r="A56" s="61" t="s">
        <v>202</v>
      </c>
      <c r="B56" s="61" t="s">
        <v>203</v>
      </c>
      <c r="C56" s="90">
        <v>70</v>
      </c>
      <c r="D56" s="91">
        <v>69</v>
      </c>
      <c r="E56" s="64">
        <v>1562.73</v>
      </c>
      <c r="F56" s="148">
        <v>10</v>
      </c>
      <c r="G56" s="148">
        <v>10</v>
      </c>
      <c r="H56" s="64">
        <v>248.24</v>
      </c>
      <c r="I56" s="64">
        <v>25.87</v>
      </c>
      <c r="J56" s="207">
        <v>2</v>
      </c>
      <c r="K56" s="215">
        <f t="shared" si="27"/>
        <v>0.0285714285714286</v>
      </c>
      <c r="L56" s="209">
        <v>50.24</v>
      </c>
      <c r="M56" s="210">
        <f t="shared" si="28"/>
        <v>0.206896551724138</v>
      </c>
      <c r="N56" s="208">
        <f t="shared" si="29"/>
        <v>0.189655172413793</v>
      </c>
      <c r="O56" s="208">
        <f t="shared" si="30"/>
        <v>0.342436216819861</v>
      </c>
      <c r="P56" s="153">
        <f t="shared" si="31"/>
        <v>1.01449275362319</v>
      </c>
      <c r="Q56" s="155">
        <f t="shared" si="32"/>
        <v>22.6482608695652</v>
      </c>
      <c r="R56" s="187">
        <f t="shared" si="33"/>
        <v>22.3247142857143</v>
      </c>
      <c r="S56" s="187">
        <f t="shared" si="53"/>
        <v>1.42857142857143</v>
      </c>
      <c r="T56" s="193">
        <f t="shared" si="34"/>
        <v>32</v>
      </c>
      <c r="U56" s="157">
        <f t="shared" si="35"/>
        <v>0.463768115942029</v>
      </c>
      <c r="V56" s="94">
        <f t="shared" si="36"/>
        <v>0.158817328839322</v>
      </c>
      <c r="W56" s="91">
        <v>23268</v>
      </c>
      <c r="X56" s="91">
        <v>218</v>
      </c>
      <c r="Y56" s="91">
        <v>37</v>
      </c>
      <c r="Z56" s="91">
        <v>244.08</v>
      </c>
      <c r="AA56" s="92">
        <v>869.19</v>
      </c>
      <c r="AB56" s="91">
        <v>1.12</v>
      </c>
      <c r="AC56" s="71">
        <f t="shared" si="37"/>
        <v>0.280813170883236</v>
      </c>
      <c r="AD56" s="72">
        <f t="shared" si="38"/>
        <v>0.00936909059652742</v>
      </c>
      <c r="AE56" s="72">
        <f t="shared" si="39"/>
        <v>0.169724770642202</v>
      </c>
      <c r="AF56" s="154">
        <f t="shared" si="40"/>
        <v>6.59675675675676</v>
      </c>
      <c r="AG56" s="160">
        <v>26</v>
      </c>
      <c r="AH56" s="161">
        <v>19</v>
      </c>
      <c r="AI56" s="161">
        <v>21</v>
      </c>
      <c r="AJ56" s="211">
        <v>4</v>
      </c>
      <c r="AK56" s="163">
        <f>AG56*产品成本!$D$5+AH56*产品成本!$D$6+AI56*产品成本!$D$7+AJ56*产品成本!$D$8</f>
        <v>222.535211267606</v>
      </c>
      <c r="AL56" s="163">
        <f>AG56*产品成本!$E$5+AH56*产品成本!$E$6+AI56*产品成本!$E$7+AJ56*产品成本!$E$8</f>
        <v>24.7</v>
      </c>
      <c r="AM56" s="163">
        <f>AG56*产品成本!$F$5+AH56*产品成本!$F$6+AI56*产品成本!$F$7+AJ56*产品成本!$F$8</f>
        <v>27.37</v>
      </c>
      <c r="AN56" s="163">
        <f>AG56*产品成本!$G$5+AH56*产品成本!$G$6+AI56*产品成本!$G$7+AJ56*产品成本!$G$8</f>
        <v>337.88</v>
      </c>
      <c r="AO56" s="163">
        <f t="shared" si="41"/>
        <v>230.529</v>
      </c>
      <c r="AP56" s="164">
        <f t="shared" si="42"/>
        <v>843.014211267606</v>
      </c>
      <c r="AQ56" s="165">
        <v>0</v>
      </c>
      <c r="AR56" s="165">
        <v>1</v>
      </c>
      <c r="AS56" s="165">
        <v>0</v>
      </c>
      <c r="AT56" s="211">
        <v>1</v>
      </c>
      <c r="AU56" s="212">
        <f t="shared" si="43"/>
        <v>61.2682926829268</v>
      </c>
      <c r="AV56" s="163">
        <f>AQ56*产品成本!$D$5+AR56*产品成本!$D$6+AS56*产品成本!$D$7+AT56*产品成本!D65</f>
        <v>2.8169014084507</v>
      </c>
      <c r="AW56" s="163">
        <f>AQ56*产品成本!$E$5+AR56*产品成本!$E$6+AS56*产品成本!$E$7+AT56*产品成本!E65</f>
        <v>0.32</v>
      </c>
      <c r="AX56" s="163">
        <f>AQ56*产品成本!$F$5+AR56*产品成本!$F$6+AS56*产品成本!$F$7+AT56*产品成本!F65</f>
        <v>0.34</v>
      </c>
      <c r="AY56" s="163"/>
      <c r="AZ56" s="163">
        <f t="shared" si="44"/>
        <v>9.19024390243903</v>
      </c>
      <c r="BA56" s="163">
        <f t="shared" si="45"/>
        <v>-1.83804878048781</v>
      </c>
      <c r="BB56" s="164">
        <f t="shared" si="46"/>
        <v>10.8290965304019</v>
      </c>
      <c r="BC56" s="169">
        <f t="shared" si="47"/>
        <v>832.185114737204</v>
      </c>
      <c r="BD56" s="169">
        <f t="shared" si="48"/>
        <v>1536.86</v>
      </c>
      <c r="BE56" s="169">
        <f t="shared" si="49"/>
        <v>1475.59170731707</v>
      </c>
      <c r="BF56" s="168">
        <f t="shared" si="50"/>
        <v>399.326592579869</v>
      </c>
      <c r="BG56" s="213">
        <f t="shared" si="51"/>
        <v>0.270621331496859</v>
      </c>
    </row>
    <row r="57" ht="29.1" customHeight="1" spans="1:62">
      <c r="A57" s="61" t="s">
        <v>205</v>
      </c>
      <c r="B57" s="61" t="s">
        <v>206</v>
      </c>
      <c r="C57" s="90">
        <v>58</v>
      </c>
      <c r="D57" s="91">
        <v>49</v>
      </c>
      <c r="E57" s="64">
        <v>1247.35</v>
      </c>
      <c r="F57" s="148">
        <v>3</v>
      </c>
      <c r="G57" s="148">
        <v>3</v>
      </c>
      <c r="H57" s="64">
        <v>68.7</v>
      </c>
      <c r="I57" s="64">
        <v>8.04</v>
      </c>
      <c r="J57" s="207">
        <v>3</v>
      </c>
      <c r="K57" s="215">
        <f t="shared" si="27"/>
        <v>0.0517241379310345</v>
      </c>
      <c r="L57" s="209">
        <v>53.82</v>
      </c>
      <c r="M57" s="210">
        <f t="shared" si="28"/>
        <v>-0.171428571428571</v>
      </c>
      <c r="N57" s="208">
        <f t="shared" si="29"/>
        <v>-0.289855072463768</v>
      </c>
      <c r="O57" s="208">
        <f t="shared" si="30"/>
        <v>-0.201813493053823</v>
      </c>
      <c r="P57" s="153">
        <f t="shared" si="31"/>
        <v>1.18367346938776</v>
      </c>
      <c r="Q57" s="155">
        <f t="shared" si="32"/>
        <v>25.4561224489796</v>
      </c>
      <c r="R57" s="187">
        <f t="shared" si="33"/>
        <v>21.5060344827586</v>
      </c>
      <c r="S57" s="187">
        <f t="shared" si="53"/>
        <v>0.428571428571429</v>
      </c>
      <c r="T57" s="193">
        <f t="shared" si="34"/>
        <v>20</v>
      </c>
      <c r="U57" s="157">
        <f t="shared" si="35"/>
        <v>0.408163265306122</v>
      </c>
      <c r="V57" s="94">
        <f t="shared" si="36"/>
        <v>0.235582703278437</v>
      </c>
      <c r="W57" s="91">
        <v>26402</v>
      </c>
      <c r="X57" s="91">
        <v>271</v>
      </c>
      <c r="Y57" s="91">
        <v>29</v>
      </c>
      <c r="Z57" s="91">
        <v>291.96</v>
      </c>
      <c r="AA57" s="92">
        <v>762.41</v>
      </c>
      <c r="AB57" s="91">
        <v>1.08</v>
      </c>
      <c r="AC57" s="71">
        <f t="shared" si="37"/>
        <v>0.382943560551409</v>
      </c>
      <c r="AD57" s="72">
        <f t="shared" si="38"/>
        <v>0.0102643739110673</v>
      </c>
      <c r="AE57" s="72">
        <f t="shared" si="39"/>
        <v>0.107011070110701</v>
      </c>
      <c r="AF57" s="154">
        <f t="shared" si="40"/>
        <v>10.0675862068966</v>
      </c>
      <c r="AG57" s="160">
        <v>19</v>
      </c>
      <c r="AH57" s="161">
        <v>11</v>
      </c>
      <c r="AI57" s="161">
        <v>24</v>
      </c>
      <c r="AJ57" s="211">
        <v>4</v>
      </c>
      <c r="AK57" s="163">
        <f>AG57*产品成本!$D$5+AH57*产品成本!$D$6+AI57*产品成本!$D$7+AJ57*产品成本!$D$8</f>
        <v>192.253521126761</v>
      </c>
      <c r="AL57" s="163">
        <f>AG57*产品成本!$E$5+AH57*产品成本!$E$6+AI57*产品成本!$E$7+AJ57*产品成本!$E$8</f>
        <v>21.45</v>
      </c>
      <c r="AM57" s="163">
        <f>AG57*产品成本!$F$5+AH57*产品成本!$F$6+AI57*产品成本!$F$7+AJ57*产品成本!$F$8</f>
        <v>23.01</v>
      </c>
      <c r="AN57" s="163">
        <f>AG57*产品成本!$G$5+AH57*产品成本!$G$6+AI57*产品成本!$G$7+AJ57*产品成本!$G$8</f>
        <v>286.78</v>
      </c>
      <c r="AO57" s="163">
        <f t="shared" si="41"/>
        <v>185.8965</v>
      </c>
      <c r="AP57" s="164">
        <f t="shared" si="42"/>
        <v>709.390021126761</v>
      </c>
      <c r="AQ57" s="165">
        <v>0</v>
      </c>
      <c r="AR57" s="165">
        <v>2</v>
      </c>
      <c r="AS57" s="165">
        <v>1</v>
      </c>
      <c r="AT57" s="211">
        <v>0</v>
      </c>
      <c r="AU57" s="212">
        <f t="shared" si="43"/>
        <v>65.6341463414634</v>
      </c>
      <c r="AV57" s="163">
        <f>AQ57*产品成本!$D$5+AR57*产品成本!$D$6+AS57*产品成本!$D$7+AT57*产品成本!D66</f>
        <v>9.29577464788732</v>
      </c>
      <c r="AW57" s="163">
        <f>AQ57*产品成本!$E$5+AR57*产品成本!$E$6+AS57*产品成本!$E$7+AT57*产品成本!E66</f>
        <v>1.04</v>
      </c>
      <c r="AX57" s="163">
        <f>AQ57*产品成本!$F$5+AR57*产品成本!$F$6+AS57*产品成本!$F$7+AT57*产品成本!F66</f>
        <v>1.09</v>
      </c>
      <c r="AY57" s="163"/>
      <c r="AZ57" s="163">
        <f t="shared" si="44"/>
        <v>9.84512195121951</v>
      </c>
      <c r="BA57" s="163">
        <f t="shared" si="45"/>
        <v>-1.9690243902439</v>
      </c>
      <c r="BB57" s="164">
        <f t="shared" si="46"/>
        <v>19.3018722088629</v>
      </c>
      <c r="BC57" s="169">
        <f t="shared" si="47"/>
        <v>690.088148917898</v>
      </c>
      <c r="BD57" s="169">
        <f t="shared" si="48"/>
        <v>1239.31</v>
      </c>
      <c r="BE57" s="169">
        <f t="shared" si="49"/>
        <v>1173.67585365854</v>
      </c>
      <c r="BF57" s="168">
        <f t="shared" si="50"/>
        <v>191.627704740639</v>
      </c>
      <c r="BG57" s="213">
        <f t="shared" si="51"/>
        <v>0.163271404232527</v>
      </c>
    </row>
    <row r="58" ht="29.1" customHeight="1" spans="1:62">
      <c r="A58" s="61" t="s">
        <v>208</v>
      </c>
      <c r="B58" s="61" t="s">
        <v>209</v>
      </c>
      <c r="C58" s="90">
        <v>57</v>
      </c>
      <c r="D58" s="91">
        <v>56</v>
      </c>
      <c r="E58" s="64">
        <v>1188.24</v>
      </c>
      <c r="F58" s="148">
        <v>5</v>
      </c>
      <c r="G58" s="148">
        <v>5</v>
      </c>
      <c r="H58" s="64">
        <v>99.4</v>
      </c>
      <c r="I58" s="64">
        <v>11.93</v>
      </c>
      <c r="J58" s="207">
        <v>3</v>
      </c>
      <c r="K58" s="215">
        <f t="shared" si="27"/>
        <v>0.0526315789473684</v>
      </c>
      <c r="L58" s="209">
        <v>56.11</v>
      </c>
      <c r="M58" s="210">
        <f t="shared" si="28"/>
        <v>-0.0172413793103448</v>
      </c>
      <c r="N58" s="208">
        <f t="shared" si="29"/>
        <v>0.142857142857143</v>
      </c>
      <c r="O58" s="208">
        <f t="shared" si="30"/>
        <v>-0.0473884635427105</v>
      </c>
      <c r="P58" s="153">
        <f t="shared" si="31"/>
        <v>1.01785714285714</v>
      </c>
      <c r="Q58" s="155">
        <f t="shared" si="32"/>
        <v>21.2185714285714</v>
      </c>
      <c r="R58" s="187">
        <f t="shared" si="33"/>
        <v>20.8463157894737</v>
      </c>
      <c r="S58" s="187">
        <f t="shared" si="53"/>
        <v>0.714285714285714</v>
      </c>
      <c r="T58" s="193">
        <f t="shared" si="34"/>
        <v>33</v>
      </c>
      <c r="U58" s="157">
        <f t="shared" si="35"/>
        <v>0.589285714285714</v>
      </c>
      <c r="V58" s="94">
        <f t="shared" si="36"/>
        <v>0.224286115054705</v>
      </c>
      <c r="W58" s="91">
        <v>28684</v>
      </c>
      <c r="X58" s="91">
        <v>246</v>
      </c>
      <c r="Y58" s="91">
        <v>23</v>
      </c>
      <c r="Z58" s="91">
        <v>263.83</v>
      </c>
      <c r="AA58" s="92">
        <v>479.39</v>
      </c>
      <c r="AB58" s="91">
        <v>1.07</v>
      </c>
      <c r="AC58" s="71">
        <f t="shared" si="37"/>
        <v>0.550345230396963</v>
      </c>
      <c r="AD58" s="72">
        <f t="shared" si="38"/>
        <v>0.00857620973364942</v>
      </c>
      <c r="AE58" s="72">
        <f t="shared" si="39"/>
        <v>0.0934959349593496</v>
      </c>
      <c r="AF58" s="154">
        <f t="shared" si="40"/>
        <v>11.4708695652174</v>
      </c>
      <c r="AG58" s="160">
        <v>27</v>
      </c>
      <c r="AH58" s="161">
        <v>15</v>
      </c>
      <c r="AI58" s="161">
        <v>12</v>
      </c>
      <c r="AJ58" s="211">
        <v>3</v>
      </c>
      <c r="AK58" s="163">
        <f>AG58*产品成本!$D$5+AH58*产品成本!$D$6+AI58*产品成本!$D$7+AJ58*产品成本!$D$8</f>
        <v>175.352112676056</v>
      </c>
      <c r="AL58" s="163">
        <f>AG58*产品成本!$E$5+AH58*产品成本!$E$6+AI58*产品成本!$E$7+AJ58*产品成本!$E$8</f>
        <v>19.29</v>
      </c>
      <c r="AM58" s="163">
        <f>AG58*产品成本!$F$5+AH58*产品成本!$F$6+AI58*产品成本!$F$7+AJ58*产品成本!$F$8</f>
        <v>22.32</v>
      </c>
      <c r="AN58" s="163">
        <f>AG58*产品成本!$G$5+AH58*产品成本!$G$6+AI58*产品成本!$G$7+AJ58*产品成本!$G$8</f>
        <v>273.42</v>
      </c>
      <c r="AO58" s="163">
        <f t="shared" si="41"/>
        <v>176.4465</v>
      </c>
      <c r="AP58" s="164">
        <f t="shared" si="42"/>
        <v>666.828612676056</v>
      </c>
      <c r="AQ58" s="165">
        <v>1</v>
      </c>
      <c r="AR58" s="165">
        <v>1</v>
      </c>
      <c r="AS58" s="165">
        <v>1</v>
      </c>
      <c r="AT58" s="211">
        <v>0</v>
      </c>
      <c r="AU58" s="212">
        <f t="shared" si="43"/>
        <v>68.4268292682927</v>
      </c>
      <c r="AV58" s="163">
        <f>AQ58*产品成本!$D$5+AR58*产品成本!$D$6+AS58*产品成本!$D$7+AT58*产品成本!D67</f>
        <v>9.15492957746479</v>
      </c>
      <c r="AW58" s="163">
        <f>AQ58*产品成本!$E$5+AR58*产品成本!$E$6+AS58*产品成本!$E$7+AT58*产品成本!E67</f>
        <v>0.99</v>
      </c>
      <c r="AX58" s="163">
        <f>AQ58*产品成本!$F$5+AR58*产品成本!$F$6+AS58*产品成本!$F$7+AT58*产品成本!F67</f>
        <v>1.16</v>
      </c>
      <c r="AY58" s="163"/>
      <c r="AZ58" s="163">
        <f t="shared" si="44"/>
        <v>10.2640243902439</v>
      </c>
      <c r="BA58" s="163">
        <f t="shared" si="45"/>
        <v>-2.05280487804878</v>
      </c>
      <c r="BB58" s="164">
        <f t="shared" si="46"/>
        <v>19.5161490896599</v>
      </c>
      <c r="BC58" s="169">
        <f t="shared" si="47"/>
        <v>647.312463586396</v>
      </c>
      <c r="BD58" s="169">
        <f t="shared" si="48"/>
        <v>1176.31</v>
      </c>
      <c r="BE58" s="169">
        <f t="shared" si="49"/>
        <v>1107.88317073171</v>
      </c>
      <c r="BF58" s="168">
        <f t="shared" si="50"/>
        <v>196.740707145311</v>
      </c>
      <c r="BG58" s="213">
        <f t="shared" si="51"/>
        <v>0.177582539696286</v>
      </c>
    </row>
    <row r="59" ht="29.1" customHeight="1" spans="1:62">
      <c r="A59" s="61" t="s">
        <v>210</v>
      </c>
      <c r="B59" s="61" t="s">
        <v>211</v>
      </c>
      <c r="C59" s="90">
        <v>71</v>
      </c>
      <c r="D59" s="91">
        <v>69</v>
      </c>
      <c r="E59" s="64">
        <v>1383.36</v>
      </c>
      <c r="F59" s="148">
        <v>20</v>
      </c>
      <c r="G59" s="148">
        <v>19</v>
      </c>
      <c r="H59" s="64">
        <v>382.1</v>
      </c>
      <c r="I59" s="64">
        <v>40.58</v>
      </c>
      <c r="J59" s="207">
        <v>1</v>
      </c>
      <c r="K59" s="215">
        <f t="shared" si="27"/>
        <v>0.0140845070422535</v>
      </c>
      <c r="L59" s="209">
        <v>17.94</v>
      </c>
      <c r="M59" s="210">
        <f t="shared" si="28"/>
        <v>0.245614035087719</v>
      </c>
      <c r="N59" s="208">
        <f t="shared" si="29"/>
        <v>0.232142857142857</v>
      </c>
      <c r="O59" s="208">
        <f t="shared" si="30"/>
        <v>0.164209250656433</v>
      </c>
      <c r="P59" s="153">
        <f t="shared" si="31"/>
        <v>1.02898550724638</v>
      </c>
      <c r="Q59" s="155">
        <f t="shared" si="32"/>
        <v>20.0486956521739</v>
      </c>
      <c r="R59" s="187">
        <f t="shared" si="33"/>
        <v>19.4839436619718</v>
      </c>
      <c r="S59" s="187">
        <f t="shared" si="53"/>
        <v>2.71428571428571</v>
      </c>
      <c r="T59" s="193">
        <f t="shared" si="34"/>
        <v>31</v>
      </c>
      <c r="U59" s="157">
        <f t="shared" si="35"/>
        <v>0.449275362318841</v>
      </c>
      <c r="V59" s="94">
        <f t="shared" si="36"/>
        <v>0.247419532611448</v>
      </c>
      <c r="W59" s="91">
        <v>45929</v>
      </c>
      <c r="X59" s="91">
        <v>291</v>
      </c>
      <c r="Y59" s="91">
        <v>38</v>
      </c>
      <c r="Z59" s="91">
        <v>332.23</v>
      </c>
      <c r="AA59" s="92">
        <v>744.98</v>
      </c>
      <c r="AB59" s="91">
        <v>1.14</v>
      </c>
      <c r="AC59" s="71">
        <f t="shared" si="37"/>
        <v>0.445958280759215</v>
      </c>
      <c r="AD59" s="72">
        <f t="shared" si="38"/>
        <v>0.00633586622830891</v>
      </c>
      <c r="AE59" s="72">
        <f t="shared" si="39"/>
        <v>0.130584192439863</v>
      </c>
      <c r="AF59" s="154">
        <f t="shared" si="40"/>
        <v>8.74289473684211</v>
      </c>
      <c r="AG59" s="160">
        <v>17</v>
      </c>
      <c r="AH59" s="161">
        <v>29</v>
      </c>
      <c r="AI59" s="161">
        <v>20</v>
      </c>
      <c r="AJ59" s="211">
        <v>5</v>
      </c>
      <c r="AK59" s="163">
        <f>AG59*产品成本!$D$5+AH59*产品成本!$D$6+AI59*产品成本!$D$7+AJ59*产品成本!$D$8</f>
        <v>228.591549295775</v>
      </c>
      <c r="AL59" s="163">
        <f>AG59*产品成本!$E$5+AH59*产品成本!$E$6+AI59*产品成本!$E$7+AJ59*产品成本!$E$8</f>
        <v>25.87</v>
      </c>
      <c r="AM59" s="163">
        <f>AG59*产品成本!$F$5+AH59*产品成本!$F$6+AI59*产品成本!$F$7+AJ59*产品成本!$F$8</f>
        <v>27.08</v>
      </c>
      <c r="AN59" s="163">
        <f>AG59*产品成本!$G$5+AH59*产品成本!$G$6+AI59*产品成本!$G$7+AJ59*产品成本!$G$8</f>
        <v>334.82</v>
      </c>
      <c r="AO59" s="163">
        <f t="shared" si="41"/>
        <v>201.417</v>
      </c>
      <c r="AP59" s="164">
        <f t="shared" si="42"/>
        <v>817.778549295775</v>
      </c>
      <c r="AQ59" s="165">
        <v>0</v>
      </c>
      <c r="AR59" s="165">
        <v>0</v>
      </c>
      <c r="AS59" s="165">
        <v>1</v>
      </c>
      <c r="AT59" s="211">
        <v>0</v>
      </c>
      <c r="AU59" s="212">
        <f t="shared" si="43"/>
        <v>21.8780487804878</v>
      </c>
      <c r="AV59" s="163">
        <f>AQ59*产品成本!$D$5+AR59*产品成本!$D$6+AS59*产品成本!$D$7+AT59*产品成本!D68</f>
        <v>3.66197183098592</v>
      </c>
      <c r="AW59" s="163">
        <f>AQ59*产品成本!$E$5+AR59*产品成本!$E$6+AS59*产品成本!$E$7+AT59*产品成本!E68</f>
        <v>0.4</v>
      </c>
      <c r="AX59" s="163">
        <f>AQ59*产品成本!$F$5+AR59*产品成本!$F$6+AS59*产品成本!$F$7+AT59*产品成本!F68</f>
        <v>0.41</v>
      </c>
      <c r="AY59" s="163"/>
      <c r="AZ59" s="163">
        <f t="shared" si="44"/>
        <v>3.28170731707317</v>
      </c>
      <c r="BA59" s="163">
        <f t="shared" si="45"/>
        <v>-0.656341463414634</v>
      </c>
      <c r="BB59" s="164">
        <f t="shared" si="46"/>
        <v>7.09733768464446</v>
      </c>
      <c r="BC59" s="169">
        <f t="shared" si="47"/>
        <v>810.68121161113</v>
      </c>
      <c r="BD59" s="169">
        <f t="shared" si="48"/>
        <v>1342.78</v>
      </c>
      <c r="BE59" s="169">
        <f t="shared" si="49"/>
        <v>1320.90195121951</v>
      </c>
      <c r="BF59" s="168">
        <f t="shared" si="50"/>
        <v>177.990739608382</v>
      </c>
      <c r="BG59" s="213">
        <f t="shared" si="51"/>
        <v>0.134749395626264</v>
      </c>
      <c r="BI59" t="s">
        <v>292</v>
      </c>
    </row>
    <row r="60" ht="29.1" customHeight="1" spans="1:62">
      <c r="A60" s="61" t="s">
        <v>213</v>
      </c>
      <c r="B60" s="61" t="s">
        <v>214</v>
      </c>
      <c r="C60" s="90">
        <v>99</v>
      </c>
      <c r="D60" s="91">
        <v>95</v>
      </c>
      <c r="E60" s="64">
        <v>1788.96</v>
      </c>
      <c r="F60" s="148">
        <v>68</v>
      </c>
      <c r="G60" s="148">
        <v>66</v>
      </c>
      <c r="H60" s="64">
        <v>1241.77</v>
      </c>
      <c r="I60" s="64">
        <v>117.88</v>
      </c>
      <c r="J60" s="207">
        <v>1</v>
      </c>
      <c r="K60" s="215">
        <f t="shared" si="27"/>
        <v>0.0101010101010101</v>
      </c>
      <c r="L60" s="209">
        <v>14.3</v>
      </c>
      <c r="M60" s="210">
        <f t="shared" si="28"/>
        <v>0.394366197183099</v>
      </c>
      <c r="N60" s="208">
        <f t="shared" si="29"/>
        <v>0.376811594202899</v>
      </c>
      <c r="O60" s="208">
        <f t="shared" si="30"/>
        <v>0.293199167244969</v>
      </c>
      <c r="P60" s="153">
        <f t="shared" si="31"/>
        <v>1.04210526315789</v>
      </c>
      <c r="Q60" s="155">
        <f t="shared" si="32"/>
        <v>18.8311578947368</v>
      </c>
      <c r="R60" s="187">
        <f t="shared" si="33"/>
        <v>18.070303030303</v>
      </c>
      <c r="S60" s="187">
        <f t="shared" si="53"/>
        <v>9.42857142857143</v>
      </c>
      <c r="T60" s="193">
        <f t="shared" si="34"/>
        <v>34</v>
      </c>
      <c r="U60" s="157">
        <f t="shared" si="35"/>
        <v>0.357894736842105</v>
      </c>
      <c r="V60" s="94">
        <f t="shared" si="36"/>
        <v>0.224615218900352</v>
      </c>
      <c r="W60" s="91">
        <v>44421</v>
      </c>
      <c r="X60" s="91">
        <v>318</v>
      </c>
      <c r="Y60" s="91">
        <v>61</v>
      </c>
      <c r="Z60" s="91">
        <v>375.35</v>
      </c>
      <c r="AA60" s="199">
        <v>1132.56</v>
      </c>
      <c r="AB60" s="91">
        <v>1.18</v>
      </c>
      <c r="AC60" s="71">
        <f t="shared" si="37"/>
        <v>0.331417320053684</v>
      </c>
      <c r="AD60" s="72">
        <f t="shared" si="38"/>
        <v>0.00715877625447424</v>
      </c>
      <c r="AE60" s="72">
        <f t="shared" si="39"/>
        <v>0.191823899371069</v>
      </c>
      <c r="AF60" s="154">
        <f t="shared" si="40"/>
        <v>6.15327868852459</v>
      </c>
      <c r="AG60" s="160">
        <v>37</v>
      </c>
      <c r="AH60" s="161">
        <v>30</v>
      </c>
      <c r="AI60" s="161">
        <v>29</v>
      </c>
      <c r="AJ60" s="211">
        <v>3</v>
      </c>
      <c r="AK60" s="163">
        <f>AG60*产品成本!$D$5+AH60*产品成本!$D$6+AI60*产品成本!$D$7+AJ60*产品成本!$D$8</f>
        <v>306.619718309859</v>
      </c>
      <c r="AL60" s="163">
        <f>AG60*产品成本!$E$5+AH60*产品成本!$E$6+AI60*产品成本!$E$7+AJ60*产品成本!$E$8</f>
        <v>33.59</v>
      </c>
      <c r="AM60" s="163">
        <f>AG60*产品成本!$F$5+AH60*产品成本!$F$6+AI60*产品成本!$F$7+AJ60*产品成本!$F$8</f>
        <v>38.49</v>
      </c>
      <c r="AN60" s="163">
        <f>AG60*产品成本!$G$5+AH60*产品成本!$G$6+AI60*产品成本!$G$7+AJ60*产品成本!$G$8</f>
        <v>473.38</v>
      </c>
      <c r="AO60" s="163">
        <f t="shared" si="41"/>
        <v>250.662</v>
      </c>
      <c r="AP60" s="164">
        <f t="shared" si="42"/>
        <v>1102.74171830986</v>
      </c>
      <c r="AQ60" s="165">
        <v>0</v>
      </c>
      <c r="AR60" s="165">
        <v>1</v>
      </c>
      <c r="AS60" s="165">
        <v>0</v>
      </c>
      <c r="AT60" s="211">
        <v>0</v>
      </c>
      <c r="AU60" s="212">
        <f t="shared" si="43"/>
        <v>17.4390243902439</v>
      </c>
      <c r="AV60" s="163">
        <f>AQ60*产品成本!$D$5+AR60*产品成本!$D$6+AS60*产品成本!$D$7+AT60*产品成本!D69</f>
        <v>2.8169014084507</v>
      </c>
      <c r="AW60" s="163">
        <f>AQ60*产品成本!$E$5+AR60*产品成本!$E$6+AS60*产品成本!$E$7+AT60*产品成本!E69</f>
        <v>0.32</v>
      </c>
      <c r="AX60" s="163">
        <f>AQ60*产品成本!$F$5+AR60*产品成本!$F$6+AS60*产品成本!$F$7+AT60*产品成本!F69</f>
        <v>0.34</v>
      </c>
      <c r="AY60" s="163"/>
      <c r="AZ60" s="163">
        <f t="shared" si="44"/>
        <v>2.61585365853659</v>
      </c>
      <c r="BA60" s="163">
        <f t="shared" si="45"/>
        <v>-0.523170731707317</v>
      </c>
      <c r="BB60" s="164">
        <f t="shared" si="46"/>
        <v>5.56958433527997</v>
      </c>
      <c r="BC60" s="169">
        <f t="shared" si="47"/>
        <v>1097.17213397458</v>
      </c>
      <c r="BD60" s="169">
        <f t="shared" si="48"/>
        <v>1671.08</v>
      </c>
      <c r="BE60" s="169">
        <f t="shared" si="49"/>
        <v>1653.64097560976</v>
      </c>
      <c r="BF60" s="168">
        <f t="shared" si="50"/>
        <v>181.118841635177</v>
      </c>
      <c r="BG60" s="213">
        <f t="shared" si="51"/>
        <v>0.109527306293551</v>
      </c>
      <c r="BI60" t="s">
        <v>215</v>
      </c>
    </row>
    <row r="61" ht="29.1" customHeight="1" spans="1:62">
      <c r="A61" s="61" t="s">
        <v>216</v>
      </c>
      <c r="B61" s="61" t="s">
        <v>217</v>
      </c>
      <c r="C61" s="90">
        <v>84</v>
      </c>
      <c r="D61" s="91">
        <v>84</v>
      </c>
      <c r="E61" s="64">
        <v>1677.33</v>
      </c>
      <c r="F61" s="148">
        <v>17</v>
      </c>
      <c r="G61" s="148">
        <v>17</v>
      </c>
      <c r="H61" s="64">
        <v>345.27</v>
      </c>
      <c r="I61" s="64">
        <v>35.43</v>
      </c>
      <c r="J61" s="207">
        <v>2</v>
      </c>
      <c r="K61" s="215">
        <f t="shared" si="27"/>
        <v>0.0238095238095238</v>
      </c>
      <c r="L61" s="209">
        <v>35.14</v>
      </c>
      <c r="M61" s="210">
        <f t="shared" si="28"/>
        <v>-0.151515151515152</v>
      </c>
      <c r="N61" s="208">
        <f t="shared" si="29"/>
        <v>-0.115789473684211</v>
      </c>
      <c r="O61" s="208">
        <f t="shared" si="30"/>
        <v>-0.0623993828816743</v>
      </c>
      <c r="P61" s="153">
        <f t="shared" si="31"/>
        <v>1</v>
      </c>
      <c r="Q61" s="155">
        <f t="shared" si="32"/>
        <v>19.9682142857143</v>
      </c>
      <c r="R61" s="187">
        <f t="shared" si="33"/>
        <v>19.9682142857143</v>
      </c>
      <c r="S61" s="187">
        <f t="shared" si="53"/>
        <v>2.42857142857143</v>
      </c>
      <c r="T61" s="193">
        <f t="shared" si="34"/>
        <v>44</v>
      </c>
      <c r="U61" s="157">
        <f t="shared" si="35"/>
        <v>0.523809523809524</v>
      </c>
      <c r="V61" s="94">
        <f t="shared" si="36"/>
        <v>0.274298069309946</v>
      </c>
      <c r="W61" s="91">
        <v>52639</v>
      </c>
      <c r="X61" s="91">
        <v>394</v>
      </c>
      <c r="Y61" s="91">
        <v>40</v>
      </c>
      <c r="Z61" s="91">
        <v>450.37</v>
      </c>
      <c r="AA61" s="199">
        <v>833.79</v>
      </c>
      <c r="AB61" s="91">
        <v>1.14</v>
      </c>
      <c r="AC61" s="71">
        <f t="shared" si="37"/>
        <v>0.540147998896605</v>
      </c>
      <c r="AD61" s="72">
        <f t="shared" si="38"/>
        <v>0.00748494462280818</v>
      </c>
      <c r="AE61" s="72">
        <f t="shared" si="39"/>
        <v>0.101522842639594</v>
      </c>
      <c r="AF61" s="154">
        <f t="shared" si="40"/>
        <v>11.25925</v>
      </c>
      <c r="AG61" s="160">
        <v>32</v>
      </c>
      <c r="AH61" s="161">
        <v>25</v>
      </c>
      <c r="AI61" s="161">
        <v>23</v>
      </c>
      <c r="AJ61" s="211">
        <v>4</v>
      </c>
      <c r="AK61" s="163">
        <f>AG61*产品成本!$D$5+AH61*产品成本!$D$6+AI61*产品成本!$D$7+AJ61*产品成本!$D$8</f>
        <v>262.816901408451</v>
      </c>
      <c r="AL61" s="163">
        <f>AG61*产品成本!$E$5+AH61*产品成本!$E$6+AI61*产品成本!$E$7+AJ61*产品成本!$E$8</f>
        <v>29.04</v>
      </c>
      <c r="AM61" s="163">
        <f>AG61*产品成本!$F$5+AH61*产品成本!$F$6+AI61*产品成本!$F$7+AJ61*产品成本!$F$8</f>
        <v>32.69</v>
      </c>
      <c r="AN61" s="163">
        <f>AG61*产品成本!$G$5+AH61*产品成本!$G$6+AI61*产品成本!$G$7+AJ61*产品成本!$G$8</f>
        <v>402.32</v>
      </c>
      <c r="AO61" s="163">
        <f t="shared" si="41"/>
        <v>246.285</v>
      </c>
      <c r="AP61" s="164">
        <f t="shared" si="42"/>
        <v>973.151901408451</v>
      </c>
      <c r="AQ61" s="165">
        <v>1</v>
      </c>
      <c r="AR61" s="165">
        <v>0</v>
      </c>
      <c r="AS61" s="165">
        <v>1</v>
      </c>
      <c r="AT61" s="211">
        <v>0</v>
      </c>
      <c r="AU61" s="212">
        <f t="shared" si="43"/>
        <v>42.8536585365854</v>
      </c>
      <c r="AV61" s="163">
        <f>AQ61*产品成本!$D$5+AR61*产品成本!$D$6+AS61*产品成本!$D$7+AT61*产品成本!D70</f>
        <v>6.33802816901409</v>
      </c>
      <c r="AW61" s="163">
        <f>AQ61*产品成本!$E$5+AR61*产品成本!$E$6+AS61*产品成本!$E$7+AT61*产品成本!E70</f>
        <v>0.67</v>
      </c>
      <c r="AX61" s="163">
        <f>AQ61*产品成本!$F$5+AR61*产品成本!$F$6+AS61*产品成本!$F$7+AT61*产品成本!F70</f>
        <v>0.82</v>
      </c>
      <c r="AY61" s="163"/>
      <c r="AZ61" s="163">
        <f t="shared" si="44"/>
        <v>6.42804878048781</v>
      </c>
      <c r="BA61" s="163">
        <f t="shared" si="45"/>
        <v>-1.28560975609756</v>
      </c>
      <c r="BB61" s="164">
        <f t="shared" si="46"/>
        <v>12.9704671934043</v>
      </c>
      <c r="BC61" s="169">
        <f t="shared" si="47"/>
        <v>960.181434215046</v>
      </c>
      <c r="BD61" s="169">
        <f t="shared" si="48"/>
        <v>1641.9</v>
      </c>
      <c r="BE61" s="169">
        <f t="shared" si="49"/>
        <v>1599.04634146341</v>
      </c>
      <c r="BF61" s="168">
        <f t="shared" si="50"/>
        <v>188.494907248368</v>
      </c>
      <c r="BG61" s="213">
        <f t="shared" si="51"/>
        <v>0.11787957757113</v>
      </c>
      <c r="BI61" t="s">
        <v>293</v>
      </c>
    </row>
    <row r="62" ht="29.1" customHeight="1" spans="1:62">
      <c r="A62" s="61" t="s">
        <v>219</v>
      </c>
      <c r="B62" s="61" t="s">
        <v>220</v>
      </c>
      <c r="C62" s="90">
        <v>90</v>
      </c>
      <c r="D62" s="91">
        <v>89</v>
      </c>
      <c r="E62" s="64">
        <v>1842.65</v>
      </c>
      <c r="F62" s="148">
        <v>9</v>
      </c>
      <c r="G62" s="148">
        <v>9</v>
      </c>
      <c r="H62" s="64">
        <v>194.05</v>
      </c>
      <c r="I62" s="64">
        <v>14.78</v>
      </c>
      <c r="J62" s="207">
        <v>2</v>
      </c>
      <c r="K62" s="215">
        <f t="shared" si="27"/>
        <v>0.0222222222222222</v>
      </c>
      <c r="L62" s="209">
        <v>31.45</v>
      </c>
      <c r="M62" s="210">
        <f t="shared" si="28"/>
        <v>0.0714285714285714</v>
      </c>
      <c r="N62" s="208">
        <f t="shared" si="29"/>
        <v>0.0595238095238095</v>
      </c>
      <c r="O62" s="208">
        <f t="shared" si="30"/>
        <v>0.0985614041363358</v>
      </c>
      <c r="P62" s="153">
        <f t="shared" si="31"/>
        <v>1.01123595505618</v>
      </c>
      <c r="Q62" s="155">
        <f t="shared" si="32"/>
        <v>20.7039325842697</v>
      </c>
      <c r="R62" s="187">
        <f t="shared" si="33"/>
        <v>20.4738888888889</v>
      </c>
      <c r="S62" s="187">
        <f t="shared" si="53"/>
        <v>1.28571428571429</v>
      </c>
      <c r="T62" s="193">
        <f t="shared" si="34"/>
        <v>48</v>
      </c>
      <c r="U62" s="157">
        <f t="shared" si="35"/>
        <v>0.539325842696629</v>
      </c>
      <c r="V62" s="94">
        <f t="shared" si="36"/>
        <v>0.229715461165181</v>
      </c>
      <c r="W62" s="91">
        <v>57766</v>
      </c>
      <c r="X62" s="91">
        <v>358</v>
      </c>
      <c r="Y62" s="91">
        <v>41</v>
      </c>
      <c r="Z62" s="91">
        <v>419.89</v>
      </c>
      <c r="AA62" s="199">
        <v>835.95</v>
      </c>
      <c r="AB62" s="91">
        <v>1.17</v>
      </c>
      <c r="AC62" s="71">
        <f t="shared" si="37"/>
        <v>0.502290806866439</v>
      </c>
      <c r="AD62" s="72">
        <f t="shared" si="38"/>
        <v>0.00619741716580688</v>
      </c>
      <c r="AE62" s="72">
        <f t="shared" si="39"/>
        <v>0.114525139664804</v>
      </c>
      <c r="AF62" s="154">
        <f t="shared" si="40"/>
        <v>10.2412195121951</v>
      </c>
      <c r="AG62" s="160">
        <v>36</v>
      </c>
      <c r="AH62" s="161">
        <v>31</v>
      </c>
      <c r="AI62" s="161">
        <v>18</v>
      </c>
      <c r="AJ62" s="211">
        <v>4</v>
      </c>
      <c r="AK62" s="163">
        <f>AG62*产品成本!$D$5+AH62*产品成本!$D$6+AI62*产品成本!$D$7+AJ62*产品成本!$D$8</f>
        <v>272.112676056338</v>
      </c>
      <c r="AL62" s="163">
        <f>AG62*产品成本!$E$5+AH62*产品成本!$E$6+AI62*产品成本!$E$7+AJ62*产品成本!$E$8</f>
        <v>30.04</v>
      </c>
      <c r="AM62" s="163">
        <f>AG62*产品成本!$F$5+AH62*产品成本!$F$6+AI62*产品成本!$F$7+AJ62*产品成本!$F$8</f>
        <v>34.32</v>
      </c>
      <c r="AN62" s="163">
        <f>AG62*产品成本!$G$5+AH62*产品成本!$G$6+AI62*产品成本!$G$7+AJ62*产品成本!$G$8</f>
        <v>420</v>
      </c>
      <c r="AO62" s="163">
        <f t="shared" si="41"/>
        <v>274.1805</v>
      </c>
      <c r="AP62" s="164">
        <f t="shared" si="42"/>
        <v>1030.65317605634</v>
      </c>
      <c r="AQ62" s="165">
        <v>1</v>
      </c>
      <c r="AR62" s="165">
        <v>1</v>
      </c>
      <c r="AS62" s="165">
        <v>0</v>
      </c>
      <c r="AT62" s="211">
        <v>0</v>
      </c>
      <c r="AU62" s="212">
        <f t="shared" si="43"/>
        <v>38.3536585365854</v>
      </c>
      <c r="AV62" s="163">
        <f>AQ62*产品成本!$D$5+AR62*产品成本!$D$6+AS62*产品成本!$D$7+AT62*产品成本!D71</f>
        <v>5.49295774647887</v>
      </c>
      <c r="AW62" s="163">
        <f>AQ62*产品成本!$E$5+AR62*产品成本!$E$6+AS62*产品成本!$E$7+AT62*产品成本!E71</f>
        <v>0.59</v>
      </c>
      <c r="AX62" s="163">
        <f>AQ62*产品成本!$F$5+AR62*产品成本!$F$6+AS62*产品成本!$F$7+AT62*产品成本!F71</f>
        <v>0.75</v>
      </c>
      <c r="AY62" s="163"/>
      <c r="AZ62" s="163">
        <f t="shared" si="44"/>
        <v>5.7530487804878</v>
      </c>
      <c r="BA62" s="163">
        <f t="shared" si="45"/>
        <v>-1.15060975609756</v>
      </c>
      <c r="BB62" s="164">
        <f t="shared" si="46"/>
        <v>11.4353967708691</v>
      </c>
      <c r="BC62" s="169">
        <f t="shared" si="47"/>
        <v>1019.21777928547</v>
      </c>
      <c r="BD62" s="169">
        <f t="shared" si="48"/>
        <v>1827.87</v>
      </c>
      <c r="BE62" s="169">
        <f t="shared" si="49"/>
        <v>1789.51634146341</v>
      </c>
      <c r="BF62" s="168">
        <f t="shared" si="50"/>
        <v>350.408562177946</v>
      </c>
      <c r="BG62" s="213">
        <f t="shared" si="51"/>
        <v>0.195811881712906</v>
      </c>
    </row>
    <row r="63" ht="29.1" customHeight="1" spans="1:62">
      <c r="A63" s="61" t="s">
        <v>221</v>
      </c>
      <c r="B63" s="61" t="s">
        <v>222</v>
      </c>
      <c r="C63" s="90">
        <v>76</v>
      </c>
      <c r="D63" s="91">
        <v>76</v>
      </c>
      <c r="E63" s="64">
        <v>1555.45</v>
      </c>
      <c r="F63" s="148">
        <v>6</v>
      </c>
      <c r="G63" s="148">
        <v>6</v>
      </c>
      <c r="H63" s="64">
        <v>118.56</v>
      </c>
      <c r="I63" s="64">
        <v>12.85</v>
      </c>
      <c r="J63" s="207">
        <v>2</v>
      </c>
      <c r="K63" s="215">
        <f t="shared" si="27"/>
        <v>0.0263157894736842</v>
      </c>
      <c r="L63" s="209">
        <v>27.91</v>
      </c>
      <c r="M63" s="210">
        <f t="shared" si="28"/>
        <v>-0.155555555555556</v>
      </c>
      <c r="N63" s="208">
        <f t="shared" si="29"/>
        <v>-0.146067415730337</v>
      </c>
      <c r="O63" s="208">
        <f t="shared" si="30"/>
        <v>-0.155862480666432</v>
      </c>
      <c r="P63" s="153">
        <f t="shared" si="31"/>
        <v>1</v>
      </c>
      <c r="Q63" s="155">
        <f t="shared" si="32"/>
        <v>20.4664473684211</v>
      </c>
      <c r="R63" s="187">
        <f t="shared" si="33"/>
        <v>20.4664473684211</v>
      </c>
      <c r="S63" s="187">
        <f t="shared" si="53"/>
        <v>0.857142857142857</v>
      </c>
      <c r="T63" s="193">
        <f t="shared" si="34"/>
        <v>34</v>
      </c>
      <c r="U63" s="157">
        <f t="shared" si="35"/>
        <v>0.447368421052632</v>
      </c>
      <c r="V63" s="94">
        <f t="shared" si="36"/>
        <v>0.353468170621029</v>
      </c>
      <c r="W63" s="91">
        <v>65627</v>
      </c>
      <c r="X63" s="91">
        <v>464</v>
      </c>
      <c r="Y63" s="91">
        <v>42</v>
      </c>
      <c r="Z63" s="91">
        <v>545.26</v>
      </c>
      <c r="AA63" s="199">
        <v>876.16</v>
      </c>
      <c r="AB63" s="91">
        <v>1.18</v>
      </c>
      <c r="AC63" s="71">
        <f t="shared" si="37"/>
        <v>0.622329254930606</v>
      </c>
      <c r="AD63" s="72">
        <f t="shared" si="38"/>
        <v>0.0070702607158639</v>
      </c>
      <c r="AE63" s="72">
        <f t="shared" si="39"/>
        <v>0.0905172413793103</v>
      </c>
      <c r="AF63" s="154">
        <f t="shared" si="40"/>
        <v>12.982380952381</v>
      </c>
      <c r="AG63" s="160">
        <v>25</v>
      </c>
      <c r="AH63" s="161">
        <v>28</v>
      </c>
      <c r="AI63" s="161">
        <v>20</v>
      </c>
      <c r="AJ63" s="211">
        <v>3</v>
      </c>
      <c r="AK63" s="163">
        <f>AG63*产品成本!$D$5+AH63*产品成本!$D$6+AI63*产品成本!$D$7+AJ63*产品成本!$D$8</f>
        <v>235.915492957746</v>
      </c>
      <c r="AL63" s="163">
        <f>AG63*产品成本!$E$5+AH63*产品成本!$E$6+AI63*产品成本!$E$7+AJ63*产品成本!$E$8</f>
        <v>26.11</v>
      </c>
      <c r="AM63" s="163">
        <f>AG63*产品成本!$F$5+AH63*产品成本!$F$6+AI63*产品成本!$F$7+AJ63*产品成本!$F$8</f>
        <v>29.2</v>
      </c>
      <c r="AN63" s="163">
        <f>AG63*产品成本!$G$5+AH63*产品成本!$G$6+AI63*产品成本!$G$7+AJ63*产品成本!$G$8</f>
        <v>358.9</v>
      </c>
      <c r="AO63" s="163">
        <f t="shared" si="41"/>
        <v>231.39</v>
      </c>
      <c r="AP63" s="164">
        <f t="shared" si="42"/>
        <v>881.515492957746</v>
      </c>
      <c r="AQ63" s="165">
        <v>1</v>
      </c>
      <c r="AR63" s="165">
        <v>1</v>
      </c>
      <c r="AS63" s="165">
        <v>0</v>
      </c>
      <c r="AT63" s="211">
        <v>0</v>
      </c>
      <c r="AU63" s="212">
        <f t="shared" si="43"/>
        <v>34.0365853658537</v>
      </c>
      <c r="AV63" s="163">
        <f>AQ63*产品成本!$D$5+AR63*产品成本!$D$6+AS63*产品成本!$D$7+AT63*产品成本!D72</f>
        <v>5.49295774647887</v>
      </c>
      <c r="AW63" s="163">
        <f>AQ63*产品成本!$E$5+AR63*产品成本!$E$6+AS63*产品成本!$E$7+AT63*产品成本!E72</f>
        <v>0.59</v>
      </c>
      <c r="AX63" s="163">
        <f>AQ63*产品成本!$F$5+AR63*产品成本!$F$6+AS63*产品成本!$F$7+AT63*产品成本!F72</f>
        <v>0.75</v>
      </c>
      <c r="AY63" s="163"/>
      <c r="AZ63" s="163">
        <f t="shared" si="44"/>
        <v>5.10548780487805</v>
      </c>
      <c r="BA63" s="163">
        <f t="shared" si="45"/>
        <v>-1.02109756097561</v>
      </c>
      <c r="BB63" s="164">
        <f t="shared" si="46"/>
        <v>10.9173479903813</v>
      </c>
      <c r="BC63" s="169">
        <f t="shared" si="47"/>
        <v>870.598144967365</v>
      </c>
      <c r="BD63" s="169">
        <f t="shared" si="48"/>
        <v>1542.6</v>
      </c>
      <c r="BE63" s="169">
        <f t="shared" si="49"/>
        <v>1508.56341463415</v>
      </c>
      <c r="BF63" s="168">
        <f t="shared" si="50"/>
        <v>92.7052696667814</v>
      </c>
      <c r="BG63" s="213">
        <f t="shared" si="51"/>
        <v>0.0614526832398783</v>
      </c>
    </row>
    <row r="64" ht="29.1" customHeight="1" spans="1:62">
      <c r="A64" s="61" t="s">
        <v>223</v>
      </c>
      <c r="B64" s="61" t="s">
        <v>224</v>
      </c>
      <c r="C64" s="90">
        <v>57</v>
      </c>
      <c r="D64" s="91">
        <v>54</v>
      </c>
      <c r="E64" s="64">
        <v>1144.73</v>
      </c>
      <c r="F64" s="148">
        <v>10</v>
      </c>
      <c r="G64" s="148">
        <v>10</v>
      </c>
      <c r="H64" s="64">
        <v>213.59</v>
      </c>
      <c r="I64" s="64">
        <v>21.28</v>
      </c>
      <c r="J64" s="207">
        <v>2</v>
      </c>
      <c r="K64" s="215">
        <f t="shared" si="27"/>
        <v>0.0350877192982456</v>
      </c>
      <c r="L64" s="209">
        <v>34.78</v>
      </c>
      <c r="M64" s="210">
        <f t="shared" si="28"/>
        <v>-0.25</v>
      </c>
      <c r="N64" s="208">
        <f t="shared" si="29"/>
        <v>-0.289473684210526</v>
      </c>
      <c r="O64" s="208">
        <f t="shared" si="30"/>
        <v>-0.264052203542383</v>
      </c>
      <c r="P64" s="153">
        <f t="shared" si="31"/>
        <v>1.05555555555556</v>
      </c>
      <c r="Q64" s="155">
        <f t="shared" si="32"/>
        <v>21.1987037037037</v>
      </c>
      <c r="R64" s="187">
        <f t="shared" si="33"/>
        <v>20.0829824561403</v>
      </c>
      <c r="S64" s="187">
        <f t="shared" si="53"/>
        <v>1.42857142857143</v>
      </c>
      <c r="T64" s="193">
        <f t="shared" si="34"/>
        <v>25</v>
      </c>
      <c r="U64" s="157">
        <f t="shared" si="35"/>
        <v>0.462962962962963</v>
      </c>
      <c r="V64" s="94">
        <f t="shared" si="36"/>
        <v>0.261871912412657</v>
      </c>
      <c r="W64" s="91">
        <v>40516</v>
      </c>
      <c r="X64" s="91">
        <v>266</v>
      </c>
      <c r="Y64" s="91">
        <v>29</v>
      </c>
      <c r="Z64" s="91">
        <v>294.2</v>
      </c>
      <c r="AA64" s="199">
        <v>594.12</v>
      </c>
      <c r="AB64" s="91">
        <v>1.11</v>
      </c>
      <c r="AC64" s="71">
        <f t="shared" si="37"/>
        <v>0.495186157678583</v>
      </c>
      <c r="AD64" s="72">
        <f t="shared" si="38"/>
        <v>0.00656530753282654</v>
      </c>
      <c r="AE64" s="72">
        <f t="shared" si="39"/>
        <v>0.109022556390977</v>
      </c>
      <c r="AF64" s="154">
        <f t="shared" si="40"/>
        <v>10.1448275862069</v>
      </c>
      <c r="AG64" s="160">
        <v>23</v>
      </c>
      <c r="AH64" s="161">
        <v>20</v>
      </c>
      <c r="AI64" s="161">
        <v>13</v>
      </c>
      <c r="AJ64" s="211">
        <v>1</v>
      </c>
      <c r="AK64" s="163">
        <f>AG64*产品成本!$D$5+AH64*产品成本!$D$6+AI64*产品成本!$D$7+AJ64*产品成本!$D$8</f>
        <v>171.12676056338</v>
      </c>
      <c r="AL64" s="163">
        <f>AG64*产品成本!$E$5+AH64*产品成本!$E$6+AI64*产品成本!$E$7+AJ64*产品成本!$E$8</f>
        <v>18.61</v>
      </c>
      <c r="AM64" s="163">
        <f>AG64*产品成本!$F$5+AH64*产品成本!$F$6+AI64*产品成本!$F$7+AJ64*产品成本!$F$8</f>
        <v>21.97</v>
      </c>
      <c r="AN64" s="163">
        <f>AG64*产品成本!$G$5+AH64*产品成本!$G$6+AI64*产品成本!$G$7+AJ64*产品成本!$G$8</f>
        <v>268.46</v>
      </c>
      <c r="AO64" s="163">
        <f t="shared" si="41"/>
        <v>168.5175</v>
      </c>
      <c r="AP64" s="164">
        <f t="shared" si="42"/>
        <v>648.68426056338</v>
      </c>
      <c r="AQ64" s="165">
        <v>1</v>
      </c>
      <c r="AR64" s="165">
        <v>0</v>
      </c>
      <c r="AS64" s="165">
        <v>1</v>
      </c>
      <c r="AT64" s="211">
        <v>0</v>
      </c>
      <c r="AU64" s="212">
        <f t="shared" si="43"/>
        <v>42.4146341463415</v>
      </c>
      <c r="AV64" s="163">
        <f>AQ64*产品成本!$D$5+AR64*产品成本!$D$6+AS64*产品成本!$D$7+AT64*产品成本!D73</f>
        <v>6.33802816901409</v>
      </c>
      <c r="AW64" s="163">
        <f>AQ64*产品成本!$E$5+AR64*产品成本!$E$6+AS64*产品成本!$E$7+AT64*产品成本!E73</f>
        <v>0.67</v>
      </c>
      <c r="AX64" s="163">
        <f>AQ64*产品成本!$F$5+AR64*产品成本!$F$6+AS64*产品成本!$F$7+AT64*产品成本!F73</f>
        <v>0.82</v>
      </c>
      <c r="AY64" s="163"/>
      <c r="AZ64" s="163">
        <f t="shared" si="44"/>
        <v>6.36219512195122</v>
      </c>
      <c r="BA64" s="163">
        <f t="shared" si="45"/>
        <v>-1.27243902439024</v>
      </c>
      <c r="BB64" s="164">
        <f t="shared" si="46"/>
        <v>12.9177842665751</v>
      </c>
      <c r="BC64" s="169">
        <f t="shared" si="47"/>
        <v>635.766476296805</v>
      </c>
      <c r="BD64" s="169">
        <f t="shared" si="48"/>
        <v>1123.45</v>
      </c>
      <c r="BE64" s="169">
        <f t="shared" si="49"/>
        <v>1081.03536585366</v>
      </c>
      <c r="BF64" s="168">
        <f t="shared" si="50"/>
        <v>151.068889556853</v>
      </c>
      <c r="BG64" s="213">
        <f t="shared" si="51"/>
        <v>0.139744632163407</v>
      </c>
      <c r="BI64" t="s">
        <v>294</v>
      </c>
      <c r="BJ64" t="s">
        <v>295</v>
      </c>
    </row>
    <row r="65" ht="29.1" customHeight="1" spans="1:63">
      <c r="A65" s="79" t="s">
        <v>226</v>
      </c>
      <c r="B65" s="80" t="s">
        <v>227</v>
      </c>
      <c r="C65" s="90">
        <v>73</v>
      </c>
      <c r="D65" s="91">
        <v>72</v>
      </c>
      <c r="E65" s="64">
        <v>1581.15</v>
      </c>
      <c r="F65" s="148">
        <v>32</v>
      </c>
      <c r="G65" s="148">
        <v>32</v>
      </c>
      <c r="H65" s="64">
        <v>696.46</v>
      </c>
      <c r="I65" s="64">
        <v>66.05</v>
      </c>
      <c r="J65" s="207">
        <v>3</v>
      </c>
      <c r="K65" s="215">
        <f t="shared" si="27"/>
        <v>0.0410958904109589</v>
      </c>
      <c r="L65" s="209">
        <v>115.19</v>
      </c>
      <c r="M65" s="210">
        <f t="shared" si="28"/>
        <v>0.280701754385965</v>
      </c>
      <c r="N65" s="208">
        <f t="shared" si="29"/>
        <v>0.333333333333333</v>
      </c>
      <c r="O65" s="208">
        <f t="shared" si="30"/>
        <v>0.381242738462345</v>
      </c>
      <c r="P65" s="153">
        <f t="shared" si="31"/>
        <v>1.01388888888889</v>
      </c>
      <c r="Q65" s="155">
        <f t="shared" si="32"/>
        <v>21.9604166666667</v>
      </c>
      <c r="R65" s="187">
        <f t="shared" si="33"/>
        <v>21.6595890410959</v>
      </c>
      <c r="S65" s="187">
        <f t="shared" si="53"/>
        <v>4.57142857142857</v>
      </c>
      <c r="T65" s="193">
        <f t="shared" si="34"/>
        <v>35</v>
      </c>
      <c r="U65" s="157">
        <f t="shared" si="35"/>
        <v>0.486111111111111</v>
      </c>
      <c r="V65" s="94">
        <f t="shared" si="36"/>
        <v>0.2430796647086</v>
      </c>
      <c r="W65" s="91">
        <v>45474</v>
      </c>
      <c r="X65" s="91">
        <v>332</v>
      </c>
      <c r="Y65" s="91">
        <v>37</v>
      </c>
      <c r="Z65" s="91">
        <v>368.29</v>
      </c>
      <c r="AA65" s="199">
        <v>793.82</v>
      </c>
      <c r="AB65" s="91">
        <v>1.11</v>
      </c>
      <c r="AC65" s="71">
        <f t="shared" si="37"/>
        <v>0.463946486609055</v>
      </c>
      <c r="AD65" s="72">
        <f t="shared" si="38"/>
        <v>0.00730087522540353</v>
      </c>
      <c r="AE65" s="72">
        <f t="shared" si="39"/>
        <v>0.11144578313253</v>
      </c>
      <c r="AF65" s="154">
        <f t="shared" si="40"/>
        <v>9.95378378378378</v>
      </c>
      <c r="AG65" s="160">
        <v>23</v>
      </c>
      <c r="AH65" s="161">
        <v>32</v>
      </c>
      <c r="AI65" s="161">
        <v>14</v>
      </c>
      <c r="AJ65" s="211">
        <v>4</v>
      </c>
      <c r="AK65" s="163">
        <f>AG65*产品成本!$D$5+AH65*产品成本!$D$6+AI65*产品成本!$D$7+AJ65*产品成本!$D$8</f>
        <v>225.492957746479</v>
      </c>
      <c r="AL65" s="163">
        <f>AG65*产品成本!$E$5+AH65*产品成本!$E$6+AI65*产品成本!$E$7+AJ65*产品成本!$E$8</f>
        <v>25.25</v>
      </c>
      <c r="AM65" s="163">
        <f>AG65*产品成本!$F$5+AH65*产品成本!$F$6+AI65*产品成本!$F$7+AJ65*产品成本!$F$8</f>
        <v>27.69</v>
      </c>
      <c r="AN65" s="163">
        <f>AG65*产品成本!$G$5+AH65*产品成本!$G$6+AI65*产品成本!$G$7+AJ65*产品成本!$G$8</f>
        <v>339.26</v>
      </c>
      <c r="AO65" s="163">
        <f t="shared" si="41"/>
        <v>227.265</v>
      </c>
      <c r="AP65" s="164">
        <f t="shared" si="42"/>
        <v>844.957957746479</v>
      </c>
      <c r="AQ65" s="165">
        <v>1</v>
      </c>
      <c r="AR65" s="165">
        <v>1</v>
      </c>
      <c r="AS65" s="165">
        <v>1</v>
      </c>
      <c r="AT65" s="211">
        <v>0</v>
      </c>
      <c r="AU65" s="212">
        <f t="shared" si="43"/>
        <v>140.475609756098</v>
      </c>
      <c r="AV65" s="163">
        <f>AQ65*产品成本!$D$5+AR65*产品成本!$D$6+AS65*产品成本!$D$7+AT65*产品成本!D74</f>
        <v>9.15492957746479</v>
      </c>
      <c r="AW65" s="163">
        <f>AQ65*产品成本!$E$5+AR65*产品成本!$E$6+AS65*产品成本!$E$7+AT65*产品成本!E74</f>
        <v>0.99</v>
      </c>
      <c r="AX65" s="163">
        <f>AQ65*产品成本!$F$5+AR65*产品成本!$F$6+AS65*产品成本!$F$7+AT65*产品成本!F74</f>
        <v>1.16</v>
      </c>
      <c r="AY65" s="163"/>
      <c r="AZ65" s="163">
        <f t="shared" si="44"/>
        <v>21.0713414634146</v>
      </c>
      <c r="BA65" s="163">
        <f t="shared" si="45"/>
        <v>-4.21426829268293</v>
      </c>
      <c r="BB65" s="164">
        <f t="shared" si="46"/>
        <v>28.1620027481965</v>
      </c>
      <c r="BC65" s="169">
        <f t="shared" si="47"/>
        <v>816.795954998282</v>
      </c>
      <c r="BD65" s="169">
        <f t="shared" si="48"/>
        <v>1515.1</v>
      </c>
      <c r="BE65" s="169">
        <f t="shared" si="49"/>
        <v>1374.6243902439</v>
      </c>
      <c r="BF65" s="168">
        <f t="shared" si="50"/>
        <v>189.53843524562</v>
      </c>
      <c r="BG65" s="213">
        <f t="shared" si="51"/>
        <v>0.137883800542772</v>
      </c>
      <c r="BI65" t="s">
        <v>296</v>
      </c>
      <c r="BJ65" t="s">
        <v>295</v>
      </c>
    </row>
    <row r="66" ht="29.1" customHeight="1" spans="1:63">
      <c r="A66" s="61" t="s">
        <v>228</v>
      </c>
      <c r="B66" s="81" t="s">
        <v>229</v>
      </c>
      <c r="C66" s="90">
        <v>86</v>
      </c>
      <c r="D66" s="91">
        <v>85</v>
      </c>
      <c r="E66" s="64">
        <v>1716.64</v>
      </c>
      <c r="F66" s="148">
        <v>52</v>
      </c>
      <c r="G66" s="148">
        <v>51</v>
      </c>
      <c r="H66" s="64">
        <v>1047.91</v>
      </c>
      <c r="I66" s="64">
        <v>99.84</v>
      </c>
      <c r="J66" s="207">
        <v>4</v>
      </c>
      <c r="K66" s="215">
        <f t="shared" si="27"/>
        <v>0.0465116279069767</v>
      </c>
      <c r="L66" s="209">
        <v>62.54</v>
      </c>
      <c r="M66" s="210">
        <f t="shared" si="28"/>
        <v>0.178082191780822</v>
      </c>
      <c r="N66" s="208">
        <f t="shared" si="29"/>
        <v>0.180555555555556</v>
      </c>
      <c r="O66" s="208">
        <f t="shared" si="30"/>
        <v>0.085690794674762</v>
      </c>
      <c r="P66" s="153">
        <f t="shared" si="31"/>
        <v>1.01176470588235</v>
      </c>
      <c r="Q66" s="155">
        <f t="shared" si="32"/>
        <v>20.1957647058824</v>
      </c>
      <c r="R66" s="187">
        <f t="shared" si="33"/>
        <v>19.9609302325581</v>
      </c>
      <c r="S66" s="187">
        <f t="shared" si="53"/>
        <v>7.28571428571429</v>
      </c>
      <c r="T66" s="193">
        <f t="shared" si="34"/>
        <v>23</v>
      </c>
      <c r="U66" s="157">
        <f t="shared" si="35"/>
        <v>0.270588235294118</v>
      </c>
      <c r="V66" s="94">
        <f t="shared" si="36"/>
        <v>0.256754082137556</v>
      </c>
      <c r="W66" s="91">
        <v>48458</v>
      </c>
      <c r="X66" s="91">
        <v>384</v>
      </c>
      <c r="Y66" s="91">
        <v>62</v>
      </c>
      <c r="Z66" s="91">
        <v>415.12</v>
      </c>
      <c r="AA66" s="199">
        <v>1245.44</v>
      </c>
      <c r="AB66" s="91">
        <v>1.08</v>
      </c>
      <c r="AC66" s="71">
        <f t="shared" si="37"/>
        <v>0.333311921891059</v>
      </c>
      <c r="AD66" s="72">
        <f t="shared" si="38"/>
        <v>0.00792438812992695</v>
      </c>
      <c r="AE66" s="72">
        <f t="shared" si="39"/>
        <v>0.161458333333333</v>
      </c>
      <c r="AF66" s="154">
        <f t="shared" si="40"/>
        <v>6.69548387096774</v>
      </c>
      <c r="AG66" s="160">
        <v>31</v>
      </c>
      <c r="AH66" s="161">
        <v>32</v>
      </c>
      <c r="AI66" s="161">
        <v>21</v>
      </c>
      <c r="AJ66" s="211">
        <v>2</v>
      </c>
      <c r="AK66" s="163">
        <f>AG66*产品成本!$D$5+AH66*产品成本!$D$6+AI66*产品成本!$D$7+AJ66*产品成本!$D$8</f>
        <v>261.267605633803</v>
      </c>
      <c r="AL66" s="163">
        <f>AG66*产品成本!$E$5+AH66*产品成本!$E$6+AI66*产品成本!$E$7+AJ66*产品成本!$E$8</f>
        <v>28.61</v>
      </c>
      <c r="AM66" s="163">
        <f>AG66*产品成本!$F$5+AH66*产品成本!$F$6+AI66*产品成本!$F$7+AJ66*产品成本!$F$8</f>
        <v>33.02</v>
      </c>
      <c r="AN66" s="163">
        <f>AG66*产品成本!$G$5+AH66*产品成本!$G$6+AI66*产品成本!$G$7+AJ66*产品成本!$G$8</f>
        <v>404.38</v>
      </c>
      <c r="AO66" s="163">
        <f t="shared" si="41"/>
        <v>242.52</v>
      </c>
      <c r="AP66" s="164">
        <f t="shared" si="42"/>
        <v>969.797605633803</v>
      </c>
      <c r="AQ66" s="165">
        <v>2</v>
      </c>
      <c r="AR66" s="165">
        <v>0</v>
      </c>
      <c r="AS66" s="165">
        <v>2</v>
      </c>
      <c r="AT66" s="211">
        <v>0</v>
      </c>
      <c r="AU66" s="212">
        <f t="shared" si="43"/>
        <v>76.2682926829268</v>
      </c>
      <c r="AV66" s="163">
        <f>AQ66*产品成本!$D$5+AR66*产品成本!$D$6+AS66*产品成本!$D$7+AT66*产品成本!D75</f>
        <v>12.6760563380282</v>
      </c>
      <c r="AW66" s="163">
        <f>AQ66*产品成本!$E$5+AR66*产品成本!$E$6+AS66*产品成本!$E$7+AT66*产品成本!E75</f>
        <v>1.34</v>
      </c>
      <c r="AX66" s="163">
        <f>AQ66*产品成本!$F$5+AR66*产品成本!$F$6+AS66*产品成本!$F$7+AT66*产品成本!F75</f>
        <v>1.64</v>
      </c>
      <c r="AY66" s="163"/>
      <c r="AZ66" s="163">
        <f t="shared" si="44"/>
        <v>11.440243902439</v>
      </c>
      <c r="BA66" s="163">
        <f t="shared" si="45"/>
        <v>-2.2880487804878</v>
      </c>
      <c r="BB66" s="164">
        <f t="shared" si="46"/>
        <v>24.8082514599794</v>
      </c>
      <c r="BC66" s="169">
        <f t="shared" si="47"/>
        <v>944.989354173823</v>
      </c>
      <c r="BD66" s="169">
        <f t="shared" si="48"/>
        <v>1616.8</v>
      </c>
      <c r="BE66" s="169">
        <f t="shared" si="49"/>
        <v>1540.53170731707</v>
      </c>
      <c r="BF66" s="168">
        <f t="shared" si="50"/>
        <v>180.42235314325</v>
      </c>
      <c r="BG66" s="213">
        <f t="shared" si="51"/>
        <v>0.117116935851626</v>
      </c>
      <c r="BI66" t="s">
        <v>297</v>
      </c>
      <c r="BJ66" t="s">
        <v>295</v>
      </c>
    </row>
    <row r="67" ht="29.1" customHeight="1" spans="1:63">
      <c r="A67" s="61" t="s">
        <v>230</v>
      </c>
      <c r="B67" s="81" t="s">
        <v>231</v>
      </c>
      <c r="C67" s="90">
        <v>103</v>
      </c>
      <c r="D67" s="91">
        <v>98</v>
      </c>
      <c r="E67" s="64">
        <v>2156.64</v>
      </c>
      <c r="F67" s="148">
        <v>60</v>
      </c>
      <c r="G67" s="148">
        <v>58</v>
      </c>
      <c r="H67" s="64">
        <v>1288.58</v>
      </c>
      <c r="I67" s="64">
        <v>105.75</v>
      </c>
      <c r="J67" s="207">
        <v>0</v>
      </c>
      <c r="K67" s="215">
        <f t="shared" si="27"/>
        <v>0</v>
      </c>
      <c r="L67" s="209">
        <v>0</v>
      </c>
      <c r="M67" s="210">
        <f t="shared" si="28"/>
        <v>0.197674418604651</v>
      </c>
      <c r="N67" s="208">
        <f t="shared" si="29"/>
        <v>0.152941176470588</v>
      </c>
      <c r="O67" s="208">
        <f t="shared" si="30"/>
        <v>0.25631466119862</v>
      </c>
      <c r="P67" s="153">
        <f t="shared" si="31"/>
        <v>1.05102040816327</v>
      </c>
      <c r="Q67" s="155">
        <f t="shared" si="32"/>
        <v>22.0065306122449</v>
      </c>
      <c r="R67" s="187">
        <f t="shared" si="33"/>
        <v>20.9382524271845</v>
      </c>
      <c r="S67" s="187">
        <f t="shared" si="53"/>
        <v>8.28571428571429</v>
      </c>
      <c r="T67" s="193">
        <f t="shared" si="34"/>
        <v>33</v>
      </c>
      <c r="U67" s="157">
        <f t="shared" si="35"/>
        <v>0.336734693877551</v>
      </c>
      <c r="V67" s="94">
        <f t="shared" si="36"/>
        <v>0.220577407857077</v>
      </c>
      <c r="W67" s="91">
        <v>51795</v>
      </c>
      <c r="X67" s="91">
        <v>408</v>
      </c>
      <c r="Y67" s="91">
        <v>65</v>
      </c>
      <c r="Z67" s="91">
        <v>452.38</v>
      </c>
      <c r="AA67" s="199">
        <v>1441.69</v>
      </c>
      <c r="AB67" s="91">
        <v>1.11</v>
      </c>
      <c r="AC67" s="71">
        <f t="shared" si="37"/>
        <v>0.313784516782387</v>
      </c>
      <c r="AD67" s="72">
        <f t="shared" si="38"/>
        <v>0.00787720822473212</v>
      </c>
      <c r="AE67" s="72">
        <f t="shared" si="39"/>
        <v>0.159313725490196</v>
      </c>
      <c r="AF67" s="154">
        <f t="shared" si="40"/>
        <v>6.95969230769231</v>
      </c>
      <c r="AG67" s="160">
        <v>21</v>
      </c>
      <c r="AH67" s="161">
        <v>38</v>
      </c>
      <c r="AI67" s="161">
        <v>36</v>
      </c>
      <c r="AJ67" s="211">
        <v>8</v>
      </c>
      <c r="AK67" s="163">
        <f>AG67*产品成本!$D$5+AH67*产品成本!$D$6+AI67*产品成本!$D$7+AJ67*产品成本!$D$8</f>
        <v>340.140845070423</v>
      </c>
      <c r="AL67" s="163">
        <f>AG67*产品成本!$E$5+AH67*产品成本!$E$6+AI67*产品成本!$E$7+AJ67*产品成本!$E$8</f>
        <v>38.63</v>
      </c>
      <c r="AM67" s="163">
        <f>AG67*产品成本!$F$5+AH67*产品成本!$F$6+AI67*产品成本!$F$7+AJ67*产品成本!$F$8</f>
        <v>39.57</v>
      </c>
      <c r="AN67" s="163">
        <f>AG67*产品成本!$G$5+AH67*产品成本!$G$6+AI67*产品成本!$G$7+AJ67*产品成本!$G$8</f>
        <v>492.18</v>
      </c>
      <c r="AO67" s="163">
        <f t="shared" si="41"/>
        <v>307.6335</v>
      </c>
      <c r="AP67" s="164">
        <f t="shared" si="42"/>
        <v>1218.15434507042</v>
      </c>
      <c r="AQ67" s="165">
        <v>0</v>
      </c>
      <c r="AR67" s="165">
        <v>0</v>
      </c>
      <c r="AS67" s="165">
        <v>0</v>
      </c>
      <c r="AT67" s="211">
        <v>0</v>
      </c>
      <c r="AU67" s="212">
        <f t="shared" si="43"/>
        <v>0</v>
      </c>
      <c r="AV67" s="163">
        <f>AQ67*产品成本!$D$5+AR67*产品成本!$D$6+AS67*产品成本!$D$7+AT67*产品成本!D76</f>
        <v>0</v>
      </c>
      <c r="AW67" s="163">
        <f>AQ67*产品成本!$E$5+AR67*产品成本!$E$6+AS67*产品成本!$E$7+AT67*产品成本!E76</f>
        <v>0</v>
      </c>
      <c r="AX67" s="163">
        <f>AQ67*产品成本!$F$5+AR67*产品成本!$F$6+AS67*产品成本!$F$7+AT67*产品成本!F76</f>
        <v>0</v>
      </c>
      <c r="AY67" s="163"/>
      <c r="AZ67" s="163">
        <f t="shared" si="44"/>
        <v>0</v>
      </c>
      <c r="BA67" s="163">
        <f t="shared" si="45"/>
        <v>0</v>
      </c>
      <c r="BB67" s="164">
        <f t="shared" si="46"/>
        <v>0</v>
      </c>
      <c r="BC67" s="169">
        <f t="shared" si="47"/>
        <v>1218.15434507042</v>
      </c>
      <c r="BD67" s="169">
        <f t="shared" si="48"/>
        <v>2050.89</v>
      </c>
      <c r="BE67" s="169">
        <f t="shared" si="49"/>
        <v>2050.89</v>
      </c>
      <c r="BF67" s="168">
        <f t="shared" si="50"/>
        <v>380.355654929578</v>
      </c>
      <c r="BG67" s="213">
        <f t="shared" si="51"/>
        <v>0.185458827596593</v>
      </c>
      <c r="BI67" s="172" t="s">
        <v>298</v>
      </c>
      <c r="BJ67" t="s">
        <v>295</v>
      </c>
    </row>
    <row r="68" ht="29.1" customHeight="1" spans="1:63">
      <c r="A68" s="61" t="s">
        <v>232</v>
      </c>
      <c r="B68" s="81" t="s">
        <v>233</v>
      </c>
      <c r="C68" s="90">
        <v>95</v>
      </c>
      <c r="D68" s="91">
        <v>94</v>
      </c>
      <c r="E68" s="64">
        <v>1930.2</v>
      </c>
      <c r="F68" s="148">
        <v>12</v>
      </c>
      <c r="G68" s="148">
        <v>12</v>
      </c>
      <c r="H68" s="64">
        <v>269.98</v>
      </c>
      <c r="I68" s="64">
        <v>28.98</v>
      </c>
      <c r="J68" s="207">
        <v>2</v>
      </c>
      <c r="K68" s="215">
        <f t="shared" si="27"/>
        <v>0.0210526315789474</v>
      </c>
      <c r="L68" s="209">
        <v>33.95</v>
      </c>
      <c r="M68" s="210">
        <f t="shared" si="28"/>
        <v>-0.0776699029126214</v>
      </c>
      <c r="N68" s="208">
        <f t="shared" si="29"/>
        <v>-0.0408163265306122</v>
      </c>
      <c r="O68" s="208">
        <f t="shared" si="30"/>
        <v>-0.104996661473403</v>
      </c>
      <c r="P68" s="153">
        <f t="shared" si="31"/>
        <v>1.01063829787234</v>
      </c>
      <c r="Q68" s="155">
        <f t="shared" si="32"/>
        <v>20.5340425531915</v>
      </c>
      <c r="R68" s="187">
        <f t="shared" si="33"/>
        <v>20.3178947368421</v>
      </c>
      <c r="S68" s="187">
        <f t="shared" si="53"/>
        <v>1.71428571428571</v>
      </c>
      <c r="T68" s="193">
        <f t="shared" si="34"/>
        <v>32</v>
      </c>
      <c r="U68" s="157">
        <f t="shared" si="35"/>
        <v>0.340425531914894</v>
      </c>
      <c r="V68" s="94">
        <f t="shared" si="36"/>
        <v>0.215382754231493</v>
      </c>
      <c r="W68" s="91">
        <v>43943</v>
      </c>
      <c r="X68" s="91">
        <v>379</v>
      </c>
      <c r="Y68" s="91">
        <v>62</v>
      </c>
      <c r="Z68" s="91">
        <v>409.49</v>
      </c>
      <c r="AA68" s="199">
        <v>1231.78</v>
      </c>
      <c r="AB68" s="91">
        <v>1.08</v>
      </c>
      <c r="AC68" s="71">
        <f t="shared" si="37"/>
        <v>0.332437610612285</v>
      </c>
      <c r="AD68" s="72">
        <f t="shared" si="38"/>
        <v>0.00862480941219307</v>
      </c>
      <c r="AE68" s="72">
        <f t="shared" si="39"/>
        <v>0.163588390501319</v>
      </c>
      <c r="AF68" s="154">
        <f t="shared" si="40"/>
        <v>6.60467741935484</v>
      </c>
      <c r="AG68" s="160">
        <v>27</v>
      </c>
      <c r="AH68" s="161">
        <v>33</v>
      </c>
      <c r="AI68" s="161">
        <v>31</v>
      </c>
      <c r="AJ68" s="211">
        <v>4</v>
      </c>
      <c r="AK68" s="163">
        <f>AG68*产品成本!$D$5+AH68*产品成本!$D$6+AI68*产品成本!$D$7+AJ68*产品成本!$D$8</f>
        <v>301.267605633803</v>
      </c>
      <c r="AL68" s="163">
        <f>AG68*产品成本!$E$5+AH68*产品成本!$E$6+AI68*产品成本!$E$7+AJ68*产品成本!$E$8</f>
        <v>33.45</v>
      </c>
      <c r="AM68" s="163">
        <f>AG68*产品成本!$F$5+AH68*产品成本!$F$6+AI68*产品成本!$F$7+AJ68*产品成本!$F$8</f>
        <v>36.64</v>
      </c>
      <c r="AN68" s="163">
        <f>AG68*产品成本!$G$5+AH68*产品成本!$G$6+AI68*产品成本!$G$7+AJ68*产品成本!$G$8</f>
        <v>452.7</v>
      </c>
      <c r="AO68" s="163">
        <f t="shared" si="41"/>
        <v>285.183</v>
      </c>
      <c r="AP68" s="164">
        <f t="shared" si="42"/>
        <v>1109.2406056338</v>
      </c>
      <c r="AQ68" s="165">
        <v>1</v>
      </c>
      <c r="AR68" s="165">
        <v>1</v>
      </c>
      <c r="AS68" s="165">
        <v>0</v>
      </c>
      <c r="AT68" s="211">
        <v>0</v>
      </c>
      <c r="AU68" s="212">
        <f t="shared" si="43"/>
        <v>41.4024390243902</v>
      </c>
      <c r="AV68" s="163">
        <f>AQ68*产品成本!$D$5+AR68*产品成本!$D$6+AS68*产品成本!$D$7+AT68*产品成本!D77</f>
        <v>5.49295774647887</v>
      </c>
      <c r="AW68" s="163">
        <f>AQ68*产品成本!$E$5+AR68*产品成本!$E$6+AS68*产品成本!$E$7+AT68*产品成本!E77</f>
        <v>0.59</v>
      </c>
      <c r="AX68" s="163">
        <f>AQ68*产品成本!$F$5+AR68*产品成本!$F$6+AS68*产品成本!$F$7+AT68*产品成本!F77</f>
        <v>0.75</v>
      </c>
      <c r="AY68" s="163"/>
      <c r="AZ68" s="163">
        <f t="shared" si="44"/>
        <v>6.21036585365854</v>
      </c>
      <c r="BA68" s="163">
        <f t="shared" si="45"/>
        <v>-1.24207317073171</v>
      </c>
      <c r="BB68" s="164">
        <f t="shared" si="46"/>
        <v>11.8012504294057</v>
      </c>
      <c r="BC68" s="169">
        <f t="shared" si="47"/>
        <v>1097.4393552044</v>
      </c>
      <c r="BD68" s="169">
        <f t="shared" si="48"/>
        <v>1901.22</v>
      </c>
      <c r="BE68" s="169">
        <f t="shared" si="49"/>
        <v>1859.81756097561</v>
      </c>
      <c r="BF68" s="168">
        <f t="shared" si="50"/>
        <v>352.888205771213</v>
      </c>
      <c r="BG68" s="213">
        <f t="shared" si="51"/>
        <v>0.189743452893356</v>
      </c>
      <c r="BH68" t="s">
        <v>299</v>
      </c>
      <c r="BI68" s="172" t="s">
        <v>300</v>
      </c>
      <c r="BJ68" t="s">
        <v>295</v>
      </c>
    </row>
    <row r="69" ht="29.1" customHeight="1" spans="1:63">
      <c r="A69" s="61" t="s">
        <v>236</v>
      </c>
      <c r="B69" s="81" t="s">
        <v>237</v>
      </c>
      <c r="C69" s="90">
        <v>74</v>
      </c>
      <c r="D69" s="91">
        <v>73</v>
      </c>
      <c r="E69" s="64">
        <v>1633.68</v>
      </c>
      <c r="F69" s="148">
        <v>3</v>
      </c>
      <c r="G69" s="148">
        <v>3</v>
      </c>
      <c r="H69" s="64">
        <v>63.95</v>
      </c>
      <c r="I69" s="64">
        <v>8.6</v>
      </c>
      <c r="J69" s="207">
        <v>4</v>
      </c>
      <c r="K69" s="215">
        <f t="shared" si="27"/>
        <v>0.0540540540540541</v>
      </c>
      <c r="L69" s="209">
        <v>67.3</v>
      </c>
      <c r="M69" s="210">
        <f t="shared" si="28"/>
        <v>-0.221052631578947</v>
      </c>
      <c r="N69" s="208">
        <f t="shared" si="29"/>
        <v>-0.223404255319149</v>
      </c>
      <c r="O69" s="208">
        <f t="shared" si="30"/>
        <v>-0.153621386384831</v>
      </c>
      <c r="P69" s="153">
        <f t="shared" si="31"/>
        <v>1.01369863013699</v>
      </c>
      <c r="Q69" s="155">
        <f t="shared" si="32"/>
        <v>22.3791780821918</v>
      </c>
      <c r="R69" s="187">
        <f t="shared" si="33"/>
        <v>22.0767567567568</v>
      </c>
      <c r="S69" s="187">
        <f t="shared" si="53"/>
        <v>0.428571428571429</v>
      </c>
      <c r="T69" s="193">
        <f t="shared" si="34"/>
        <v>27</v>
      </c>
      <c r="U69" s="157">
        <f t="shared" si="35"/>
        <v>0.36986301369863</v>
      </c>
      <c r="V69" s="94">
        <f t="shared" si="36"/>
        <v>0.23600684274005</v>
      </c>
      <c r="W69" s="91">
        <v>45625</v>
      </c>
      <c r="X69" s="91">
        <v>348</v>
      </c>
      <c r="Y69" s="91">
        <v>46</v>
      </c>
      <c r="Z69" s="91">
        <v>383.53</v>
      </c>
      <c r="AA69" s="199">
        <v>1062.24</v>
      </c>
      <c r="AB69" s="64">
        <v>1.1</v>
      </c>
      <c r="AC69" s="71">
        <f t="shared" si="37"/>
        <v>0.361057764723603</v>
      </c>
      <c r="AD69" s="72">
        <f t="shared" si="38"/>
        <v>0.00762739726027397</v>
      </c>
      <c r="AE69" s="72">
        <f t="shared" si="39"/>
        <v>0.132183908045977</v>
      </c>
      <c r="AF69" s="154">
        <f t="shared" si="40"/>
        <v>8.33760869565217</v>
      </c>
      <c r="AG69" s="160">
        <v>20</v>
      </c>
      <c r="AH69" s="161">
        <v>34</v>
      </c>
      <c r="AI69" s="161">
        <v>20</v>
      </c>
      <c r="AJ69" s="211">
        <v>6</v>
      </c>
      <c r="AK69" s="163">
        <f>AG69*产品成本!$D$5+AH69*产品成本!$D$6+AI69*产品成本!$D$7+AJ69*产品成本!$D$8</f>
        <v>256.338028169014</v>
      </c>
      <c r="AL69" s="163">
        <f>AG69*产品成本!$E$5+AH69*产品成本!$E$6+AI69*产品成本!$E$7+AJ69*产品成本!$E$8</f>
        <v>29.08</v>
      </c>
      <c r="AM69" s="163">
        <f>AG69*产品成本!$F$5+AH69*产品成本!$F$6+AI69*产品成本!$F$7+AJ69*产品成本!$F$8</f>
        <v>30.42</v>
      </c>
      <c r="AN69" s="163">
        <f>AG69*产品成本!$G$5+AH69*产品成本!$G$6+AI69*产品成本!$G$7+AJ69*产品成本!$G$8</f>
        <v>375.44</v>
      </c>
      <c r="AO69" s="163">
        <f t="shared" si="41"/>
        <v>243.762</v>
      </c>
      <c r="AP69" s="164">
        <f t="shared" si="42"/>
        <v>935.040028169014</v>
      </c>
      <c r="AQ69" s="165">
        <v>1</v>
      </c>
      <c r="AR69" s="165">
        <v>1</v>
      </c>
      <c r="AS69" s="165">
        <v>2</v>
      </c>
      <c r="AT69" s="211">
        <v>0</v>
      </c>
      <c r="AU69" s="212">
        <f t="shared" si="43"/>
        <v>82.0731707317073</v>
      </c>
      <c r="AV69" s="163">
        <f>AQ69*产品成本!$D$5+AR69*产品成本!$D$6+AS69*产品成本!$D$7+AT69*产品成本!D78</f>
        <v>12.8169014084507</v>
      </c>
      <c r="AW69" s="163">
        <f>AQ69*产品成本!$E$5+AR69*产品成本!$E$6+AS69*产品成本!$E$7+AT69*产品成本!E78</f>
        <v>1.39</v>
      </c>
      <c r="AX69" s="163">
        <f>AQ69*产品成本!$F$5+AR69*产品成本!$F$6+AS69*产品成本!$F$7+AT69*产品成本!F78</f>
        <v>1.57</v>
      </c>
      <c r="AY69" s="163"/>
      <c r="AZ69" s="163">
        <f t="shared" si="44"/>
        <v>12.3109756097561</v>
      </c>
      <c r="BA69" s="163">
        <f t="shared" si="45"/>
        <v>-2.46219512195122</v>
      </c>
      <c r="BB69" s="164">
        <f t="shared" si="46"/>
        <v>25.6256818962556</v>
      </c>
      <c r="BC69" s="169">
        <f t="shared" si="47"/>
        <v>909.414346272758</v>
      </c>
      <c r="BD69" s="169">
        <f t="shared" si="48"/>
        <v>1625.08</v>
      </c>
      <c r="BE69" s="169">
        <f t="shared" si="49"/>
        <v>1543.00682926829</v>
      </c>
      <c r="BF69" s="168">
        <f t="shared" si="50"/>
        <v>250.062482995535</v>
      </c>
      <c r="BG69" s="213">
        <f t="shared" si="51"/>
        <v>0.162061812204756</v>
      </c>
      <c r="BH69" t="s">
        <v>301</v>
      </c>
      <c r="BI69" t="s">
        <v>302</v>
      </c>
    </row>
    <row r="70" ht="29.1" customHeight="1" spans="1:63">
      <c r="A70" s="61" t="s">
        <v>240</v>
      </c>
      <c r="B70" s="81" t="s">
        <v>241</v>
      </c>
      <c r="C70" s="90">
        <v>67</v>
      </c>
      <c r="D70" s="91">
        <v>67</v>
      </c>
      <c r="E70" s="64">
        <v>1357.41</v>
      </c>
      <c r="F70" s="148">
        <v>25</v>
      </c>
      <c r="G70" s="148">
        <v>25</v>
      </c>
      <c r="H70" s="64">
        <v>527.52</v>
      </c>
      <c r="I70" s="64">
        <v>53.06</v>
      </c>
      <c r="J70" s="207">
        <v>4</v>
      </c>
      <c r="K70" s="215">
        <f t="shared" si="27"/>
        <v>0.0597014925373134</v>
      </c>
      <c r="L70" s="209">
        <v>72.09</v>
      </c>
      <c r="M70" s="210">
        <f t="shared" si="28"/>
        <v>-0.0945945945945946</v>
      </c>
      <c r="N70" s="208">
        <f t="shared" si="29"/>
        <v>-0.0821917808219178</v>
      </c>
      <c r="O70" s="208">
        <f t="shared" si="30"/>
        <v>-0.169109005435581</v>
      </c>
      <c r="P70" s="153">
        <f t="shared" si="31"/>
        <v>1</v>
      </c>
      <c r="Q70" s="155">
        <f t="shared" si="32"/>
        <v>20.2598507462687</v>
      </c>
      <c r="R70" s="187">
        <f t="shared" si="33"/>
        <v>20.2598507462687</v>
      </c>
      <c r="S70" s="187">
        <f t="shared" si="53"/>
        <v>3.57142857142857</v>
      </c>
      <c r="T70" s="193">
        <f t="shared" si="34"/>
        <v>28</v>
      </c>
      <c r="U70" s="157">
        <f t="shared" si="35"/>
        <v>0.417910447761194</v>
      </c>
      <c r="V70" s="94">
        <f t="shared" si="36"/>
        <v>0.282048529919117</v>
      </c>
      <c r="W70" s="91">
        <v>33253</v>
      </c>
      <c r="X70" s="91">
        <v>336</v>
      </c>
      <c r="Y70" s="91">
        <v>39</v>
      </c>
      <c r="Z70" s="91">
        <v>367.89</v>
      </c>
      <c r="AA70" s="199">
        <v>800.46</v>
      </c>
      <c r="AB70" s="64">
        <v>1.09</v>
      </c>
      <c r="AC70" s="71">
        <f t="shared" si="37"/>
        <v>0.459598231017165</v>
      </c>
      <c r="AD70" s="72">
        <f t="shared" si="38"/>
        <v>0.0101043514870839</v>
      </c>
      <c r="AE70" s="72">
        <f t="shared" si="39"/>
        <v>0.116071428571429</v>
      </c>
      <c r="AF70" s="154">
        <f t="shared" si="40"/>
        <v>9.43307692307692</v>
      </c>
      <c r="AG70" s="160">
        <v>22</v>
      </c>
      <c r="AH70" s="161">
        <v>20</v>
      </c>
      <c r="AI70" s="161">
        <v>22</v>
      </c>
      <c r="AJ70" s="211">
        <v>3</v>
      </c>
      <c r="AK70" s="163">
        <f>AG70*产品成本!$D$5+AH70*产品成本!$D$6+AI70*产品成本!$D$7+AJ70*产品成本!$D$8</f>
        <v>212.676056338028</v>
      </c>
      <c r="AL70" s="163">
        <f>AG70*产品成本!$E$5+AH70*产品成本!$E$6+AI70*产品成本!$E$7+AJ70*产品成本!$E$8</f>
        <v>23.54</v>
      </c>
      <c r="AM70" s="163">
        <f>AG70*产品成本!$F$5+AH70*产品成本!$F$6+AI70*产品成本!$F$7+AJ70*产品成本!$F$8</f>
        <v>26.07</v>
      </c>
      <c r="AN70" s="163">
        <f>AG70*产品成本!$G$5+AH70*产品成本!$G$6+AI70*产品成本!$G$7+AJ70*产品成本!$G$8</f>
        <v>322.12</v>
      </c>
      <c r="AO70" s="163">
        <f t="shared" si="41"/>
        <v>195.6525</v>
      </c>
      <c r="AP70" s="164">
        <f t="shared" si="42"/>
        <v>780.058556338028</v>
      </c>
      <c r="AQ70" s="165">
        <v>0</v>
      </c>
      <c r="AR70" s="165">
        <v>1</v>
      </c>
      <c r="AS70" s="165">
        <v>3</v>
      </c>
      <c r="AT70" s="211">
        <v>0</v>
      </c>
      <c r="AU70" s="212">
        <f t="shared" si="43"/>
        <v>87.9146341463415</v>
      </c>
      <c r="AV70" s="163">
        <f>AQ70*产品成本!$D$5+AR70*产品成本!$D$6+AS70*产品成本!$D$7+AT70*产品成本!D79</f>
        <v>13.8028169014085</v>
      </c>
      <c r="AW70" s="163">
        <f>AQ70*产品成本!$E$5+AR70*产品成本!$E$6+AS70*产品成本!$E$7+AT70*产品成本!E79</f>
        <v>1.52</v>
      </c>
      <c r="AX70" s="163">
        <f>AQ70*产品成本!$F$5+AR70*产品成本!$F$6+AS70*产品成本!$F$7+AT70*产品成本!F79</f>
        <v>1.57</v>
      </c>
      <c r="AY70" s="163"/>
      <c r="AZ70" s="163">
        <f t="shared" si="44"/>
        <v>13.1871951219512</v>
      </c>
      <c r="BA70" s="163">
        <f t="shared" si="45"/>
        <v>-2.63743902439024</v>
      </c>
      <c r="BB70" s="164">
        <f t="shared" si="46"/>
        <v>27.4425729989694</v>
      </c>
      <c r="BC70" s="169">
        <f t="shared" si="47"/>
        <v>752.615983339059</v>
      </c>
      <c r="BD70" s="169">
        <f t="shared" si="48"/>
        <v>1304.35</v>
      </c>
      <c r="BE70" s="169">
        <f t="shared" si="49"/>
        <v>1216.43536585366</v>
      </c>
      <c r="BF70" s="168">
        <f t="shared" si="50"/>
        <v>95.9293825145999</v>
      </c>
      <c r="BG70" s="213">
        <f t="shared" si="51"/>
        <v>0.0788610601166462</v>
      </c>
      <c r="BH70" t="s">
        <v>303</v>
      </c>
      <c r="BI70" t="s">
        <v>304</v>
      </c>
      <c r="BJ70" t="s">
        <v>305</v>
      </c>
    </row>
    <row r="71" ht="29.1" customHeight="1" spans="1:63">
      <c r="A71" s="61" t="s">
        <v>244</v>
      </c>
      <c r="B71" s="81" t="s">
        <v>245</v>
      </c>
      <c r="C71" s="90">
        <v>96</v>
      </c>
      <c r="D71" s="91">
        <v>90</v>
      </c>
      <c r="E71" s="64">
        <v>1904.88</v>
      </c>
      <c r="F71" s="148">
        <v>66</v>
      </c>
      <c r="G71" s="148">
        <v>63</v>
      </c>
      <c r="H71" s="64">
        <v>1308.56</v>
      </c>
      <c r="I71" s="64">
        <v>131.79</v>
      </c>
      <c r="J71" s="207">
        <v>2</v>
      </c>
      <c r="K71" s="215">
        <f t="shared" si="27"/>
        <v>0.0208333333333333</v>
      </c>
      <c r="L71" s="209">
        <v>33.06</v>
      </c>
      <c r="M71" s="210">
        <f t="shared" si="28"/>
        <v>0.432835820895522</v>
      </c>
      <c r="N71" s="208">
        <f t="shared" si="29"/>
        <v>0.343283582089552</v>
      </c>
      <c r="O71" s="208">
        <f t="shared" si="30"/>
        <v>0.403319557097708</v>
      </c>
      <c r="P71" s="153">
        <f t="shared" si="31"/>
        <v>1.06666666666667</v>
      </c>
      <c r="Q71" s="155">
        <f t="shared" si="32"/>
        <v>21.1653333333333</v>
      </c>
      <c r="R71" s="187">
        <f t="shared" si="33"/>
        <v>19.8425</v>
      </c>
      <c r="S71" s="187">
        <f t="shared" si="53"/>
        <v>9</v>
      </c>
      <c r="T71" s="193">
        <f t="shared" si="34"/>
        <v>39</v>
      </c>
      <c r="U71" s="157">
        <f t="shared" si="35"/>
        <v>0.433333333333333</v>
      </c>
      <c r="V71" s="94">
        <f t="shared" si="36"/>
        <v>0.224060820375728</v>
      </c>
      <c r="W71" s="91">
        <v>32333</v>
      </c>
      <c r="X71" s="91">
        <v>358</v>
      </c>
      <c r="Y71" s="91">
        <v>51</v>
      </c>
      <c r="Z71" s="91">
        <v>397.28</v>
      </c>
      <c r="AA71" s="199">
        <v>1014.02</v>
      </c>
      <c r="AB71" s="64">
        <v>1.11</v>
      </c>
      <c r="AC71" s="71">
        <f t="shared" si="37"/>
        <v>0.391787144237786</v>
      </c>
      <c r="AD71" s="72">
        <f t="shared" si="38"/>
        <v>0.0110722790956608</v>
      </c>
      <c r="AE71" s="72">
        <f t="shared" si="39"/>
        <v>0.142458100558659</v>
      </c>
      <c r="AF71" s="154">
        <f t="shared" si="40"/>
        <v>7.78980392156863</v>
      </c>
      <c r="AG71" s="160">
        <v>30</v>
      </c>
      <c r="AH71" s="161">
        <v>31</v>
      </c>
      <c r="AI71" s="161">
        <v>35</v>
      </c>
      <c r="AJ71" s="211">
        <v>0</v>
      </c>
      <c r="AK71" s="163">
        <f>AG71*产品成本!$D$5+AH71*产品成本!$D$6+AI71*产品成本!$D$7+AJ71*产品成本!$D$8</f>
        <v>295.774647887324</v>
      </c>
      <c r="AL71" s="163">
        <f>AG71*产品成本!$E$5+AH71*产品成本!$E$6+AI71*产品成本!$E$7+AJ71*产品成本!$E$8</f>
        <v>32.02</v>
      </c>
      <c r="AM71" s="163">
        <f>AG71*产品成本!$F$5+AH71*产品成本!$F$6+AI71*产品成本!$F$7+AJ71*产品成本!$F$8</f>
        <v>37.19</v>
      </c>
      <c r="AN71" s="163">
        <f>AG71*产品成本!$G$5+AH71*产品成本!$G$6+AI71*产品成本!$G$7+AJ71*产品成本!$G$8</f>
        <v>458.28</v>
      </c>
      <c r="AO71" s="163">
        <f t="shared" si="41"/>
        <v>265.9635</v>
      </c>
      <c r="AP71" s="164">
        <f t="shared" si="42"/>
        <v>1089.22814788732</v>
      </c>
      <c r="AQ71" s="165">
        <v>1</v>
      </c>
      <c r="AR71" s="165">
        <v>0</v>
      </c>
      <c r="AS71" s="165">
        <v>1</v>
      </c>
      <c r="AT71" s="211"/>
      <c r="AU71" s="212">
        <f t="shared" si="43"/>
        <v>40.3170731707317</v>
      </c>
      <c r="AV71" s="163">
        <f>AQ71*产品成本!$D$5+AR71*产品成本!$D$6+AS71*产品成本!$D$7+AT71*产品成本!D80</f>
        <v>6.33802816901409</v>
      </c>
      <c r="AW71" s="163">
        <f>AQ71*产品成本!$E$5+AR71*产品成本!$E$6+AS71*产品成本!$E$7+AT71*产品成本!E80</f>
        <v>0.67</v>
      </c>
      <c r="AX71" s="163">
        <f>AQ71*产品成本!$F$5+AR71*产品成本!$F$6+AS71*产品成本!$F$7+AT71*产品成本!F80</f>
        <v>0.82</v>
      </c>
      <c r="AY71" s="163"/>
      <c r="AZ71" s="163">
        <f t="shared" si="44"/>
        <v>6.04756097560976</v>
      </c>
      <c r="BA71" s="163">
        <f t="shared" si="45"/>
        <v>-1.20951219512195</v>
      </c>
      <c r="BB71" s="164">
        <f t="shared" si="46"/>
        <v>12.6660769495019</v>
      </c>
      <c r="BC71" s="169">
        <f t="shared" si="47"/>
        <v>1076.56207093782</v>
      </c>
      <c r="BD71" s="169">
        <f t="shared" si="48"/>
        <v>1773.09</v>
      </c>
      <c r="BE71" s="169">
        <f t="shared" si="49"/>
        <v>1732.77292682927</v>
      </c>
      <c r="BF71" s="168">
        <f t="shared" si="50"/>
        <v>258.930855891447</v>
      </c>
      <c r="BG71" s="213">
        <f t="shared" si="51"/>
        <v>0.149431499005039</v>
      </c>
      <c r="BH71" t="s">
        <v>306</v>
      </c>
      <c r="BI71" t="s">
        <v>304</v>
      </c>
      <c r="BJ71" t="s">
        <v>305</v>
      </c>
    </row>
    <row r="72" ht="29.1" customHeight="1" spans="1:63">
      <c r="A72" s="61" t="s">
        <v>247</v>
      </c>
      <c r="B72" s="81" t="s">
        <v>248</v>
      </c>
      <c r="C72" s="90">
        <v>101</v>
      </c>
      <c r="D72" s="91">
        <v>98</v>
      </c>
      <c r="E72" s="64">
        <v>2018.13</v>
      </c>
      <c r="F72" s="148">
        <v>64</v>
      </c>
      <c r="G72" s="148">
        <v>61</v>
      </c>
      <c r="H72" s="64">
        <v>1268.16</v>
      </c>
      <c r="I72" s="64">
        <v>125.72</v>
      </c>
      <c r="J72" s="207">
        <v>3</v>
      </c>
      <c r="K72" s="215">
        <f t="shared" si="27"/>
        <v>0.0297029702970297</v>
      </c>
      <c r="L72" s="209">
        <v>48.06</v>
      </c>
      <c r="M72" s="210">
        <f t="shared" si="28"/>
        <v>0.0520833333333333</v>
      </c>
      <c r="N72" s="208">
        <f t="shared" si="29"/>
        <v>0.0888888888888889</v>
      </c>
      <c r="O72" s="208">
        <f t="shared" si="30"/>
        <v>0.0594525639410357</v>
      </c>
      <c r="P72" s="153">
        <f t="shared" si="31"/>
        <v>1.03061224489796</v>
      </c>
      <c r="Q72" s="155">
        <f t="shared" si="32"/>
        <v>20.5931632653061</v>
      </c>
      <c r="R72" s="187">
        <f t="shared" si="33"/>
        <v>19.9814851485149</v>
      </c>
      <c r="S72" s="187">
        <f t="shared" si="53"/>
        <v>8.71428571428571</v>
      </c>
      <c r="T72" s="193">
        <f t="shared" si="34"/>
        <v>43</v>
      </c>
      <c r="U72" s="157">
        <f t="shared" si="35"/>
        <v>0.438775510204082</v>
      </c>
      <c r="V72" s="94">
        <f t="shared" si="36"/>
        <v>0.195681696883868</v>
      </c>
      <c r="W72" s="91">
        <v>34909</v>
      </c>
      <c r="X72" s="91">
        <v>348</v>
      </c>
      <c r="Y72" s="91">
        <v>55</v>
      </c>
      <c r="Z72" s="91">
        <v>370.31</v>
      </c>
      <c r="AA72" s="199">
        <v>1089.75</v>
      </c>
      <c r="AB72" s="64">
        <v>1.06</v>
      </c>
      <c r="AC72" s="71">
        <f t="shared" si="37"/>
        <v>0.339811883459509</v>
      </c>
      <c r="AD72" s="72">
        <f t="shared" si="38"/>
        <v>0.00996877596035406</v>
      </c>
      <c r="AE72" s="72">
        <f t="shared" si="39"/>
        <v>0.158045977011494</v>
      </c>
      <c r="AF72" s="154">
        <f t="shared" si="40"/>
        <v>6.73290909090909</v>
      </c>
      <c r="AG72" s="160">
        <v>36</v>
      </c>
      <c r="AH72" s="161">
        <v>33</v>
      </c>
      <c r="AI72" s="161">
        <v>31</v>
      </c>
      <c r="AJ72" s="211">
        <v>1</v>
      </c>
      <c r="AK72" s="163">
        <f>AG72*产品成本!$D$5+AH72*产品成本!$D$6+AI72*产品成本!$D$7+AJ72*产品成本!$D$8</f>
        <v>308.450704225352</v>
      </c>
      <c r="AL72" s="163">
        <f>AG72*产品成本!$E$5+AH72*产品成本!$E$6+AI72*产品成本!$E$7+AJ72*产品成本!$E$8</f>
        <v>33.48</v>
      </c>
      <c r="AM72" s="163">
        <f>AG72*产品成本!$F$5+AH72*产品成本!$F$6+AI72*产品成本!$F$7+AJ72*产品成本!$F$8</f>
        <v>39.1</v>
      </c>
      <c r="AN72" s="163">
        <f>AG72*产品成本!$G$5+AH72*产品成本!$G$6+AI72*产品成本!$G$7+AJ72*产品成本!$G$8</f>
        <v>480.24</v>
      </c>
      <c r="AO72" s="163">
        <f t="shared" si="41"/>
        <v>283.8615</v>
      </c>
      <c r="AP72" s="164">
        <f t="shared" si="42"/>
        <v>1145.13220422535</v>
      </c>
      <c r="AQ72" s="165">
        <v>1</v>
      </c>
      <c r="AR72" s="165">
        <v>1</v>
      </c>
      <c r="AS72" s="165">
        <v>1</v>
      </c>
      <c r="AT72" s="211">
        <v>0</v>
      </c>
      <c r="AU72" s="212">
        <f t="shared" si="43"/>
        <v>58.609756097561</v>
      </c>
      <c r="AV72" s="163">
        <f>AQ72*产品成本!$D$5+AR72*产品成本!$D$6+AS72*产品成本!$D$7+AT72*产品成本!D81</f>
        <v>9.15492957746479</v>
      </c>
      <c r="AW72" s="163">
        <f>AQ72*产品成本!$E$5+AR72*产品成本!$E$6+AS72*产品成本!$E$7+AT72*产品成本!E81</f>
        <v>0.99</v>
      </c>
      <c r="AX72" s="163">
        <f>AQ72*产品成本!$F$5+AR72*产品成本!$F$6+AS72*产品成本!$F$7+AT72*产品成本!F81</f>
        <v>1.16</v>
      </c>
      <c r="AY72" s="163"/>
      <c r="AZ72" s="163">
        <f t="shared" si="44"/>
        <v>8.79146341463415</v>
      </c>
      <c r="BA72" s="163">
        <f t="shared" si="45"/>
        <v>-1.75829268292683</v>
      </c>
      <c r="BB72" s="164">
        <f t="shared" si="46"/>
        <v>18.3381003091721</v>
      </c>
      <c r="BC72" s="169">
        <f t="shared" si="47"/>
        <v>1126.79410391618</v>
      </c>
      <c r="BD72" s="169">
        <f t="shared" si="48"/>
        <v>1892.41</v>
      </c>
      <c r="BE72" s="169">
        <f t="shared" si="49"/>
        <v>1833.80024390244</v>
      </c>
      <c r="BF72" s="168">
        <f t="shared" si="50"/>
        <v>336.696139986259</v>
      </c>
      <c r="BG72" s="213">
        <f t="shared" si="51"/>
        <v>0.183605679574864</v>
      </c>
      <c r="BH72" t="s">
        <v>307</v>
      </c>
      <c r="BI72" t="s">
        <v>304</v>
      </c>
      <c r="BJ72" t="s">
        <v>305</v>
      </c>
    </row>
    <row r="73" ht="29.1" customHeight="1" spans="1:63">
      <c r="A73" s="61" t="s">
        <v>250</v>
      </c>
      <c r="B73" s="81" t="s">
        <v>251</v>
      </c>
      <c r="C73" s="90">
        <v>88</v>
      </c>
      <c r="D73" s="91">
        <v>86</v>
      </c>
      <c r="E73" s="64">
        <v>1839.22</v>
      </c>
      <c r="F73" s="148">
        <v>47</v>
      </c>
      <c r="G73" s="148">
        <v>46</v>
      </c>
      <c r="H73" s="64">
        <v>994.66</v>
      </c>
      <c r="I73" s="64">
        <v>97.83</v>
      </c>
      <c r="J73" s="207">
        <v>2</v>
      </c>
      <c r="K73" s="215">
        <f t="shared" si="27"/>
        <v>0.0227272727272727</v>
      </c>
      <c r="L73" s="209">
        <v>31.3</v>
      </c>
      <c r="M73" s="210">
        <f t="shared" si="28"/>
        <v>-0.128712871287129</v>
      </c>
      <c r="N73" s="208">
        <f t="shared" si="29"/>
        <v>-0.122448979591837</v>
      </c>
      <c r="O73" s="208">
        <f t="shared" si="30"/>
        <v>-0.0886513752830591</v>
      </c>
      <c r="P73" s="153">
        <f t="shared" si="31"/>
        <v>1.02325581395349</v>
      </c>
      <c r="Q73" s="155">
        <f t="shared" si="32"/>
        <v>21.3862790697674</v>
      </c>
      <c r="R73" s="187">
        <f t="shared" si="33"/>
        <v>20.9002272727273</v>
      </c>
      <c r="S73" s="187">
        <f t="shared" si="53"/>
        <v>6.57142857142857</v>
      </c>
      <c r="T73" s="193">
        <f t="shared" si="34"/>
        <v>33</v>
      </c>
      <c r="U73" s="157">
        <f t="shared" si="35"/>
        <v>0.383720930232558</v>
      </c>
      <c r="V73" s="94">
        <f t="shared" si="36"/>
        <v>0.228920574943005</v>
      </c>
      <c r="W73" s="91">
        <v>33036</v>
      </c>
      <c r="X73" s="91">
        <v>366</v>
      </c>
      <c r="Y73" s="91">
        <v>53</v>
      </c>
      <c r="Z73" s="91">
        <v>398.64</v>
      </c>
      <c r="AA73" s="199">
        <v>1167.43</v>
      </c>
      <c r="AB73" s="64">
        <v>1.09</v>
      </c>
      <c r="AC73" s="71">
        <f t="shared" si="37"/>
        <v>0.341468010929992</v>
      </c>
      <c r="AD73" s="72">
        <f t="shared" si="38"/>
        <v>0.0110788231020705</v>
      </c>
      <c r="AE73" s="72">
        <f t="shared" si="39"/>
        <v>0.144808743169399</v>
      </c>
      <c r="AF73" s="154">
        <f t="shared" si="40"/>
        <v>7.52150943396226</v>
      </c>
      <c r="AG73" s="160">
        <v>34</v>
      </c>
      <c r="AH73" s="161">
        <v>23</v>
      </c>
      <c r="AI73" s="161">
        <v>25</v>
      </c>
      <c r="AJ73" s="211">
        <v>6</v>
      </c>
      <c r="AK73" s="163">
        <f>AG73*产品成本!$D$5+AH73*产品成本!$D$6+AI73*产品成本!$D$7+AJ73*产品成本!$D$8</f>
        <v>281.12676056338</v>
      </c>
      <c r="AL73" s="163">
        <f>AG73*产品成本!$E$5+AH73*产品成本!$E$6+AI73*产品成本!$E$7+AJ73*产品成本!$E$8</f>
        <v>31.34</v>
      </c>
      <c r="AM73" s="163">
        <f>AG73*产品成本!$F$5+AH73*产品成本!$F$6+AI73*产品成本!$F$7+AJ73*产品成本!$F$8</f>
        <v>34.47</v>
      </c>
      <c r="AN73" s="163">
        <f>AG73*产品成本!$G$5+AH73*产品成本!$G$6+AI73*产品成本!$G$7+AJ73*产品成本!$G$8</f>
        <v>425.56</v>
      </c>
      <c r="AO73" s="163">
        <f t="shared" si="41"/>
        <v>261.2085</v>
      </c>
      <c r="AP73" s="164">
        <f t="shared" si="42"/>
        <v>1033.70526056338</v>
      </c>
      <c r="AQ73" s="165">
        <v>1</v>
      </c>
      <c r="AR73" s="165">
        <v>1</v>
      </c>
      <c r="AS73" s="165">
        <v>0</v>
      </c>
      <c r="AT73" s="211">
        <v>0</v>
      </c>
      <c r="AU73" s="212">
        <f t="shared" si="43"/>
        <v>38.1707317073171</v>
      </c>
      <c r="AV73" s="163">
        <f>AQ73*产品成本!$D$5+AR73*产品成本!$D$6+AS73*产品成本!$D$7+AT73*产品成本!D82</f>
        <v>5.49295774647887</v>
      </c>
      <c r="AW73" s="163">
        <f>AQ73*产品成本!$E$5+AR73*产品成本!$E$6+AS73*产品成本!$E$7+AT73*产品成本!E82</f>
        <v>0.59</v>
      </c>
      <c r="AX73" s="163">
        <f>AQ73*产品成本!$F$5+AR73*产品成本!$F$6+AS73*产品成本!$F$7+AT73*产品成本!F82</f>
        <v>0.75</v>
      </c>
      <c r="AY73" s="163"/>
      <c r="AZ73" s="163">
        <f t="shared" si="44"/>
        <v>5.72560975609756</v>
      </c>
      <c r="BA73" s="163">
        <f t="shared" si="45"/>
        <v>-1.14512195121951</v>
      </c>
      <c r="BB73" s="164">
        <f t="shared" si="46"/>
        <v>11.4134455513569</v>
      </c>
      <c r="BC73" s="169">
        <f t="shared" si="47"/>
        <v>1022.29181501202</v>
      </c>
      <c r="BD73" s="169">
        <f t="shared" si="48"/>
        <v>1741.39</v>
      </c>
      <c r="BE73" s="169">
        <f t="shared" si="49"/>
        <v>1703.21926829268</v>
      </c>
      <c r="BF73" s="168">
        <f t="shared" si="50"/>
        <v>282.28745328066</v>
      </c>
      <c r="BG73" s="213">
        <f t="shared" si="51"/>
        <v>0.16573758795227</v>
      </c>
      <c r="BH73" t="s">
        <v>308</v>
      </c>
      <c r="BI73" t="s">
        <v>304</v>
      </c>
      <c r="BJ73" t="s">
        <v>305</v>
      </c>
    </row>
    <row r="74" ht="29.1" customHeight="1" spans="1:63">
      <c r="A74" s="61" t="s">
        <v>254</v>
      </c>
      <c r="B74" s="81" t="s">
        <v>255</v>
      </c>
      <c r="C74" s="90">
        <v>65</v>
      </c>
      <c r="D74" s="91">
        <v>63</v>
      </c>
      <c r="E74" s="64">
        <v>1508.03</v>
      </c>
      <c r="F74" s="148">
        <v>18</v>
      </c>
      <c r="G74" s="148">
        <v>18</v>
      </c>
      <c r="H74" s="64">
        <v>421.19</v>
      </c>
      <c r="I74" s="64">
        <v>36.48</v>
      </c>
      <c r="J74" s="207">
        <v>2</v>
      </c>
      <c r="K74" s="215">
        <f t="shared" si="27"/>
        <v>0.0307692307692308</v>
      </c>
      <c r="L74" s="209">
        <v>30.1</v>
      </c>
      <c r="M74" s="210">
        <f t="shared" si="28"/>
        <v>-0.261363636363636</v>
      </c>
      <c r="N74" s="208">
        <f t="shared" si="29"/>
        <v>-0.267441860465116</v>
      </c>
      <c r="O74" s="208">
        <f t="shared" si="30"/>
        <v>-0.180070899620491</v>
      </c>
      <c r="P74" s="153">
        <f t="shared" si="31"/>
        <v>1.03174603174603</v>
      </c>
      <c r="Q74" s="155">
        <f t="shared" si="32"/>
        <v>23.9369841269841</v>
      </c>
      <c r="R74" s="187">
        <f t="shared" si="33"/>
        <v>23.2004615384615</v>
      </c>
      <c r="S74" s="187">
        <f t="shared" si="53"/>
        <v>2.57142857142857</v>
      </c>
      <c r="T74" s="193">
        <f t="shared" si="34"/>
        <v>34</v>
      </c>
      <c r="U74" s="157">
        <f t="shared" si="35"/>
        <v>0.53968253968254</v>
      </c>
      <c r="V74" s="94">
        <f t="shared" si="36"/>
        <v>0.216866569263702</v>
      </c>
      <c r="W74" s="91">
        <v>37841</v>
      </c>
      <c r="X74" s="91">
        <v>307</v>
      </c>
      <c r="Y74" s="91">
        <v>29</v>
      </c>
      <c r="Z74" s="91">
        <v>319.13</v>
      </c>
      <c r="AA74" s="199">
        <v>697.45</v>
      </c>
      <c r="AB74" s="64">
        <v>1.04</v>
      </c>
      <c r="AC74" s="71">
        <f t="shared" si="37"/>
        <v>0.457566850670299</v>
      </c>
      <c r="AD74" s="72">
        <f t="shared" si="38"/>
        <v>0.00811289342247826</v>
      </c>
      <c r="AE74" s="72">
        <f t="shared" si="39"/>
        <v>0.0944625407166124</v>
      </c>
      <c r="AF74" s="154">
        <f t="shared" si="40"/>
        <v>11.0044827586207</v>
      </c>
      <c r="AG74" s="160">
        <v>21</v>
      </c>
      <c r="AH74" s="161">
        <v>26</v>
      </c>
      <c r="AI74" s="161">
        <v>15</v>
      </c>
      <c r="AJ74" s="211">
        <v>3</v>
      </c>
      <c r="AK74" s="163">
        <f>AG74*产品成本!$D$5+AH74*产品成本!$D$6+AI74*产品成本!$D$7+AJ74*产品成本!$D$8</f>
        <v>201.267605633803</v>
      </c>
      <c r="AL74" s="163">
        <f>AG74*产品成本!$E$5+AH74*产品成本!$E$6+AI74*产品成本!$E$7+AJ74*产品成本!$E$8</f>
        <v>22.39</v>
      </c>
      <c r="AM74" s="163">
        <f>AG74*产品成本!$F$5+AH74*产品成本!$F$6+AI74*产品成本!$F$7+AJ74*产品成本!$F$8</f>
        <v>24.83</v>
      </c>
      <c r="AN74" s="163">
        <f>AG74*产品成本!$G$5+AH74*产品成本!$G$6+AI74*产品成本!$G$7+AJ74*产品成本!$G$8</f>
        <v>304.74</v>
      </c>
      <c r="AO74" s="163">
        <f t="shared" si="41"/>
        <v>220.7325</v>
      </c>
      <c r="AP74" s="164">
        <f t="shared" si="42"/>
        <v>773.960105633803</v>
      </c>
      <c r="AQ74" s="165">
        <v>2</v>
      </c>
      <c r="AR74" s="165">
        <v>0</v>
      </c>
      <c r="AS74" s="165">
        <v>0</v>
      </c>
      <c r="AT74" s="211">
        <v>0</v>
      </c>
      <c r="AU74" s="212">
        <f t="shared" si="43"/>
        <v>36.7073170731707</v>
      </c>
      <c r="AV74" s="163">
        <f>AQ74*产品成本!$D$5+AR74*产品成本!$D$6+AS74*产品成本!$D$7+AT74*产品成本!D83</f>
        <v>5.35211267605634</v>
      </c>
      <c r="AW74" s="163">
        <f>AQ74*产品成本!$E$5+AR74*产品成本!$E$6+AS74*产品成本!$E$7+AT74*产品成本!E83</f>
        <v>0.54</v>
      </c>
      <c r="AX74" s="163">
        <f>AQ74*产品成本!$F$5+AR74*产品成本!$F$6+AS74*产品成本!$F$7+AT74*产品成本!F83</f>
        <v>0.82</v>
      </c>
      <c r="AY74" s="163"/>
      <c r="AZ74" s="163">
        <f t="shared" si="44"/>
        <v>5.50609756097561</v>
      </c>
      <c r="BA74" s="163">
        <f t="shared" si="45"/>
        <v>-1.10121951219512</v>
      </c>
      <c r="BB74" s="164">
        <f t="shared" si="46"/>
        <v>11.1169907248368</v>
      </c>
      <c r="BC74" s="169">
        <f t="shared" si="47"/>
        <v>762.843114908966</v>
      </c>
      <c r="BD74" s="169">
        <f t="shared" si="48"/>
        <v>1471.55</v>
      </c>
      <c r="BE74" s="169">
        <f t="shared" si="49"/>
        <v>1434.84268292683</v>
      </c>
      <c r="BF74" s="168">
        <f t="shared" si="50"/>
        <v>352.869568017863</v>
      </c>
      <c r="BG74" s="213">
        <f t="shared" si="51"/>
        <v>0.245929098859863</v>
      </c>
      <c r="BH74" t="s">
        <v>309</v>
      </c>
      <c r="BI74" t="s">
        <v>310</v>
      </c>
      <c r="BJ74" t="s">
        <v>311</v>
      </c>
    </row>
    <row r="75" ht="29.1" customHeight="1" spans="1:63">
      <c r="A75" s="61" t="s">
        <v>258</v>
      </c>
      <c r="B75" s="81" t="s">
        <v>259</v>
      </c>
      <c r="C75" s="90">
        <v>69</v>
      </c>
      <c r="D75" s="91">
        <v>69</v>
      </c>
      <c r="E75" s="64">
        <v>1414.71</v>
      </c>
      <c r="F75" s="148">
        <v>43</v>
      </c>
      <c r="G75" s="148">
        <v>43</v>
      </c>
      <c r="H75" s="64">
        <v>899.63</v>
      </c>
      <c r="I75" s="64">
        <v>20.92</v>
      </c>
      <c r="J75" s="207">
        <v>3</v>
      </c>
      <c r="K75" s="215">
        <f t="shared" ref="K75" si="54">J75/C75</f>
        <v>0.0434782608695652</v>
      </c>
      <c r="L75" s="209">
        <v>55.59</v>
      </c>
      <c r="M75" s="210">
        <f t="shared" ref="M75" si="55">(C75-C74)/C74</f>
        <v>0.0615384615384615</v>
      </c>
      <c r="N75" s="208">
        <f t="shared" ref="N75" si="56">(D75-D74)/D74</f>
        <v>0.0952380952380952</v>
      </c>
      <c r="O75" s="208">
        <f t="shared" ref="O75" si="57">(E75-E74)/E74</f>
        <v>-0.061882058049243</v>
      </c>
      <c r="P75" s="153">
        <f t="shared" ref="P75" si="58">C75/D75</f>
        <v>1</v>
      </c>
      <c r="Q75" s="155">
        <f t="shared" ref="Q75" si="59">E75/D75</f>
        <v>20.5030434782609</v>
      </c>
      <c r="R75" s="187">
        <f t="shared" ref="R75" si="60">E75/C75</f>
        <v>20.5030434782609</v>
      </c>
      <c r="S75" s="187">
        <f t="shared" ref="S75" si="61">G75/7</f>
        <v>6.14285714285714</v>
      </c>
      <c r="T75" s="193">
        <f t="shared" ref="T75" si="62">D75-Y75</f>
        <v>35</v>
      </c>
      <c r="U75" s="157">
        <f t="shared" ref="U75" si="63">T75/D75</f>
        <v>0.507246376811594</v>
      </c>
      <c r="V75" s="94">
        <f t="shared" ref="V75" si="64">Z75/(E75-I75)</f>
        <v>0.273793039123541</v>
      </c>
      <c r="W75" s="91">
        <v>37112</v>
      </c>
      <c r="X75" s="91">
        <v>349</v>
      </c>
      <c r="Y75" s="91">
        <v>34</v>
      </c>
      <c r="Z75" s="91">
        <v>381.61</v>
      </c>
      <c r="AA75" s="199">
        <v>781.09</v>
      </c>
      <c r="AB75" s="64">
        <v>1.09</v>
      </c>
      <c r="AC75" s="71">
        <f t="shared" ref="AC75" si="65">Z75/AA75</f>
        <v>0.488560857263568</v>
      </c>
      <c r="AD75" s="72">
        <f t="shared" ref="AD75" si="66">X75/W75</f>
        <v>0.00940396637206294</v>
      </c>
      <c r="AE75" s="72">
        <f t="shared" si="39"/>
        <v>0.0974212034383954</v>
      </c>
      <c r="AF75" s="154">
        <f t="shared" ref="AF75" si="67">Z75/Y75</f>
        <v>11.2238235294118</v>
      </c>
      <c r="AG75" s="160">
        <v>27</v>
      </c>
      <c r="AH75" s="161">
        <v>23</v>
      </c>
      <c r="AI75" s="161">
        <v>16</v>
      </c>
      <c r="AJ75" s="211">
        <v>3</v>
      </c>
      <c r="AK75" s="163">
        <f>AG75*产品成本!$D$5+AH75*产品成本!$D$6+AI75*产品成本!$D$7+AJ75*产品成本!$D$8</f>
        <v>212.535211267606</v>
      </c>
      <c r="AL75" s="163">
        <f>AG75*产品成本!$E$5+AH75*产品成本!$E$6+AI75*产品成本!$E$7+AJ75*产品成本!$E$8</f>
        <v>23.45</v>
      </c>
      <c r="AM75" s="163">
        <f>AG75*产品成本!$F$5+AH75*产品成本!$F$6+AI75*产品成本!$F$7+AJ75*产品成本!$F$8</f>
        <v>26.68</v>
      </c>
      <c r="AN75" s="163">
        <f>AG75*产品成本!$G$5+AH75*产品成本!$G$6+AI75*产品成本!$G$7+AJ75*产品成本!$G$8</f>
        <v>327.18</v>
      </c>
      <c r="AO75" s="163">
        <f t="shared" ref="AO75" si="68">(E75-I75)*0.15</f>
        <v>209.0685</v>
      </c>
      <c r="AP75" s="164">
        <f t="shared" ref="AP75" si="69">SUM(AK75:AO75)</f>
        <v>798.913711267606</v>
      </c>
      <c r="AQ75" s="165">
        <v>1</v>
      </c>
      <c r="AR75" s="165">
        <v>2</v>
      </c>
      <c r="AS75" s="165">
        <v>0</v>
      </c>
      <c r="AT75" s="211">
        <v>0</v>
      </c>
      <c r="AU75" s="212">
        <f t="shared" ref="AU75" si="70">L75/(1-0.15-0.15*0.2)</f>
        <v>67.7926829268293</v>
      </c>
      <c r="AV75" s="163">
        <f>AQ75*产品成本!$D$5+AR75*产品成本!$D$6+AS75*产品成本!$D$7+AT75*产品成本!D84</f>
        <v>8.30985915492957</v>
      </c>
      <c r="AW75" s="163">
        <f>AQ75*产品成本!$E$5+AR75*产品成本!$E$6+AS75*产品成本!$E$7+AT75*产品成本!E84</f>
        <v>0.91</v>
      </c>
      <c r="AX75" s="163">
        <f>AQ75*产品成本!$F$5+AR75*产品成本!$F$6+AS75*产品成本!$F$7+AT75*产品成本!F84</f>
        <v>1.09</v>
      </c>
      <c r="AY75" s="163"/>
      <c r="AZ75" s="163">
        <f t="shared" ref="AZ75" si="71">AU75*0.15</f>
        <v>10.1689024390244</v>
      </c>
      <c r="BA75" s="163">
        <f t="shared" ref="BA75" si="72">-AZ75*0.2</f>
        <v>-2.03378048780488</v>
      </c>
      <c r="BB75" s="164">
        <f t="shared" ref="BB75" si="73">SUM(AV75:BA75)</f>
        <v>18.4449811061491</v>
      </c>
      <c r="BC75" s="169">
        <f t="shared" ref="BC75" si="74">AP75-BB75</f>
        <v>780.468730161457</v>
      </c>
      <c r="BD75" s="169">
        <f t="shared" ref="BD75" si="75">E75-I75</f>
        <v>1393.79</v>
      </c>
      <c r="BE75" s="169">
        <f t="shared" ref="BE75" si="76">E75-AU75-I75</f>
        <v>1325.99731707317</v>
      </c>
      <c r="BF75" s="168">
        <f t="shared" ref="BF75" si="77">BE75-BC75-Z75</f>
        <v>163.918586911714</v>
      </c>
      <c r="BG75" s="213">
        <f t="shared" ref="BG75" si="78">BF75/BE75</f>
        <v>0.123619093946228</v>
      </c>
      <c r="BH75" t="s">
        <v>312</v>
      </c>
      <c r="BI75" t="s">
        <v>310</v>
      </c>
      <c r="BJ75" t="s">
        <v>311</v>
      </c>
      <c r="BK75" t="s">
        <v>313</v>
      </c>
    </row>
    <row r="76" ht="29.1" customHeight="1" spans="1:63">
      <c r="A76" s="61" t="s">
        <v>262</v>
      </c>
      <c r="B76" s="81" t="s">
        <v>263</v>
      </c>
      <c r="C76" s="90">
        <v>83</v>
      </c>
      <c r="D76" s="91">
        <v>81</v>
      </c>
      <c r="E76" s="64">
        <v>1659.81</v>
      </c>
      <c r="F76" s="148">
        <v>55</v>
      </c>
      <c r="G76" s="148">
        <v>53</v>
      </c>
      <c r="H76" s="64">
        <v>1106.53</v>
      </c>
      <c r="I76" s="64">
        <v>20.12</v>
      </c>
      <c r="J76" s="207">
        <v>3</v>
      </c>
      <c r="K76" s="215">
        <f t="shared" ref="K76" si="79">J76/C76</f>
        <v>0.036144578313253</v>
      </c>
      <c r="L76" s="209">
        <v>45.04</v>
      </c>
      <c r="M76" s="210">
        <f t="shared" ref="M76" si="80">(C76-C75)/C75</f>
        <v>0.202898550724638</v>
      </c>
      <c r="N76" s="208">
        <f t="shared" ref="N76" si="81">(D76-D75)/D75</f>
        <v>0.173913043478261</v>
      </c>
      <c r="O76" s="208">
        <f t="shared" ref="O76" si="82">(E76-E75)/E75</f>
        <v>0.173251054986534</v>
      </c>
      <c r="P76" s="153">
        <f t="shared" ref="P76" si="83">C76/D76</f>
        <v>1.02469135802469</v>
      </c>
      <c r="Q76" s="155">
        <f t="shared" ref="Q76" si="84">E76/D76</f>
        <v>20.4914814814815</v>
      </c>
      <c r="R76" s="187">
        <f t="shared" ref="R76" si="85">E76/C76</f>
        <v>19.9977108433735</v>
      </c>
      <c r="S76" s="187">
        <f t="shared" ref="S76" si="86">G76/7</f>
        <v>7.57142857142857</v>
      </c>
      <c r="T76" s="193">
        <f t="shared" ref="T76" si="87">D76-Y76</f>
        <v>33</v>
      </c>
      <c r="U76" s="157">
        <f t="shared" ref="U76" si="88">T76/D76</f>
        <v>0.407407407407407</v>
      </c>
      <c r="V76" s="94">
        <f t="shared" ref="V76" si="89">Z76/(E76-I76)</f>
        <v>0.23839262299581</v>
      </c>
      <c r="W76" s="91">
        <v>40676</v>
      </c>
      <c r="X76" s="91">
        <v>361</v>
      </c>
      <c r="Y76" s="91">
        <v>48</v>
      </c>
      <c r="Z76" s="91">
        <v>390.89</v>
      </c>
      <c r="AA76" s="199">
        <v>1133.17</v>
      </c>
      <c r="AB76" s="64">
        <v>1.08</v>
      </c>
      <c r="AC76" s="71">
        <f t="shared" ref="AC76" si="90">Z76/AA76</f>
        <v>0.344952654941447</v>
      </c>
      <c r="AD76" s="72">
        <f t="shared" ref="AD76" si="91">X76/W76</f>
        <v>0.00887501229226079</v>
      </c>
      <c r="AE76" s="72">
        <f t="shared" ref="AE76" si="92">Y76/X76</f>
        <v>0.132963988919668</v>
      </c>
      <c r="AF76" s="154">
        <f t="shared" ref="AF76" si="93">Z76/Y76</f>
        <v>8.14354166666667</v>
      </c>
      <c r="AG76" s="160">
        <v>33</v>
      </c>
      <c r="AH76" s="161">
        <v>28</v>
      </c>
      <c r="AI76" s="161">
        <v>21</v>
      </c>
      <c r="AJ76" s="211">
        <v>1</v>
      </c>
      <c r="AK76" s="163">
        <f>AG76*产品成本!$D$5+AH76*产品成本!$D$6+AI76*产品成本!$D$7+AJ76*产品成本!$D$8</f>
        <v>249.718309859155</v>
      </c>
      <c r="AL76" s="163">
        <f>AG76*产品成本!$E$5+AH76*产品成本!$E$6+AI76*产品成本!$E$7+AJ76*产品成本!$E$8</f>
        <v>27.07</v>
      </c>
      <c r="AM76" s="163">
        <f>AG76*产品成本!$F$5+AH76*产品成本!$F$6+AI76*产品成本!$F$7+AJ76*产品成本!$F$8</f>
        <v>32.07</v>
      </c>
      <c r="AN76" s="163">
        <f>AG76*产品成本!$G$5+AH76*产品成本!$G$6+AI76*产品成本!$G$7+AJ76*产品成本!$G$8</f>
        <v>392.34</v>
      </c>
      <c r="AO76" s="163">
        <f t="shared" ref="AO76" si="94">(E76-I76)*0.15</f>
        <v>245.9535</v>
      </c>
      <c r="AP76" s="164">
        <f t="shared" ref="AP76" si="95">SUM(AK76:AO76)</f>
        <v>947.151809859155</v>
      </c>
      <c r="AQ76" s="165">
        <v>2</v>
      </c>
      <c r="AR76" s="165">
        <v>0</v>
      </c>
      <c r="AS76" s="165">
        <v>1</v>
      </c>
      <c r="AT76" s="211">
        <v>0</v>
      </c>
      <c r="AU76" s="212">
        <f t="shared" ref="AU76" si="96">L76/(1-0.15-0.15*0.2)</f>
        <v>54.9268292682927</v>
      </c>
      <c r="AV76" s="163">
        <f>AQ76*产品成本!$D$5+AR76*产品成本!$D$6+AS76*产品成本!$D$7+AT76*产品成本!D85</f>
        <v>9.01408450704226</v>
      </c>
      <c r="AW76" s="163">
        <f>AQ76*产品成本!$E$5+AR76*产品成本!$E$6+AS76*产品成本!$E$7+AT76*产品成本!E85</f>
        <v>0.94</v>
      </c>
      <c r="AX76" s="163">
        <f>AQ76*产品成本!$F$5+AR76*产品成本!$F$6+AS76*产品成本!$F$7+AT76*产品成本!F85</f>
        <v>1.23</v>
      </c>
      <c r="AY76" s="163"/>
      <c r="AZ76" s="163">
        <f t="shared" ref="AZ76" si="97">AU76*0.15</f>
        <v>8.2390243902439</v>
      </c>
      <c r="BA76" s="163">
        <f t="shared" ref="BA76" si="98">-AZ76*0.2</f>
        <v>-1.64780487804878</v>
      </c>
      <c r="BB76" s="164">
        <f t="shared" ref="BB76" si="99">SUM(AV76:BA76)</f>
        <v>17.7753040192374</v>
      </c>
      <c r="BC76" s="169">
        <f t="shared" ref="BC76" si="100">AP76-BB76</f>
        <v>929.376505839918</v>
      </c>
      <c r="BD76" s="169">
        <f t="shared" ref="BD76" si="101">E76-I76</f>
        <v>1639.69</v>
      </c>
      <c r="BE76" s="169">
        <f t="shared" ref="BE76" si="102">E76-AU76-I76</f>
        <v>1584.76317073171</v>
      </c>
      <c r="BF76" s="168">
        <f t="shared" ref="BF76" si="103">BE76-BC76-Z76</f>
        <v>264.49666489179</v>
      </c>
      <c r="BG76" s="213">
        <f t="shared" ref="BG76" si="104">BF76/BE76</f>
        <v>0.166899805457788</v>
      </c>
      <c r="BH76" t="s">
        <v>314</v>
      </c>
      <c r="BI76" t="s">
        <v>315</v>
      </c>
      <c r="BJ76" t="s">
        <v>311</v>
      </c>
    </row>
    <row r="77" ht="29.1" customHeight="1" spans="1:63">
      <c r="A77" s="61" t="s">
        <v>266</v>
      </c>
      <c r="B77" s="81" t="s">
        <v>267</v>
      </c>
      <c r="C77" s="90">
        <v>75</v>
      </c>
      <c r="D77" s="91">
        <v>71</v>
      </c>
      <c r="E77" s="64">
        <v>1534.15</v>
      </c>
      <c r="F77" s="148">
        <v>57</v>
      </c>
      <c r="G77" s="148">
        <v>55</v>
      </c>
      <c r="H77" s="64">
        <v>1178.03</v>
      </c>
      <c r="I77" s="64">
        <v>20.67</v>
      </c>
      <c r="J77" s="207">
        <v>9</v>
      </c>
      <c r="K77" s="215">
        <f t="shared" ref="K77" si="105">J77/C77</f>
        <v>0.12</v>
      </c>
      <c r="L77" s="209">
        <v>145.18</v>
      </c>
      <c r="M77" s="210">
        <f t="shared" ref="M77" si="106">(C77-C76)/C76</f>
        <v>-0.0963855421686747</v>
      </c>
      <c r="N77" s="208">
        <f t="shared" ref="N77" si="107">(D77-D76)/D76</f>
        <v>-0.123456790123457</v>
      </c>
      <c r="O77" s="208">
        <f t="shared" ref="O77" si="108">(E77-E76)/E76</f>
        <v>-0.0757074604924659</v>
      </c>
      <c r="P77" s="153">
        <f t="shared" ref="P77" si="109">C77/D77</f>
        <v>1.05633802816901</v>
      </c>
      <c r="Q77" s="155">
        <f t="shared" ref="Q77" si="110">E77/D77</f>
        <v>21.6077464788732</v>
      </c>
      <c r="R77" s="187">
        <f t="shared" ref="R77" si="111">E77/C77</f>
        <v>20.4553333333333</v>
      </c>
      <c r="S77" s="187">
        <f t="shared" ref="S77" si="112">G77/7</f>
        <v>7.85714285714286</v>
      </c>
      <c r="T77" s="193">
        <f t="shared" ref="T77" si="113">D77-Y77</f>
        <v>30</v>
      </c>
      <c r="U77" s="157">
        <f t="shared" ref="U77" si="114">T77/D77</f>
        <v>0.422535211267606</v>
      </c>
      <c r="V77" s="94">
        <f t="shared" ref="V77" si="115">Z77/(E77-I77)</f>
        <v>0.229187039141581</v>
      </c>
      <c r="W77" s="91">
        <v>35037</v>
      </c>
      <c r="X77" s="91">
        <v>310</v>
      </c>
      <c r="Y77" s="91">
        <v>41</v>
      </c>
      <c r="Z77" s="91">
        <v>346.87</v>
      </c>
      <c r="AA77" s="199">
        <v>1015.9</v>
      </c>
      <c r="AB77" s="64">
        <v>1.12</v>
      </c>
      <c r="AC77" s="71">
        <f t="shared" ref="AC77" si="116">Z77/AA77</f>
        <v>0.341441086721134</v>
      </c>
      <c r="AD77" s="72">
        <f t="shared" ref="AD77" si="117">X77/W77</f>
        <v>0.0088477894796929</v>
      </c>
      <c r="AE77" s="72">
        <f t="shared" ref="AE77" si="118">Y77/X77</f>
        <v>0.132258064516129</v>
      </c>
      <c r="AF77" s="154">
        <f t="shared" ref="AF77" si="119">Z77/Y77</f>
        <v>8.46024390243902</v>
      </c>
      <c r="AG77" s="160">
        <v>28</v>
      </c>
      <c r="AH77" s="161">
        <v>25</v>
      </c>
      <c r="AI77" s="161">
        <v>19</v>
      </c>
      <c r="AJ77" s="211">
        <v>3</v>
      </c>
      <c r="AK77" s="163">
        <f>AG77*产品成本!$D$5+AH77*产品成本!$D$6+AI77*产品成本!$D$7+AJ77*产品成本!$D$8</f>
        <v>231.830985915493</v>
      </c>
      <c r="AL77" s="163">
        <f>AG77*产品成本!$E$5+AH77*产品成本!$E$6+AI77*产品成本!$E$7+AJ77*产品成本!$E$8</f>
        <v>25.56</v>
      </c>
      <c r="AM77" s="163">
        <f>AG77*产品成本!$F$5+AH77*产品成本!$F$6+AI77*产品成本!$F$7+AJ77*产品成本!$F$8</f>
        <v>29</v>
      </c>
      <c r="AN77" s="163">
        <f>AG77*产品成本!$G$5+AH77*产品成本!$G$6+AI77*产品成本!$G$7+AJ77*产品成本!$G$8</f>
        <v>356.08</v>
      </c>
      <c r="AO77" s="163">
        <f t="shared" ref="AO77" si="120">(E77-I77)*0.15</f>
        <v>227.022</v>
      </c>
      <c r="AP77" s="164">
        <f t="shared" ref="AP77" si="121">SUM(AK77:AO77)</f>
        <v>869.492985915493</v>
      </c>
      <c r="AQ77" s="165">
        <v>2</v>
      </c>
      <c r="AR77" s="165">
        <v>3</v>
      </c>
      <c r="AS77" s="165">
        <v>4</v>
      </c>
      <c r="AT77" s="211">
        <v>0</v>
      </c>
      <c r="AU77" s="212">
        <f t="shared" ref="AU77" si="122">L77/(1-0.15-0.15*0.2)</f>
        <v>177.048780487805</v>
      </c>
      <c r="AV77" s="163">
        <f>AQ77*产品成本!$D$5+AR77*产品成本!$D$6+AS77*产品成本!$D$7+AT77*产品成本!D86</f>
        <v>28.4507042253521</v>
      </c>
      <c r="AW77" s="163">
        <f>AQ77*产品成本!$E$5+AR77*产品成本!$E$6+AS77*产品成本!$E$7+AT77*产品成本!E86</f>
        <v>3.1</v>
      </c>
      <c r="AX77" s="163">
        <f>AQ77*产品成本!$F$5+AR77*产品成本!$F$6+AS77*产品成本!$F$7+AT77*产品成本!F86</f>
        <v>3.48</v>
      </c>
      <c r="AY77" s="163"/>
      <c r="AZ77" s="163">
        <f t="shared" ref="AZ77" si="123">AU77*0.15</f>
        <v>26.5573170731707</v>
      </c>
      <c r="BA77" s="163">
        <f t="shared" ref="BA77" si="124">-AZ77*0.2</f>
        <v>-5.31146341463415</v>
      </c>
      <c r="BB77" s="164">
        <f t="shared" ref="BB77" si="125">SUM(AV77:BA77)</f>
        <v>56.2765578838887</v>
      </c>
      <c r="BC77" s="169">
        <f t="shared" ref="BC77" si="126">AP77-BB77</f>
        <v>813.216428031604</v>
      </c>
      <c r="BD77" s="169">
        <f t="shared" ref="BD77" si="127">E77-I77</f>
        <v>1513.48</v>
      </c>
      <c r="BE77" s="169">
        <f t="shared" ref="BE77" si="128">E77-AU77-I77</f>
        <v>1336.4312195122</v>
      </c>
      <c r="BF77" s="168">
        <f t="shared" ref="BF77" si="129">BE77-BC77-Z77</f>
        <v>176.344791480591</v>
      </c>
      <c r="BG77" s="213">
        <f t="shared" ref="BG77" si="130">BF77/BE77</f>
        <v>0.131952014369253</v>
      </c>
      <c r="BH77" t="s">
        <v>316</v>
      </c>
      <c r="BI77" t="s">
        <v>315</v>
      </c>
      <c r="BJ77" t="s">
        <v>311</v>
      </c>
      <c r="BK77" t="s">
        <v>317</v>
      </c>
    </row>
    <row r="78" ht="29.1" customHeight="1" spans="1:63">
      <c r="A78" s="174" t="s">
        <v>270</v>
      </c>
      <c r="B78" s="175"/>
      <c r="C78" s="175">
        <f>SUBTOTAL(109,表3_38[销量])</f>
        <v>4503</v>
      </c>
      <c r="D78" s="175">
        <f>SUBTOTAL(109,表3_38[订单量])</f>
        <v>4348</v>
      </c>
      <c r="E78" s="175">
        <f>SUBTOTAL(109,表3_38[销售额])</f>
        <v>96072.57</v>
      </c>
      <c r="F78" s="175">
        <f>SUBTOTAL(109,表3_38[促销销量])</f>
        <v>767</v>
      </c>
      <c r="G78" s="175">
        <f>SUBTOTAL(109,表3_38[促销订单量])</f>
        <v>747</v>
      </c>
      <c r="H78" s="175">
        <f>SUBTOTAL(109,表3_38[促销销售额])</f>
        <v>15766.63</v>
      </c>
      <c r="I78" s="175">
        <f>SUBTOTAL(109,表3_38[促销折扣])</f>
        <v>1329.92</v>
      </c>
      <c r="J78" s="175">
        <f>SUBTOTAL(109,表3_38[退款量])</f>
        <v>154</v>
      </c>
      <c r="K78" s="176">
        <f t="shared" si="27"/>
        <v>0.0341994226071508</v>
      </c>
      <c r="L78" s="177">
        <f>SUBTOTAL(109,表3_38[退款金额])</f>
        <v>2772.01</v>
      </c>
      <c r="M78" s="175"/>
      <c r="N78" s="175"/>
      <c r="O78" s="175"/>
      <c r="P78" s="178">
        <f>SUBTOTAL(101,表3_38[客单
销量])</f>
        <v>1.03651763245079</v>
      </c>
      <c r="Q78" s="178">
        <f>SUBTOTAL(101,表3_38[客单
价格($)])</f>
        <v>22.4979772019734</v>
      </c>
      <c r="R78" s="178">
        <f>SUBTOTAL(101,表3_38[销售
均价($)])</f>
        <v>21.7070822810349</v>
      </c>
      <c r="S78" s="178">
        <f>SUBTOTAL(101,表3_38[日均
销量])</f>
        <v>6.26737451737452</v>
      </c>
      <c r="T78" s="179">
        <f>SUBTOTAL(109,表3_38[自然
订单])</f>
        <v>1767</v>
      </c>
      <c r="U78" s="180">
        <f t="shared" si="35"/>
        <v>0.40639374425023</v>
      </c>
      <c r="V78" s="176">
        <f>SUBTOTAL(101,表3_38[TAcos
(%)])</f>
        <v>0.251317903574251</v>
      </c>
      <c r="W78" s="175">
        <f>SUBTOTAL(109,表3_38[展示])</f>
        <v>2985898</v>
      </c>
      <c r="X78" s="175">
        <f>SUBTOTAL(109,表3_38[点击])</f>
        <v>20097</v>
      </c>
      <c r="Y78" s="175">
        <f>SUBTOTAL(109,表3_38[广告订单量])</f>
        <v>2581</v>
      </c>
      <c r="Z78" s="175">
        <f>SUBTOTAL(109,表3_38[广告花费])</f>
        <v>23196.2</v>
      </c>
      <c r="AA78" s="175">
        <f>SUBTOTAL(109,表3_38[广告销售额])</f>
        <v>57048.45</v>
      </c>
      <c r="AB78" s="175">
        <f>SUBTOTAL(101,表3_38[CPC])</f>
        <v>1.15067567567568</v>
      </c>
      <c r="AC78" s="176">
        <f t="shared" si="37"/>
        <v>0.406605262719671</v>
      </c>
      <c r="AD78" s="176">
        <f t="shared" ref="AD78:AF78" si="131">X78/W78</f>
        <v>0.00673063848798586</v>
      </c>
      <c r="AE78" s="176">
        <f t="shared" si="131"/>
        <v>0.128427128427128</v>
      </c>
      <c r="AF78" s="178">
        <f t="shared" si="131"/>
        <v>8.98729174738473</v>
      </c>
      <c r="AG78" s="175">
        <f>SUBTOTAL(109,表3_38[Short w/oBall 1Pack])</f>
        <v>1412</v>
      </c>
      <c r="AH78" s="175">
        <f>SUBTOTAL(109,表3_38[Long w/oBall 1Pack])</f>
        <v>1648</v>
      </c>
      <c r="AI78" s="175">
        <f>SUBTOTAL(109,表3_38[w/Ball 1Pack])</f>
        <v>1323</v>
      </c>
      <c r="AJ78" s="216">
        <f>SUBTOTAL(109,表3_38[Long w/oBall 2Pack])</f>
        <v>124</v>
      </c>
      <c r="AK78" s="177">
        <f>SUBTOTAL(109,表3_38[产品成本])</f>
        <v>13964.2253521127</v>
      </c>
      <c r="AL78" s="177">
        <f>SUBTOTAL(109,表3_38[头程])</f>
        <v>1537</v>
      </c>
      <c r="AM78" s="177">
        <f>SUBTOTAL(109,表3_38[入仓费])</f>
        <v>1732.51</v>
      </c>
      <c r="AN78" s="177">
        <f>SUBTOTAL(109,表3_38[FBA物流])</f>
        <v>21312.56</v>
      </c>
      <c r="AO78" s="177">
        <f>SUBTOTAL(109,表3_38[佣金])</f>
        <v>14211.3975</v>
      </c>
      <c r="AP78" s="177">
        <f>SUBTOTAL(109,表3_38[成本小结])</f>
        <v>52757.6928521127</v>
      </c>
      <c r="AQ78" s="182">
        <f>SUBTOTAL(109,表3_38[退款Short w/oBall 1Pack])</f>
        <v>58</v>
      </c>
      <c r="AR78" s="182">
        <f>SUBTOTAL(109,表3_38[退款Long w/oBall 1Pack])</f>
        <v>39</v>
      </c>
      <c r="AS78" s="182">
        <f>SUBTOTAL(109,表3_38[退款w/Ball 1Pack])</f>
        <v>54</v>
      </c>
      <c r="AT78" s="177">
        <f>SUBTOTAL(109,表3_38[退款Long w/oBall 2Pack])</f>
        <v>2</v>
      </c>
      <c r="AU78" s="177">
        <f>SUBTOTAL(109,表3_38[退款
销售金额])</f>
        <v>3380.5</v>
      </c>
      <c r="AV78" s="177">
        <f>SUBTOTAL(109,表3_38[退款
产品成本])</f>
        <v>462.816901408451</v>
      </c>
      <c r="AW78" s="177">
        <f>SUBTOTAL(109,表3_38[退款头程])</f>
        <v>49.74</v>
      </c>
      <c r="AX78" s="177">
        <f>SUBTOTAL(109,表3_38[退款
入仓费])</f>
        <v>59.18</v>
      </c>
      <c r="AY78" s="177">
        <f>SUBTOTAL(109,表3_38[退款
FBA物流])</f>
        <v>0</v>
      </c>
      <c r="AZ78" s="177">
        <f>SUBTOTAL(109,表3_38[退款佣金])</f>
        <v>507.075</v>
      </c>
      <c r="BA78" s="177">
        <f>SUBTOTAL(109,表3_38[退款
管理费用
佣金的20%])</f>
        <v>-101.415</v>
      </c>
      <c r="BB78" s="177">
        <f>SUBTOTAL(109,表3_38[退款
成本小结])</f>
        <v>977.396901408451</v>
      </c>
      <c r="BC78" s="177">
        <f>SUBTOTAL(109,表3_38[净成本])</f>
        <v>51780.2959507042</v>
      </c>
      <c r="BD78" s="177">
        <f>SUBTOTAL(109,表3_38[净销售额])</f>
        <v>94742.65</v>
      </c>
      <c r="BE78" s="177">
        <f>SUBTOTAL(109,表3_38[净销售额
(-退款金额)])</f>
        <v>91362.15</v>
      </c>
      <c r="BF78" s="177">
        <f>SUBTOTAL(109,表3_38[毛利])</f>
        <v>16385.6540492958</v>
      </c>
      <c r="BG78" s="176">
        <f>SUBTOTAL(101,表3_38[毛利率])</f>
        <v>0.178228562878228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G23"/>
  <sheetViews>
    <sheetView workbookViewId="0">
      <pane xSplit="12" ySplit="3" topLeftCell="AX14" activePane="bottomRight" state="frozen"/>
      <selection/>
      <selection pane="topRight"/>
      <selection pane="bottomLeft"/>
      <selection pane="bottomRight" activeCell="BF22" sqref="BF22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32.25" customWidth="1"/>
    <col min="58" max="58" width="21.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318</v>
      </c>
      <c r="AH3" s="184" t="s">
        <v>319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320</v>
      </c>
      <c r="AP3" s="143" t="s">
        <v>321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s="1" t="s">
        <v>67</v>
      </c>
      <c r="BG3" t="s">
        <v>280</v>
      </c>
    </row>
    <row r="4" ht="29.1" customHeight="1" spans="1:59">
      <c r="A4" s="77" t="s">
        <v>210</v>
      </c>
      <c r="B4" s="78" t="s">
        <v>211</v>
      </c>
      <c r="C4" s="90">
        <v>30</v>
      </c>
      <c r="D4" s="91">
        <v>29</v>
      </c>
      <c r="E4" s="64">
        <v>496.01</v>
      </c>
      <c r="F4" s="148">
        <v>2</v>
      </c>
      <c r="G4" s="148">
        <v>2</v>
      </c>
      <c r="H4" s="64">
        <v>36.73</v>
      </c>
      <c r="I4" s="64">
        <v>3.67</v>
      </c>
      <c r="J4" s="149">
        <v>0</v>
      </c>
      <c r="K4" s="150">
        <f t="shared" ref="K4:K23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19" si="1">C4/D4</f>
        <v>1.03448275862069</v>
      </c>
      <c r="Q4" s="154">
        <f t="shared" ref="Q4:Q19" si="2">E4/D4</f>
        <v>17.1037931034483</v>
      </c>
      <c r="R4" s="187">
        <f t="shared" ref="R4:R19" si="3">E4/C4</f>
        <v>16.5336666666667</v>
      </c>
      <c r="S4" s="155">
        <f t="shared" ref="S4:S19" si="4">C4/7</f>
        <v>4.28571428571429</v>
      </c>
      <c r="T4" s="193">
        <f t="shared" ref="T4:T19" si="5">D4-Y4</f>
        <v>9</v>
      </c>
      <c r="U4" s="157">
        <f t="shared" ref="U4:U23" si="6">T4/D4</f>
        <v>0.310344827586207</v>
      </c>
      <c r="V4" s="94">
        <f t="shared" ref="V4:V19" si="7">Z4/(E4-I4)</f>
        <v>0.175082260226673</v>
      </c>
      <c r="W4" s="91">
        <v>9139</v>
      </c>
      <c r="X4" s="91">
        <v>73</v>
      </c>
      <c r="Y4" s="91">
        <v>20</v>
      </c>
      <c r="Z4" s="64">
        <v>86.2</v>
      </c>
      <c r="AA4" s="92">
        <v>357.27</v>
      </c>
      <c r="AB4" s="91">
        <v>1.18</v>
      </c>
      <c r="AC4" s="71">
        <f t="shared" ref="AC4:AC23" si="8">Z4/AA4</f>
        <v>0.241274106418115</v>
      </c>
      <c r="AD4" s="72">
        <f t="shared" ref="AD4:AF4" si="9">X4/W4</f>
        <v>0.00798774482985009</v>
      </c>
      <c r="AE4" s="159">
        <f t="shared" si="9"/>
        <v>0.273972602739726</v>
      </c>
      <c r="AF4" s="154">
        <f t="shared" si="9"/>
        <v>4.31</v>
      </c>
      <c r="AG4" s="160">
        <v>27</v>
      </c>
      <c r="AH4" s="162">
        <v>3</v>
      </c>
      <c r="AI4" s="163">
        <f>AG4*产品成本!$D$9+AH4*产品成本!$D$10</f>
        <v>74.3661971830985</v>
      </c>
      <c r="AJ4" s="163">
        <f>AG4*产品成本!$E$9+AH4*产品成本!$E$10</f>
        <v>9.57</v>
      </c>
      <c r="AK4" s="163">
        <f>AG4*产品成本!$F$9+AH4*产品成本!$F$10</f>
        <v>10.2</v>
      </c>
      <c r="AL4" s="163">
        <f>AG4*产品成本!$G$9+AH4*产品成本!$G$10</f>
        <v>147</v>
      </c>
      <c r="AM4" s="163">
        <f t="shared" ref="AM4:AM19" si="10">(E4-I4)*0.15</f>
        <v>73.851</v>
      </c>
      <c r="AN4" s="164">
        <f t="shared" ref="AN4:AN19" si="11">SUM(AI4:AM4)</f>
        <v>314.987197183098</v>
      </c>
      <c r="AO4" s="194">
        <v>0</v>
      </c>
      <c r="AP4" s="166">
        <v>0</v>
      </c>
      <c r="AQ4" s="167">
        <f t="shared" ref="AQ4:AQ19" si="12">L4/(1-0.15-0.15*0.2)</f>
        <v>0</v>
      </c>
      <c r="AR4" s="163">
        <f>AO4*产品成本!$D$9+AP4*产品成本!$D$10</f>
        <v>0</v>
      </c>
      <c r="AS4" s="163">
        <f>AO4*产品成本!$E$9+AP4*产品成本!$E$10</f>
        <v>0</v>
      </c>
      <c r="AT4" s="163">
        <f>AO4*产品成本!$F$9+AP4*产品成本!$F$10</f>
        <v>0</v>
      </c>
      <c r="AU4" s="163"/>
      <c r="AV4" s="163">
        <f t="shared" ref="AV4:AV19" si="13">AQ4*0.15</f>
        <v>0</v>
      </c>
      <c r="AW4" s="163">
        <f t="shared" ref="AW4:AW19" si="14">-AV4*0.2</f>
        <v>0</v>
      </c>
      <c r="AX4" s="164">
        <f t="shared" ref="AX4:AX19" si="15">SUM(AR4:AW4)</f>
        <v>0</v>
      </c>
      <c r="AY4" s="169">
        <f t="shared" ref="AY4:AY19" si="16">AN4-AX4</f>
        <v>314.987197183098</v>
      </c>
      <c r="AZ4" s="169">
        <f t="shared" ref="AZ4:AZ19" si="17">E4-I4</f>
        <v>492.34</v>
      </c>
      <c r="BA4" s="169">
        <f t="shared" ref="BA4:BA19" si="18">E4-AQ4-I4</f>
        <v>492.34</v>
      </c>
      <c r="BB4" s="168">
        <f t="shared" ref="BB4:BB19" si="19">BA4-AY4-Z4</f>
        <v>91.1528028169015</v>
      </c>
      <c r="BC4" s="170">
        <f t="shared" ref="BC4:BC19" si="20">BB4/BA4</f>
        <v>0.185141980779343</v>
      </c>
      <c r="BE4" t="s">
        <v>292</v>
      </c>
    </row>
    <row r="5" ht="29.1" customHeight="1" spans="1:59">
      <c r="A5" s="61" t="s">
        <v>213</v>
      </c>
      <c r="B5" s="61" t="s">
        <v>214</v>
      </c>
      <c r="C5" s="90">
        <v>27</v>
      </c>
      <c r="D5" s="91">
        <v>26</v>
      </c>
      <c r="E5" s="64">
        <v>441.96</v>
      </c>
      <c r="F5" s="148">
        <v>1</v>
      </c>
      <c r="G5" s="148">
        <v>1</v>
      </c>
      <c r="H5" s="64">
        <v>12.74</v>
      </c>
      <c r="I5" s="64">
        <v>1.27</v>
      </c>
      <c r="J5" s="149">
        <v>0</v>
      </c>
      <c r="K5" s="150">
        <f t="shared" si="0"/>
        <v>0</v>
      </c>
      <c r="L5" s="151">
        <v>0</v>
      </c>
      <c r="M5" s="152">
        <f t="shared" ref="M5:M19" si="21">(C5-C4)/C4</f>
        <v>-0.1</v>
      </c>
      <c r="N5" s="150">
        <f t="shared" ref="N5:N19" si="22">(D5-D4)/D4</f>
        <v>-0.103448275862069</v>
      </c>
      <c r="O5" s="150">
        <f t="shared" ref="O5:O19" si="23">(E5-E4)/E4</f>
        <v>-0.108969577226266</v>
      </c>
      <c r="P5" s="153">
        <f t="shared" si="1"/>
        <v>1.03846153846154</v>
      </c>
      <c r="Q5" s="154">
        <f t="shared" si="2"/>
        <v>16.9984615384615</v>
      </c>
      <c r="R5" s="187">
        <f t="shared" si="3"/>
        <v>16.3688888888889</v>
      </c>
      <c r="S5" s="155">
        <f t="shared" si="4"/>
        <v>3.85714285714286</v>
      </c>
      <c r="T5" s="193">
        <f t="shared" si="5"/>
        <v>12</v>
      </c>
      <c r="U5" s="157">
        <f t="shared" si="6"/>
        <v>0.461538461538462</v>
      </c>
      <c r="V5" s="94">
        <f t="shared" si="7"/>
        <v>0.21021579795321</v>
      </c>
      <c r="W5" s="91">
        <v>12451</v>
      </c>
      <c r="X5" s="91">
        <v>88</v>
      </c>
      <c r="Y5" s="91">
        <v>14</v>
      </c>
      <c r="Z5" s="64">
        <v>92.64</v>
      </c>
      <c r="AA5" s="92">
        <v>230.67</v>
      </c>
      <c r="AB5" s="91">
        <v>1.05</v>
      </c>
      <c r="AC5" s="71">
        <f t="shared" si="8"/>
        <v>0.401612693458187</v>
      </c>
      <c r="AD5" s="72">
        <f t="shared" ref="AD5:AF5" si="24">X5/W5</f>
        <v>0.00706770540518834</v>
      </c>
      <c r="AE5" s="159">
        <f t="shared" si="24"/>
        <v>0.159090909090909</v>
      </c>
      <c r="AF5" s="154">
        <f t="shared" si="24"/>
        <v>6.61714285714286</v>
      </c>
      <c r="AG5" s="160">
        <v>21</v>
      </c>
      <c r="AH5" s="162">
        <v>6</v>
      </c>
      <c r="AI5" s="163">
        <f>AG5*产品成本!$D$9+AH5*产品成本!$D$10</f>
        <v>74.3661971830985</v>
      </c>
      <c r="AJ5" s="163">
        <f>AG5*产品成本!$E$9+AH5*产品成本!$E$10</f>
        <v>9.57</v>
      </c>
      <c r="AK5" s="163">
        <f>AG5*产品成本!$F$9+AH5*产品成本!$F$10</f>
        <v>9.18</v>
      </c>
      <c r="AL5" s="163">
        <f>AG5*产品成本!$G$9+AH5*产品成本!$G$10</f>
        <v>132.3</v>
      </c>
      <c r="AM5" s="163">
        <f t="shared" si="10"/>
        <v>66.1035</v>
      </c>
      <c r="AN5" s="164">
        <f t="shared" si="11"/>
        <v>291.519697183099</v>
      </c>
      <c r="AO5" s="194">
        <v>0</v>
      </c>
      <c r="AP5" s="166">
        <v>0</v>
      </c>
      <c r="AQ5" s="167">
        <f t="shared" si="12"/>
        <v>0</v>
      </c>
      <c r="AR5" s="163">
        <f>AO5*产品成本!$D$9+AP5*产品成本!$D$10</f>
        <v>0</v>
      </c>
      <c r="AS5" s="163">
        <f>AO5*产品成本!$E$9+AP5*产品成本!$E$10</f>
        <v>0</v>
      </c>
      <c r="AT5" s="163">
        <f>AO5*产品成本!$F$9+AP5*产品成本!$F$10</f>
        <v>0</v>
      </c>
      <c r="AU5" s="163"/>
      <c r="AV5" s="163">
        <f t="shared" si="13"/>
        <v>0</v>
      </c>
      <c r="AW5" s="163">
        <f t="shared" si="14"/>
        <v>0</v>
      </c>
      <c r="AX5" s="164">
        <f t="shared" si="15"/>
        <v>0</v>
      </c>
      <c r="AY5" s="169">
        <f t="shared" si="16"/>
        <v>291.519697183099</v>
      </c>
      <c r="AZ5" s="169">
        <f t="shared" si="17"/>
        <v>440.69</v>
      </c>
      <c r="BA5" s="169">
        <f t="shared" si="18"/>
        <v>440.69</v>
      </c>
      <c r="BB5" s="168">
        <f t="shared" si="19"/>
        <v>56.5303028169015</v>
      </c>
      <c r="BC5" s="170">
        <f t="shared" si="20"/>
        <v>0.128276799602672</v>
      </c>
      <c r="BE5" t="s">
        <v>215</v>
      </c>
    </row>
    <row r="6" ht="29.1" customHeight="1" spans="1:59">
      <c r="A6" s="61" t="s">
        <v>216</v>
      </c>
      <c r="B6" s="61" t="s">
        <v>217</v>
      </c>
      <c r="C6" s="90">
        <v>19</v>
      </c>
      <c r="D6" s="91">
        <v>19</v>
      </c>
      <c r="E6" s="64">
        <v>439.19</v>
      </c>
      <c r="F6" s="148">
        <v>0</v>
      </c>
      <c r="G6" s="148">
        <v>0</v>
      </c>
      <c r="H6" s="64">
        <v>0</v>
      </c>
      <c r="I6" s="64">
        <v>0</v>
      </c>
      <c r="J6" s="149">
        <v>2</v>
      </c>
      <c r="K6" s="150">
        <f t="shared" si="0"/>
        <v>0.105263157894737</v>
      </c>
      <c r="L6" s="151">
        <v>33.99</v>
      </c>
      <c r="M6" s="152">
        <f t="shared" si="21"/>
        <v>-0.296296296296296</v>
      </c>
      <c r="N6" s="150">
        <f t="shared" si="22"/>
        <v>-0.269230769230769</v>
      </c>
      <c r="O6" s="150">
        <f t="shared" si="23"/>
        <v>-0.00626753552357675</v>
      </c>
      <c r="P6" s="153">
        <f t="shared" si="1"/>
        <v>1</v>
      </c>
      <c r="Q6" s="154">
        <f t="shared" si="2"/>
        <v>23.1152631578947</v>
      </c>
      <c r="R6" s="187">
        <f t="shared" si="3"/>
        <v>23.1152631578947</v>
      </c>
      <c r="S6" s="155">
        <f t="shared" si="4"/>
        <v>2.71428571428571</v>
      </c>
      <c r="T6" s="193">
        <f t="shared" si="5"/>
        <v>5</v>
      </c>
      <c r="U6" s="157">
        <f t="shared" si="6"/>
        <v>0.263157894736842</v>
      </c>
      <c r="V6" s="94">
        <f t="shared" si="7"/>
        <v>0.205696851021198</v>
      </c>
      <c r="W6" s="91">
        <v>20044</v>
      </c>
      <c r="X6" s="91">
        <v>87</v>
      </c>
      <c r="Y6" s="91">
        <v>14</v>
      </c>
      <c r="Z6" s="64">
        <v>90.34</v>
      </c>
      <c r="AA6" s="92">
        <v>295.13</v>
      </c>
      <c r="AB6" s="91">
        <v>1.04</v>
      </c>
      <c r="AC6" s="71">
        <f t="shared" si="8"/>
        <v>0.306102395554501</v>
      </c>
      <c r="AD6" s="72">
        <f t="shared" ref="AD6:AF6" si="25">X6/W6</f>
        <v>0.00434045100778288</v>
      </c>
      <c r="AE6" s="159">
        <f t="shared" si="25"/>
        <v>0.160919540229885</v>
      </c>
      <c r="AF6" s="154">
        <f t="shared" si="25"/>
        <v>6.45285714285714</v>
      </c>
      <c r="AG6" s="160">
        <v>15</v>
      </c>
      <c r="AH6" s="162">
        <v>4</v>
      </c>
      <c r="AI6" s="163">
        <f>AG6*产品成本!$D$9+AH6*产品成本!$D$10</f>
        <v>51.8309859154929</v>
      </c>
      <c r="AJ6" s="163">
        <f>AG6*产品成本!$E$9+AH6*产品成本!$E$10</f>
        <v>6.67</v>
      </c>
      <c r="AK6" s="163">
        <f>AG6*产品成本!$F$9+AH6*产品成本!$F$10</f>
        <v>6.46</v>
      </c>
      <c r="AL6" s="163">
        <f>AG6*产品成本!$G$9+AH6*产品成本!$G$10</f>
        <v>93.1</v>
      </c>
      <c r="AM6" s="163">
        <f t="shared" si="10"/>
        <v>65.8785</v>
      </c>
      <c r="AN6" s="164">
        <f t="shared" si="11"/>
        <v>223.939485915493</v>
      </c>
      <c r="AO6" s="194">
        <v>2</v>
      </c>
      <c r="AP6" s="166">
        <v>0</v>
      </c>
      <c r="AQ6" s="167">
        <f t="shared" si="12"/>
        <v>41.4512195121951</v>
      </c>
      <c r="AR6" s="163">
        <f>AO6*产品成本!$D$9+AP6*产品成本!$D$10</f>
        <v>4.50704225352112</v>
      </c>
      <c r="AS6" s="163">
        <f>AO6*产品成本!$E$9+AP6*产品成本!$E$10</f>
        <v>0.58</v>
      </c>
      <c r="AT6" s="163">
        <f>AO6*产品成本!$F$9+AP6*产品成本!$F$10</f>
        <v>0.68</v>
      </c>
      <c r="AU6" s="163"/>
      <c r="AV6" s="163">
        <f t="shared" si="13"/>
        <v>6.21768292682927</v>
      </c>
      <c r="AW6" s="163">
        <f t="shared" si="14"/>
        <v>-1.24353658536585</v>
      </c>
      <c r="AX6" s="164">
        <f t="shared" si="15"/>
        <v>10.7411885949845</v>
      </c>
      <c r="AY6" s="169">
        <f t="shared" si="16"/>
        <v>213.198297320508</v>
      </c>
      <c r="AZ6" s="169">
        <f t="shared" si="17"/>
        <v>439.19</v>
      </c>
      <c r="BA6" s="169">
        <f t="shared" si="18"/>
        <v>397.738780487805</v>
      </c>
      <c r="BB6" s="168">
        <f t="shared" si="19"/>
        <v>94.2004831672965</v>
      </c>
      <c r="BC6" s="170">
        <f t="shared" si="20"/>
        <v>0.236840076423437</v>
      </c>
      <c r="BE6" t="s">
        <v>293</v>
      </c>
    </row>
    <row r="7" ht="29.1" customHeight="1" spans="1:59">
      <c r="A7" s="61" t="s">
        <v>219</v>
      </c>
      <c r="B7" s="61" t="s">
        <v>220</v>
      </c>
      <c r="C7" s="90">
        <v>20</v>
      </c>
      <c r="D7" s="91">
        <v>20</v>
      </c>
      <c r="E7" s="64">
        <v>331.55</v>
      </c>
      <c r="F7" s="148">
        <v>3</v>
      </c>
      <c r="G7" s="148">
        <v>3</v>
      </c>
      <c r="H7" s="64">
        <v>51.72</v>
      </c>
      <c r="I7" s="64">
        <v>5.16</v>
      </c>
      <c r="J7" s="149">
        <v>0</v>
      </c>
      <c r="K7" s="150">
        <f t="shared" si="0"/>
        <v>0</v>
      </c>
      <c r="L7" s="151">
        <v>0</v>
      </c>
      <c r="M7" s="152">
        <f t="shared" si="21"/>
        <v>0.0526315789473684</v>
      </c>
      <c r="N7" s="150">
        <f t="shared" si="22"/>
        <v>0.0526315789473684</v>
      </c>
      <c r="O7" s="150">
        <f t="shared" si="23"/>
        <v>-0.245087547530681</v>
      </c>
      <c r="P7" s="153">
        <f t="shared" si="1"/>
        <v>1</v>
      </c>
      <c r="Q7" s="154">
        <f t="shared" si="2"/>
        <v>16.5775</v>
      </c>
      <c r="R7" s="187">
        <f t="shared" si="3"/>
        <v>16.5775</v>
      </c>
      <c r="S7" s="155">
        <f t="shared" si="4"/>
        <v>2.85714285714286</v>
      </c>
      <c r="T7" s="193">
        <f t="shared" si="5"/>
        <v>6</v>
      </c>
      <c r="U7" s="157">
        <f t="shared" si="6"/>
        <v>0.3</v>
      </c>
      <c r="V7" s="94">
        <f t="shared" si="7"/>
        <v>0.283158184993413</v>
      </c>
      <c r="W7" s="91">
        <v>14676</v>
      </c>
      <c r="X7" s="91">
        <v>82</v>
      </c>
      <c r="Y7" s="91">
        <v>14</v>
      </c>
      <c r="Z7" s="64">
        <v>92.42</v>
      </c>
      <c r="AA7" s="92">
        <v>228.76</v>
      </c>
      <c r="AB7" s="91">
        <v>1.13</v>
      </c>
      <c r="AC7" s="71">
        <f t="shared" si="8"/>
        <v>0.404004196537856</v>
      </c>
      <c r="AD7" s="72">
        <f t="shared" ref="AD7:AF7" si="26">X7/W7</f>
        <v>0.00558735350231671</v>
      </c>
      <c r="AE7" s="159">
        <f t="shared" si="26"/>
        <v>0.170731707317073</v>
      </c>
      <c r="AF7" s="154">
        <f t="shared" si="26"/>
        <v>6.60142857142857</v>
      </c>
      <c r="AG7" s="160">
        <v>19</v>
      </c>
      <c r="AH7" s="162">
        <v>1</v>
      </c>
      <c r="AI7" s="163">
        <f>AG7*产品成本!$D$9+AH7*产品成本!$D$10</f>
        <v>47.3239436619718</v>
      </c>
      <c r="AJ7" s="163">
        <f>AG7*产品成本!$E$9+AH7*产品成本!$E$10</f>
        <v>6.09</v>
      </c>
      <c r="AK7" s="163">
        <f>AG7*产品成本!$F$9+AH7*产品成本!$F$10</f>
        <v>6.8</v>
      </c>
      <c r="AL7" s="163">
        <f>AG7*产品成本!$G$9+AH7*产品成本!$G$10</f>
        <v>98</v>
      </c>
      <c r="AM7" s="163">
        <f t="shared" si="10"/>
        <v>48.9585</v>
      </c>
      <c r="AN7" s="164">
        <f t="shared" si="11"/>
        <v>207.172443661972</v>
      </c>
      <c r="AO7" s="194">
        <v>0</v>
      </c>
      <c r="AP7" s="166">
        <v>0</v>
      </c>
      <c r="AQ7" s="167">
        <f t="shared" si="12"/>
        <v>0</v>
      </c>
      <c r="AR7" s="163">
        <f>AO7*产品成本!$D$9+AP7*产品成本!$D$10</f>
        <v>0</v>
      </c>
      <c r="AS7" s="163">
        <f>AO7*产品成本!$E$9+AP7*产品成本!$E$10</f>
        <v>0</v>
      </c>
      <c r="AT7" s="163">
        <f>AO7*产品成本!$F$9+AP7*产品成本!$F$10</f>
        <v>0</v>
      </c>
      <c r="AU7" s="163"/>
      <c r="AV7" s="163">
        <f t="shared" si="13"/>
        <v>0</v>
      </c>
      <c r="AW7" s="163">
        <f t="shared" si="14"/>
        <v>0</v>
      </c>
      <c r="AX7" s="164">
        <f t="shared" si="15"/>
        <v>0</v>
      </c>
      <c r="AY7" s="169">
        <f t="shared" si="16"/>
        <v>207.172443661972</v>
      </c>
      <c r="AZ7" s="169">
        <f t="shared" si="17"/>
        <v>326.39</v>
      </c>
      <c r="BA7" s="169">
        <f t="shared" si="18"/>
        <v>326.39</v>
      </c>
      <c r="BB7" s="168">
        <f t="shared" si="19"/>
        <v>26.7975563380282</v>
      </c>
      <c r="BC7" s="170">
        <f t="shared" si="20"/>
        <v>0.0821028718343951</v>
      </c>
    </row>
    <row r="8" ht="29.1" customHeight="1" spans="1:59">
      <c r="A8" s="61" t="s">
        <v>221</v>
      </c>
      <c r="B8" s="61" t="s">
        <v>222</v>
      </c>
      <c r="C8" s="90">
        <v>26</v>
      </c>
      <c r="D8" s="91">
        <v>26</v>
      </c>
      <c r="E8" s="64">
        <v>501.24</v>
      </c>
      <c r="F8" s="148">
        <v>2</v>
      </c>
      <c r="G8" s="148">
        <v>2</v>
      </c>
      <c r="H8" s="64">
        <v>55.98</v>
      </c>
      <c r="I8" s="64">
        <v>7</v>
      </c>
      <c r="J8" s="149">
        <v>2</v>
      </c>
      <c r="K8" s="150">
        <f t="shared" si="0"/>
        <v>0.0769230769230769</v>
      </c>
      <c r="L8" s="151">
        <v>27.7</v>
      </c>
      <c r="M8" s="152">
        <f t="shared" si="21"/>
        <v>0.3</v>
      </c>
      <c r="N8" s="150">
        <f t="shared" si="22"/>
        <v>0.3</v>
      </c>
      <c r="O8" s="150">
        <f t="shared" si="23"/>
        <v>0.511808173729453</v>
      </c>
      <c r="P8" s="153">
        <f t="shared" si="1"/>
        <v>1</v>
      </c>
      <c r="Q8" s="154">
        <f t="shared" si="2"/>
        <v>19.2784615384615</v>
      </c>
      <c r="R8" s="187">
        <f t="shared" si="3"/>
        <v>19.2784615384615</v>
      </c>
      <c r="S8" s="155">
        <f t="shared" si="4"/>
        <v>3.71428571428571</v>
      </c>
      <c r="T8" s="193">
        <f t="shared" si="5"/>
        <v>10</v>
      </c>
      <c r="U8" s="157">
        <f t="shared" si="6"/>
        <v>0.384615384615385</v>
      </c>
      <c r="V8" s="94">
        <f t="shared" si="7"/>
        <v>0.248239721592748</v>
      </c>
      <c r="W8" s="91">
        <v>2533</v>
      </c>
      <c r="X8" s="91">
        <v>107</v>
      </c>
      <c r="Y8" s="91">
        <v>16</v>
      </c>
      <c r="Z8" s="64">
        <v>122.69</v>
      </c>
      <c r="AA8" s="92">
        <v>284.15</v>
      </c>
      <c r="AB8" s="91">
        <v>1.15</v>
      </c>
      <c r="AC8" s="71">
        <f t="shared" si="8"/>
        <v>0.431778989970086</v>
      </c>
      <c r="AD8" s="72">
        <f t="shared" ref="AD8:AF8" si="27">X8/W8</f>
        <v>0.042242400315831</v>
      </c>
      <c r="AE8" s="159">
        <f t="shared" si="27"/>
        <v>0.149532710280374</v>
      </c>
      <c r="AF8" s="154">
        <f t="shared" si="27"/>
        <v>7.668125</v>
      </c>
      <c r="AG8" s="160">
        <v>18</v>
      </c>
      <c r="AH8" s="162">
        <v>8</v>
      </c>
      <c r="AI8" s="163">
        <f>AG8*产品成本!$D$9+AH8*产品成本!$D$10</f>
        <v>76.6197183098591</v>
      </c>
      <c r="AJ8" s="163">
        <f>AG8*产品成本!$E$9+AH8*产品成本!$E$10</f>
        <v>9.86</v>
      </c>
      <c r="AK8" s="163">
        <f>AG8*产品成本!$F$9+AH8*产品成本!$F$10</f>
        <v>8.84</v>
      </c>
      <c r="AL8" s="163">
        <f>AG8*产品成本!$G$9+AH8*产品成本!$G$10</f>
        <v>127.4</v>
      </c>
      <c r="AM8" s="163">
        <f t="shared" si="10"/>
        <v>74.136</v>
      </c>
      <c r="AN8" s="164">
        <f t="shared" si="11"/>
        <v>296.855718309859</v>
      </c>
      <c r="AO8" s="194">
        <v>2</v>
      </c>
      <c r="AP8" s="166">
        <v>0</v>
      </c>
      <c r="AQ8" s="167">
        <f t="shared" si="12"/>
        <v>33.780487804878</v>
      </c>
      <c r="AR8" s="163">
        <f>AO8*产品成本!$D$9+AP8*产品成本!$D$10</f>
        <v>4.50704225352112</v>
      </c>
      <c r="AS8" s="163">
        <f>AO8*产品成本!$E$9+AP8*产品成本!$E$10</f>
        <v>0.58</v>
      </c>
      <c r="AT8" s="163">
        <f>AO8*产品成本!$F$9+AP8*产品成本!$F$10</f>
        <v>0.68</v>
      </c>
      <c r="AU8" s="163"/>
      <c r="AV8" s="163">
        <f t="shared" si="13"/>
        <v>5.06707317073171</v>
      </c>
      <c r="AW8" s="163">
        <f t="shared" si="14"/>
        <v>-1.01341463414634</v>
      </c>
      <c r="AX8" s="164">
        <f t="shared" si="15"/>
        <v>9.82070079010649</v>
      </c>
      <c r="AY8" s="169">
        <f t="shared" si="16"/>
        <v>287.035017519753</v>
      </c>
      <c r="AZ8" s="169">
        <f t="shared" si="17"/>
        <v>494.24</v>
      </c>
      <c r="BA8" s="169">
        <f t="shared" si="18"/>
        <v>460.459512195122</v>
      </c>
      <c r="BB8" s="168">
        <f t="shared" si="19"/>
        <v>50.7344946753694</v>
      </c>
      <c r="BC8" s="170">
        <f t="shared" si="20"/>
        <v>0.110182314257134</v>
      </c>
    </row>
    <row r="9" ht="29.1" customHeight="1" spans="1:59">
      <c r="A9" s="61" t="s">
        <v>223</v>
      </c>
      <c r="B9" s="61" t="s">
        <v>224</v>
      </c>
      <c r="C9" s="90">
        <v>12</v>
      </c>
      <c r="D9" s="91">
        <v>12</v>
      </c>
      <c r="E9" s="64">
        <v>278.37</v>
      </c>
      <c r="F9" s="148">
        <v>3</v>
      </c>
      <c r="G9" s="148">
        <v>3</v>
      </c>
      <c r="H9" s="64">
        <v>59.77</v>
      </c>
      <c r="I9" s="64">
        <v>6.18</v>
      </c>
      <c r="J9" s="149">
        <v>0</v>
      </c>
      <c r="K9" s="150">
        <f t="shared" si="0"/>
        <v>0</v>
      </c>
      <c r="L9" s="151">
        <v>0</v>
      </c>
      <c r="M9" s="152">
        <f t="shared" si="21"/>
        <v>-0.538461538461538</v>
      </c>
      <c r="N9" s="150">
        <f t="shared" si="22"/>
        <v>-0.538461538461538</v>
      </c>
      <c r="O9" s="150">
        <f t="shared" si="23"/>
        <v>-0.444637299497247</v>
      </c>
      <c r="P9" s="153">
        <f t="shared" si="1"/>
        <v>1</v>
      </c>
      <c r="Q9" s="154">
        <f t="shared" si="2"/>
        <v>23.1975</v>
      </c>
      <c r="R9" s="187">
        <f t="shared" si="3"/>
        <v>23.1975</v>
      </c>
      <c r="S9" s="155">
        <f t="shared" si="4"/>
        <v>1.71428571428571</v>
      </c>
      <c r="T9" s="193">
        <f t="shared" si="5"/>
        <v>2</v>
      </c>
      <c r="U9" s="157">
        <f t="shared" si="6"/>
        <v>0.166666666666667</v>
      </c>
      <c r="V9" s="94">
        <f t="shared" si="7"/>
        <v>0.264557845622543</v>
      </c>
      <c r="W9" s="91">
        <v>12725</v>
      </c>
      <c r="X9" s="91">
        <v>68</v>
      </c>
      <c r="Y9" s="91">
        <v>10</v>
      </c>
      <c r="Z9" s="64">
        <v>72.01</v>
      </c>
      <c r="AA9" s="92">
        <v>212.34</v>
      </c>
      <c r="AB9" s="91">
        <v>1.06</v>
      </c>
      <c r="AC9" s="71">
        <f t="shared" si="8"/>
        <v>0.339125930112084</v>
      </c>
      <c r="AD9" s="72">
        <f t="shared" ref="AD9:AF9" si="28">X9/W9</f>
        <v>0.00534381139489195</v>
      </c>
      <c r="AE9" s="159">
        <f t="shared" si="28"/>
        <v>0.147058823529412</v>
      </c>
      <c r="AF9" s="154">
        <f t="shared" si="28"/>
        <v>7.201</v>
      </c>
      <c r="AG9" s="160">
        <v>9</v>
      </c>
      <c r="AH9" s="162">
        <v>3</v>
      </c>
      <c r="AI9" s="163">
        <f>AG9*产品成本!$D$9+AH9*产品成本!$D$10</f>
        <v>33.8028169014084</v>
      </c>
      <c r="AJ9" s="163">
        <f>AG9*产品成本!$E$9+AH9*产品成本!$E$10</f>
        <v>4.35</v>
      </c>
      <c r="AK9" s="163">
        <f>AG9*产品成本!$F$9+AH9*产品成本!$F$10</f>
        <v>4.08</v>
      </c>
      <c r="AL9" s="163">
        <f>AG9*产品成本!$G$9+AH9*产品成本!$G$10</f>
        <v>58.8</v>
      </c>
      <c r="AM9" s="163">
        <f t="shared" si="10"/>
        <v>40.8285</v>
      </c>
      <c r="AN9" s="164">
        <f t="shared" si="11"/>
        <v>141.861316901408</v>
      </c>
      <c r="AO9" s="194">
        <v>0</v>
      </c>
      <c r="AP9" s="166">
        <v>0</v>
      </c>
      <c r="AQ9" s="167">
        <f t="shared" si="12"/>
        <v>0</v>
      </c>
      <c r="AR9" s="163">
        <f>AO9*产品成本!$D$9+AP9*产品成本!$D$10</f>
        <v>0</v>
      </c>
      <c r="AS9" s="163">
        <f>AO9*产品成本!$E$9+AP9*产品成本!$E$10</f>
        <v>0</v>
      </c>
      <c r="AT9" s="163">
        <f>AO9*产品成本!$F$9+AP9*产品成本!$F$10</f>
        <v>0</v>
      </c>
      <c r="AU9" s="163"/>
      <c r="AV9" s="163">
        <f t="shared" si="13"/>
        <v>0</v>
      </c>
      <c r="AW9" s="163">
        <f t="shared" si="14"/>
        <v>0</v>
      </c>
      <c r="AX9" s="164">
        <f t="shared" si="15"/>
        <v>0</v>
      </c>
      <c r="AY9" s="169">
        <f t="shared" si="16"/>
        <v>141.861316901408</v>
      </c>
      <c r="AZ9" s="169">
        <f t="shared" si="17"/>
        <v>272.19</v>
      </c>
      <c r="BA9" s="169">
        <f t="shared" si="18"/>
        <v>272.19</v>
      </c>
      <c r="BB9" s="168">
        <f t="shared" si="19"/>
        <v>58.3186830985916</v>
      </c>
      <c r="BC9" s="170">
        <f t="shared" si="20"/>
        <v>0.214257258160078</v>
      </c>
      <c r="BE9" t="s">
        <v>225</v>
      </c>
    </row>
    <row r="10" ht="29.1" customHeight="1" spans="1:59">
      <c r="A10" s="79" t="s">
        <v>226</v>
      </c>
      <c r="B10" s="80" t="s">
        <v>227</v>
      </c>
      <c r="C10" s="90">
        <v>15</v>
      </c>
      <c r="D10" s="91">
        <v>15</v>
      </c>
      <c r="E10" s="64">
        <v>275.78</v>
      </c>
      <c r="F10" s="148">
        <v>8</v>
      </c>
      <c r="G10" s="148">
        <v>8</v>
      </c>
      <c r="H10" s="64">
        <v>147.112</v>
      </c>
      <c r="I10" s="64">
        <v>14.72</v>
      </c>
      <c r="J10" s="149">
        <v>0</v>
      </c>
      <c r="K10" s="150">
        <f t="shared" si="0"/>
        <v>0</v>
      </c>
      <c r="L10" s="151">
        <v>0</v>
      </c>
      <c r="M10" s="152">
        <f t="shared" si="21"/>
        <v>0.25</v>
      </c>
      <c r="N10" s="150">
        <f t="shared" si="22"/>
        <v>0.25</v>
      </c>
      <c r="O10" s="150">
        <f t="shared" si="23"/>
        <v>-0.00930416352336829</v>
      </c>
      <c r="P10" s="153">
        <f t="shared" si="1"/>
        <v>1</v>
      </c>
      <c r="Q10" s="154">
        <f t="shared" si="2"/>
        <v>18.3853333333333</v>
      </c>
      <c r="R10" s="187">
        <f t="shared" si="3"/>
        <v>18.3853333333333</v>
      </c>
      <c r="S10" s="155">
        <f t="shared" si="4"/>
        <v>2.14285714285714</v>
      </c>
      <c r="T10" s="193">
        <f t="shared" si="5"/>
        <v>1</v>
      </c>
      <c r="U10" s="157">
        <f t="shared" si="6"/>
        <v>0.0666666666666667</v>
      </c>
      <c r="V10" s="94">
        <f t="shared" si="7"/>
        <v>0.326476672029419</v>
      </c>
      <c r="W10" s="91">
        <v>17816</v>
      </c>
      <c r="X10" s="91">
        <v>85</v>
      </c>
      <c r="Y10" s="91">
        <v>14</v>
      </c>
      <c r="Z10" s="64">
        <v>85.23</v>
      </c>
      <c r="AA10" s="92">
        <v>245.19</v>
      </c>
      <c r="AB10" s="64">
        <v>1</v>
      </c>
      <c r="AC10" s="71">
        <f t="shared" si="8"/>
        <v>0.347607977486847</v>
      </c>
      <c r="AD10" s="72">
        <f t="shared" ref="AD10:AF10" si="29">X10/W10</f>
        <v>0.00477099236641221</v>
      </c>
      <c r="AE10" s="159">
        <f t="shared" si="29"/>
        <v>0.164705882352941</v>
      </c>
      <c r="AF10" s="154">
        <f t="shared" si="29"/>
        <v>6.08785714285714</v>
      </c>
      <c r="AG10" s="160">
        <v>15</v>
      </c>
      <c r="AH10" s="162">
        <v>0</v>
      </c>
      <c r="AI10" s="163">
        <f>AG10*产品成本!$D$9+AH10*产品成本!$D$10</f>
        <v>33.8028169014084</v>
      </c>
      <c r="AJ10" s="163">
        <f>AG10*产品成本!$E$9+AH10*产品成本!$E$10</f>
        <v>4.35</v>
      </c>
      <c r="AK10" s="163">
        <f>AG10*产品成本!$F$9+AH10*产品成本!$F$10</f>
        <v>5.1</v>
      </c>
      <c r="AL10" s="163">
        <f>AG10*产品成本!$G$9+AH10*产品成本!$G$10</f>
        <v>73.5</v>
      </c>
      <c r="AM10" s="163">
        <f t="shared" si="10"/>
        <v>39.159</v>
      </c>
      <c r="AN10" s="164">
        <f t="shared" si="11"/>
        <v>155.911816901408</v>
      </c>
      <c r="AO10" s="194">
        <v>0</v>
      </c>
      <c r="AP10" s="166">
        <v>0</v>
      </c>
      <c r="AQ10" s="167">
        <f t="shared" si="12"/>
        <v>0</v>
      </c>
      <c r="AR10" s="163">
        <f>AO10*产品成本!$D$9+AP10*产品成本!$D$10</f>
        <v>0</v>
      </c>
      <c r="AS10" s="163">
        <f>AO10*产品成本!$E$9+AP10*产品成本!$E$10</f>
        <v>0</v>
      </c>
      <c r="AT10" s="163">
        <f>AO10*产品成本!$F$9+AP10*产品成本!$F$10</f>
        <v>0</v>
      </c>
      <c r="AU10" s="163"/>
      <c r="AV10" s="163">
        <f t="shared" si="13"/>
        <v>0</v>
      </c>
      <c r="AW10" s="163">
        <f t="shared" si="14"/>
        <v>0</v>
      </c>
      <c r="AX10" s="164">
        <f t="shared" si="15"/>
        <v>0</v>
      </c>
      <c r="AY10" s="169">
        <f t="shared" si="16"/>
        <v>155.911816901408</v>
      </c>
      <c r="AZ10" s="169">
        <f t="shared" si="17"/>
        <v>261.06</v>
      </c>
      <c r="BA10" s="169">
        <f t="shared" si="18"/>
        <v>261.06</v>
      </c>
      <c r="BB10" s="168">
        <f t="shared" si="19"/>
        <v>19.9181830985915</v>
      </c>
      <c r="BC10" s="170">
        <f t="shared" si="20"/>
        <v>0.0762973381544149</v>
      </c>
    </row>
    <row r="11" ht="29.1" customHeight="1" spans="1:59">
      <c r="A11" s="61" t="s">
        <v>228</v>
      </c>
      <c r="B11" s="81" t="s">
        <v>229</v>
      </c>
      <c r="C11" s="90">
        <v>16</v>
      </c>
      <c r="D11" s="91">
        <v>16</v>
      </c>
      <c r="E11" s="64">
        <v>333.46</v>
      </c>
      <c r="F11" s="148">
        <v>12</v>
      </c>
      <c r="G11" s="148">
        <v>12</v>
      </c>
      <c r="H11" s="64">
        <v>246.78</v>
      </c>
      <c r="I11" s="64">
        <v>23.74</v>
      </c>
      <c r="J11" s="149">
        <v>0</v>
      </c>
      <c r="K11" s="150">
        <f t="shared" si="0"/>
        <v>0</v>
      </c>
      <c r="L11" s="151">
        <v>0</v>
      </c>
      <c r="M11" s="152">
        <f t="shared" si="21"/>
        <v>0.0666666666666667</v>
      </c>
      <c r="N11" s="150">
        <f t="shared" si="22"/>
        <v>0.0666666666666667</v>
      </c>
      <c r="O11" s="150">
        <f t="shared" si="23"/>
        <v>0.209152222786279</v>
      </c>
      <c r="P11" s="153">
        <f t="shared" si="1"/>
        <v>1</v>
      </c>
      <c r="Q11" s="154">
        <f t="shared" si="2"/>
        <v>20.84125</v>
      </c>
      <c r="R11" s="187">
        <f t="shared" si="3"/>
        <v>20.84125</v>
      </c>
      <c r="S11" s="155">
        <f t="shared" si="4"/>
        <v>2.28571428571429</v>
      </c>
      <c r="T11" s="193">
        <f t="shared" si="5"/>
        <v>2</v>
      </c>
      <c r="U11" s="157">
        <f t="shared" si="6"/>
        <v>0.125</v>
      </c>
      <c r="V11" s="94">
        <f t="shared" si="7"/>
        <v>0.258200955701924</v>
      </c>
      <c r="W11" s="91">
        <v>13816</v>
      </c>
      <c r="X11" s="91">
        <v>84</v>
      </c>
      <c r="Y11" s="91">
        <v>14</v>
      </c>
      <c r="Z11" s="64">
        <v>79.97</v>
      </c>
      <c r="AA11" s="92">
        <v>288.4</v>
      </c>
      <c r="AB11" s="64">
        <v>0.95</v>
      </c>
      <c r="AC11" s="71">
        <f t="shared" si="8"/>
        <v>0.277288488210818</v>
      </c>
      <c r="AD11" s="72">
        <f t="shared" ref="AD11:AF11" si="30">X11/W11</f>
        <v>0.0060799073537927</v>
      </c>
      <c r="AE11" s="159">
        <f t="shared" si="30"/>
        <v>0.166666666666667</v>
      </c>
      <c r="AF11" s="154">
        <f t="shared" si="30"/>
        <v>5.71214285714286</v>
      </c>
      <c r="AG11" s="160">
        <v>13</v>
      </c>
      <c r="AH11" s="162">
        <v>3</v>
      </c>
      <c r="AI11" s="163">
        <f>AG11*产品成本!$D$9+AH11*产品成本!$D$10</f>
        <v>42.8169014084507</v>
      </c>
      <c r="AJ11" s="163">
        <f>AG11*产品成本!$E$9+AH11*产品成本!$E$10</f>
        <v>5.51</v>
      </c>
      <c r="AK11" s="163">
        <f>AG11*产品成本!$F$9+AH11*产品成本!$F$10</f>
        <v>5.44</v>
      </c>
      <c r="AL11" s="163">
        <f>AG11*产品成本!$G$9+AH11*产品成本!$G$10</f>
        <v>78.4</v>
      </c>
      <c r="AM11" s="163">
        <f t="shared" si="10"/>
        <v>46.458</v>
      </c>
      <c r="AN11" s="164">
        <f t="shared" si="11"/>
        <v>178.624901408451</v>
      </c>
      <c r="AO11" s="194">
        <v>0</v>
      </c>
      <c r="AP11" s="166">
        <v>0</v>
      </c>
      <c r="AQ11" s="167">
        <f t="shared" si="12"/>
        <v>0</v>
      </c>
      <c r="AR11" s="163">
        <f>AO11*产品成本!$D$9+AP11*产品成本!$D$10</f>
        <v>0</v>
      </c>
      <c r="AS11" s="163">
        <f>AO11*产品成本!$E$9+AP11*产品成本!$E$10</f>
        <v>0</v>
      </c>
      <c r="AT11" s="163">
        <f>AO11*产品成本!$F$9+AP11*产品成本!$F$10</f>
        <v>0</v>
      </c>
      <c r="AU11" s="163"/>
      <c r="AV11" s="163">
        <f t="shared" si="13"/>
        <v>0</v>
      </c>
      <c r="AW11" s="163">
        <f t="shared" si="14"/>
        <v>0</v>
      </c>
      <c r="AX11" s="164">
        <f t="shared" si="15"/>
        <v>0</v>
      </c>
      <c r="AY11" s="169">
        <f t="shared" si="16"/>
        <v>178.624901408451</v>
      </c>
      <c r="AZ11" s="169">
        <f t="shared" si="17"/>
        <v>309.72</v>
      </c>
      <c r="BA11" s="169">
        <f t="shared" si="18"/>
        <v>309.72</v>
      </c>
      <c r="BB11" s="168">
        <f t="shared" si="19"/>
        <v>51.1250985915493</v>
      </c>
      <c r="BC11" s="170">
        <f t="shared" si="20"/>
        <v>0.165068767246382</v>
      </c>
    </row>
    <row r="12" ht="29.1" customHeight="1" spans="1:59">
      <c r="A12" s="61" t="s">
        <v>230</v>
      </c>
      <c r="B12" s="81" t="s">
        <v>231</v>
      </c>
      <c r="C12" s="90">
        <v>12</v>
      </c>
      <c r="D12" s="91">
        <v>12</v>
      </c>
      <c r="E12" s="64">
        <v>233.73</v>
      </c>
      <c r="F12" s="148">
        <v>7</v>
      </c>
      <c r="G12" s="148">
        <v>7</v>
      </c>
      <c r="H12" s="64">
        <v>128.66</v>
      </c>
      <c r="I12" s="64">
        <v>10.94</v>
      </c>
      <c r="J12" s="149">
        <v>2</v>
      </c>
      <c r="K12" s="150">
        <f t="shared" si="0"/>
        <v>0.166666666666667</v>
      </c>
      <c r="L12" s="151">
        <v>26.61</v>
      </c>
      <c r="M12" s="152">
        <f t="shared" si="21"/>
        <v>-0.25</v>
      </c>
      <c r="N12" s="150">
        <f t="shared" si="22"/>
        <v>-0.25</v>
      </c>
      <c r="O12" s="150">
        <f t="shared" si="23"/>
        <v>-0.299076350986625</v>
      </c>
      <c r="P12" s="153">
        <f t="shared" si="1"/>
        <v>1</v>
      </c>
      <c r="Q12" s="154">
        <f t="shared" si="2"/>
        <v>19.4775</v>
      </c>
      <c r="R12" s="187">
        <f t="shared" si="3"/>
        <v>19.4775</v>
      </c>
      <c r="S12" s="155">
        <f t="shared" si="4"/>
        <v>1.71428571428571</v>
      </c>
      <c r="T12" s="193">
        <f t="shared" si="5"/>
        <v>0</v>
      </c>
      <c r="U12" s="157">
        <f t="shared" si="6"/>
        <v>0</v>
      </c>
      <c r="V12" s="94">
        <f t="shared" si="7"/>
        <v>0.393868665559496</v>
      </c>
      <c r="W12" s="91">
        <v>17964</v>
      </c>
      <c r="X12" s="91">
        <v>87</v>
      </c>
      <c r="Y12" s="91">
        <v>12</v>
      </c>
      <c r="Z12" s="64">
        <v>87.75</v>
      </c>
      <c r="AA12" s="92">
        <v>226.09</v>
      </c>
      <c r="AB12" s="64">
        <v>1.01</v>
      </c>
      <c r="AC12" s="71">
        <f t="shared" si="8"/>
        <v>0.388119775310717</v>
      </c>
      <c r="AD12" s="72">
        <f t="shared" ref="AD12:AF12" si="31">X12/W12</f>
        <v>0.00484301937207749</v>
      </c>
      <c r="AE12" s="159">
        <f t="shared" si="31"/>
        <v>0.137931034482759</v>
      </c>
      <c r="AF12" s="154">
        <f t="shared" si="31"/>
        <v>7.3125</v>
      </c>
      <c r="AG12" s="160">
        <v>11</v>
      </c>
      <c r="AH12" s="162">
        <v>1</v>
      </c>
      <c r="AI12" s="163">
        <f>AG12*产品成本!$D$9+AH12*产品成本!$D$10</f>
        <v>29.2957746478873</v>
      </c>
      <c r="AJ12" s="163">
        <f>AG12*产品成本!$E$9+AH12*产品成本!$E$10</f>
        <v>3.77</v>
      </c>
      <c r="AK12" s="163">
        <f>AG12*产品成本!$F$9+AH12*产品成本!$F$10</f>
        <v>4.08</v>
      </c>
      <c r="AL12" s="163">
        <f>AG12*产品成本!$G$9+AH12*产品成本!$G$10</f>
        <v>58.8</v>
      </c>
      <c r="AM12" s="163">
        <f t="shared" si="10"/>
        <v>33.4185</v>
      </c>
      <c r="AN12" s="164">
        <f t="shared" si="11"/>
        <v>129.364274647887</v>
      </c>
      <c r="AO12" s="194">
        <v>2</v>
      </c>
      <c r="AP12" s="166">
        <v>0</v>
      </c>
      <c r="AQ12" s="167">
        <f t="shared" si="12"/>
        <v>32.4512195121951</v>
      </c>
      <c r="AR12" s="163">
        <f>AO12*产品成本!$D$9+AP12*产品成本!$D$10</f>
        <v>4.50704225352112</v>
      </c>
      <c r="AS12" s="163">
        <f>AO12*产品成本!$E$9+AP12*产品成本!$E$10</f>
        <v>0.58</v>
      </c>
      <c r="AT12" s="163">
        <f>AO12*产品成本!$F$9+AP12*产品成本!$F$10</f>
        <v>0.68</v>
      </c>
      <c r="AU12" s="163"/>
      <c r="AV12" s="163">
        <f t="shared" si="13"/>
        <v>4.86768292682927</v>
      </c>
      <c r="AW12" s="163">
        <f t="shared" si="14"/>
        <v>-0.973536585365854</v>
      </c>
      <c r="AX12" s="164">
        <f t="shared" si="15"/>
        <v>9.66118859498453</v>
      </c>
      <c r="AY12" s="169">
        <f t="shared" si="16"/>
        <v>119.703086052903</v>
      </c>
      <c r="AZ12" s="169">
        <f t="shared" si="17"/>
        <v>222.79</v>
      </c>
      <c r="BA12" s="169">
        <f t="shared" si="18"/>
        <v>190.338780487805</v>
      </c>
      <c r="BB12" s="168">
        <f t="shared" si="19"/>
        <v>-17.1143055650979</v>
      </c>
      <c r="BC12" s="170">
        <f t="shared" si="20"/>
        <v>-0.0899149690947738</v>
      </c>
    </row>
    <row r="13" ht="29.1" customHeight="1" spans="1:59">
      <c r="A13" s="61" t="s">
        <v>232</v>
      </c>
      <c r="B13" s="81" t="s">
        <v>233</v>
      </c>
      <c r="C13" s="90">
        <v>19</v>
      </c>
      <c r="D13" s="91">
        <v>18</v>
      </c>
      <c r="E13" s="64">
        <v>388.56</v>
      </c>
      <c r="F13" s="148">
        <v>6</v>
      </c>
      <c r="G13" s="148">
        <v>6</v>
      </c>
      <c r="H13" s="64">
        <v>123.32</v>
      </c>
      <c r="I13" s="64">
        <v>12.33</v>
      </c>
      <c r="J13" s="149">
        <v>1</v>
      </c>
      <c r="K13" s="150">
        <f t="shared" si="0"/>
        <v>0.0526315789473684</v>
      </c>
      <c r="L13" s="151">
        <v>15.4</v>
      </c>
      <c r="M13" s="152">
        <f t="shared" si="21"/>
        <v>0.583333333333333</v>
      </c>
      <c r="N13" s="150">
        <f t="shared" si="22"/>
        <v>0.5</v>
      </c>
      <c r="O13" s="150">
        <f t="shared" si="23"/>
        <v>0.662431010139905</v>
      </c>
      <c r="P13" s="153">
        <f t="shared" si="1"/>
        <v>1.05555555555556</v>
      </c>
      <c r="Q13" s="154">
        <f t="shared" si="2"/>
        <v>21.5866666666667</v>
      </c>
      <c r="R13" s="187">
        <f t="shared" si="3"/>
        <v>20.4505263157895</v>
      </c>
      <c r="S13" s="155">
        <f t="shared" si="4"/>
        <v>2.71428571428571</v>
      </c>
      <c r="T13" s="193">
        <f t="shared" si="5"/>
        <v>9</v>
      </c>
      <c r="U13" s="157">
        <f t="shared" si="6"/>
        <v>0.5</v>
      </c>
      <c r="V13" s="94">
        <f t="shared" si="7"/>
        <v>0.257528639396114</v>
      </c>
      <c r="W13" s="91">
        <v>23192</v>
      </c>
      <c r="X13" s="91">
        <v>98</v>
      </c>
      <c r="Y13" s="91">
        <v>9</v>
      </c>
      <c r="Z13" s="64">
        <v>96.89</v>
      </c>
      <c r="AA13" s="92">
        <v>188.15</v>
      </c>
      <c r="AB13" s="64">
        <v>0.99</v>
      </c>
      <c r="AC13" s="71">
        <f t="shared" si="8"/>
        <v>0.514961466914696</v>
      </c>
      <c r="AD13" s="72">
        <f t="shared" ref="AD13:AF13" si="32">X13/W13</f>
        <v>0.00422559503276992</v>
      </c>
      <c r="AE13" s="159">
        <f t="shared" si="32"/>
        <v>0.0918367346938776</v>
      </c>
      <c r="AF13" s="154">
        <f t="shared" si="32"/>
        <v>10.7655555555556</v>
      </c>
      <c r="AG13" s="160">
        <v>16</v>
      </c>
      <c r="AH13" s="162">
        <v>3</v>
      </c>
      <c r="AI13" s="163">
        <f>AG13*产品成本!$D$9+AH13*产品成本!$D$10</f>
        <v>49.5774647887323</v>
      </c>
      <c r="AJ13" s="163">
        <f>AG13*产品成本!$E$9+AH13*产品成本!$E$10</f>
        <v>6.38</v>
      </c>
      <c r="AK13" s="163">
        <f>AG13*产品成本!$F$9+AH13*产品成本!$F$10</f>
        <v>6.46</v>
      </c>
      <c r="AL13" s="163">
        <f>AG13*产品成本!$G$9+AH13*产品成本!$G$10</f>
        <v>93.1</v>
      </c>
      <c r="AM13" s="163">
        <f t="shared" si="10"/>
        <v>56.4345</v>
      </c>
      <c r="AN13" s="164">
        <f t="shared" si="11"/>
        <v>211.951964788732</v>
      </c>
      <c r="AO13" s="194">
        <v>1</v>
      </c>
      <c r="AP13" s="166">
        <v>0</v>
      </c>
      <c r="AQ13" s="167">
        <f t="shared" si="12"/>
        <v>18.780487804878</v>
      </c>
      <c r="AR13" s="163">
        <f>AO13*产品成本!$D$9+AP13*产品成本!$D$10</f>
        <v>2.25352112676056</v>
      </c>
      <c r="AS13" s="163">
        <f>AO13*产品成本!$E$9+AP13*产品成本!$E$10</f>
        <v>0.29</v>
      </c>
      <c r="AT13" s="163">
        <f>AO13*产品成本!$F$9+AP13*产品成本!$F$10</f>
        <v>0.34</v>
      </c>
      <c r="AU13" s="163"/>
      <c r="AV13" s="163">
        <f t="shared" si="13"/>
        <v>2.81707317073171</v>
      </c>
      <c r="AW13" s="163">
        <f t="shared" si="14"/>
        <v>-0.563414634146341</v>
      </c>
      <c r="AX13" s="164">
        <f t="shared" si="15"/>
        <v>5.13717966334593</v>
      </c>
      <c r="AY13" s="169">
        <f t="shared" si="16"/>
        <v>206.814785125386</v>
      </c>
      <c r="AZ13" s="169">
        <f t="shared" si="17"/>
        <v>376.23</v>
      </c>
      <c r="BA13" s="169">
        <f t="shared" si="18"/>
        <v>357.449512195122</v>
      </c>
      <c r="BB13" s="168">
        <f t="shared" si="19"/>
        <v>53.7447270697355</v>
      </c>
      <c r="BC13" s="170">
        <f t="shared" si="20"/>
        <v>0.150356134883736</v>
      </c>
    </row>
    <row r="14" ht="29.1" customHeight="1" spans="1:59">
      <c r="A14" s="61" t="s">
        <v>236</v>
      </c>
      <c r="B14" s="81" t="s">
        <v>237</v>
      </c>
      <c r="C14" s="90">
        <v>20</v>
      </c>
      <c r="D14" s="91">
        <v>20</v>
      </c>
      <c r="E14" s="64">
        <v>419.88</v>
      </c>
      <c r="F14" s="148">
        <v>3</v>
      </c>
      <c r="G14" s="148">
        <v>3</v>
      </c>
      <c r="H14" s="64">
        <v>89.29</v>
      </c>
      <c r="I14" s="64">
        <v>11.82</v>
      </c>
      <c r="J14" s="149">
        <v>1</v>
      </c>
      <c r="K14" s="150">
        <f t="shared" si="0"/>
        <v>0.05</v>
      </c>
      <c r="L14" s="151">
        <v>14.57</v>
      </c>
      <c r="M14" s="152">
        <f t="shared" si="21"/>
        <v>0.0526315789473684</v>
      </c>
      <c r="N14" s="150">
        <f t="shared" si="22"/>
        <v>0.111111111111111</v>
      </c>
      <c r="O14" s="150">
        <f t="shared" si="23"/>
        <v>0.0806053119209388</v>
      </c>
      <c r="P14" s="153">
        <f t="shared" si="1"/>
        <v>1</v>
      </c>
      <c r="Q14" s="154">
        <f t="shared" si="2"/>
        <v>20.994</v>
      </c>
      <c r="R14" s="187">
        <f t="shared" si="3"/>
        <v>20.994</v>
      </c>
      <c r="S14" s="155">
        <f t="shared" si="4"/>
        <v>2.85714285714286</v>
      </c>
      <c r="T14" s="193">
        <f t="shared" si="5"/>
        <v>6</v>
      </c>
      <c r="U14" s="157">
        <f t="shared" si="6"/>
        <v>0.3</v>
      </c>
      <c r="V14" s="94">
        <f t="shared" si="7"/>
        <v>0.194554722344753</v>
      </c>
      <c r="W14" s="91">
        <v>23242</v>
      </c>
      <c r="X14" s="91">
        <v>83</v>
      </c>
      <c r="Y14" s="91">
        <v>14</v>
      </c>
      <c r="Z14" s="64">
        <v>79.39</v>
      </c>
      <c r="AA14" s="92">
        <v>303.18</v>
      </c>
      <c r="AB14" s="64">
        <v>0.96</v>
      </c>
      <c r="AC14" s="71">
        <f t="shared" si="8"/>
        <v>0.261857642324692</v>
      </c>
      <c r="AD14" s="72">
        <f t="shared" ref="AD14:AF14" si="33">X14/W14</f>
        <v>0.00357112124602014</v>
      </c>
      <c r="AE14" s="159">
        <f t="shared" si="33"/>
        <v>0.168674698795181</v>
      </c>
      <c r="AF14" s="154">
        <f t="shared" si="33"/>
        <v>5.67071428571429</v>
      </c>
      <c r="AG14" s="160">
        <v>18</v>
      </c>
      <c r="AH14" s="162">
        <v>2</v>
      </c>
      <c r="AI14" s="163">
        <f>AG14*产品成本!$D$9+AH14*产品成本!$D$10</f>
        <v>49.5774647887323</v>
      </c>
      <c r="AJ14" s="163">
        <f>AG14*产品成本!$E$9+AH14*产品成本!$E$10</f>
        <v>6.38</v>
      </c>
      <c r="AK14" s="163">
        <f>AG14*产品成本!$F$9+AH14*产品成本!$F$10</f>
        <v>6.8</v>
      </c>
      <c r="AL14" s="163">
        <f>AG14*产品成本!$G$9+AH14*产品成本!$G$10</f>
        <v>98</v>
      </c>
      <c r="AM14" s="163">
        <f t="shared" si="10"/>
        <v>61.209</v>
      </c>
      <c r="AN14" s="164">
        <f t="shared" si="11"/>
        <v>221.966464788732</v>
      </c>
      <c r="AO14" s="194">
        <v>1</v>
      </c>
      <c r="AP14" s="166">
        <v>0</v>
      </c>
      <c r="AQ14" s="167">
        <f t="shared" si="12"/>
        <v>17.7682926829268</v>
      </c>
      <c r="AR14" s="163">
        <f>AO14*产品成本!$D$9+AP14*产品成本!$D$10</f>
        <v>2.25352112676056</v>
      </c>
      <c r="AS14" s="163">
        <f>AO14*产品成本!$E$9+AP14*产品成本!$E$10</f>
        <v>0.29</v>
      </c>
      <c r="AT14" s="163">
        <f>AO14*产品成本!$F$9+AP14*产品成本!$F$10</f>
        <v>0.34</v>
      </c>
      <c r="AU14" s="163"/>
      <c r="AV14" s="163">
        <f t="shared" si="13"/>
        <v>2.66524390243902</v>
      </c>
      <c r="AW14" s="163">
        <f t="shared" si="14"/>
        <v>-0.533048780487805</v>
      </c>
      <c r="AX14" s="164">
        <f t="shared" si="15"/>
        <v>5.01571624871178</v>
      </c>
      <c r="AY14" s="169">
        <f t="shared" si="16"/>
        <v>216.950748540021</v>
      </c>
      <c r="AZ14" s="169">
        <f t="shared" si="17"/>
        <v>408.06</v>
      </c>
      <c r="BA14" s="169">
        <f t="shared" si="18"/>
        <v>390.291707317073</v>
      </c>
      <c r="BB14" s="168">
        <f t="shared" si="19"/>
        <v>93.9509587770526</v>
      </c>
      <c r="BC14" s="170">
        <f t="shared" si="20"/>
        <v>0.240719843685346</v>
      </c>
    </row>
    <row r="15" ht="29.1" customHeight="1" spans="1:59">
      <c r="A15" s="61" t="s">
        <v>240</v>
      </c>
      <c r="B15" s="81" t="s">
        <v>241</v>
      </c>
      <c r="C15" s="90">
        <v>13</v>
      </c>
      <c r="D15" s="91">
        <v>13</v>
      </c>
      <c r="E15" s="64">
        <v>264.1</v>
      </c>
      <c r="F15" s="148">
        <v>7</v>
      </c>
      <c r="G15" s="148">
        <v>7</v>
      </c>
      <c r="H15" s="64">
        <v>134.36</v>
      </c>
      <c r="I15" s="64">
        <v>12.52</v>
      </c>
      <c r="J15" s="149">
        <v>0</v>
      </c>
      <c r="K15" s="150">
        <f t="shared" si="0"/>
        <v>0</v>
      </c>
      <c r="L15" s="151">
        <v>0</v>
      </c>
      <c r="M15" s="152">
        <f t="shared" si="21"/>
        <v>-0.35</v>
      </c>
      <c r="N15" s="150">
        <f t="shared" si="22"/>
        <v>-0.35</v>
      </c>
      <c r="O15" s="150">
        <f t="shared" si="23"/>
        <v>-0.371010764980471</v>
      </c>
      <c r="P15" s="153">
        <f t="shared" si="1"/>
        <v>1</v>
      </c>
      <c r="Q15" s="154">
        <f t="shared" si="2"/>
        <v>20.3153846153846</v>
      </c>
      <c r="R15" s="187">
        <f t="shared" si="3"/>
        <v>20.3153846153846</v>
      </c>
      <c r="S15" s="155">
        <f t="shared" si="4"/>
        <v>1.85714285714286</v>
      </c>
      <c r="T15" s="193">
        <f t="shared" si="5"/>
        <v>8</v>
      </c>
      <c r="U15" s="157">
        <f t="shared" si="6"/>
        <v>0.615384615384615</v>
      </c>
      <c r="V15" s="94">
        <f t="shared" si="7"/>
        <v>0.257174656172987</v>
      </c>
      <c r="W15" s="91">
        <v>11812</v>
      </c>
      <c r="X15" s="91">
        <v>72</v>
      </c>
      <c r="Y15" s="91">
        <v>5</v>
      </c>
      <c r="Z15" s="64">
        <v>64.7</v>
      </c>
      <c r="AA15" s="92">
        <v>87.35</v>
      </c>
      <c r="AB15" s="64">
        <v>0.9</v>
      </c>
      <c r="AC15" s="71">
        <f t="shared" si="8"/>
        <v>0.740698340011448</v>
      </c>
      <c r="AD15" s="72">
        <f t="shared" ref="AD15:AF15" si="34">X15/W15</f>
        <v>0.00609549610565527</v>
      </c>
      <c r="AE15" s="159">
        <f t="shared" si="34"/>
        <v>0.0694444444444444</v>
      </c>
      <c r="AF15" s="154">
        <f t="shared" si="34"/>
        <v>12.94</v>
      </c>
      <c r="AG15" s="160">
        <v>10</v>
      </c>
      <c r="AH15" s="162">
        <v>3</v>
      </c>
      <c r="AI15" s="163">
        <f>AG15*产品成本!$D$9+AH15*产品成本!$D$10</f>
        <v>36.056338028169</v>
      </c>
      <c r="AJ15" s="163">
        <f>AG15*产品成本!$E$9+AH15*产品成本!$E$10</f>
        <v>4.64</v>
      </c>
      <c r="AK15" s="163">
        <f>AG15*产品成本!$F$9+AH15*产品成本!$F$10</f>
        <v>4.42</v>
      </c>
      <c r="AL15" s="163">
        <f>AG15*产品成本!$G$9+AH15*产品成本!$G$10</f>
        <v>63.7</v>
      </c>
      <c r="AM15" s="163">
        <f t="shared" si="10"/>
        <v>37.737</v>
      </c>
      <c r="AN15" s="164">
        <f t="shared" si="11"/>
        <v>146.553338028169</v>
      </c>
      <c r="AO15" s="194">
        <v>0</v>
      </c>
      <c r="AP15" s="166">
        <v>0</v>
      </c>
      <c r="AQ15" s="167">
        <f t="shared" si="12"/>
        <v>0</v>
      </c>
      <c r="AR15" s="163">
        <f>AO15*产品成本!$D$9+AP15*产品成本!$D$10</f>
        <v>0</v>
      </c>
      <c r="AS15" s="163">
        <f>AO15*产品成本!$E$9+AP15*产品成本!$E$10</f>
        <v>0</v>
      </c>
      <c r="AT15" s="163">
        <f>AO15*产品成本!$F$9+AP15*产品成本!$F$10</f>
        <v>0</v>
      </c>
      <c r="AU15" s="163"/>
      <c r="AV15" s="163">
        <f t="shared" si="13"/>
        <v>0</v>
      </c>
      <c r="AW15" s="163">
        <f t="shared" si="14"/>
        <v>0</v>
      </c>
      <c r="AX15" s="164">
        <f t="shared" si="15"/>
        <v>0</v>
      </c>
      <c r="AY15" s="169">
        <f t="shared" si="16"/>
        <v>146.553338028169</v>
      </c>
      <c r="AZ15" s="169">
        <f t="shared" si="17"/>
        <v>251.58</v>
      </c>
      <c r="BA15" s="169">
        <f t="shared" si="18"/>
        <v>251.58</v>
      </c>
      <c r="BB15" s="168">
        <f t="shared" si="19"/>
        <v>40.326661971831</v>
      </c>
      <c r="BC15" s="170">
        <f t="shared" si="20"/>
        <v>0.160293592383461</v>
      </c>
      <c r="BE15" t="s">
        <v>322</v>
      </c>
      <c r="BF15" t="s">
        <v>323</v>
      </c>
    </row>
    <row r="16" ht="29.1" customHeight="1" spans="1:59">
      <c r="A16" s="61" t="s">
        <v>244</v>
      </c>
      <c r="B16" s="81" t="s">
        <v>245</v>
      </c>
      <c r="C16" s="90">
        <v>21</v>
      </c>
      <c r="D16" s="91">
        <v>21</v>
      </c>
      <c r="E16" s="64">
        <v>403.08</v>
      </c>
      <c r="F16" s="148">
        <v>15</v>
      </c>
      <c r="G16" s="148">
        <v>15</v>
      </c>
      <c r="H16" s="64">
        <v>286.19</v>
      </c>
      <c r="I16" s="64">
        <v>26.74</v>
      </c>
      <c r="J16" s="149">
        <v>1</v>
      </c>
      <c r="K16" s="150">
        <f t="shared" si="0"/>
        <v>0.0476190476190476</v>
      </c>
      <c r="L16" s="151">
        <v>26.34</v>
      </c>
      <c r="M16" s="152">
        <f t="shared" si="21"/>
        <v>0.615384615384615</v>
      </c>
      <c r="N16" s="150">
        <f t="shared" si="22"/>
        <v>0.615384615384615</v>
      </c>
      <c r="O16" s="150">
        <f t="shared" si="23"/>
        <v>0.526240060583112</v>
      </c>
      <c r="P16" s="153">
        <f t="shared" si="1"/>
        <v>1</v>
      </c>
      <c r="Q16" s="154">
        <f t="shared" si="2"/>
        <v>19.1942857142857</v>
      </c>
      <c r="R16" s="187">
        <f t="shared" si="3"/>
        <v>19.1942857142857</v>
      </c>
      <c r="S16" s="155">
        <f t="shared" si="4"/>
        <v>3</v>
      </c>
      <c r="T16" s="193">
        <f t="shared" si="5"/>
        <v>1</v>
      </c>
      <c r="U16" s="157">
        <f t="shared" si="6"/>
        <v>0.0476190476190476</v>
      </c>
      <c r="V16" s="94">
        <f t="shared" si="7"/>
        <v>0.24865812828825</v>
      </c>
      <c r="W16" s="91">
        <v>13071</v>
      </c>
      <c r="X16" s="91">
        <v>97</v>
      </c>
      <c r="Y16" s="91">
        <v>20</v>
      </c>
      <c r="Z16" s="64">
        <v>93.58</v>
      </c>
      <c r="AA16" s="92">
        <v>386.45</v>
      </c>
      <c r="AB16" s="64">
        <v>0.96</v>
      </c>
      <c r="AC16" s="71">
        <f t="shared" si="8"/>
        <v>0.242152930521413</v>
      </c>
      <c r="AD16" s="72">
        <f t="shared" ref="AD16:AF16" si="35">X16/W16</f>
        <v>0.00742100833907123</v>
      </c>
      <c r="AE16" s="159">
        <f t="shared" si="35"/>
        <v>0.206185567010309</v>
      </c>
      <c r="AF16" s="154">
        <f t="shared" si="35"/>
        <v>4.679</v>
      </c>
      <c r="AG16" s="160">
        <v>18</v>
      </c>
      <c r="AH16" s="162">
        <v>3</v>
      </c>
      <c r="AI16" s="163">
        <f>AG16*产品成本!$D$9+AH16*产品成本!$D$10</f>
        <v>54.0845070422535</v>
      </c>
      <c r="AJ16" s="163">
        <f>AG16*产品成本!$E$9+AH16*产品成本!$E$10</f>
        <v>6.96</v>
      </c>
      <c r="AK16" s="163">
        <f>AG16*产品成本!$F$9+AH16*产品成本!$F$10</f>
        <v>7.14</v>
      </c>
      <c r="AL16" s="163">
        <f>AG16*产品成本!$G$9+AH16*产品成本!$G$10</f>
        <v>102.9</v>
      </c>
      <c r="AM16" s="163">
        <f t="shared" si="10"/>
        <v>56.451</v>
      </c>
      <c r="AN16" s="164">
        <f t="shared" si="11"/>
        <v>227.535507042253</v>
      </c>
      <c r="AO16" s="194">
        <v>0</v>
      </c>
      <c r="AP16" s="166">
        <v>1</v>
      </c>
      <c r="AQ16" s="167">
        <f t="shared" si="12"/>
        <v>32.1219512195122</v>
      </c>
      <c r="AR16" s="163">
        <f>AO16*产品成本!$D$9+AP16*产品成本!$D$10</f>
        <v>4.50704225352113</v>
      </c>
      <c r="AS16" s="163">
        <f>AO16*产品成本!$E$9+AP16*产品成本!$E$10</f>
        <v>0.58</v>
      </c>
      <c r="AT16" s="163">
        <f>AO16*产品成本!$F$9+AP16*产品成本!$F$10</f>
        <v>0.34</v>
      </c>
      <c r="AU16" s="163"/>
      <c r="AV16" s="163">
        <f t="shared" si="13"/>
        <v>4.81829268292683</v>
      </c>
      <c r="AW16" s="163">
        <f t="shared" si="14"/>
        <v>-0.963658536585366</v>
      </c>
      <c r="AX16" s="164">
        <f t="shared" si="15"/>
        <v>9.28167639986259</v>
      </c>
      <c r="AY16" s="169">
        <f t="shared" si="16"/>
        <v>218.253830642391</v>
      </c>
      <c r="AZ16" s="169">
        <f t="shared" si="17"/>
        <v>376.34</v>
      </c>
      <c r="BA16" s="169">
        <f t="shared" si="18"/>
        <v>344.218048780488</v>
      </c>
      <c r="BB16" s="168">
        <f t="shared" si="19"/>
        <v>32.3842181380969</v>
      </c>
      <c r="BC16" s="170">
        <f t="shared" si="20"/>
        <v>0.0940805348610547</v>
      </c>
      <c r="BE16" t="s">
        <v>322</v>
      </c>
      <c r="BF16" t="s">
        <v>323</v>
      </c>
    </row>
    <row r="17" ht="29.1" customHeight="1" spans="1:58">
      <c r="A17" s="61" t="s">
        <v>247</v>
      </c>
      <c r="B17" s="81" t="s">
        <v>248</v>
      </c>
      <c r="C17" s="90">
        <v>15</v>
      </c>
      <c r="D17" s="91">
        <v>15</v>
      </c>
      <c r="E17" s="64">
        <v>274.12</v>
      </c>
      <c r="F17" s="148">
        <v>9</v>
      </c>
      <c r="G17" s="148">
        <v>9</v>
      </c>
      <c r="H17" s="64">
        <v>157.23</v>
      </c>
      <c r="I17" s="64">
        <v>15.63</v>
      </c>
      <c r="J17" s="149">
        <v>1</v>
      </c>
      <c r="K17" s="150">
        <f t="shared" si="0"/>
        <v>0.0666666666666667</v>
      </c>
      <c r="L17" s="151">
        <v>23.4</v>
      </c>
      <c r="M17" s="152">
        <f t="shared" si="21"/>
        <v>-0.285714285714286</v>
      </c>
      <c r="N17" s="150">
        <f t="shared" si="22"/>
        <v>-0.285714285714286</v>
      </c>
      <c r="O17" s="150">
        <f t="shared" si="23"/>
        <v>-0.319936489034435</v>
      </c>
      <c r="P17" s="153">
        <f t="shared" si="1"/>
        <v>1</v>
      </c>
      <c r="Q17" s="154">
        <f t="shared" si="2"/>
        <v>18.2746666666667</v>
      </c>
      <c r="R17" s="187">
        <f t="shared" si="3"/>
        <v>18.2746666666667</v>
      </c>
      <c r="S17" s="155">
        <f t="shared" si="4"/>
        <v>2.14285714285714</v>
      </c>
      <c r="T17" s="193">
        <f t="shared" si="5"/>
        <v>9</v>
      </c>
      <c r="U17" s="157">
        <f t="shared" si="6"/>
        <v>0.6</v>
      </c>
      <c r="V17" s="94">
        <f t="shared" si="7"/>
        <v>0.308754690703702</v>
      </c>
      <c r="W17" s="91">
        <v>17455</v>
      </c>
      <c r="X17" s="91">
        <v>78</v>
      </c>
      <c r="Y17" s="91">
        <v>6</v>
      </c>
      <c r="Z17" s="64">
        <v>79.81</v>
      </c>
      <c r="AA17" s="92">
        <v>121.05</v>
      </c>
      <c r="AB17" s="64">
        <v>1.02</v>
      </c>
      <c r="AC17" s="71">
        <f t="shared" si="8"/>
        <v>0.659314332920281</v>
      </c>
      <c r="AD17" s="72">
        <f t="shared" ref="AD17:AF17" si="36">X17/W17</f>
        <v>0.00446863362933257</v>
      </c>
      <c r="AE17" s="159">
        <f t="shared" si="36"/>
        <v>0.0769230769230769</v>
      </c>
      <c r="AF17" s="154">
        <f t="shared" si="36"/>
        <v>13.3016666666667</v>
      </c>
      <c r="AG17" s="160">
        <v>14</v>
      </c>
      <c r="AH17" s="162">
        <v>1</v>
      </c>
      <c r="AI17" s="163">
        <f>AG17*产品成本!$D$9+AH17*产品成本!$D$10</f>
        <v>36.056338028169</v>
      </c>
      <c r="AJ17" s="163">
        <f>AG17*产品成本!$E$9+AH17*产品成本!$E$10</f>
        <v>4.64</v>
      </c>
      <c r="AK17" s="163">
        <f>AG17*产品成本!$F$9+AH17*产品成本!$F$10</f>
        <v>5.1</v>
      </c>
      <c r="AL17" s="163">
        <f>AG17*产品成本!$G$9+AH17*产品成本!$G$10</f>
        <v>73.5</v>
      </c>
      <c r="AM17" s="163">
        <f t="shared" si="10"/>
        <v>38.7735</v>
      </c>
      <c r="AN17" s="164">
        <f t="shared" si="11"/>
        <v>158.069838028169</v>
      </c>
      <c r="AO17" s="194">
        <v>0</v>
      </c>
      <c r="AP17" s="166">
        <v>1</v>
      </c>
      <c r="AQ17" s="167">
        <f t="shared" si="12"/>
        <v>28.5365853658537</v>
      </c>
      <c r="AR17" s="163">
        <f>AO17*产品成本!$D$9+AP17*产品成本!$D$10</f>
        <v>4.50704225352113</v>
      </c>
      <c r="AS17" s="163">
        <f>AO17*产品成本!$E$9+AP17*产品成本!$E$10</f>
        <v>0.58</v>
      </c>
      <c r="AT17" s="163">
        <f>AO17*产品成本!$F$9+AP17*产品成本!$F$10</f>
        <v>0.34</v>
      </c>
      <c r="AU17" s="163"/>
      <c r="AV17" s="163">
        <f t="shared" si="13"/>
        <v>4.28048780487805</v>
      </c>
      <c r="AW17" s="163">
        <f t="shared" si="14"/>
        <v>-0.85609756097561</v>
      </c>
      <c r="AX17" s="164">
        <f t="shared" si="15"/>
        <v>8.85143249742357</v>
      </c>
      <c r="AY17" s="169">
        <f t="shared" si="16"/>
        <v>149.218405530745</v>
      </c>
      <c r="AZ17" s="169">
        <f t="shared" si="17"/>
        <v>258.49</v>
      </c>
      <c r="BA17" s="169">
        <f t="shared" si="18"/>
        <v>229.953414634146</v>
      </c>
      <c r="BB17" s="168">
        <f t="shared" si="19"/>
        <v>0.925009103400924</v>
      </c>
      <c r="BC17" s="170">
        <f t="shared" si="20"/>
        <v>0.00402259346690983</v>
      </c>
      <c r="BD17" s="201">
        <v>62218257</v>
      </c>
      <c r="BE17" t="s">
        <v>322</v>
      </c>
      <c r="BF17" t="s">
        <v>323</v>
      </c>
    </row>
    <row r="18" ht="29.1" customHeight="1" spans="1:58">
      <c r="A18" s="61" t="s">
        <v>250</v>
      </c>
      <c r="B18" s="81" t="s">
        <v>251</v>
      </c>
      <c r="C18" s="90">
        <v>26</v>
      </c>
      <c r="D18" s="91">
        <v>25</v>
      </c>
      <c r="E18" s="64">
        <v>490.43</v>
      </c>
      <c r="F18" s="148">
        <v>15</v>
      </c>
      <c r="G18" s="148">
        <v>14</v>
      </c>
      <c r="H18" s="64">
        <v>274.12</v>
      </c>
      <c r="I18" s="64">
        <v>24.78</v>
      </c>
      <c r="J18" s="149">
        <v>0</v>
      </c>
      <c r="K18" s="150">
        <f t="shared" si="0"/>
        <v>0</v>
      </c>
      <c r="L18" s="151">
        <v>0</v>
      </c>
      <c r="M18" s="152">
        <f t="shared" si="21"/>
        <v>0.733333333333333</v>
      </c>
      <c r="N18" s="150">
        <f t="shared" si="22"/>
        <v>0.666666666666667</v>
      </c>
      <c r="O18" s="150">
        <f t="shared" si="23"/>
        <v>0.789106960455275</v>
      </c>
      <c r="P18" s="153">
        <f t="shared" si="1"/>
        <v>1.04</v>
      </c>
      <c r="Q18" s="154">
        <f t="shared" si="2"/>
        <v>19.6172</v>
      </c>
      <c r="R18" s="187">
        <f t="shared" si="3"/>
        <v>18.8626923076923</v>
      </c>
      <c r="S18" s="155">
        <f t="shared" si="4"/>
        <v>3.71428571428571</v>
      </c>
      <c r="T18" s="193">
        <f t="shared" si="5"/>
        <v>8</v>
      </c>
      <c r="U18" s="157">
        <f t="shared" si="6"/>
        <v>0.32</v>
      </c>
      <c r="V18" s="94">
        <f t="shared" si="7"/>
        <v>0.24404595726404</v>
      </c>
      <c r="W18" s="91">
        <v>15771</v>
      </c>
      <c r="X18" s="91">
        <v>112</v>
      </c>
      <c r="Y18" s="91">
        <v>17</v>
      </c>
      <c r="Z18" s="64">
        <v>113.64</v>
      </c>
      <c r="AA18" s="202">
        <v>312.7</v>
      </c>
      <c r="AB18" s="64">
        <v>1.01</v>
      </c>
      <c r="AC18" s="71">
        <f t="shared" si="8"/>
        <v>0.363415414134954</v>
      </c>
      <c r="AD18" s="72">
        <f t="shared" ref="AD18:AF18" si="37">X18/W18</f>
        <v>0.00710164225477142</v>
      </c>
      <c r="AE18" s="159">
        <f t="shared" si="37"/>
        <v>0.151785714285714</v>
      </c>
      <c r="AF18" s="154">
        <f t="shared" si="37"/>
        <v>6.68470588235294</v>
      </c>
      <c r="AG18" s="160">
        <v>23</v>
      </c>
      <c r="AH18" s="162">
        <v>3</v>
      </c>
      <c r="AI18" s="163">
        <f>AG18*产品成本!$D$9+AH18*产品成本!$D$10</f>
        <v>65.3521126760563</v>
      </c>
      <c r="AJ18" s="163">
        <f>AG18*产品成本!$E$9+AH18*产品成本!$E$10</f>
        <v>8.41</v>
      </c>
      <c r="AK18" s="163">
        <f>AG18*产品成本!$F$9+AH18*产品成本!$F$10</f>
        <v>8.84</v>
      </c>
      <c r="AL18" s="163">
        <f>AG18*产品成本!$G$9+AH18*产品成本!$G$10</f>
        <v>127.4</v>
      </c>
      <c r="AM18" s="163">
        <f t="shared" si="10"/>
        <v>69.8475</v>
      </c>
      <c r="AN18" s="164">
        <f t="shared" si="11"/>
        <v>279.849612676056</v>
      </c>
      <c r="AO18" s="194">
        <v>0</v>
      </c>
      <c r="AP18" s="166">
        <v>0</v>
      </c>
      <c r="AQ18" s="167">
        <f t="shared" si="12"/>
        <v>0</v>
      </c>
      <c r="AR18" s="163">
        <f>AO18*产品成本!$D$9+AP18*产品成本!$D$10</f>
        <v>0</v>
      </c>
      <c r="AS18" s="163">
        <f>AO18*产品成本!$E$9+AP18*产品成本!$E$10</f>
        <v>0</v>
      </c>
      <c r="AT18" s="163">
        <f>AO18*产品成本!$F$9+AP18*产品成本!$F$10</f>
        <v>0</v>
      </c>
      <c r="AU18" s="163"/>
      <c r="AV18" s="163">
        <f t="shared" si="13"/>
        <v>0</v>
      </c>
      <c r="AW18" s="163">
        <f t="shared" si="14"/>
        <v>0</v>
      </c>
      <c r="AX18" s="164">
        <f t="shared" si="15"/>
        <v>0</v>
      </c>
      <c r="AY18" s="169">
        <f t="shared" si="16"/>
        <v>279.849612676056</v>
      </c>
      <c r="AZ18" s="169">
        <f t="shared" si="17"/>
        <v>465.65</v>
      </c>
      <c r="BA18" s="169">
        <f t="shared" si="18"/>
        <v>465.65</v>
      </c>
      <c r="BB18" s="168">
        <f t="shared" si="19"/>
        <v>72.1603873239437</v>
      </c>
      <c r="BC18" s="170">
        <f t="shared" si="20"/>
        <v>0.154967008104679</v>
      </c>
      <c r="BD18" s="201">
        <v>40945146</v>
      </c>
      <c r="BE18" t="s">
        <v>322</v>
      </c>
      <c r="BF18" t="s">
        <v>323</v>
      </c>
    </row>
    <row r="19" ht="29.1" customHeight="1" spans="1:58">
      <c r="A19" s="61" t="s">
        <v>254</v>
      </c>
      <c r="B19" s="81" t="s">
        <v>255</v>
      </c>
      <c r="C19" s="90">
        <v>23</v>
      </c>
      <c r="D19" s="91">
        <v>23</v>
      </c>
      <c r="E19" s="64">
        <v>482.48</v>
      </c>
      <c r="F19" s="148">
        <v>4</v>
      </c>
      <c r="G19" s="148">
        <v>4</v>
      </c>
      <c r="H19" s="64">
        <v>94.02</v>
      </c>
      <c r="I19" s="64">
        <v>8.64</v>
      </c>
      <c r="J19" s="149">
        <v>1</v>
      </c>
      <c r="K19" s="150">
        <f t="shared" si="0"/>
        <v>0.0434782608695652</v>
      </c>
      <c r="L19" s="151">
        <v>20.23</v>
      </c>
      <c r="M19" s="152">
        <f t="shared" si="21"/>
        <v>-0.115384615384615</v>
      </c>
      <c r="N19" s="150">
        <f t="shared" si="22"/>
        <v>-0.08</v>
      </c>
      <c r="O19" s="150">
        <f t="shared" si="23"/>
        <v>-0.0162102644617988</v>
      </c>
      <c r="P19" s="153">
        <f t="shared" si="1"/>
        <v>1</v>
      </c>
      <c r="Q19" s="154">
        <f t="shared" si="2"/>
        <v>20.9773913043478</v>
      </c>
      <c r="R19" s="187">
        <f t="shared" si="3"/>
        <v>20.9773913043478</v>
      </c>
      <c r="S19" s="155">
        <f t="shared" si="4"/>
        <v>3.28571428571429</v>
      </c>
      <c r="T19" s="193">
        <f t="shared" si="5"/>
        <v>4</v>
      </c>
      <c r="U19" s="157">
        <f t="shared" si="6"/>
        <v>0.173913043478261</v>
      </c>
      <c r="V19" s="94">
        <f t="shared" si="7"/>
        <v>0.186603072767179</v>
      </c>
      <c r="W19" s="91">
        <v>14434</v>
      </c>
      <c r="X19" s="91">
        <v>87</v>
      </c>
      <c r="Y19" s="91">
        <v>19</v>
      </c>
      <c r="Z19" s="64">
        <v>88.42</v>
      </c>
      <c r="AA19" s="92">
        <v>455.05</v>
      </c>
      <c r="AB19" s="64">
        <v>1.02</v>
      </c>
      <c r="AC19" s="71">
        <f t="shared" si="8"/>
        <v>0.194308317767278</v>
      </c>
      <c r="AD19" s="72">
        <f t="shared" ref="AD19:AF19" si="38">X19/W19</f>
        <v>0.00602743522239158</v>
      </c>
      <c r="AE19" s="159">
        <f t="shared" si="38"/>
        <v>0.218390804597701</v>
      </c>
      <c r="AF19" s="154">
        <f t="shared" si="38"/>
        <v>4.65368421052632</v>
      </c>
      <c r="AG19" s="160">
        <v>20</v>
      </c>
      <c r="AH19" s="162">
        <v>3</v>
      </c>
      <c r="AI19" s="163">
        <f>AG19*产品成本!$D$9+AH19*产品成本!$D$10</f>
        <v>58.5915492957746</v>
      </c>
      <c r="AJ19" s="163">
        <f>AG19*产品成本!$E$9+AH19*产品成本!$E$10</f>
        <v>7.54</v>
      </c>
      <c r="AK19" s="163">
        <f>AG19*产品成本!$F$9+AH19*产品成本!$F$10</f>
        <v>7.82</v>
      </c>
      <c r="AL19" s="163">
        <f>AG19*产品成本!$G$9+AH19*产品成本!$G$10</f>
        <v>112.7</v>
      </c>
      <c r="AM19" s="163">
        <f t="shared" si="10"/>
        <v>71.076</v>
      </c>
      <c r="AN19" s="164">
        <f t="shared" si="11"/>
        <v>257.727549295775</v>
      </c>
      <c r="AO19" s="194">
        <v>1</v>
      </c>
      <c r="AP19" s="166">
        <v>0</v>
      </c>
      <c r="AQ19" s="167">
        <f t="shared" si="12"/>
        <v>24.6707317073171</v>
      </c>
      <c r="AR19" s="163">
        <f>AO19*产品成本!$D$9+AP19*产品成本!$D$10</f>
        <v>2.25352112676056</v>
      </c>
      <c r="AS19" s="163">
        <f>AO19*产品成本!$E$9+AP19*产品成本!$E$10</f>
        <v>0.29</v>
      </c>
      <c r="AT19" s="163">
        <f>AO19*产品成本!$F$9+AP19*产品成本!$F$10</f>
        <v>0.34</v>
      </c>
      <c r="AU19" s="163"/>
      <c r="AV19" s="163">
        <f t="shared" si="13"/>
        <v>3.70060975609756</v>
      </c>
      <c r="AW19" s="163">
        <f t="shared" si="14"/>
        <v>-0.740121951219512</v>
      </c>
      <c r="AX19" s="164">
        <f t="shared" si="15"/>
        <v>5.84400893163861</v>
      </c>
      <c r="AY19" s="169">
        <f t="shared" si="16"/>
        <v>251.883540364136</v>
      </c>
      <c r="AZ19" s="169">
        <f t="shared" si="17"/>
        <v>473.84</v>
      </c>
      <c r="BA19" s="169">
        <f t="shared" si="18"/>
        <v>449.169268292683</v>
      </c>
      <c r="BB19" s="168">
        <f t="shared" si="19"/>
        <v>108.865727928547</v>
      </c>
      <c r="BC19" s="170">
        <f t="shared" si="20"/>
        <v>0.242371274291208</v>
      </c>
      <c r="BD19" s="201">
        <v>45001172</v>
      </c>
      <c r="BE19" t="s">
        <v>324</v>
      </c>
      <c r="BF19" t="s">
        <v>311</v>
      </c>
    </row>
    <row r="20" ht="29.1" customHeight="1" spans="1:58">
      <c r="A20" s="61" t="s">
        <v>258</v>
      </c>
      <c r="B20" s="81" t="s">
        <v>259</v>
      </c>
      <c r="C20" s="90">
        <v>25</v>
      </c>
      <c r="D20" s="91">
        <v>25</v>
      </c>
      <c r="E20" s="64">
        <v>474.13</v>
      </c>
      <c r="F20" s="148">
        <v>18</v>
      </c>
      <c r="G20" s="148">
        <v>18</v>
      </c>
      <c r="H20" s="64">
        <v>339.38</v>
      </c>
      <c r="I20" s="64">
        <v>18.85</v>
      </c>
      <c r="J20" s="149">
        <v>1</v>
      </c>
      <c r="K20" s="150">
        <f t="shared" ref="K20" si="39">J20/C20</f>
        <v>0.04</v>
      </c>
      <c r="L20" s="151">
        <v>13.83</v>
      </c>
      <c r="M20" s="152">
        <f t="shared" ref="M20" si="40">(C20-C19)/C19</f>
        <v>0.0869565217391304</v>
      </c>
      <c r="N20" s="150">
        <f t="shared" ref="N20" si="41">(D20-D19)/D19</f>
        <v>0.0869565217391304</v>
      </c>
      <c r="O20" s="150">
        <f t="shared" ref="O20" si="42">(E20-E19)/E19</f>
        <v>-0.0173064168462942</v>
      </c>
      <c r="P20" s="153">
        <f t="shared" ref="P20" si="43">C20/D20</f>
        <v>1</v>
      </c>
      <c r="Q20" s="154">
        <f t="shared" ref="Q20" si="44">E20/D20</f>
        <v>18.9652</v>
      </c>
      <c r="R20" s="187">
        <f t="shared" ref="R20" si="45">E20/C20</f>
        <v>18.9652</v>
      </c>
      <c r="S20" s="155">
        <f t="shared" ref="S20" si="46">C20/7</f>
        <v>3.57142857142857</v>
      </c>
      <c r="T20" s="193">
        <f t="shared" ref="T20" si="47">D20-Y20</f>
        <v>1</v>
      </c>
      <c r="U20" s="157">
        <f t="shared" ref="U20" si="48">T20/D20</f>
        <v>0.04</v>
      </c>
      <c r="V20" s="94">
        <f t="shared" ref="V20" si="49">Z20/(E20-I20)</f>
        <v>0.171608680372518</v>
      </c>
      <c r="W20" s="91">
        <v>16178</v>
      </c>
      <c r="X20" s="91">
        <v>74</v>
      </c>
      <c r="Y20" s="91">
        <v>24</v>
      </c>
      <c r="Z20" s="64">
        <v>78.13</v>
      </c>
      <c r="AA20" s="92">
        <v>486.26</v>
      </c>
      <c r="AB20" s="64">
        <v>1.06</v>
      </c>
      <c r="AC20" s="71">
        <f t="shared" ref="AC20" si="50">Z20/AA20</f>
        <v>0.160675358861514</v>
      </c>
      <c r="AD20" s="72">
        <f t="shared" ref="AD20" si="51">X20/W20</f>
        <v>0.00457411299295339</v>
      </c>
      <c r="AE20" s="159">
        <f t="shared" ref="AE20" si="52">Y20/X20</f>
        <v>0.324324324324324</v>
      </c>
      <c r="AF20" s="154">
        <f t="shared" ref="AF20" si="53">Z20/Y20</f>
        <v>3.25541666666667</v>
      </c>
      <c r="AG20" s="160">
        <v>22</v>
      </c>
      <c r="AH20" s="162">
        <v>3</v>
      </c>
      <c r="AI20" s="163">
        <f>AG20*产品成本!$D$9+AH20*产品成本!$D$10</f>
        <v>63.0985915492957</v>
      </c>
      <c r="AJ20" s="163">
        <f>AG20*产品成本!$E$9+AH20*产品成本!$E$10</f>
        <v>8.12</v>
      </c>
      <c r="AK20" s="163">
        <f>AG20*产品成本!$F$9+AH20*产品成本!$F$10</f>
        <v>8.5</v>
      </c>
      <c r="AL20" s="163">
        <f>AG20*产品成本!$G$9+AH20*产品成本!$G$10</f>
        <v>122.5</v>
      </c>
      <c r="AM20" s="163">
        <f t="shared" ref="AM20" si="54">(E20-I20)*0.15</f>
        <v>68.292</v>
      </c>
      <c r="AN20" s="164">
        <f t="shared" ref="AN20" si="55">SUM(AI20:AM20)</f>
        <v>270.510591549296</v>
      </c>
      <c r="AO20" s="194">
        <v>1</v>
      </c>
      <c r="AP20" s="166">
        <v>0</v>
      </c>
      <c r="AQ20" s="167">
        <f t="shared" ref="AQ20" si="56">L20/(1-0.15-0.15*0.2)</f>
        <v>16.8658536585366</v>
      </c>
      <c r="AR20" s="163">
        <f>AO20*产品成本!$D$9+AP20*产品成本!$D$10</f>
        <v>2.25352112676056</v>
      </c>
      <c r="AS20" s="163">
        <f>AO20*产品成本!$E$9+AP20*产品成本!$E$10</f>
        <v>0.29</v>
      </c>
      <c r="AT20" s="163">
        <f>AO20*产品成本!$F$9+AP20*产品成本!$F$10</f>
        <v>0.34</v>
      </c>
      <c r="AU20" s="163"/>
      <c r="AV20" s="163">
        <f t="shared" ref="AV20" si="57">AQ20*0.15</f>
        <v>2.52987804878049</v>
      </c>
      <c r="AW20" s="163">
        <f t="shared" ref="AW20" si="58">-AV20*0.2</f>
        <v>-0.505975609756098</v>
      </c>
      <c r="AX20" s="164">
        <f t="shared" ref="AX20" si="59">SUM(AR20:AW20)</f>
        <v>4.90742356578495</v>
      </c>
      <c r="AY20" s="169">
        <f t="shared" ref="AY20" si="60">AN20-AX20</f>
        <v>265.603167983511</v>
      </c>
      <c r="AZ20" s="169">
        <f t="shared" ref="AZ20" si="61">E20-I20</f>
        <v>455.28</v>
      </c>
      <c r="BA20" s="169">
        <f t="shared" ref="BA20" si="62">E20-AQ20-I20</f>
        <v>438.414146341463</v>
      </c>
      <c r="BB20" s="168">
        <f t="shared" ref="BB20" si="63">BA20-AY20-Z20</f>
        <v>94.6809783579526</v>
      </c>
      <c r="BC20" s="170">
        <f t="shared" ref="BC20" si="64">BB20/BA20</f>
        <v>0.215962416240578</v>
      </c>
      <c r="BD20" s="201">
        <v>46066169</v>
      </c>
      <c r="BE20" t="s">
        <v>325</v>
      </c>
      <c r="BF20" t="s">
        <v>311</v>
      </c>
    </row>
    <row r="21" ht="29.1" customHeight="1" spans="1:58">
      <c r="A21" s="61" t="s">
        <v>262</v>
      </c>
      <c r="B21" s="81" t="s">
        <v>263</v>
      </c>
      <c r="C21" s="90">
        <v>7</v>
      </c>
      <c r="D21" s="91">
        <v>7</v>
      </c>
      <c r="E21" s="64">
        <v>134.36</v>
      </c>
      <c r="F21" s="148">
        <v>4</v>
      </c>
      <c r="G21" s="148">
        <v>4</v>
      </c>
      <c r="H21" s="64">
        <v>69.88</v>
      </c>
      <c r="I21" s="64">
        <v>17.47</v>
      </c>
      <c r="J21" s="149">
        <v>0</v>
      </c>
      <c r="K21" s="150">
        <f t="shared" ref="K21" si="65">J21/C21</f>
        <v>0</v>
      </c>
      <c r="L21" s="151">
        <v>0</v>
      </c>
      <c r="M21" s="152">
        <f t="shared" ref="M21" si="66">(C21-C20)/C20</f>
        <v>-0.72</v>
      </c>
      <c r="N21" s="150">
        <f t="shared" ref="N21" si="67">(D21-D20)/D20</f>
        <v>-0.72</v>
      </c>
      <c r="O21" s="150">
        <f t="shared" ref="O21" si="68">(E21-E20)/E20</f>
        <v>-0.716617805243288</v>
      </c>
      <c r="P21" s="153">
        <f t="shared" ref="P21" si="69">C21/D21</f>
        <v>1</v>
      </c>
      <c r="Q21" s="154">
        <f t="shared" ref="Q21" si="70">E21/D21</f>
        <v>19.1942857142857</v>
      </c>
      <c r="R21" s="187">
        <f t="shared" ref="R21" si="71">E21/C21</f>
        <v>19.1942857142857</v>
      </c>
      <c r="S21" s="155">
        <f t="shared" ref="S21" si="72">C21/7</f>
        <v>1</v>
      </c>
      <c r="T21" s="193">
        <f t="shared" ref="T21" si="73">D21-Y21</f>
        <v>2</v>
      </c>
      <c r="U21" s="157">
        <f t="shared" ref="U21" si="74">T21/D21</f>
        <v>0.285714285714286</v>
      </c>
      <c r="V21" s="94">
        <f t="shared" ref="V21" si="75">Z21/(E21-I21)</f>
        <v>0.394644537599452</v>
      </c>
      <c r="W21" s="91">
        <v>10453</v>
      </c>
      <c r="X21" s="91">
        <v>44</v>
      </c>
      <c r="Y21" s="91">
        <v>5</v>
      </c>
      <c r="Z21" s="64">
        <v>46.13</v>
      </c>
      <c r="AA21" s="92">
        <v>104.56</v>
      </c>
      <c r="AB21" s="64">
        <v>1.05</v>
      </c>
      <c r="AC21" s="71">
        <f t="shared" ref="AC21" si="76">Z21/AA21</f>
        <v>0.441182096403979</v>
      </c>
      <c r="AD21" s="72">
        <f t="shared" ref="AD21" si="77">X21/W21</f>
        <v>0.0042093178991677</v>
      </c>
      <c r="AE21" s="159">
        <f t="shared" ref="AE21" si="78">Y21/X21</f>
        <v>0.113636363636364</v>
      </c>
      <c r="AF21" s="154">
        <f t="shared" ref="AF21" si="79">Z21/Y21</f>
        <v>9.226</v>
      </c>
      <c r="AG21" s="160">
        <v>6</v>
      </c>
      <c r="AH21" s="162">
        <v>1</v>
      </c>
      <c r="AI21" s="163">
        <f>AG21*产品成本!$D$9+AH21*产品成本!$D$10</f>
        <v>18.0281690140845</v>
      </c>
      <c r="AJ21" s="163">
        <f>AG21*产品成本!$E$9+AH21*产品成本!$E$10</f>
        <v>2.32</v>
      </c>
      <c r="AK21" s="163">
        <f>AG21*产品成本!$F$9+AH21*产品成本!$F$10</f>
        <v>2.38</v>
      </c>
      <c r="AL21" s="163">
        <f>AG21*产品成本!$G$9+AH21*产品成本!$G$10</f>
        <v>34.3</v>
      </c>
      <c r="AM21" s="163">
        <f t="shared" ref="AM21" si="80">(E21-I21)*0.15</f>
        <v>17.5335</v>
      </c>
      <c r="AN21" s="164">
        <f t="shared" ref="AN21" si="81">SUM(AI21:AM21)</f>
        <v>74.5616690140845</v>
      </c>
      <c r="AO21" s="194">
        <v>0</v>
      </c>
      <c r="AP21" s="166">
        <v>0</v>
      </c>
      <c r="AQ21" s="167">
        <f t="shared" ref="AQ21" si="82">L21/(1-0.15-0.15*0.2)</f>
        <v>0</v>
      </c>
      <c r="AR21" s="163">
        <f>AO21*产品成本!$D$9+AP21*产品成本!$D$10</f>
        <v>0</v>
      </c>
      <c r="AS21" s="163">
        <f>AO21*产品成本!$E$9+AP21*产品成本!$E$10</f>
        <v>0</v>
      </c>
      <c r="AT21" s="163">
        <f>AO21*产品成本!$F$9+AP21*产品成本!$F$10</f>
        <v>0</v>
      </c>
      <c r="AU21" s="163"/>
      <c r="AV21" s="163">
        <f t="shared" ref="AV21" si="83">AQ21*0.15</f>
        <v>0</v>
      </c>
      <c r="AW21" s="163">
        <f t="shared" ref="AW21" si="84">-AV21*0.2</f>
        <v>0</v>
      </c>
      <c r="AX21" s="164">
        <f t="shared" ref="AX21" si="85">SUM(AR21:AW21)</f>
        <v>0</v>
      </c>
      <c r="AY21" s="169">
        <f t="shared" ref="AY21" si="86">AN21-AX21</f>
        <v>74.5616690140845</v>
      </c>
      <c r="AZ21" s="169">
        <f t="shared" ref="AZ21" si="87">E21-I21</f>
        <v>116.89</v>
      </c>
      <c r="BA21" s="169">
        <f t="shared" ref="BA21" si="88">E21-AQ21-I21</f>
        <v>116.89</v>
      </c>
      <c r="BB21" s="168">
        <f t="shared" ref="BB21" si="89">BA21-AY21-Z21</f>
        <v>-3.80166901408449</v>
      </c>
      <c r="BC21" s="170">
        <f t="shared" ref="BC21" si="90">BB21/BA21</f>
        <v>-0.0325234751825176</v>
      </c>
      <c r="BD21" s="201">
        <v>76140312</v>
      </c>
      <c r="BE21" t="s">
        <v>325</v>
      </c>
      <c r="BF21" t="s">
        <v>311</v>
      </c>
    </row>
    <row r="22" ht="29.1" customHeight="1" spans="1:58">
      <c r="A22" s="61" t="s">
        <v>266</v>
      </c>
      <c r="B22" s="81" t="s">
        <v>267</v>
      </c>
      <c r="C22" s="90">
        <v>14</v>
      </c>
      <c r="D22" s="91">
        <v>14</v>
      </c>
      <c r="E22" s="64">
        <v>293.64</v>
      </c>
      <c r="F22" s="148">
        <v>9</v>
      </c>
      <c r="G22" s="148">
        <v>9</v>
      </c>
      <c r="H22" s="64">
        <v>193.83</v>
      </c>
      <c r="I22" s="64">
        <v>21.54</v>
      </c>
      <c r="J22" s="149">
        <v>0</v>
      </c>
      <c r="K22" s="150">
        <f t="shared" ref="K22" si="91">J22/C22</f>
        <v>0</v>
      </c>
      <c r="L22" s="151">
        <v>0</v>
      </c>
      <c r="M22" s="152">
        <f t="shared" ref="M22" si="92">(C22-C21)/C21</f>
        <v>1</v>
      </c>
      <c r="N22" s="150">
        <f t="shared" ref="N22" si="93">(D22-D21)/D21</f>
        <v>1</v>
      </c>
      <c r="O22" s="150">
        <f t="shared" ref="O22" si="94">(E22-E21)/E21</f>
        <v>1.18547186662697</v>
      </c>
      <c r="P22" s="153">
        <f t="shared" ref="P22" si="95">C22/D22</f>
        <v>1</v>
      </c>
      <c r="Q22" s="154">
        <f t="shared" ref="Q22" si="96">E22/D22</f>
        <v>20.9742857142857</v>
      </c>
      <c r="R22" s="187">
        <f t="shared" ref="R22" si="97">E22/C22</f>
        <v>20.9742857142857</v>
      </c>
      <c r="S22" s="155">
        <f t="shared" ref="S22" si="98">C22/7</f>
        <v>2</v>
      </c>
      <c r="T22" s="193">
        <f t="shared" ref="T22" si="99">D22-Y22</f>
        <v>5</v>
      </c>
      <c r="U22" s="157">
        <f t="shared" ref="U22" si="100">T22/D22</f>
        <v>0.357142857142857</v>
      </c>
      <c r="V22" s="94">
        <f t="shared" ref="V22" si="101">Z22/(E22-I22)</f>
        <v>0.20249908122014</v>
      </c>
      <c r="W22" s="91">
        <v>10469</v>
      </c>
      <c r="X22" s="91">
        <v>58</v>
      </c>
      <c r="Y22" s="91">
        <v>9</v>
      </c>
      <c r="Z22" s="64">
        <v>55.1</v>
      </c>
      <c r="AA22" s="92">
        <v>199.35</v>
      </c>
      <c r="AB22" s="64">
        <v>0.95</v>
      </c>
      <c r="AC22" s="71">
        <f t="shared" ref="AC22" si="102">Z22/AA22</f>
        <v>0.276398294456985</v>
      </c>
      <c r="AD22" s="72">
        <f t="shared" ref="AD22" si="103">X22/W22</f>
        <v>0.00554016620498615</v>
      </c>
      <c r="AE22" s="159">
        <f t="shared" ref="AE22" si="104">Y22/X22</f>
        <v>0.155172413793103</v>
      </c>
      <c r="AF22" s="154">
        <f t="shared" ref="AF22" si="105">Z22/Y22</f>
        <v>6.12222222222222</v>
      </c>
      <c r="AG22" s="160">
        <v>10</v>
      </c>
      <c r="AH22" s="162">
        <v>4</v>
      </c>
      <c r="AI22" s="163">
        <f>AG22*产品成本!$D$9+AH22*产品成本!$D$10</f>
        <v>40.5633802816901</v>
      </c>
      <c r="AJ22" s="163">
        <f>AG22*产品成本!$E$9+AH22*产品成本!$E$10</f>
        <v>5.22</v>
      </c>
      <c r="AK22" s="163">
        <f>AG22*产品成本!$F$9+AH22*产品成本!$F$10</f>
        <v>4.76</v>
      </c>
      <c r="AL22" s="163">
        <f>AG22*产品成本!$G$9+AH22*产品成本!$G$10</f>
        <v>68.6</v>
      </c>
      <c r="AM22" s="163">
        <f t="shared" ref="AM22" si="106">(E22-I22)*0.15</f>
        <v>40.815</v>
      </c>
      <c r="AN22" s="164">
        <f t="shared" ref="AN22" si="107">SUM(AI22:AM22)</f>
        <v>159.95838028169</v>
      </c>
      <c r="AO22" s="194">
        <v>0</v>
      </c>
      <c r="AP22" s="166">
        <v>0</v>
      </c>
      <c r="AQ22" s="167">
        <f t="shared" ref="AQ22" si="108">L22/(1-0.15-0.15*0.2)</f>
        <v>0</v>
      </c>
      <c r="AR22" s="163">
        <f>AO22*产品成本!$D$9+AP22*产品成本!$D$10</f>
        <v>0</v>
      </c>
      <c r="AS22" s="163">
        <f>AO22*产品成本!$E$9+AP22*产品成本!$E$10</f>
        <v>0</v>
      </c>
      <c r="AT22" s="163">
        <f>AO22*产品成本!$F$9+AP22*产品成本!$F$10</f>
        <v>0</v>
      </c>
      <c r="AU22" s="163"/>
      <c r="AV22" s="163">
        <f t="shared" ref="AV22" si="109">AQ22*0.15</f>
        <v>0</v>
      </c>
      <c r="AW22" s="163">
        <f t="shared" ref="AW22" si="110">-AV22*0.2</f>
        <v>0</v>
      </c>
      <c r="AX22" s="164">
        <f t="shared" ref="AX22" si="111">SUM(AR22:AW22)</f>
        <v>0</v>
      </c>
      <c r="AY22" s="169">
        <f t="shared" ref="AY22" si="112">AN22-AX22</f>
        <v>159.95838028169</v>
      </c>
      <c r="AZ22" s="169">
        <f t="shared" ref="AZ22" si="113">E22-I22</f>
        <v>272.1</v>
      </c>
      <c r="BA22" s="169">
        <f t="shared" ref="BA22" si="114">E22-AQ22-I22</f>
        <v>272.1</v>
      </c>
      <c r="BB22" s="168">
        <f t="shared" ref="BB22" si="115">BA22-AY22-Z22</f>
        <v>57.0416197183099</v>
      </c>
      <c r="BC22" s="170">
        <f t="shared" ref="BC22" si="116">BB22/BA22</f>
        <v>0.209634765594671</v>
      </c>
      <c r="BD22" s="201">
        <v>76140312</v>
      </c>
      <c r="BE22" t="s">
        <v>325</v>
      </c>
      <c r="BF22" t="s">
        <v>311</v>
      </c>
    </row>
    <row r="23" ht="29.1" customHeight="1" spans="1:58">
      <c r="A23" s="174" t="s">
        <v>270</v>
      </c>
      <c r="B23" s="175"/>
      <c r="C23" s="175">
        <f>SUBTOTAL(109,表3_391418[销量])</f>
        <v>360</v>
      </c>
      <c r="D23" s="175">
        <f>SUBTOTAL(109,表3_391418[订单量])</f>
        <v>356</v>
      </c>
      <c r="E23" s="175">
        <f>SUBTOTAL(109,表3_391418[销售额])</f>
        <v>6956.07</v>
      </c>
      <c r="F23" s="175">
        <f>SUBTOTAL(109,表3_391418[促销销量])</f>
        <v>128</v>
      </c>
      <c r="G23" s="175">
        <f>SUBTOTAL(109,表3_391418[促销订单量])</f>
        <v>127</v>
      </c>
      <c r="H23" s="175">
        <f>SUBTOTAL(109,表3_391418[促销销售额])</f>
        <v>2501.112</v>
      </c>
      <c r="I23" s="175">
        <f>SUBTOTAL(109,表3_391418[促销折扣])</f>
        <v>243</v>
      </c>
      <c r="J23" s="175">
        <f>SUBTOTAL(109,表3_391418[退款量])</f>
        <v>12</v>
      </c>
      <c r="K23" s="176">
        <f t="shared" si="0"/>
        <v>0.0333333333333333</v>
      </c>
      <c r="L23" s="177">
        <f>SUBTOTAL(109,表3_391418[退款金额])</f>
        <v>202.07</v>
      </c>
      <c r="M23" s="175"/>
      <c r="N23" s="175"/>
      <c r="O23" s="175"/>
      <c r="P23" s="178">
        <f>SUBTOTAL(101,表3_391418[客单
销量])</f>
        <v>1.00886841329673</v>
      </c>
      <c r="Q23" s="178">
        <f>SUBTOTAL(101,表3_391418[客单
价格($)])</f>
        <v>19.7404436351328</v>
      </c>
      <c r="R23" s="178">
        <f>SUBTOTAL(101,表3_391418[销售
均价($)])</f>
        <v>19.5777937862096</v>
      </c>
      <c r="S23" s="178">
        <f>SUBTOTAL(101,表3_391418[日均
销量])</f>
        <v>2.70676691729323</v>
      </c>
      <c r="T23" s="179">
        <f>SUBTOTAL(109,表3_391418[自然
订单])</f>
        <v>100</v>
      </c>
      <c r="U23" s="180">
        <f t="shared" si="6"/>
        <v>0.280898876404494</v>
      </c>
      <c r="V23" s="176">
        <f>SUBTOTAL(101,表3_391418[TAcos
(%)])</f>
        <v>0.254293111622619</v>
      </c>
      <c r="W23" s="175">
        <f>SUBTOTAL(109,表3_391418[展示])</f>
        <v>277241</v>
      </c>
      <c r="X23" s="175">
        <f>SUBTOTAL(109,表3_391418[点击])</f>
        <v>1564</v>
      </c>
      <c r="Y23" s="175">
        <f>SUBTOTAL(109,表3_391418[广告订单量])</f>
        <v>256</v>
      </c>
      <c r="Z23" s="175">
        <f>SUBTOTAL(109,表3_391418[广告花费])</f>
        <v>1605.04</v>
      </c>
      <c r="AA23" s="175">
        <f>SUBTOTAL(109,表3_391418[广告销售额])</f>
        <v>5012.1</v>
      </c>
      <c r="AB23" s="175">
        <f>SUBTOTAL(101,表3_391418[CPC])</f>
        <v>1.02578947368421</v>
      </c>
      <c r="AC23" s="176">
        <f t="shared" si="8"/>
        <v>0.320233036052752</v>
      </c>
      <c r="AD23" s="176">
        <f t="shared" ref="AD23:AF23" si="117">X23/W23</f>
        <v>0.00564130125053654</v>
      </c>
      <c r="AE23" s="176">
        <f t="shared" si="117"/>
        <v>0.163682864450128</v>
      </c>
      <c r="AF23" s="178">
        <f t="shared" si="117"/>
        <v>6.2696875</v>
      </c>
      <c r="AG23" s="175">
        <f>SUBTOTAL(109,表3_391418[1Pack])</f>
        <v>305</v>
      </c>
      <c r="AH23" s="175">
        <f>SUBTOTAL(109,表3_391418[2Pack])</f>
        <v>55</v>
      </c>
      <c r="AI23" s="177">
        <f>SUBTOTAL(109,表3_391418[产品成本])</f>
        <v>935.211267605633</v>
      </c>
      <c r="AJ23" s="177">
        <f>SUBTOTAL(109,表3_391418[头程])</f>
        <v>120.35</v>
      </c>
      <c r="AK23" s="177">
        <f>SUBTOTAL(109,表3_391418[入仓费])</f>
        <v>122.4</v>
      </c>
      <c r="AL23" s="177">
        <f>SUBTOTAL(109,表3_391418[FBA物流])</f>
        <v>1764</v>
      </c>
      <c r="AM23" s="177">
        <f>SUBTOTAL(109,表3_391418[佣金])</f>
        <v>1006.9605</v>
      </c>
      <c r="AN23" s="177">
        <f>SUBTOTAL(109,表3_391418[成本小结])</f>
        <v>3948.92176760563</v>
      </c>
      <c r="AO23" s="182">
        <f>SUBTOTAL(109,表3_391418[退款1Pack])</f>
        <v>10</v>
      </c>
      <c r="AP23" s="182">
        <f>SUBTOTAL(109,表3_391418[退款2Pack])</f>
        <v>2</v>
      </c>
      <c r="AQ23" s="177">
        <f>SUBTOTAL(109,表3_391418[退款
销售金额])</f>
        <v>246.426829268293</v>
      </c>
      <c r="AR23" s="177">
        <f>SUBTOTAL(109,表3_391418[退款
产品成本])</f>
        <v>31.5492957746479</v>
      </c>
      <c r="AS23" s="177">
        <f>SUBTOTAL(109,表3_391418[退款头程])</f>
        <v>4.06</v>
      </c>
      <c r="AT23" s="177">
        <f>SUBTOTAL(109,表3_391418[退款
入仓费])</f>
        <v>4.08</v>
      </c>
      <c r="AU23" s="177">
        <f>SUBTOTAL(109,表3_391418[退款
FBA物流])</f>
        <v>0</v>
      </c>
      <c r="AV23" s="177">
        <f>SUBTOTAL(109,表3_391418[退款佣金])</f>
        <v>36.9640243902439</v>
      </c>
      <c r="AW23" s="177">
        <f>SUBTOTAL(109,表3_391418[退款
管理费用
佣金的20%])</f>
        <v>-7.39280487804878</v>
      </c>
      <c r="AX23" s="177">
        <f>SUBTOTAL(109,表3_391418[退款
成本小结])</f>
        <v>69.260515286843</v>
      </c>
      <c r="AY23" s="177">
        <f>SUBTOTAL(109,表3_391418[净成本])</f>
        <v>3879.66125231879</v>
      </c>
      <c r="AZ23" s="177">
        <f>SUBTOTAL(109,表3_391418[净销售额])</f>
        <v>6713.07</v>
      </c>
      <c r="BA23" s="177">
        <f>SUBTOTAL(109,表3_391418[净销售额
(-退款金额)])</f>
        <v>6466.64317073171</v>
      </c>
      <c r="BB23" s="177">
        <f>SUBTOTAL(109,表3_391418[毛利])</f>
        <v>981.941918412917</v>
      </c>
      <c r="BC23" s="176">
        <f>SUBTOTAL(101,表3_391418[毛利率])</f>
        <v>0.13411248029959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 tint="0.399884029663991"/>
  </sheetPr>
  <dimension ref="A1:BI78"/>
  <sheetViews>
    <sheetView workbookViewId="0">
      <pane xSplit="12" ySplit="3" topLeftCell="BD65" activePane="bottomRight" state="frozen"/>
      <selection/>
      <selection pane="topRight"/>
      <selection pane="bottomLeft"/>
      <selection pane="bottomRight" activeCell="BI78" sqref="BI78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11.62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ht="29.1" customHeight="1" spans="1:61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1"/>
      <c r="AP1" s="112"/>
      <c r="AQ1" s="113" t="s">
        <v>4</v>
      </c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6" t="s">
        <v>5</v>
      </c>
      <c r="BD1" s="117"/>
      <c r="BE1" s="117"/>
      <c r="BF1" s="117"/>
      <c r="BG1" s="117"/>
    </row>
    <row r="2" ht="12.95" customHeight="1" spans="1:61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3"/>
      <c r="AJ2" s="123"/>
      <c r="AK2" s="125" t="s">
        <v>7</v>
      </c>
      <c r="AL2" s="125"/>
      <c r="AM2" s="125"/>
      <c r="AN2" s="125"/>
      <c r="AO2" s="125"/>
      <c r="AP2" s="125"/>
      <c r="AQ2" s="126" t="s">
        <v>6</v>
      </c>
      <c r="AR2" s="127"/>
      <c r="AS2" s="127"/>
      <c r="AT2" s="127"/>
      <c r="AU2" s="129" t="s">
        <v>7</v>
      </c>
      <c r="AV2" s="129"/>
      <c r="AW2" s="129"/>
      <c r="AX2" s="129"/>
      <c r="AY2" s="129"/>
      <c r="AZ2" s="129"/>
      <c r="BA2" s="129"/>
      <c r="BB2" s="129"/>
      <c r="BC2" s="116"/>
      <c r="BD2" s="117"/>
      <c r="BE2" s="117"/>
      <c r="BF2" s="117"/>
      <c r="BG2" s="117"/>
    </row>
    <row r="3" ht="29.1" customHeight="1" spans="1:61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326</v>
      </c>
      <c r="AH3" s="195" t="s">
        <v>327</v>
      </c>
      <c r="AI3" s="196" t="s">
        <v>328</v>
      </c>
      <c r="AJ3" s="197" t="s">
        <v>329</v>
      </c>
      <c r="AK3" s="139" t="s">
        <v>43</v>
      </c>
      <c r="AL3" s="139" t="s">
        <v>44</v>
      </c>
      <c r="AM3" s="139" t="s">
        <v>45</v>
      </c>
      <c r="AN3" s="139" t="s">
        <v>46</v>
      </c>
      <c r="AO3" s="139" t="s">
        <v>47</v>
      </c>
      <c r="AP3" s="140" t="s">
        <v>48</v>
      </c>
      <c r="AQ3" s="192" t="s">
        <v>330</v>
      </c>
      <c r="AR3" s="142" t="s">
        <v>331</v>
      </c>
      <c r="AS3" s="143" t="s">
        <v>332</v>
      </c>
      <c r="AT3" s="143" t="s">
        <v>333</v>
      </c>
      <c r="AU3" s="144" t="s">
        <v>52</v>
      </c>
      <c r="AV3" s="144" t="s">
        <v>53</v>
      </c>
      <c r="AW3" s="144" t="s">
        <v>54</v>
      </c>
      <c r="AX3" s="144" t="s">
        <v>55</v>
      </c>
      <c r="AY3" s="144" t="s">
        <v>56</v>
      </c>
      <c r="AZ3" s="145" t="s">
        <v>57</v>
      </c>
      <c r="BA3" s="144" t="s">
        <v>58</v>
      </c>
      <c r="BB3" s="144" t="s">
        <v>59</v>
      </c>
      <c r="BC3" s="146" t="s">
        <v>60</v>
      </c>
      <c r="BD3" s="146" t="s">
        <v>61</v>
      </c>
      <c r="BE3" s="146" t="s">
        <v>62</v>
      </c>
      <c r="BF3" s="147" t="s">
        <v>63</v>
      </c>
      <c r="BG3" s="147" t="s">
        <v>64</v>
      </c>
      <c r="BH3" s="1" t="s">
        <v>65</v>
      </c>
      <c r="BI3" s="1" t="s">
        <v>66</v>
      </c>
    </row>
    <row r="4" ht="29.1" customHeight="1" spans="1:61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148"/>
      <c r="G4" s="148"/>
      <c r="H4" s="64"/>
      <c r="I4" s="64"/>
      <c r="J4" s="149">
        <v>2</v>
      </c>
      <c r="K4" s="150">
        <f t="shared" ref="K4:K35" si="0">J4/C4</f>
        <v>0.0606060606060606</v>
      </c>
      <c r="L4" s="151">
        <v>28.14</v>
      </c>
      <c r="M4" s="152" t="e">
        <f t="shared" ref="M4:M45" si="1">(C4-C3)/C3</f>
        <v>#VALUE!</v>
      </c>
      <c r="N4" s="150" t="e">
        <f t="shared" ref="N4:N45" si="2">(D4-D3)/D3</f>
        <v>#VALUE!</v>
      </c>
      <c r="O4" s="150" t="e">
        <f t="shared" ref="O4:O45" si="3">(E4-E3)/E3</f>
        <v>#VALUE!</v>
      </c>
      <c r="P4" s="153">
        <f t="shared" ref="P4:P35" si="4">C4/D4</f>
        <v>1</v>
      </c>
      <c r="Q4" s="154">
        <f t="shared" ref="Q4:Q35" si="5">E4/D4</f>
        <v>16.0812121212121</v>
      </c>
      <c r="R4" s="154">
        <f t="shared" ref="R4:R35" si="6">E4/C4</f>
        <v>16.0812121212121</v>
      </c>
      <c r="S4" s="154">
        <f t="shared" ref="S4:S35" si="7">C4/7</f>
        <v>4.71428571428571</v>
      </c>
      <c r="T4" s="193">
        <f t="shared" ref="T4:T35" si="8">D4-Y4</f>
        <v>7</v>
      </c>
      <c r="U4" s="157">
        <f t="shared" ref="U4:U35" si="9">T4/D4</f>
        <v>0.212121212121212</v>
      </c>
      <c r="V4" s="94">
        <f t="shared" ref="V4:V35" si="10">Z4/(E4-I4)</f>
        <v>0.544018994497626</v>
      </c>
      <c r="W4" s="91">
        <v>51372</v>
      </c>
      <c r="X4" s="91">
        <v>301</v>
      </c>
      <c r="Y4" s="91">
        <v>26</v>
      </c>
      <c r="Z4" s="91">
        <v>288.7</v>
      </c>
      <c r="AA4" s="92">
        <v>429.74</v>
      </c>
      <c r="AB4" s="91">
        <v>0.96</v>
      </c>
      <c r="AC4" s="71">
        <f t="shared" ref="AC4:AC35" si="11">Z4/AA4</f>
        <v>0.671801554428259</v>
      </c>
      <c r="AD4" s="72">
        <f t="shared" ref="AD4:AD35" si="12">X4/W4</f>
        <v>0.00585922292299307</v>
      </c>
      <c r="AE4" s="72">
        <f t="shared" ref="AE4:AE35" si="13">Y4/X4</f>
        <v>0.0863787375415282</v>
      </c>
      <c r="AF4" s="154">
        <f t="shared" ref="AF4:AF35" si="14">Z4/Y4</f>
        <v>11.1038461538462</v>
      </c>
      <c r="AG4" s="160">
        <v>0</v>
      </c>
      <c r="AH4" s="161">
        <v>33</v>
      </c>
      <c r="AI4" s="165"/>
      <c r="AJ4" s="166"/>
      <c r="AK4" s="163">
        <f>AG4*产品成本!$D$11+AH4*产品成本!$D$12+AI4*产品成本!$D$13+AJ4*产品成本!$D$14</f>
        <v>204.507042253521</v>
      </c>
      <c r="AL4" s="163">
        <f>AG4*产品成本!$E$11+AH4*产品成本!$E$12+AI4*产品成本!$E$13+AJ4*产品成本!$E$14</f>
        <v>11.8167887323944</v>
      </c>
      <c r="AM4" s="163">
        <f>AG4*产品成本!$F$11+AH4*产品成本!$F$12+AI4*产品成本!$F$13+AJ4*产品成本!$F$14</f>
        <v>11.22</v>
      </c>
      <c r="AN4" s="163">
        <f>AG4*产品成本!$G$11+AH4*产品成本!$G$12+AI4*产品成本!$G$13+AJ4*产品成本!$G$14</f>
        <v>128.7</v>
      </c>
      <c r="AO4" s="163">
        <f t="shared" ref="AO4:AO35" si="15">(E4-I4)*0.15</f>
        <v>79.602</v>
      </c>
      <c r="AP4" s="164">
        <f t="shared" ref="AP4:AP35" si="16">SUM(AK4:AO4)</f>
        <v>435.845830985915</v>
      </c>
      <c r="AQ4" s="165">
        <v>0</v>
      </c>
      <c r="AR4" s="165">
        <v>2</v>
      </c>
      <c r="AS4" s="165"/>
      <c r="AT4" s="166"/>
      <c r="AU4" s="167">
        <f t="shared" ref="AU4:AU35" si="17">L4/(1-0.15-0.15*0.2)</f>
        <v>34.3170731707317</v>
      </c>
      <c r="AV4" s="163">
        <f>AQ4*产品成本!$D$11+AR4*产品成本!$D$12+AS4*产品成本!$D$13+AT4*产品成本!$D$14</f>
        <v>12.3943661971831</v>
      </c>
      <c r="AW4" s="163">
        <f>AQ4*产品成本!$E$11+AR4*产品成本!$E$12+AS4*产品成本!$E$13+AT4*产品成本!$E$14</f>
        <v>0.716169014084508</v>
      </c>
      <c r="AX4" s="163">
        <f>AQ4*产品成本!$F$11+AR4*产品成本!$F$12+AS4*产品成本!$F$13+AT4*产品成本!$F$14</f>
        <v>0.68</v>
      </c>
      <c r="AY4" s="163">
        <v>0</v>
      </c>
      <c r="AZ4" s="163">
        <f t="shared" ref="AZ4:AZ35" si="18">AU4*0.15</f>
        <v>5.14756097560976</v>
      </c>
      <c r="BA4" s="163">
        <f t="shared" ref="BA4:BA35" si="19">-AZ4*0.2</f>
        <v>-1.02951219512195</v>
      </c>
      <c r="BB4" s="164">
        <f t="shared" ref="BB4:BB35" si="20">SUM(AV4:BA4)</f>
        <v>17.9085839917554</v>
      </c>
      <c r="BC4" s="169">
        <f t="shared" ref="BC4:BC35" si="21">AP4-BB4</f>
        <v>417.93724699416</v>
      </c>
      <c r="BD4" s="169">
        <f t="shared" ref="BD4:BD35" si="22">E4-I4</f>
        <v>530.68</v>
      </c>
      <c r="BE4" s="169">
        <f t="shared" ref="BE4:BE35" si="23">E4-AU4-I4</f>
        <v>496.362926829268</v>
      </c>
      <c r="BF4" s="168">
        <f t="shared" ref="BF4:BF35" si="24">BE4-BC4-Z4</f>
        <v>-210.274320164892</v>
      </c>
      <c r="BG4" s="170">
        <f t="shared" ref="BG4:BG35" si="25">BF4/BE4</f>
        <v>-0.423630188314243</v>
      </c>
    </row>
    <row r="5" ht="29.1" customHeight="1" spans="1:61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148"/>
      <c r="G5" s="148"/>
      <c r="H5" s="64"/>
      <c r="I5" s="64"/>
      <c r="J5" s="149">
        <v>3</v>
      </c>
      <c r="K5" s="150">
        <f t="shared" si="0"/>
        <v>0.103448275862069</v>
      </c>
      <c r="L5" s="151">
        <v>43.97</v>
      </c>
      <c r="M5" s="152">
        <f t="shared" si="1"/>
        <v>-0.121212121212121</v>
      </c>
      <c r="N5" s="150">
        <f t="shared" si="2"/>
        <v>-0.121212121212121</v>
      </c>
      <c r="O5" s="150">
        <f t="shared" si="3"/>
        <v>-0.0706075224240597</v>
      </c>
      <c r="P5" s="153">
        <f t="shared" si="4"/>
        <v>1</v>
      </c>
      <c r="Q5" s="154">
        <f t="shared" si="5"/>
        <v>17.0072413793103</v>
      </c>
      <c r="R5" s="154">
        <f t="shared" si="6"/>
        <v>17.0072413793103</v>
      </c>
      <c r="S5" s="154">
        <f t="shared" si="7"/>
        <v>4.14285714285714</v>
      </c>
      <c r="T5" s="193">
        <f t="shared" si="8"/>
        <v>8</v>
      </c>
      <c r="U5" s="157">
        <f t="shared" si="9"/>
        <v>0.275862068965517</v>
      </c>
      <c r="V5" s="94">
        <f t="shared" si="10"/>
        <v>0.377790393544332</v>
      </c>
      <c r="W5" s="91">
        <v>30309</v>
      </c>
      <c r="X5" s="91">
        <v>207</v>
      </c>
      <c r="Y5" s="91">
        <v>21</v>
      </c>
      <c r="Z5" s="91">
        <v>186.33</v>
      </c>
      <c r="AA5" s="92">
        <v>354.29</v>
      </c>
      <c r="AB5" s="91">
        <v>0.9</v>
      </c>
      <c r="AC5" s="71">
        <f t="shared" si="11"/>
        <v>0.525925089615851</v>
      </c>
      <c r="AD5" s="72">
        <f t="shared" si="12"/>
        <v>0.00682965455805206</v>
      </c>
      <c r="AE5" s="72">
        <f t="shared" si="13"/>
        <v>0.101449275362319</v>
      </c>
      <c r="AF5" s="154">
        <f t="shared" si="14"/>
        <v>8.87285714285714</v>
      </c>
      <c r="AG5" s="160">
        <v>0</v>
      </c>
      <c r="AH5" s="161">
        <v>29</v>
      </c>
      <c r="AI5" s="165"/>
      <c r="AJ5" s="166"/>
      <c r="AK5" s="163">
        <f>AG5*产品成本!$D$11+AH5*产品成本!$D$12+AI5*产品成本!$D$13+AJ5*产品成本!$D$14</f>
        <v>179.718309859155</v>
      </c>
      <c r="AL5" s="163">
        <f>AG5*产品成本!$E$11+AH5*产品成本!$E$12+AI5*产品成本!$E$13+AJ5*产品成本!$E$14</f>
        <v>10.3844507042254</v>
      </c>
      <c r="AM5" s="163">
        <f>AG5*产品成本!$F$11+AH5*产品成本!$F$12+AI5*产品成本!$F$13+AJ5*产品成本!$F$14</f>
        <v>9.86</v>
      </c>
      <c r="AN5" s="163">
        <f>AG5*产品成本!$G$11+AH5*产品成本!$G$12+AI5*产品成本!$G$13+AJ5*产品成本!$G$14</f>
        <v>113.1</v>
      </c>
      <c r="AO5" s="163">
        <f t="shared" si="15"/>
        <v>73.9815</v>
      </c>
      <c r="AP5" s="164">
        <f t="shared" si="16"/>
        <v>387.04426056338</v>
      </c>
      <c r="AQ5" s="165">
        <v>0</v>
      </c>
      <c r="AR5" s="165">
        <v>3</v>
      </c>
      <c r="AS5" s="165"/>
      <c r="AT5" s="166"/>
      <c r="AU5" s="167">
        <f t="shared" si="17"/>
        <v>53.6219512195122</v>
      </c>
      <c r="AV5" s="163">
        <f>AQ5*产品成本!$D$11+AR5*产品成本!$D$12+AS5*产品成本!$D$13+AT5*产品成本!$D$14</f>
        <v>18.5915492957746</v>
      </c>
      <c r="AW5" s="163">
        <f>AQ5*产品成本!$E$11+AR5*产品成本!$E$12+AS5*产品成本!$E$13+AT5*产品成本!$E$14</f>
        <v>1.07425352112676</v>
      </c>
      <c r="AX5" s="163">
        <f>AQ5*产品成本!$F$11+AR5*产品成本!$F$12+AS5*产品成本!$F$13+AT5*产品成本!$F$14</f>
        <v>1.02</v>
      </c>
      <c r="AY5" s="163">
        <v>0</v>
      </c>
      <c r="AZ5" s="163">
        <f t="shared" si="18"/>
        <v>8.04329268292683</v>
      </c>
      <c r="BA5" s="163">
        <f t="shared" si="19"/>
        <v>-1.60865853658537</v>
      </c>
      <c r="BB5" s="164">
        <f t="shared" si="20"/>
        <v>27.1204369632429</v>
      </c>
      <c r="BC5" s="169">
        <f t="shared" si="21"/>
        <v>359.923823600137</v>
      </c>
      <c r="BD5" s="169">
        <f t="shared" si="22"/>
        <v>493.21</v>
      </c>
      <c r="BE5" s="169">
        <f t="shared" si="23"/>
        <v>439.588048780488</v>
      </c>
      <c r="BF5" s="168">
        <f t="shared" si="24"/>
        <v>-106.66577481965</v>
      </c>
      <c r="BG5" s="170">
        <f t="shared" si="25"/>
        <v>-0.242649396669367</v>
      </c>
    </row>
    <row r="6" ht="29.1" customHeight="1" spans="1:61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148"/>
      <c r="G6" s="148"/>
      <c r="H6" s="64"/>
      <c r="I6" s="64"/>
      <c r="J6" s="149">
        <v>3</v>
      </c>
      <c r="K6" s="150">
        <f t="shared" si="0"/>
        <v>0.272727272727273</v>
      </c>
      <c r="L6" s="151">
        <v>37.92</v>
      </c>
      <c r="M6" s="152">
        <f t="shared" si="1"/>
        <v>-0.620689655172414</v>
      </c>
      <c r="N6" s="150">
        <f t="shared" si="2"/>
        <v>-0.620689655172414</v>
      </c>
      <c r="O6" s="150">
        <f t="shared" si="3"/>
        <v>-0.591492467711523</v>
      </c>
      <c r="P6" s="153">
        <f t="shared" si="4"/>
        <v>1</v>
      </c>
      <c r="Q6" s="154">
        <f t="shared" si="5"/>
        <v>18.3163636363636</v>
      </c>
      <c r="R6" s="154">
        <f t="shared" si="6"/>
        <v>18.3163636363636</v>
      </c>
      <c r="S6" s="154">
        <f t="shared" si="7"/>
        <v>1.57142857142857</v>
      </c>
      <c r="T6" s="193">
        <f t="shared" si="8"/>
        <v>2</v>
      </c>
      <c r="U6" s="157">
        <f t="shared" si="9"/>
        <v>0.181818181818182</v>
      </c>
      <c r="V6" s="94">
        <f t="shared" si="10"/>
        <v>0.405747468731388</v>
      </c>
      <c r="W6" s="91">
        <v>19912</v>
      </c>
      <c r="X6" s="91">
        <v>103</v>
      </c>
      <c r="Y6" s="91">
        <v>9</v>
      </c>
      <c r="Z6" s="91">
        <v>81.75</v>
      </c>
      <c r="AA6" s="92">
        <v>163.5</v>
      </c>
      <c r="AB6" s="91">
        <v>0.79</v>
      </c>
      <c r="AC6" s="71">
        <f t="shared" si="11"/>
        <v>0.5</v>
      </c>
      <c r="AD6" s="72">
        <f t="shared" si="12"/>
        <v>0.0051727601446364</v>
      </c>
      <c r="AE6" s="72">
        <f t="shared" si="13"/>
        <v>0.087378640776699</v>
      </c>
      <c r="AF6" s="154">
        <f t="shared" si="14"/>
        <v>9.08333333333333</v>
      </c>
      <c r="AG6" s="160">
        <v>0</v>
      </c>
      <c r="AH6" s="161">
        <v>11</v>
      </c>
      <c r="AI6" s="165"/>
      <c r="AJ6" s="166"/>
      <c r="AK6" s="163">
        <f>AG6*产品成本!$D$11+AH6*产品成本!$D$12+AI6*产品成本!$D$13+AJ6*产品成本!$D$14</f>
        <v>68.1690140845071</v>
      </c>
      <c r="AL6" s="163">
        <f>AG6*产品成本!$E$11+AH6*产品成本!$E$12+AI6*产品成本!$E$13+AJ6*产品成本!$E$14</f>
        <v>3.93892957746479</v>
      </c>
      <c r="AM6" s="163">
        <f>AG6*产品成本!$F$11+AH6*产品成本!$F$12+AI6*产品成本!$F$13+AJ6*产品成本!$F$14</f>
        <v>3.74</v>
      </c>
      <c r="AN6" s="163">
        <f>AG6*产品成本!$G$11+AH6*产品成本!$G$12+AI6*产品成本!$G$13+AJ6*产品成本!$G$14</f>
        <v>42.9</v>
      </c>
      <c r="AO6" s="163">
        <f t="shared" si="15"/>
        <v>30.222</v>
      </c>
      <c r="AP6" s="164">
        <f t="shared" si="16"/>
        <v>148.969943661972</v>
      </c>
      <c r="AQ6" s="165">
        <v>0</v>
      </c>
      <c r="AR6" s="165">
        <v>3</v>
      </c>
      <c r="AS6" s="165"/>
      <c r="AT6" s="166"/>
      <c r="AU6" s="167">
        <f t="shared" si="17"/>
        <v>46.2439024390244</v>
      </c>
      <c r="AV6" s="163">
        <f>AQ6*产品成本!$D$11+AR6*产品成本!$D$12+AS6*产品成本!$D$13+AT6*产品成本!$D$14</f>
        <v>18.5915492957746</v>
      </c>
      <c r="AW6" s="163">
        <f>AQ6*产品成本!$E$11+AR6*产品成本!$E$12+AS6*产品成本!$E$13+AT6*产品成本!$E$14</f>
        <v>1.07425352112676</v>
      </c>
      <c r="AX6" s="163">
        <f>AQ6*产品成本!$F$11+AR6*产品成本!$F$12+AS6*产品成本!$F$13+AT6*产品成本!$F$14</f>
        <v>1.02</v>
      </c>
      <c r="AY6" s="163">
        <v>0</v>
      </c>
      <c r="AZ6" s="163">
        <f t="shared" si="18"/>
        <v>6.93658536585366</v>
      </c>
      <c r="BA6" s="163">
        <f t="shared" si="19"/>
        <v>-1.38731707317073</v>
      </c>
      <c r="BB6" s="164">
        <f t="shared" si="20"/>
        <v>26.2350711095843</v>
      </c>
      <c r="BC6" s="169">
        <f t="shared" si="21"/>
        <v>122.734872552388</v>
      </c>
      <c r="BD6" s="169">
        <f t="shared" si="22"/>
        <v>201.48</v>
      </c>
      <c r="BE6" s="169">
        <f t="shared" si="23"/>
        <v>155.236097560976</v>
      </c>
      <c r="BF6" s="168">
        <f t="shared" si="24"/>
        <v>-49.2487749914119</v>
      </c>
      <c r="BG6" s="170">
        <f t="shared" si="25"/>
        <v>-0.317250792600396</v>
      </c>
    </row>
    <row r="7" ht="29.1" customHeight="1" spans="1:61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1"/>
        <v>1.90909090909091</v>
      </c>
      <c r="N7" s="150">
        <f t="shared" si="2"/>
        <v>1.90909090909091</v>
      </c>
      <c r="O7" s="150">
        <f t="shared" si="3"/>
        <v>1.65078419694262</v>
      </c>
      <c r="P7" s="153">
        <f t="shared" si="4"/>
        <v>1</v>
      </c>
      <c r="Q7" s="154">
        <f t="shared" si="5"/>
        <v>16.69</v>
      </c>
      <c r="R7" s="154">
        <f t="shared" si="6"/>
        <v>16.69</v>
      </c>
      <c r="S7" s="154">
        <f t="shared" si="7"/>
        <v>4.57142857142857</v>
      </c>
      <c r="T7" s="193">
        <f t="shared" si="8"/>
        <v>0</v>
      </c>
      <c r="U7" s="157">
        <f t="shared" si="9"/>
        <v>0</v>
      </c>
      <c r="V7" s="94">
        <f t="shared" si="10"/>
        <v>0.571187837028161</v>
      </c>
      <c r="W7" s="91">
        <v>37460</v>
      </c>
      <c r="X7" s="91">
        <v>295</v>
      </c>
      <c r="Y7" s="91">
        <v>32</v>
      </c>
      <c r="Z7" s="91">
        <v>305.06</v>
      </c>
      <c r="AA7" s="92">
        <v>554.77</v>
      </c>
      <c r="AB7" s="91">
        <v>1.03</v>
      </c>
      <c r="AC7" s="71">
        <f t="shared" si="11"/>
        <v>0.549885538150945</v>
      </c>
      <c r="AD7" s="72">
        <f t="shared" si="12"/>
        <v>0.00787506673785371</v>
      </c>
      <c r="AE7" s="72">
        <f t="shared" si="13"/>
        <v>0.108474576271186</v>
      </c>
      <c r="AF7" s="154">
        <f t="shared" si="14"/>
        <v>9.533125</v>
      </c>
      <c r="AG7" s="160">
        <v>0</v>
      </c>
      <c r="AH7" s="161">
        <v>32</v>
      </c>
      <c r="AI7" s="165"/>
      <c r="AJ7" s="166"/>
      <c r="AK7" s="163">
        <f>AG7*产品成本!$D$11+AH7*产品成本!$D$12+AI7*产品成本!$D$13+AJ7*产品成本!$D$14</f>
        <v>198.30985915493</v>
      </c>
      <c r="AL7" s="163">
        <f>AG7*产品成本!$E$11+AH7*产品成本!$E$12+AI7*产品成本!$E$13+AJ7*产品成本!$E$14</f>
        <v>11.4587042253521</v>
      </c>
      <c r="AM7" s="163">
        <f>AG7*产品成本!$F$11+AH7*产品成本!$F$12+AI7*产品成本!$F$13+AJ7*产品成本!$F$14</f>
        <v>10.88</v>
      </c>
      <c r="AN7" s="163">
        <f>AG7*产品成本!$G$11+AH7*产品成本!$G$12+AI7*产品成本!$G$13+AJ7*产品成本!$G$14</f>
        <v>124.8</v>
      </c>
      <c r="AO7" s="163">
        <f t="shared" si="15"/>
        <v>80.112</v>
      </c>
      <c r="AP7" s="164">
        <f t="shared" si="16"/>
        <v>425.560563380282</v>
      </c>
      <c r="AQ7" s="165">
        <v>0</v>
      </c>
      <c r="AR7" s="165">
        <v>0</v>
      </c>
      <c r="AS7" s="165"/>
      <c r="AT7" s="166"/>
      <c r="AU7" s="167">
        <f t="shared" si="17"/>
        <v>0</v>
      </c>
      <c r="AV7" s="163">
        <f>AQ7*产品成本!$D$11+AR7*产品成本!$D$12+AS7*产品成本!$D$13+AT7*产品成本!$D$14</f>
        <v>0</v>
      </c>
      <c r="AW7" s="163">
        <f>AQ7*产品成本!$E$11+AR7*产品成本!$E$12+AS7*产品成本!$E$13+AT7*产品成本!$E$14</f>
        <v>0</v>
      </c>
      <c r="AX7" s="163">
        <f>AQ7*产品成本!$F$11+AR7*产品成本!$F$12+AS7*产品成本!$F$13+AT7*产品成本!$F$14</f>
        <v>0</v>
      </c>
      <c r="AY7" s="163">
        <v>0</v>
      </c>
      <c r="AZ7" s="163">
        <f t="shared" si="18"/>
        <v>0</v>
      </c>
      <c r="BA7" s="163">
        <f t="shared" si="19"/>
        <v>0</v>
      </c>
      <c r="BB7" s="164">
        <f t="shared" si="20"/>
        <v>0</v>
      </c>
      <c r="BC7" s="169">
        <f t="shared" si="21"/>
        <v>425.560563380282</v>
      </c>
      <c r="BD7" s="169">
        <f t="shared" si="22"/>
        <v>534.08</v>
      </c>
      <c r="BE7" s="169">
        <f t="shared" si="23"/>
        <v>534.08</v>
      </c>
      <c r="BF7" s="168">
        <f t="shared" si="24"/>
        <v>-196.540563380282</v>
      </c>
      <c r="BG7" s="170">
        <f t="shared" si="25"/>
        <v>-0.367998358635938</v>
      </c>
    </row>
    <row r="8" ht="29.1" customHeight="1" spans="1:61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148"/>
      <c r="G8" s="148"/>
      <c r="H8" s="64"/>
      <c r="I8" s="64"/>
      <c r="J8" s="149">
        <v>3</v>
      </c>
      <c r="K8" s="150">
        <f t="shared" si="0"/>
        <v>0.0967741935483871</v>
      </c>
      <c r="L8" s="151">
        <v>47.49</v>
      </c>
      <c r="M8" s="152">
        <f t="shared" si="1"/>
        <v>-0.03125</v>
      </c>
      <c r="N8" s="150">
        <f t="shared" si="2"/>
        <v>-0.09375</v>
      </c>
      <c r="O8" s="150">
        <f t="shared" si="3"/>
        <v>0.0331598262432593</v>
      </c>
      <c r="P8" s="153">
        <f t="shared" si="4"/>
        <v>1.06896551724138</v>
      </c>
      <c r="Q8" s="154">
        <f t="shared" si="5"/>
        <v>19.0272413793103</v>
      </c>
      <c r="R8" s="154">
        <f t="shared" si="6"/>
        <v>17.7996774193548</v>
      </c>
      <c r="S8" s="154">
        <f t="shared" si="7"/>
        <v>4.42857142857143</v>
      </c>
      <c r="T8" s="193">
        <f t="shared" si="8"/>
        <v>8</v>
      </c>
      <c r="U8" s="157">
        <f t="shared" si="9"/>
        <v>0.275862068965517</v>
      </c>
      <c r="V8" s="94">
        <f t="shared" si="10"/>
        <v>0.546983453850197</v>
      </c>
      <c r="W8" s="91">
        <v>60281</v>
      </c>
      <c r="X8" s="91">
        <v>304</v>
      </c>
      <c r="Y8" s="91">
        <v>21</v>
      </c>
      <c r="Z8" s="91">
        <v>301.82</v>
      </c>
      <c r="AA8" s="92">
        <v>391.28</v>
      </c>
      <c r="AB8" s="91">
        <v>0.99</v>
      </c>
      <c r="AC8" s="71">
        <f t="shared" si="11"/>
        <v>0.771365773870374</v>
      </c>
      <c r="AD8" s="72">
        <f t="shared" si="12"/>
        <v>0.00504304839003998</v>
      </c>
      <c r="AE8" s="72">
        <f t="shared" si="13"/>
        <v>0.0690789473684211</v>
      </c>
      <c r="AF8" s="154">
        <f t="shared" si="14"/>
        <v>14.372380952381</v>
      </c>
      <c r="AG8" s="160">
        <v>0</v>
      </c>
      <c r="AH8" s="161">
        <v>31</v>
      </c>
      <c r="AI8" s="165"/>
      <c r="AJ8" s="166"/>
      <c r="AK8" s="163">
        <f>AG8*产品成本!$D$11+AH8*产品成本!$D$12+AI8*产品成本!$D$13+AJ8*产品成本!$D$14</f>
        <v>192.112676056338</v>
      </c>
      <c r="AL8" s="163">
        <f>AG8*产品成本!$E$11+AH8*产品成本!$E$12+AI8*产品成本!$E$13+AJ8*产品成本!$E$14</f>
        <v>11.1006197183099</v>
      </c>
      <c r="AM8" s="163">
        <f>AG8*产品成本!$F$11+AH8*产品成本!$F$12+AI8*产品成本!$F$13+AJ8*产品成本!$F$14</f>
        <v>10.54</v>
      </c>
      <c r="AN8" s="163">
        <f>AG8*产品成本!$G$11+AH8*产品成本!$G$12+AI8*产品成本!$G$13+AJ8*产品成本!$G$14</f>
        <v>120.9</v>
      </c>
      <c r="AO8" s="163">
        <f t="shared" si="15"/>
        <v>82.7685</v>
      </c>
      <c r="AP8" s="164">
        <f t="shared" si="16"/>
        <v>417.421795774648</v>
      </c>
      <c r="AQ8" s="165">
        <v>0</v>
      </c>
      <c r="AR8" s="165">
        <v>3</v>
      </c>
      <c r="AS8" s="165"/>
      <c r="AT8" s="166"/>
      <c r="AU8" s="167">
        <f t="shared" si="17"/>
        <v>57.9146341463415</v>
      </c>
      <c r="AV8" s="163">
        <f>AQ8*产品成本!$D$11+AR8*产品成本!$D$12+AS8*产品成本!$D$13+AT8*产品成本!$D$14</f>
        <v>18.5915492957746</v>
      </c>
      <c r="AW8" s="163">
        <f>AQ8*产品成本!$E$11+AR8*产品成本!$E$12+AS8*产品成本!$E$13+AT8*产品成本!$E$14</f>
        <v>1.07425352112676</v>
      </c>
      <c r="AX8" s="163">
        <f>AQ8*产品成本!$F$11+AR8*产品成本!$F$12+AS8*产品成本!$F$13+AT8*产品成本!$F$14</f>
        <v>1.02</v>
      </c>
      <c r="AY8" s="163">
        <v>0</v>
      </c>
      <c r="AZ8" s="163">
        <f t="shared" si="18"/>
        <v>8.68719512195122</v>
      </c>
      <c r="BA8" s="163">
        <f t="shared" si="19"/>
        <v>-1.73743902439024</v>
      </c>
      <c r="BB8" s="164">
        <f t="shared" si="20"/>
        <v>27.6355589144624</v>
      </c>
      <c r="BC8" s="169">
        <f t="shared" si="21"/>
        <v>389.786236860186</v>
      </c>
      <c r="BD8" s="169">
        <f t="shared" si="22"/>
        <v>551.79</v>
      </c>
      <c r="BE8" s="169">
        <f t="shared" si="23"/>
        <v>493.875365853658</v>
      </c>
      <c r="BF8" s="168">
        <f t="shared" si="24"/>
        <v>-197.730871006527</v>
      </c>
      <c r="BG8" s="170">
        <f t="shared" si="25"/>
        <v>-0.400365931726016</v>
      </c>
    </row>
    <row r="9" ht="29.1" customHeight="1" spans="1:61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148"/>
      <c r="G9" s="148"/>
      <c r="H9" s="64"/>
      <c r="I9" s="64"/>
      <c r="J9" s="149">
        <v>4</v>
      </c>
      <c r="K9" s="150">
        <f t="shared" si="0"/>
        <v>0.111111111111111</v>
      </c>
      <c r="L9" s="151">
        <v>66.84</v>
      </c>
      <c r="M9" s="152">
        <f t="shared" si="1"/>
        <v>0.161290322580645</v>
      </c>
      <c r="N9" s="150">
        <f t="shared" si="2"/>
        <v>0.241379310344828</v>
      </c>
      <c r="O9" s="150">
        <f t="shared" si="3"/>
        <v>0.177331955997753</v>
      </c>
      <c r="P9" s="153">
        <f t="shared" si="4"/>
        <v>1</v>
      </c>
      <c r="Q9" s="154">
        <f t="shared" si="5"/>
        <v>18.0455555555556</v>
      </c>
      <c r="R9" s="154">
        <f t="shared" si="6"/>
        <v>18.0455555555556</v>
      </c>
      <c r="S9" s="154">
        <f t="shared" si="7"/>
        <v>5.14285714285714</v>
      </c>
      <c r="T9" s="193">
        <f t="shared" si="8"/>
        <v>12</v>
      </c>
      <c r="U9" s="157">
        <f t="shared" si="9"/>
        <v>0.333333333333333</v>
      </c>
      <c r="V9" s="94">
        <f t="shared" si="10"/>
        <v>0.39018533341543</v>
      </c>
      <c r="W9" s="91">
        <v>42587</v>
      </c>
      <c r="X9" s="91">
        <v>273</v>
      </c>
      <c r="Y9" s="91">
        <v>24</v>
      </c>
      <c r="Z9" s="91">
        <v>253.48</v>
      </c>
      <c r="AA9" s="92">
        <v>425.76</v>
      </c>
      <c r="AB9" s="91">
        <v>0.93</v>
      </c>
      <c r="AC9" s="71">
        <f t="shared" si="11"/>
        <v>0.595358887636227</v>
      </c>
      <c r="AD9" s="72">
        <f t="shared" si="12"/>
        <v>0.00641040693169277</v>
      </c>
      <c r="AE9" s="72">
        <f t="shared" si="13"/>
        <v>0.0879120879120879</v>
      </c>
      <c r="AF9" s="154">
        <f t="shared" si="14"/>
        <v>10.5616666666667</v>
      </c>
      <c r="AG9" s="160">
        <v>12</v>
      </c>
      <c r="AH9" s="161">
        <v>24</v>
      </c>
      <c r="AI9" s="165"/>
      <c r="AJ9" s="166"/>
      <c r="AK9" s="163">
        <f>AG9*产品成本!$D$11+AH9*产品成本!$D$12+AI9*产品成本!$D$13+AJ9*产品成本!$D$14</f>
        <v>211.267605633803</v>
      </c>
      <c r="AL9" s="163">
        <f>AG9*产品成本!$E$11+AH9*产品成本!$E$12+AI9*产品成本!$E$13+AJ9*产品成本!$E$14</f>
        <v>12.8910422535211</v>
      </c>
      <c r="AM9" s="163">
        <f>AG9*产品成本!$F$11+AH9*产品成本!$F$12+AI9*产品成本!$F$13+AJ9*产品成本!$F$14</f>
        <v>12.24</v>
      </c>
      <c r="AN9" s="163">
        <f>AG9*产品成本!$G$11+AH9*产品成本!$G$12+AI9*产品成本!$G$13+AJ9*产品成本!$G$14</f>
        <v>140.4</v>
      </c>
      <c r="AO9" s="163">
        <f t="shared" si="15"/>
        <v>97.446</v>
      </c>
      <c r="AP9" s="164">
        <f t="shared" si="16"/>
        <v>474.244647887324</v>
      </c>
      <c r="AQ9" s="165">
        <v>0</v>
      </c>
      <c r="AR9" s="165">
        <v>4</v>
      </c>
      <c r="AS9" s="165"/>
      <c r="AT9" s="166"/>
      <c r="AU9" s="167">
        <f t="shared" si="17"/>
        <v>81.5121951219512</v>
      </c>
      <c r="AV9" s="163">
        <f>AQ9*产品成本!$D$11+AR9*产品成本!$D$12+AS9*产品成本!$D$13+AT9*产品成本!$D$14</f>
        <v>24.7887323943662</v>
      </c>
      <c r="AW9" s="163">
        <f>AQ9*产品成本!$E$11+AR9*产品成本!$E$12+AS9*产品成本!$E$13+AT9*产品成本!$E$14</f>
        <v>1.43233802816902</v>
      </c>
      <c r="AX9" s="163">
        <f>AQ9*产品成本!$F$11+AR9*产品成本!$F$12+AS9*产品成本!$F$13+AT9*产品成本!$F$14</f>
        <v>1.36</v>
      </c>
      <c r="AY9" s="163">
        <v>0</v>
      </c>
      <c r="AZ9" s="163">
        <f t="shared" si="18"/>
        <v>12.2268292682927</v>
      </c>
      <c r="BA9" s="163">
        <f t="shared" si="19"/>
        <v>-2.44536585365854</v>
      </c>
      <c r="BB9" s="164">
        <f t="shared" si="20"/>
        <v>37.3625338371694</v>
      </c>
      <c r="BC9" s="169">
        <f t="shared" si="21"/>
        <v>436.882114050155</v>
      </c>
      <c r="BD9" s="169">
        <f t="shared" si="22"/>
        <v>649.64</v>
      </c>
      <c r="BE9" s="169">
        <f t="shared" si="23"/>
        <v>568.127804878049</v>
      </c>
      <c r="BF9" s="168">
        <f t="shared" si="24"/>
        <v>-122.234309172106</v>
      </c>
      <c r="BG9" s="170">
        <f t="shared" si="25"/>
        <v>-0.215152837306289</v>
      </c>
    </row>
    <row r="10" ht="29.1" customHeight="1" spans="1:61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148"/>
      <c r="G10" s="148"/>
      <c r="H10" s="64"/>
      <c r="I10" s="64"/>
      <c r="J10" s="149">
        <v>2</v>
      </c>
      <c r="K10" s="150">
        <f t="shared" si="0"/>
        <v>0.0266666666666667</v>
      </c>
      <c r="L10" s="151">
        <v>29.9</v>
      </c>
      <c r="M10" s="152">
        <f t="shared" si="1"/>
        <v>1.08333333333333</v>
      </c>
      <c r="N10" s="150">
        <f t="shared" si="2"/>
        <v>1.08333333333333</v>
      </c>
      <c r="O10" s="150">
        <f t="shared" si="3"/>
        <v>1.05459947047596</v>
      </c>
      <c r="P10" s="153">
        <f t="shared" si="4"/>
        <v>1</v>
      </c>
      <c r="Q10" s="154">
        <f t="shared" si="5"/>
        <v>17.7966666666667</v>
      </c>
      <c r="R10" s="154">
        <f t="shared" si="6"/>
        <v>17.7966666666667</v>
      </c>
      <c r="S10" s="154">
        <f t="shared" si="7"/>
        <v>10.7142857142857</v>
      </c>
      <c r="T10" s="193">
        <f t="shared" si="8"/>
        <v>40</v>
      </c>
      <c r="U10" s="157">
        <f t="shared" si="9"/>
        <v>0.533333333333333</v>
      </c>
      <c r="V10" s="94">
        <f t="shared" si="10"/>
        <v>0.199265780108635</v>
      </c>
      <c r="W10" s="91">
        <v>61553</v>
      </c>
      <c r="X10" s="91">
        <v>276</v>
      </c>
      <c r="Y10" s="91">
        <v>35</v>
      </c>
      <c r="Z10" s="91">
        <v>265.97</v>
      </c>
      <c r="AA10" s="92">
        <v>627.65</v>
      </c>
      <c r="AB10" s="91">
        <v>0.96</v>
      </c>
      <c r="AC10" s="71">
        <f t="shared" si="11"/>
        <v>0.423755277622879</v>
      </c>
      <c r="AD10" s="72">
        <f t="shared" si="12"/>
        <v>0.00448394066901694</v>
      </c>
      <c r="AE10" s="72">
        <f t="shared" si="13"/>
        <v>0.126811594202899</v>
      </c>
      <c r="AF10" s="154">
        <f t="shared" si="14"/>
        <v>7.59914285714286</v>
      </c>
      <c r="AG10" s="160">
        <v>18</v>
      </c>
      <c r="AH10" s="161">
        <v>57</v>
      </c>
      <c r="AI10" s="165"/>
      <c r="AJ10" s="166"/>
      <c r="AK10" s="163">
        <f>AG10*产品成本!$D$11+AH10*产品成本!$D$12+AI10*产品成本!$D$13+AJ10*产品成本!$D$14</f>
        <v>447.042253521127</v>
      </c>
      <c r="AL10" s="163">
        <f>AG10*产品成本!$E$11+AH10*产品成本!$E$12+AI10*产品成本!$E$13+AJ10*产品成本!$E$14</f>
        <v>26.856338028169</v>
      </c>
      <c r="AM10" s="163">
        <f>AG10*产品成本!$F$11+AH10*产品成本!$F$12+AI10*产品成本!$F$13+AJ10*产品成本!$F$14</f>
        <v>25.5</v>
      </c>
      <c r="AN10" s="163">
        <f>AG10*产品成本!$G$11+AH10*产品成本!$G$12+AI10*产品成本!$G$13+AJ10*产品成本!$G$14</f>
        <v>292.5</v>
      </c>
      <c r="AO10" s="163">
        <f t="shared" si="15"/>
        <v>200.2125</v>
      </c>
      <c r="AP10" s="164">
        <f t="shared" si="16"/>
        <v>992.111091549296</v>
      </c>
      <c r="AQ10" s="165">
        <v>0</v>
      </c>
      <c r="AR10" s="165">
        <v>2</v>
      </c>
      <c r="AS10" s="165"/>
      <c r="AT10" s="166"/>
      <c r="AU10" s="167">
        <f t="shared" si="17"/>
        <v>36.4634146341463</v>
      </c>
      <c r="AV10" s="163">
        <f>AQ10*产品成本!$D$11+AR10*产品成本!$D$12+AS10*产品成本!$D$13+AT10*产品成本!$D$14</f>
        <v>12.3943661971831</v>
      </c>
      <c r="AW10" s="163">
        <f>AQ10*产品成本!$E$11+AR10*产品成本!$E$12+AS10*产品成本!$E$13+AT10*产品成本!$E$14</f>
        <v>0.716169014084508</v>
      </c>
      <c r="AX10" s="163">
        <f>AQ10*产品成本!$F$11+AR10*产品成本!$F$12+AS10*产品成本!$F$13+AT10*产品成本!$F$14</f>
        <v>0.68</v>
      </c>
      <c r="AY10" s="163">
        <v>0</v>
      </c>
      <c r="AZ10" s="163">
        <f t="shared" si="18"/>
        <v>5.46951219512195</v>
      </c>
      <c r="BA10" s="163">
        <f t="shared" si="19"/>
        <v>-1.09390243902439</v>
      </c>
      <c r="BB10" s="164">
        <f t="shared" si="20"/>
        <v>18.1661449673652</v>
      </c>
      <c r="BC10" s="169">
        <f t="shared" si="21"/>
        <v>973.944946581931</v>
      </c>
      <c r="BD10" s="169">
        <f t="shared" si="22"/>
        <v>1334.75</v>
      </c>
      <c r="BE10" s="169">
        <f t="shared" si="23"/>
        <v>1298.28658536585</v>
      </c>
      <c r="BF10" s="168">
        <f t="shared" si="24"/>
        <v>58.371638783923</v>
      </c>
      <c r="BG10" s="170">
        <f t="shared" si="25"/>
        <v>0.0449605190732784</v>
      </c>
    </row>
    <row r="11" ht="29.1" customHeight="1" spans="1:61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148"/>
      <c r="G11" s="148"/>
      <c r="H11" s="64"/>
      <c r="I11" s="64"/>
      <c r="J11" s="149">
        <v>1</v>
      </c>
      <c r="K11" s="150">
        <f t="shared" si="0"/>
        <v>0.0416666666666667</v>
      </c>
      <c r="L11" s="151">
        <v>22.56</v>
      </c>
      <c r="M11" s="152">
        <f t="shared" si="1"/>
        <v>-0.68</v>
      </c>
      <c r="N11" s="150">
        <f t="shared" si="2"/>
        <v>-0.68</v>
      </c>
      <c r="O11" s="150">
        <f t="shared" si="3"/>
        <v>-0.673519385652744</v>
      </c>
      <c r="P11" s="153">
        <f t="shared" si="4"/>
        <v>1</v>
      </c>
      <c r="Q11" s="154">
        <f t="shared" si="5"/>
        <v>18.1570833333333</v>
      </c>
      <c r="R11" s="154">
        <f t="shared" si="6"/>
        <v>18.1570833333333</v>
      </c>
      <c r="S11" s="154">
        <f t="shared" si="7"/>
        <v>3.42857142857143</v>
      </c>
      <c r="T11" s="193">
        <f t="shared" si="8"/>
        <v>4</v>
      </c>
      <c r="U11" s="157">
        <f t="shared" si="9"/>
        <v>0.166666666666667</v>
      </c>
      <c r="V11" s="94">
        <f t="shared" si="10"/>
        <v>0.525988480161553</v>
      </c>
      <c r="W11" s="91">
        <v>41499</v>
      </c>
      <c r="X11" s="91">
        <v>243</v>
      </c>
      <c r="Y11" s="91">
        <v>20</v>
      </c>
      <c r="Z11" s="91">
        <v>229.21</v>
      </c>
      <c r="AA11" s="92">
        <v>413.09</v>
      </c>
      <c r="AB11" s="91">
        <v>0.94</v>
      </c>
      <c r="AC11" s="71">
        <f t="shared" si="11"/>
        <v>0.554866978140357</v>
      </c>
      <c r="AD11" s="72">
        <f t="shared" si="12"/>
        <v>0.00585556278464541</v>
      </c>
      <c r="AE11" s="72">
        <f t="shared" si="13"/>
        <v>0.0823045267489712</v>
      </c>
      <c r="AF11" s="154">
        <f t="shared" si="14"/>
        <v>11.4605</v>
      </c>
      <c r="AG11" s="160">
        <v>6</v>
      </c>
      <c r="AH11" s="161">
        <v>18</v>
      </c>
      <c r="AI11" s="165"/>
      <c r="AJ11" s="166"/>
      <c r="AK11" s="163">
        <f>AG11*产品成本!$D$11+AH11*产品成本!$D$12+AI11*产品成本!$D$13+AJ11*产品成本!$D$14</f>
        <v>142.816901408451</v>
      </c>
      <c r="AL11" s="163">
        <f>AG11*产品成本!$E$11+AH11*产品成本!$E$12+AI11*产品成本!$E$13+AJ11*产品成本!$E$14</f>
        <v>8.59402816901409</v>
      </c>
      <c r="AM11" s="163">
        <f>AG11*产品成本!$F$11+AH11*产品成本!$F$12+AI11*产品成本!$F$13+AJ11*产品成本!$F$14</f>
        <v>8.16</v>
      </c>
      <c r="AN11" s="163">
        <f>AG11*产品成本!$G$11+AH11*产品成本!$G$12+AI11*产品成本!$G$13+AJ11*产品成本!$G$14</f>
        <v>93.6</v>
      </c>
      <c r="AO11" s="163">
        <f t="shared" si="15"/>
        <v>65.3655</v>
      </c>
      <c r="AP11" s="164">
        <f t="shared" si="16"/>
        <v>318.536429577465</v>
      </c>
      <c r="AQ11" s="165">
        <v>0</v>
      </c>
      <c r="AR11" s="165">
        <v>1</v>
      </c>
      <c r="AS11" s="165"/>
      <c r="AT11" s="166"/>
      <c r="AU11" s="167">
        <f t="shared" si="17"/>
        <v>27.5121951219512</v>
      </c>
      <c r="AV11" s="163">
        <f>AQ11*产品成本!$D$11+AR11*产品成本!$D$12+AS11*产品成本!$D$13+AT11*产品成本!$D$14</f>
        <v>6.19718309859155</v>
      </c>
      <c r="AW11" s="163">
        <f>AQ11*产品成本!$E$11+AR11*产品成本!$E$12+AS11*产品成本!$E$13+AT11*产品成本!$E$14</f>
        <v>0.358084507042254</v>
      </c>
      <c r="AX11" s="163">
        <f>AQ11*产品成本!$F$11+AR11*产品成本!$F$12+AS11*产品成本!$F$13+AT11*产品成本!$F$14</f>
        <v>0.34</v>
      </c>
      <c r="AY11" s="163">
        <v>0</v>
      </c>
      <c r="AZ11" s="163">
        <f t="shared" si="18"/>
        <v>4.12682926829268</v>
      </c>
      <c r="BA11" s="163">
        <f t="shared" si="19"/>
        <v>-0.825365853658537</v>
      </c>
      <c r="BB11" s="164">
        <f t="shared" si="20"/>
        <v>10.1967310202679</v>
      </c>
      <c r="BC11" s="169">
        <f t="shared" si="21"/>
        <v>308.339698557197</v>
      </c>
      <c r="BD11" s="169">
        <f t="shared" si="22"/>
        <v>435.77</v>
      </c>
      <c r="BE11" s="169">
        <f t="shared" si="23"/>
        <v>408.257804878049</v>
      </c>
      <c r="BF11" s="168">
        <f t="shared" si="24"/>
        <v>-129.291893679148</v>
      </c>
      <c r="BG11" s="170">
        <f t="shared" si="25"/>
        <v>-0.316691786744332</v>
      </c>
    </row>
    <row r="12" ht="29.1" customHeight="1" spans="1:61">
      <c r="A12" s="93" t="s">
        <v>89</v>
      </c>
      <c r="B12" s="90" t="s">
        <v>90</v>
      </c>
      <c r="C12" s="90">
        <v>50</v>
      </c>
      <c r="D12" s="91">
        <v>43</v>
      </c>
      <c r="E12" s="64">
        <v>864.14</v>
      </c>
      <c r="F12" s="148"/>
      <c r="G12" s="148"/>
      <c r="H12" s="64"/>
      <c r="I12" s="64"/>
      <c r="J12" s="149">
        <v>0</v>
      </c>
      <c r="K12" s="150">
        <f t="shared" si="0"/>
        <v>0</v>
      </c>
      <c r="L12" s="151">
        <v>0</v>
      </c>
      <c r="M12" s="152">
        <f t="shared" si="1"/>
        <v>1.08333333333333</v>
      </c>
      <c r="N12" s="150">
        <f t="shared" si="2"/>
        <v>0.791666666666667</v>
      </c>
      <c r="O12" s="150">
        <f t="shared" si="3"/>
        <v>0.98301856483925</v>
      </c>
      <c r="P12" s="153">
        <f t="shared" si="4"/>
        <v>1.16279069767442</v>
      </c>
      <c r="Q12" s="154">
        <f t="shared" si="5"/>
        <v>20.0962790697674</v>
      </c>
      <c r="R12" s="154">
        <f t="shared" si="6"/>
        <v>17.2828</v>
      </c>
      <c r="S12" s="154">
        <f t="shared" si="7"/>
        <v>7.14285714285714</v>
      </c>
      <c r="T12" s="193">
        <f t="shared" si="8"/>
        <v>6</v>
      </c>
      <c r="U12" s="157">
        <f t="shared" si="9"/>
        <v>0.13953488372093</v>
      </c>
      <c r="V12" s="94">
        <f t="shared" si="10"/>
        <v>0.46309625755086</v>
      </c>
      <c r="W12" s="91">
        <v>69054</v>
      </c>
      <c r="X12" s="91">
        <v>405</v>
      </c>
      <c r="Y12" s="91">
        <v>37</v>
      </c>
      <c r="Z12" s="91">
        <v>400.18</v>
      </c>
      <c r="AA12" s="92">
        <v>739.13</v>
      </c>
      <c r="AB12" s="91">
        <v>0.99</v>
      </c>
      <c r="AC12" s="71">
        <f t="shared" si="11"/>
        <v>0.54142031848254</v>
      </c>
      <c r="AD12" s="72">
        <f t="shared" si="12"/>
        <v>0.00586497523677122</v>
      </c>
      <c r="AE12" s="72">
        <f t="shared" si="13"/>
        <v>0.091358024691358</v>
      </c>
      <c r="AF12" s="154">
        <f t="shared" si="14"/>
        <v>10.8156756756757</v>
      </c>
      <c r="AG12" s="160">
        <v>7</v>
      </c>
      <c r="AH12" s="161">
        <v>43</v>
      </c>
      <c r="AI12" s="165"/>
      <c r="AJ12" s="166"/>
      <c r="AK12" s="163">
        <f>AG12*产品成本!$D$11+AH12*产品成本!$D$12+AI12*产品成本!$D$13+AJ12*产品成本!$D$14</f>
        <v>302.957746478873</v>
      </c>
      <c r="AL12" s="163">
        <f>AG12*产品成本!$E$11+AH12*产品成本!$E$12+AI12*产品成本!$E$13+AJ12*产品成本!$E$14</f>
        <v>17.9042253521127</v>
      </c>
      <c r="AM12" s="163">
        <f>AG12*产品成本!$F$11+AH12*产品成本!$F$12+AI12*产品成本!$F$13+AJ12*产品成本!$F$14</f>
        <v>17</v>
      </c>
      <c r="AN12" s="163">
        <f>AG12*产品成本!$G$11+AH12*产品成本!$G$12+AI12*产品成本!$G$13+AJ12*产品成本!$G$14</f>
        <v>195</v>
      </c>
      <c r="AO12" s="163">
        <f t="shared" si="15"/>
        <v>129.621</v>
      </c>
      <c r="AP12" s="164">
        <f t="shared" si="16"/>
        <v>662.482971830986</v>
      </c>
      <c r="AQ12" s="165">
        <v>0</v>
      </c>
      <c r="AR12" s="165">
        <v>0</v>
      </c>
      <c r="AS12" s="165"/>
      <c r="AT12" s="166"/>
      <c r="AU12" s="167">
        <f t="shared" si="17"/>
        <v>0</v>
      </c>
      <c r="AV12" s="163">
        <f>AQ12*产品成本!$D$11+AR12*产品成本!$D$12+AS12*产品成本!$D$13+AT12*产品成本!$D$14</f>
        <v>0</v>
      </c>
      <c r="AW12" s="163">
        <f>AQ12*产品成本!$E$11+AR12*产品成本!$E$12+AS12*产品成本!$E$13+AT12*产品成本!$E$14</f>
        <v>0</v>
      </c>
      <c r="AX12" s="163">
        <f>AQ12*产品成本!$F$11+AR12*产品成本!$F$12+AS12*产品成本!$F$13+AT12*产品成本!$F$14</f>
        <v>0</v>
      </c>
      <c r="AY12" s="163">
        <v>0</v>
      </c>
      <c r="AZ12" s="163">
        <f t="shared" si="18"/>
        <v>0</v>
      </c>
      <c r="BA12" s="163">
        <f t="shared" si="19"/>
        <v>0</v>
      </c>
      <c r="BB12" s="164">
        <f t="shared" si="20"/>
        <v>0</v>
      </c>
      <c r="BC12" s="169">
        <f t="shared" si="21"/>
        <v>662.482971830986</v>
      </c>
      <c r="BD12" s="169">
        <f t="shared" si="22"/>
        <v>864.14</v>
      </c>
      <c r="BE12" s="169">
        <f t="shared" si="23"/>
        <v>864.14</v>
      </c>
      <c r="BF12" s="168">
        <f t="shared" si="24"/>
        <v>-198.522971830986</v>
      </c>
      <c r="BG12" s="170">
        <f t="shared" si="25"/>
        <v>-0.22973473260234</v>
      </c>
      <c r="BI12" t="s">
        <v>281</v>
      </c>
    </row>
    <row r="13" ht="29.1" customHeight="1" spans="1:61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148"/>
      <c r="G13" s="148"/>
      <c r="H13" s="64"/>
      <c r="I13" s="64"/>
      <c r="J13" s="149">
        <v>3</v>
      </c>
      <c r="K13" s="150">
        <f t="shared" si="0"/>
        <v>0.0555555555555556</v>
      </c>
      <c r="L13" s="151">
        <v>44.77</v>
      </c>
      <c r="M13" s="152">
        <f t="shared" si="1"/>
        <v>0.08</v>
      </c>
      <c r="N13" s="150">
        <f t="shared" si="2"/>
        <v>0.255813953488372</v>
      </c>
      <c r="O13" s="150">
        <f t="shared" si="3"/>
        <v>0.307727914458305</v>
      </c>
      <c r="P13" s="153">
        <f t="shared" si="4"/>
        <v>1</v>
      </c>
      <c r="Q13" s="154">
        <f t="shared" si="5"/>
        <v>20.927037037037</v>
      </c>
      <c r="R13" s="187">
        <f t="shared" si="6"/>
        <v>20.927037037037</v>
      </c>
      <c r="S13" s="155">
        <f t="shared" si="7"/>
        <v>7.71428571428571</v>
      </c>
      <c r="T13" s="193">
        <f t="shared" si="8"/>
        <v>5</v>
      </c>
      <c r="U13" s="157">
        <f t="shared" si="9"/>
        <v>0.0925925925925926</v>
      </c>
      <c r="V13" s="94">
        <f t="shared" si="10"/>
        <v>0.305010353432561</v>
      </c>
      <c r="W13" s="91">
        <v>48538</v>
      </c>
      <c r="X13" s="91">
        <v>311</v>
      </c>
      <c r="Y13" s="91">
        <v>49</v>
      </c>
      <c r="Z13" s="91">
        <v>344.68</v>
      </c>
      <c r="AA13" s="92">
        <v>1028.61</v>
      </c>
      <c r="AB13" s="91">
        <v>1.11</v>
      </c>
      <c r="AC13" s="71">
        <f t="shared" si="11"/>
        <v>0.335092989568447</v>
      </c>
      <c r="AD13" s="72">
        <f t="shared" si="12"/>
        <v>0.00640735094153035</v>
      </c>
      <c r="AE13" s="198">
        <f t="shared" si="13"/>
        <v>0.157556270096463</v>
      </c>
      <c r="AF13" s="154">
        <f t="shared" si="14"/>
        <v>7.03428571428571</v>
      </c>
      <c r="AG13" s="160">
        <v>14</v>
      </c>
      <c r="AH13" s="161">
        <v>40</v>
      </c>
      <c r="AI13" s="165"/>
      <c r="AJ13" s="166"/>
      <c r="AK13" s="163">
        <f>AG13*产品成本!$D$11+AH13*产品成本!$D$12+AI13*产品成本!$D$13+AJ13*产品成本!$D$14</f>
        <v>320.845070422535</v>
      </c>
      <c r="AL13" s="163">
        <f>AG13*产品成本!$E$11+AH13*产品成本!$E$12+AI13*产品成本!$E$13+AJ13*产品成本!$E$14</f>
        <v>19.3365633802817</v>
      </c>
      <c r="AM13" s="163">
        <f>AG13*产品成本!$F$11+AH13*产品成本!$F$12+AI13*产品成本!$F$13+AJ13*产品成本!$F$14</f>
        <v>18.36</v>
      </c>
      <c r="AN13" s="163">
        <f>AG13*产品成本!$G$11+AH13*产品成本!$G$12+AI13*产品成本!$G$13+AJ13*产品成本!$G$14</f>
        <v>210.6</v>
      </c>
      <c r="AO13" s="163">
        <f t="shared" si="15"/>
        <v>169.509</v>
      </c>
      <c r="AP13" s="164">
        <f t="shared" si="16"/>
        <v>738.650633802817</v>
      </c>
      <c r="AQ13" s="165">
        <v>0</v>
      </c>
      <c r="AR13" s="165">
        <v>3</v>
      </c>
      <c r="AS13" s="165"/>
      <c r="AT13" s="166"/>
      <c r="AU13" s="167">
        <f t="shared" si="17"/>
        <v>54.5975609756098</v>
      </c>
      <c r="AV13" s="163">
        <f>AQ13*产品成本!$D$11+AR13*产品成本!$D$12+AS13*产品成本!$D$13+AT13*产品成本!$D$14</f>
        <v>18.5915492957746</v>
      </c>
      <c r="AW13" s="163">
        <f>AQ13*产品成本!$E$11+AR13*产品成本!$E$12+AS13*产品成本!$E$13+AT13*产品成本!$E$14</f>
        <v>1.07425352112676</v>
      </c>
      <c r="AX13" s="163">
        <f>AQ13*产品成本!$F$11+AR13*产品成本!$F$12+AS13*产品成本!$F$13+AT13*产品成本!$F$14</f>
        <v>1.02</v>
      </c>
      <c r="AY13" s="163">
        <v>0</v>
      </c>
      <c r="AZ13" s="163">
        <f t="shared" si="18"/>
        <v>8.18963414634146</v>
      </c>
      <c r="BA13" s="163">
        <f t="shared" si="19"/>
        <v>-1.63792682926829</v>
      </c>
      <c r="BB13" s="164">
        <f t="shared" si="20"/>
        <v>27.2375101339746</v>
      </c>
      <c r="BC13" s="169">
        <f t="shared" si="21"/>
        <v>711.413123668842</v>
      </c>
      <c r="BD13" s="169">
        <f t="shared" si="22"/>
        <v>1130.06</v>
      </c>
      <c r="BE13" s="169">
        <f t="shared" si="23"/>
        <v>1075.46243902439</v>
      </c>
      <c r="BF13" s="168">
        <f t="shared" si="24"/>
        <v>19.3693153555479</v>
      </c>
      <c r="BG13" s="170">
        <f t="shared" si="25"/>
        <v>0.0180102202110553</v>
      </c>
      <c r="BI13" t="s">
        <v>334</v>
      </c>
    </row>
    <row r="14" ht="29.1" customHeight="1" spans="1:61">
      <c r="A14" s="93" t="s">
        <v>95</v>
      </c>
      <c r="B14" s="90" t="s">
        <v>96</v>
      </c>
      <c r="C14" s="90">
        <v>82</v>
      </c>
      <c r="D14" s="91">
        <v>80</v>
      </c>
      <c r="E14" s="64">
        <v>1727.38</v>
      </c>
      <c r="F14" s="148"/>
      <c r="G14" s="148"/>
      <c r="H14" s="64"/>
      <c r="I14" s="64"/>
      <c r="J14" s="149">
        <v>5</v>
      </c>
      <c r="K14" s="150">
        <f t="shared" si="0"/>
        <v>0.0609756097560976</v>
      </c>
      <c r="L14" s="151">
        <v>91.95</v>
      </c>
      <c r="M14" s="152">
        <f t="shared" si="1"/>
        <v>0.518518518518518</v>
      </c>
      <c r="N14" s="150">
        <f t="shared" si="2"/>
        <v>0.481481481481481</v>
      </c>
      <c r="O14" s="150">
        <f t="shared" si="3"/>
        <v>0.528573704051112</v>
      </c>
      <c r="P14" s="153">
        <f t="shared" si="4"/>
        <v>1.025</v>
      </c>
      <c r="Q14" s="154">
        <f t="shared" si="5"/>
        <v>21.59225</v>
      </c>
      <c r="R14" s="187">
        <f t="shared" si="6"/>
        <v>21.0656097560976</v>
      </c>
      <c r="S14" s="155">
        <f t="shared" si="7"/>
        <v>11.7142857142857</v>
      </c>
      <c r="T14" s="193">
        <f t="shared" si="8"/>
        <v>8</v>
      </c>
      <c r="U14" s="157">
        <f t="shared" si="9"/>
        <v>0.1</v>
      </c>
      <c r="V14" s="94">
        <f t="shared" si="10"/>
        <v>0.446942768817515</v>
      </c>
      <c r="W14" s="91">
        <v>94641</v>
      </c>
      <c r="X14" s="91">
        <v>652</v>
      </c>
      <c r="Y14" s="91">
        <v>72</v>
      </c>
      <c r="Z14" s="91">
        <v>772.04</v>
      </c>
      <c r="AA14" s="92">
        <v>1438.36</v>
      </c>
      <c r="AB14" s="91">
        <v>1.18</v>
      </c>
      <c r="AC14" s="71">
        <f t="shared" si="11"/>
        <v>0.536750187713785</v>
      </c>
      <c r="AD14" s="72">
        <f t="shared" si="12"/>
        <v>0.00688919178791433</v>
      </c>
      <c r="AE14" s="159">
        <f t="shared" si="13"/>
        <v>0.110429447852761</v>
      </c>
      <c r="AF14" s="154">
        <f t="shared" si="14"/>
        <v>10.7227777777778</v>
      </c>
      <c r="AG14" s="160">
        <v>7</v>
      </c>
      <c r="AH14" s="161">
        <v>70</v>
      </c>
      <c r="AI14" s="165"/>
      <c r="AJ14" s="166"/>
      <c r="AK14" s="163">
        <f>AG14*产品成本!$D$11+AH14*产品成本!$D$12+AI14*产品成本!$D$13+AJ14*产品成本!$D$14</f>
        <v>470.281690140845</v>
      </c>
      <c r="AL14" s="163">
        <f>AG14*产品成本!$E$11+AH14*产品成本!$E$12+AI14*产品成本!$E$13+AJ14*产品成本!$E$14</f>
        <v>27.5725070422536</v>
      </c>
      <c r="AM14" s="163">
        <f>AG14*产品成本!$F$11+AH14*产品成本!$F$12+AI14*产品成本!$F$13+AJ14*产品成本!$F$14</f>
        <v>26.18</v>
      </c>
      <c r="AN14" s="163">
        <f>AG14*产品成本!$G$11+AH14*产品成本!$G$12+AI14*产品成本!$G$13+AJ14*产品成本!$G$14</f>
        <v>300.3</v>
      </c>
      <c r="AO14" s="163">
        <f t="shared" si="15"/>
        <v>259.107</v>
      </c>
      <c r="AP14" s="164">
        <f t="shared" si="16"/>
        <v>1083.4411971831</v>
      </c>
      <c r="AQ14" s="165">
        <v>0</v>
      </c>
      <c r="AR14" s="165">
        <v>5</v>
      </c>
      <c r="AS14" s="165"/>
      <c r="AT14" s="166"/>
      <c r="AU14" s="167">
        <f t="shared" si="17"/>
        <v>112.134146341463</v>
      </c>
      <c r="AV14" s="163">
        <f>AQ14*产品成本!$D$11+AR14*产品成本!$D$12+AS14*产品成本!$D$13+AT14*产品成本!$D$14</f>
        <v>30.9859154929578</v>
      </c>
      <c r="AW14" s="163">
        <f>AQ14*产品成本!$E$11+AR14*产品成本!$E$12+AS14*产品成本!$E$13+AT14*产品成本!$E$14</f>
        <v>1.79042253521127</v>
      </c>
      <c r="AX14" s="163">
        <f>AQ14*产品成本!$F$11+AR14*产品成本!$F$12+AS14*产品成本!$F$13+AT14*产品成本!$F$14</f>
        <v>1.7</v>
      </c>
      <c r="AY14" s="163">
        <v>0</v>
      </c>
      <c r="AZ14" s="163">
        <f t="shared" si="18"/>
        <v>16.8201219512195</v>
      </c>
      <c r="BA14" s="163">
        <f t="shared" si="19"/>
        <v>-3.3640243902439</v>
      </c>
      <c r="BB14" s="164">
        <f t="shared" si="20"/>
        <v>47.9324355891446</v>
      </c>
      <c r="BC14" s="169">
        <f t="shared" si="21"/>
        <v>1035.50876159395</v>
      </c>
      <c r="BD14" s="169">
        <f t="shared" si="22"/>
        <v>1727.38</v>
      </c>
      <c r="BE14" s="169">
        <f t="shared" si="23"/>
        <v>1615.24585365854</v>
      </c>
      <c r="BF14" s="168">
        <f t="shared" si="24"/>
        <v>-192.302907935417</v>
      </c>
      <c r="BG14" s="170">
        <f t="shared" si="25"/>
        <v>-0.119054884121727</v>
      </c>
      <c r="BH14" s="172"/>
      <c r="BI14" s="172" t="s">
        <v>335</v>
      </c>
    </row>
    <row r="15" ht="29.1" customHeight="1" spans="1:61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148"/>
      <c r="G15" s="148"/>
      <c r="H15" s="64"/>
      <c r="I15" s="64"/>
      <c r="J15" s="149">
        <v>5</v>
      </c>
      <c r="K15" s="150">
        <f t="shared" si="0"/>
        <v>0.072463768115942</v>
      </c>
      <c r="L15" s="151">
        <v>65.89</v>
      </c>
      <c r="M15" s="152">
        <f t="shared" si="1"/>
        <v>-0.158536585365854</v>
      </c>
      <c r="N15" s="150">
        <f t="shared" si="2"/>
        <v>-0.175</v>
      </c>
      <c r="O15" s="150">
        <f t="shared" si="3"/>
        <v>-0.221144160520557</v>
      </c>
      <c r="P15" s="153">
        <f t="shared" si="4"/>
        <v>1.04545454545455</v>
      </c>
      <c r="Q15" s="154">
        <f t="shared" si="5"/>
        <v>20.3845454545455</v>
      </c>
      <c r="R15" s="187">
        <f t="shared" si="6"/>
        <v>19.4982608695652</v>
      </c>
      <c r="S15" s="155">
        <f t="shared" si="7"/>
        <v>9.85714285714286</v>
      </c>
      <c r="T15" s="193">
        <f t="shared" si="8"/>
        <v>16</v>
      </c>
      <c r="U15" s="157">
        <f t="shared" si="9"/>
        <v>0.242424242424242</v>
      </c>
      <c r="V15" s="94">
        <f t="shared" si="10"/>
        <v>0.43744518277364</v>
      </c>
      <c r="W15" s="91">
        <v>64444</v>
      </c>
      <c r="X15" s="91">
        <v>508</v>
      </c>
      <c r="Y15" s="91">
        <v>50</v>
      </c>
      <c r="Z15" s="91">
        <v>588.53</v>
      </c>
      <c r="AA15" s="92">
        <v>1004.18</v>
      </c>
      <c r="AB15" s="91">
        <v>1.16</v>
      </c>
      <c r="AC15" s="71">
        <f t="shared" si="11"/>
        <v>0.586080184827421</v>
      </c>
      <c r="AD15" s="72">
        <f t="shared" si="12"/>
        <v>0.00788281298491714</v>
      </c>
      <c r="AE15" s="159">
        <f t="shared" si="13"/>
        <v>0.0984251968503937</v>
      </c>
      <c r="AF15" s="154">
        <f t="shared" si="14"/>
        <v>11.7706</v>
      </c>
      <c r="AG15" s="160">
        <v>10</v>
      </c>
      <c r="AH15" s="161">
        <v>59</v>
      </c>
      <c r="AI15" s="165"/>
      <c r="AJ15" s="166"/>
      <c r="AK15" s="163">
        <f>AG15*产品成本!$D$11+AH15*产品成本!$D$12+AI15*产品成本!$D$13+AJ15*产品成本!$D$14</f>
        <v>417.746478873239</v>
      </c>
      <c r="AL15" s="163">
        <f>AG15*产品成本!$E$11+AH15*产品成本!$E$12+AI15*产品成本!$E$13+AJ15*产品成本!$E$14</f>
        <v>24.7078309859155</v>
      </c>
      <c r="AM15" s="163">
        <f>AG15*产品成本!$F$11+AH15*产品成本!$F$12+AI15*产品成本!$F$13+AJ15*产品成本!$F$14</f>
        <v>23.46</v>
      </c>
      <c r="AN15" s="163">
        <f>AG15*产品成本!$G$11+AH15*产品成本!$G$12+AI15*产品成本!$G$13+AJ15*产品成本!$G$14</f>
        <v>269.1</v>
      </c>
      <c r="AO15" s="163">
        <f t="shared" si="15"/>
        <v>201.807</v>
      </c>
      <c r="AP15" s="164">
        <f t="shared" si="16"/>
        <v>936.821309859155</v>
      </c>
      <c r="AQ15" s="165">
        <v>1</v>
      </c>
      <c r="AR15" s="165">
        <v>4</v>
      </c>
      <c r="AS15" s="165"/>
      <c r="AT15" s="166"/>
      <c r="AU15" s="167">
        <f t="shared" si="17"/>
        <v>80.3536585365854</v>
      </c>
      <c r="AV15" s="163">
        <f>AQ15*产品成本!$D$11+AR15*产品成本!$D$12+AS15*产品成本!$D$13+AT15*产品成本!$D$14</f>
        <v>30</v>
      </c>
      <c r="AW15" s="163">
        <f>AQ15*产品成本!$E$11+AR15*产品成本!$E$12+AS15*产品成本!$E$13+AT15*产品成本!$E$14</f>
        <v>1.79042253521127</v>
      </c>
      <c r="AX15" s="163">
        <f>AQ15*产品成本!$F$11+AR15*产品成本!$F$12+AS15*产品成本!$F$13+AT15*产品成本!$F$14</f>
        <v>1.7</v>
      </c>
      <c r="AY15" s="163">
        <v>0</v>
      </c>
      <c r="AZ15" s="163">
        <f t="shared" si="18"/>
        <v>12.0530487804878</v>
      </c>
      <c r="BA15" s="163">
        <f t="shared" si="19"/>
        <v>-2.41060975609756</v>
      </c>
      <c r="BB15" s="164">
        <f t="shared" si="20"/>
        <v>43.1328615596015</v>
      </c>
      <c r="BC15" s="169">
        <f t="shared" si="21"/>
        <v>893.688448299553</v>
      </c>
      <c r="BD15" s="169">
        <f t="shared" si="22"/>
        <v>1345.38</v>
      </c>
      <c r="BE15" s="169">
        <f t="shared" si="23"/>
        <v>1265.02634146341</v>
      </c>
      <c r="BF15" s="168">
        <f t="shared" si="24"/>
        <v>-217.192106836139</v>
      </c>
      <c r="BG15" s="170">
        <f t="shared" si="25"/>
        <v>-0.171689789941358</v>
      </c>
      <c r="BH15" s="172"/>
      <c r="BI15" s="172" t="s">
        <v>336</v>
      </c>
    </row>
    <row r="16" ht="29.1" customHeight="1" spans="1:61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148"/>
      <c r="G16" s="148"/>
      <c r="H16" s="64"/>
      <c r="I16" s="64"/>
      <c r="J16" s="149">
        <v>7</v>
      </c>
      <c r="K16" s="150">
        <f t="shared" si="0"/>
        <v>0.0958904109589041</v>
      </c>
      <c r="L16" s="151">
        <v>121.93</v>
      </c>
      <c r="M16" s="152">
        <f t="shared" si="1"/>
        <v>0.0579710144927536</v>
      </c>
      <c r="N16" s="150">
        <f t="shared" si="2"/>
        <v>0.106060606060606</v>
      </c>
      <c r="O16" s="150">
        <f t="shared" si="3"/>
        <v>-0.000646657449939882</v>
      </c>
      <c r="P16" s="153">
        <f t="shared" si="4"/>
        <v>1</v>
      </c>
      <c r="Q16" s="154">
        <f t="shared" si="5"/>
        <v>18.4179452054795</v>
      </c>
      <c r="R16" s="187">
        <f t="shared" si="6"/>
        <v>18.4179452054795</v>
      </c>
      <c r="S16" s="155">
        <f t="shared" si="7"/>
        <v>10.4285714285714</v>
      </c>
      <c r="T16" s="193">
        <f t="shared" si="8"/>
        <v>15</v>
      </c>
      <c r="U16" s="157">
        <f t="shared" si="9"/>
        <v>0.205479452054795</v>
      </c>
      <c r="V16" s="94">
        <f t="shared" si="10"/>
        <v>0.493406519847379</v>
      </c>
      <c r="W16" s="91">
        <v>67700</v>
      </c>
      <c r="X16" s="91">
        <v>587</v>
      </c>
      <c r="Y16" s="91">
        <v>58</v>
      </c>
      <c r="Z16" s="91">
        <v>663.39</v>
      </c>
      <c r="AA16" s="92">
        <v>1028.93</v>
      </c>
      <c r="AB16" s="91">
        <v>1.13</v>
      </c>
      <c r="AC16" s="71">
        <f t="shared" si="11"/>
        <v>0.644737737261038</v>
      </c>
      <c r="AD16" s="72">
        <f t="shared" si="12"/>
        <v>0.00867060561299852</v>
      </c>
      <c r="AE16" s="159">
        <f t="shared" si="13"/>
        <v>0.0988074957410562</v>
      </c>
      <c r="AF16" s="154">
        <f t="shared" si="14"/>
        <v>11.4377586206897</v>
      </c>
      <c r="AG16" s="160">
        <v>9</v>
      </c>
      <c r="AH16" s="161">
        <v>64</v>
      </c>
      <c r="AI16" s="165"/>
      <c r="AJ16" s="166"/>
      <c r="AK16" s="163">
        <f>AG16*产品成本!$D$11+AH16*产品成本!$D$12+AI16*产品成本!$D$13+AJ16*产品成本!$D$14</f>
        <v>443.521126760563</v>
      </c>
      <c r="AL16" s="163">
        <f>AG16*产品成本!$E$11+AH16*产品成本!$E$12+AI16*产品成本!$E$13+AJ16*产品成本!$E$14</f>
        <v>26.1401690140845</v>
      </c>
      <c r="AM16" s="163">
        <f>AG16*产品成本!$F$11+AH16*产品成本!$F$12+AI16*产品成本!$F$13+AJ16*产品成本!$F$14</f>
        <v>24.82</v>
      </c>
      <c r="AN16" s="163">
        <f>AG16*产品成本!$G$11+AH16*产品成本!$G$12+AI16*产品成本!$G$13+AJ16*产品成本!$G$14</f>
        <v>284.7</v>
      </c>
      <c r="AO16" s="163">
        <f t="shared" si="15"/>
        <v>201.6765</v>
      </c>
      <c r="AP16" s="164">
        <f t="shared" si="16"/>
        <v>980.857795774648</v>
      </c>
      <c r="AQ16" s="165">
        <v>3</v>
      </c>
      <c r="AR16" s="165">
        <v>4</v>
      </c>
      <c r="AS16" s="165"/>
      <c r="AT16" s="166"/>
      <c r="AU16" s="167">
        <f t="shared" si="17"/>
        <v>148.69512195122</v>
      </c>
      <c r="AV16" s="163">
        <f>AQ16*产品成本!$D$11+AR16*产品成本!$D$12+AS16*产品成本!$D$13+AT16*产品成本!$D$14</f>
        <v>40.4225352112676</v>
      </c>
      <c r="AW16" s="163">
        <f>AQ16*产品成本!$E$11+AR16*产品成本!$E$12+AS16*产品成本!$E$13+AT16*产品成本!$E$14</f>
        <v>2.50659154929578</v>
      </c>
      <c r="AX16" s="163">
        <f>AQ16*产品成本!$F$11+AR16*产品成本!$F$12+AS16*产品成本!$F$13+AT16*产品成本!$F$14</f>
        <v>2.38</v>
      </c>
      <c r="AY16" s="163">
        <v>0</v>
      </c>
      <c r="AZ16" s="163">
        <f t="shared" si="18"/>
        <v>22.3042682926829</v>
      </c>
      <c r="BA16" s="163">
        <f t="shared" si="19"/>
        <v>-4.46085365853659</v>
      </c>
      <c r="BB16" s="164">
        <f t="shared" si="20"/>
        <v>63.1525413947097</v>
      </c>
      <c r="BC16" s="169">
        <f t="shared" si="21"/>
        <v>917.705254379938</v>
      </c>
      <c r="BD16" s="169">
        <f t="shared" si="22"/>
        <v>1344.51</v>
      </c>
      <c r="BE16" s="169">
        <f t="shared" si="23"/>
        <v>1195.81487804878</v>
      </c>
      <c r="BF16" s="168">
        <f t="shared" si="24"/>
        <v>-385.280376331158</v>
      </c>
      <c r="BG16" s="170">
        <f t="shared" si="25"/>
        <v>-0.322190652920979</v>
      </c>
      <c r="BI16" t="s">
        <v>337</v>
      </c>
    </row>
    <row r="17" ht="29.1" customHeight="1" spans="1:61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148"/>
      <c r="G17" s="148"/>
      <c r="H17" s="64"/>
      <c r="I17" s="64"/>
      <c r="J17" s="149">
        <v>7</v>
      </c>
      <c r="K17" s="150">
        <f t="shared" si="0"/>
        <v>0.162790697674419</v>
      </c>
      <c r="L17" s="151">
        <v>115.35</v>
      </c>
      <c r="M17" s="152">
        <f t="shared" si="1"/>
        <v>-0.410958904109589</v>
      </c>
      <c r="N17" s="150">
        <f t="shared" si="2"/>
        <v>-0.424657534246575</v>
      </c>
      <c r="O17" s="150">
        <f t="shared" si="3"/>
        <v>-0.398918565127816</v>
      </c>
      <c r="P17" s="153">
        <f t="shared" si="4"/>
        <v>1.02380952380952</v>
      </c>
      <c r="Q17" s="154">
        <f t="shared" si="5"/>
        <v>19.2419047619048</v>
      </c>
      <c r="R17" s="187">
        <f t="shared" si="6"/>
        <v>18.7944186046512</v>
      </c>
      <c r="S17" s="155">
        <f t="shared" si="7"/>
        <v>6.14285714285714</v>
      </c>
      <c r="T17" s="193">
        <f t="shared" si="8"/>
        <v>8</v>
      </c>
      <c r="U17" s="157">
        <f t="shared" si="9"/>
        <v>0.19047619047619</v>
      </c>
      <c r="V17" s="94">
        <f t="shared" si="10"/>
        <v>0.528410215798852</v>
      </c>
      <c r="W17" s="91">
        <v>42564</v>
      </c>
      <c r="X17" s="91">
        <v>394</v>
      </c>
      <c r="Y17" s="91">
        <v>34</v>
      </c>
      <c r="Z17" s="91">
        <v>427.04</v>
      </c>
      <c r="AA17" s="92">
        <v>654.69</v>
      </c>
      <c r="AB17" s="91">
        <v>1.08</v>
      </c>
      <c r="AC17" s="71">
        <f t="shared" si="11"/>
        <v>0.652278177458034</v>
      </c>
      <c r="AD17" s="72">
        <f t="shared" si="12"/>
        <v>0.00925664881120196</v>
      </c>
      <c r="AE17" s="159">
        <f t="shared" si="13"/>
        <v>0.0862944162436548</v>
      </c>
      <c r="AF17" s="154">
        <f t="shared" si="14"/>
        <v>12.56</v>
      </c>
      <c r="AG17" s="160">
        <v>6</v>
      </c>
      <c r="AH17" s="161">
        <v>37</v>
      </c>
      <c r="AI17" s="165"/>
      <c r="AJ17" s="166"/>
      <c r="AK17" s="163">
        <f>AG17*产品成本!$D$11+AH17*产品成本!$D$12+AI17*产品成本!$D$13+AJ17*产品成本!$D$14</f>
        <v>260.56338028169</v>
      </c>
      <c r="AL17" s="163">
        <f>AG17*产品成本!$E$11+AH17*产品成本!$E$12+AI17*产品成本!$E$13+AJ17*产品成本!$E$14</f>
        <v>15.3976338028169</v>
      </c>
      <c r="AM17" s="163">
        <f>AG17*产品成本!$F$11+AH17*产品成本!$F$12+AI17*产品成本!$F$13+AJ17*产品成本!$F$14</f>
        <v>14.62</v>
      </c>
      <c r="AN17" s="163">
        <f>AG17*产品成本!$G$11+AH17*产品成本!$G$12+AI17*产品成本!$G$13+AJ17*产品成本!$G$14</f>
        <v>167.7</v>
      </c>
      <c r="AO17" s="163">
        <f t="shared" si="15"/>
        <v>121.224</v>
      </c>
      <c r="AP17" s="164">
        <f t="shared" si="16"/>
        <v>579.505014084507</v>
      </c>
      <c r="AQ17" s="165">
        <v>2</v>
      </c>
      <c r="AR17" s="165">
        <v>5</v>
      </c>
      <c r="AS17" s="165"/>
      <c r="AT17" s="166"/>
      <c r="AU17" s="167">
        <f t="shared" si="17"/>
        <v>140.670731707317</v>
      </c>
      <c r="AV17" s="163">
        <f>AQ17*产品成本!$D$11+AR17*产品成本!$D$12+AS17*产品成本!$D$13+AT17*产品成本!$D$14</f>
        <v>41.4084507042254</v>
      </c>
      <c r="AW17" s="163">
        <f>AQ17*产品成本!$E$11+AR17*产品成本!$E$12+AS17*产品成本!$E$13+AT17*产品成本!$E$14</f>
        <v>2.50659154929578</v>
      </c>
      <c r="AX17" s="163">
        <f>AQ17*产品成本!$F$11+AR17*产品成本!$F$12+AS17*产品成本!$F$13+AT17*产品成本!$F$14</f>
        <v>2.38</v>
      </c>
      <c r="AY17" s="163">
        <v>0</v>
      </c>
      <c r="AZ17" s="163">
        <f t="shared" si="18"/>
        <v>21.1006097560976</v>
      </c>
      <c r="BA17" s="163">
        <f t="shared" si="19"/>
        <v>-4.22012195121951</v>
      </c>
      <c r="BB17" s="164">
        <f t="shared" si="20"/>
        <v>63.1755300583992</v>
      </c>
      <c r="BC17" s="169">
        <f t="shared" si="21"/>
        <v>516.329484026108</v>
      </c>
      <c r="BD17" s="169">
        <f t="shared" si="22"/>
        <v>808.16</v>
      </c>
      <c r="BE17" s="169">
        <f t="shared" si="23"/>
        <v>667.489268292683</v>
      </c>
      <c r="BF17" s="168">
        <f t="shared" si="24"/>
        <v>-275.880215733425</v>
      </c>
      <c r="BG17" s="170">
        <f t="shared" si="25"/>
        <v>-0.413310338964815</v>
      </c>
      <c r="BH17" s="172"/>
      <c r="BI17" s="172" t="s">
        <v>338</v>
      </c>
    </row>
    <row r="18" ht="29.1" customHeight="1" spans="1:61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148"/>
      <c r="G18" s="148"/>
      <c r="H18" s="64"/>
      <c r="I18" s="64"/>
      <c r="J18" s="149">
        <v>9</v>
      </c>
      <c r="K18" s="150">
        <f t="shared" si="0"/>
        <v>0.391304347826087</v>
      </c>
      <c r="L18" s="151">
        <v>149.31</v>
      </c>
      <c r="M18" s="152">
        <f t="shared" si="1"/>
        <v>-0.465116279069767</v>
      </c>
      <c r="N18" s="150">
        <f t="shared" si="2"/>
        <v>-0.476190476190476</v>
      </c>
      <c r="O18" s="150">
        <f t="shared" si="3"/>
        <v>-0.414138289447634</v>
      </c>
      <c r="P18" s="153">
        <f t="shared" si="4"/>
        <v>1.04545454545455</v>
      </c>
      <c r="Q18" s="154">
        <f t="shared" si="5"/>
        <v>21.5213636363636</v>
      </c>
      <c r="R18" s="187">
        <f t="shared" si="6"/>
        <v>20.585652173913</v>
      </c>
      <c r="S18" s="155">
        <f t="shared" si="7"/>
        <v>3.28571428571429</v>
      </c>
      <c r="T18" s="193">
        <f t="shared" si="8"/>
        <v>5</v>
      </c>
      <c r="U18" s="157">
        <f t="shared" si="9"/>
        <v>0.227272727272727</v>
      </c>
      <c r="V18" s="94">
        <f t="shared" si="10"/>
        <v>0.551333769827022</v>
      </c>
      <c r="W18" s="91">
        <v>30607</v>
      </c>
      <c r="X18" s="91">
        <v>255</v>
      </c>
      <c r="Y18" s="91">
        <v>17</v>
      </c>
      <c r="Z18" s="91">
        <v>261.04</v>
      </c>
      <c r="AA18" s="92">
        <v>349.13</v>
      </c>
      <c r="AB18" s="91">
        <v>1.02</v>
      </c>
      <c r="AC18" s="71">
        <f t="shared" si="11"/>
        <v>0.747687107954057</v>
      </c>
      <c r="AD18" s="72">
        <f t="shared" si="12"/>
        <v>0.00833142745123665</v>
      </c>
      <c r="AE18" s="159">
        <f t="shared" si="13"/>
        <v>0.0666666666666667</v>
      </c>
      <c r="AF18" s="154">
        <f t="shared" si="14"/>
        <v>15.3552941176471</v>
      </c>
      <c r="AG18" s="160">
        <v>1</v>
      </c>
      <c r="AH18" s="161">
        <v>22</v>
      </c>
      <c r="AI18" s="165"/>
      <c r="AJ18" s="166"/>
      <c r="AK18" s="163">
        <f>AG18*产品成本!$D$11+AH18*产品成本!$D$12+AI18*产品成本!$D$13+AJ18*产品成本!$D$14</f>
        <v>141.549295774648</v>
      </c>
      <c r="AL18" s="163">
        <f>AG18*产品成本!$E$11+AH18*产品成本!$E$12+AI18*产品成本!$E$13+AJ18*产品成本!$E$14</f>
        <v>8.23594366197184</v>
      </c>
      <c r="AM18" s="163">
        <f>AG18*产品成本!$F$11+AH18*产品成本!$F$12+AI18*产品成本!$F$13+AJ18*产品成本!$F$14</f>
        <v>7.82</v>
      </c>
      <c r="AN18" s="163">
        <f>AG18*产品成本!$G$11+AH18*产品成本!$G$12+AI18*产品成本!$G$13+AJ18*产品成本!$G$14</f>
        <v>89.7</v>
      </c>
      <c r="AO18" s="163">
        <f t="shared" si="15"/>
        <v>71.0205</v>
      </c>
      <c r="AP18" s="164">
        <f t="shared" si="16"/>
        <v>318.32573943662</v>
      </c>
      <c r="AQ18" s="165">
        <v>3</v>
      </c>
      <c r="AR18" s="165">
        <v>6</v>
      </c>
      <c r="AS18" s="165"/>
      <c r="AT18" s="166"/>
      <c r="AU18" s="167">
        <f t="shared" si="17"/>
        <v>182.085365853659</v>
      </c>
      <c r="AV18" s="163">
        <f>AQ18*产品成本!$D$11+AR18*产品成本!$D$12+AS18*产品成本!$D$13+AT18*产品成本!$D$14</f>
        <v>52.8169014084507</v>
      </c>
      <c r="AW18" s="163">
        <f>AQ18*产品成本!$E$11+AR18*产品成本!$E$12+AS18*产品成本!$E$13+AT18*产品成本!$E$14</f>
        <v>3.22276056338029</v>
      </c>
      <c r="AX18" s="163">
        <f>AQ18*产品成本!$F$11+AR18*产品成本!$F$12+AS18*产品成本!$F$13+AT18*产品成本!$F$14</f>
        <v>3.06</v>
      </c>
      <c r="AY18" s="163">
        <v>0</v>
      </c>
      <c r="AZ18" s="163">
        <f t="shared" si="18"/>
        <v>27.3128048780488</v>
      </c>
      <c r="BA18" s="163">
        <f t="shared" si="19"/>
        <v>-5.46256097560976</v>
      </c>
      <c r="BB18" s="164">
        <f t="shared" si="20"/>
        <v>80.94990587427</v>
      </c>
      <c r="BC18" s="169">
        <f t="shared" si="21"/>
        <v>237.37583356235</v>
      </c>
      <c r="BD18" s="169">
        <f t="shared" si="22"/>
        <v>473.47</v>
      </c>
      <c r="BE18" s="169">
        <f t="shared" si="23"/>
        <v>291.384634146341</v>
      </c>
      <c r="BF18" s="168">
        <f t="shared" si="24"/>
        <v>-207.031199416008</v>
      </c>
      <c r="BG18" s="170">
        <f t="shared" si="25"/>
        <v>-0.710508294380518</v>
      </c>
      <c r="BI18" t="s">
        <v>339</v>
      </c>
    </row>
    <row r="19" ht="29.1" customHeight="1" spans="1:61">
      <c r="A19" s="61" t="s">
        <v>110</v>
      </c>
      <c r="B19" s="89" t="s">
        <v>111</v>
      </c>
      <c r="C19" s="90">
        <v>25</v>
      </c>
      <c r="D19" s="91">
        <v>25</v>
      </c>
      <c r="E19" s="64">
        <v>487.45</v>
      </c>
      <c r="F19" s="148"/>
      <c r="G19" s="148"/>
      <c r="H19" s="64"/>
      <c r="I19" s="64"/>
      <c r="J19" s="149">
        <v>0</v>
      </c>
      <c r="K19" s="150">
        <f t="shared" si="0"/>
        <v>0</v>
      </c>
      <c r="L19" s="151">
        <v>0</v>
      </c>
      <c r="M19" s="152">
        <f t="shared" si="1"/>
        <v>0.0869565217391304</v>
      </c>
      <c r="N19" s="150">
        <f t="shared" si="2"/>
        <v>0.136363636363636</v>
      </c>
      <c r="O19" s="150">
        <f t="shared" si="3"/>
        <v>0.0295266859568715</v>
      </c>
      <c r="P19" s="153">
        <f t="shared" si="4"/>
        <v>1</v>
      </c>
      <c r="Q19" s="154">
        <f t="shared" si="5"/>
        <v>19.498</v>
      </c>
      <c r="R19" s="187">
        <f t="shared" si="6"/>
        <v>19.498</v>
      </c>
      <c r="S19" s="155">
        <f t="shared" si="7"/>
        <v>3.57142857142857</v>
      </c>
      <c r="T19" s="193">
        <f t="shared" si="8"/>
        <v>8</v>
      </c>
      <c r="U19" s="157">
        <f t="shared" si="9"/>
        <v>0.32</v>
      </c>
      <c r="V19" s="94">
        <f t="shared" si="10"/>
        <v>0.583731664786132</v>
      </c>
      <c r="W19" s="91">
        <v>36519</v>
      </c>
      <c r="X19" s="91">
        <v>293</v>
      </c>
      <c r="Y19" s="91">
        <v>17</v>
      </c>
      <c r="Z19" s="91">
        <v>284.54</v>
      </c>
      <c r="AA19" s="92">
        <v>340.43</v>
      </c>
      <c r="AB19" s="91">
        <v>0.97</v>
      </c>
      <c r="AC19" s="71">
        <f t="shared" si="11"/>
        <v>0.835825279793203</v>
      </c>
      <c r="AD19" s="72">
        <f t="shared" si="12"/>
        <v>0.00802322078917824</v>
      </c>
      <c r="AE19" s="159">
        <f t="shared" si="13"/>
        <v>0.0580204778156997</v>
      </c>
      <c r="AF19" s="154">
        <f t="shared" si="14"/>
        <v>16.7376470588235</v>
      </c>
      <c r="AG19" s="160">
        <v>7</v>
      </c>
      <c r="AH19" s="161">
        <v>18</v>
      </c>
      <c r="AI19" s="165"/>
      <c r="AJ19" s="166"/>
      <c r="AK19" s="163">
        <f>AG19*产品成本!$D$11+AH19*产品成本!$D$12+AI19*产品成本!$D$13+AJ19*产品成本!$D$14</f>
        <v>148.028169014085</v>
      </c>
      <c r="AL19" s="163">
        <f>AG19*产品成本!$E$11+AH19*产品成本!$E$12+AI19*产品成本!$E$13+AJ19*产品成本!$E$14</f>
        <v>8.95211267605635</v>
      </c>
      <c r="AM19" s="163">
        <f>AG19*产品成本!$F$11+AH19*产品成本!$F$12+AI19*产品成本!$F$13+AJ19*产品成本!$F$14</f>
        <v>8.5</v>
      </c>
      <c r="AN19" s="163">
        <f>AG19*产品成本!$G$11+AH19*产品成本!$G$12+AI19*产品成本!$G$13+AJ19*产品成本!$G$14</f>
        <v>97.5</v>
      </c>
      <c r="AO19" s="163">
        <f t="shared" si="15"/>
        <v>73.1175</v>
      </c>
      <c r="AP19" s="164">
        <f t="shared" si="16"/>
        <v>336.097781690141</v>
      </c>
      <c r="AQ19" s="165">
        <v>0</v>
      </c>
      <c r="AR19" s="165">
        <v>0</v>
      </c>
      <c r="AS19" s="165"/>
      <c r="AT19" s="166"/>
      <c r="AU19" s="167">
        <f t="shared" si="17"/>
        <v>0</v>
      </c>
      <c r="AV19" s="163">
        <f>AQ19*产品成本!$D$11+AR19*产品成本!$D$12+AS19*产品成本!$D$13+AT19*产品成本!$D$14</f>
        <v>0</v>
      </c>
      <c r="AW19" s="163">
        <f>AQ19*产品成本!$E$11+AR19*产品成本!$E$12+AS19*产品成本!$E$13+AT19*产品成本!$E$14</f>
        <v>0</v>
      </c>
      <c r="AX19" s="163">
        <f>AQ19*产品成本!$F$11+AR19*产品成本!$F$12+AS19*产品成本!$F$13+AT19*产品成本!$F$14</f>
        <v>0</v>
      </c>
      <c r="AY19" s="163">
        <v>0</v>
      </c>
      <c r="AZ19" s="163">
        <f t="shared" si="18"/>
        <v>0</v>
      </c>
      <c r="BA19" s="163">
        <f t="shared" si="19"/>
        <v>0</v>
      </c>
      <c r="BB19" s="164">
        <f t="shared" si="20"/>
        <v>0</v>
      </c>
      <c r="BC19" s="169">
        <f t="shared" si="21"/>
        <v>336.097781690141</v>
      </c>
      <c r="BD19" s="169">
        <f t="shared" si="22"/>
        <v>487.45</v>
      </c>
      <c r="BE19" s="169">
        <f t="shared" si="23"/>
        <v>487.45</v>
      </c>
      <c r="BF19" s="168">
        <f t="shared" si="24"/>
        <v>-133.187781690141</v>
      </c>
      <c r="BG19" s="170">
        <f t="shared" si="25"/>
        <v>-0.273233730003366</v>
      </c>
      <c r="BI19" t="s">
        <v>340</v>
      </c>
    </row>
    <row r="20" ht="29.1" customHeight="1" spans="1:61">
      <c r="A20" s="61" t="s">
        <v>113</v>
      </c>
      <c r="B20" s="89" t="s">
        <v>114</v>
      </c>
      <c r="C20" s="90">
        <v>39</v>
      </c>
      <c r="D20" s="91">
        <v>39</v>
      </c>
      <c r="E20" s="64">
        <v>754.32</v>
      </c>
      <c r="F20" s="148"/>
      <c r="G20" s="148"/>
      <c r="H20" s="64"/>
      <c r="I20" s="64"/>
      <c r="J20" s="149">
        <v>2</v>
      </c>
      <c r="K20" s="150">
        <f t="shared" si="0"/>
        <v>0.0512820512820513</v>
      </c>
      <c r="L20" s="151">
        <v>34.14</v>
      </c>
      <c r="M20" s="152">
        <f t="shared" si="1"/>
        <v>0.56</v>
      </c>
      <c r="N20" s="150">
        <f t="shared" si="2"/>
        <v>0.56</v>
      </c>
      <c r="O20" s="150">
        <f t="shared" si="3"/>
        <v>0.547481793004411</v>
      </c>
      <c r="P20" s="153">
        <f t="shared" si="4"/>
        <v>1</v>
      </c>
      <c r="Q20" s="154">
        <f t="shared" si="5"/>
        <v>19.3415384615385</v>
      </c>
      <c r="R20" s="187">
        <f t="shared" si="6"/>
        <v>19.3415384615385</v>
      </c>
      <c r="S20" s="155">
        <f t="shared" si="7"/>
        <v>5.57142857142857</v>
      </c>
      <c r="T20" s="193">
        <f t="shared" si="8"/>
        <v>12</v>
      </c>
      <c r="U20" s="157">
        <f t="shared" si="9"/>
        <v>0.307692307692308</v>
      </c>
      <c r="V20" s="94">
        <f t="shared" si="10"/>
        <v>0.483906034574186</v>
      </c>
      <c r="W20" s="91">
        <v>49340</v>
      </c>
      <c r="X20" s="91">
        <v>368</v>
      </c>
      <c r="Y20" s="91">
        <v>27</v>
      </c>
      <c r="Z20" s="91">
        <v>365.02</v>
      </c>
      <c r="AA20" s="92">
        <v>536.93</v>
      </c>
      <c r="AB20" s="91">
        <v>0.99</v>
      </c>
      <c r="AC20" s="71">
        <f t="shared" si="11"/>
        <v>0.679827910528374</v>
      </c>
      <c r="AD20" s="72">
        <f t="shared" si="12"/>
        <v>0.00745845156059992</v>
      </c>
      <c r="AE20" s="159">
        <f t="shared" si="13"/>
        <v>0.0733695652173913</v>
      </c>
      <c r="AF20" s="154">
        <f t="shared" si="14"/>
        <v>13.5192592592593</v>
      </c>
      <c r="AG20" s="160">
        <v>10</v>
      </c>
      <c r="AH20" s="161">
        <v>29</v>
      </c>
      <c r="AI20" s="165"/>
      <c r="AJ20" s="166"/>
      <c r="AK20" s="163">
        <f>AG20*产品成本!$D$11+AH20*产品成本!$D$12+AI20*产品成本!$D$13+AJ20*产品成本!$D$14</f>
        <v>231.830985915493</v>
      </c>
      <c r="AL20" s="163">
        <f>AG20*产品成本!$E$11+AH20*产品成本!$E$12+AI20*产品成本!$E$13+AJ20*产品成本!$E$14</f>
        <v>13.9652957746479</v>
      </c>
      <c r="AM20" s="163">
        <f>AG20*产品成本!$F$11+AH20*产品成本!$F$12+AI20*产品成本!$F$13+AJ20*产品成本!$F$14</f>
        <v>13.26</v>
      </c>
      <c r="AN20" s="163">
        <f>AG20*产品成本!$G$11+AH20*产品成本!$G$12+AI20*产品成本!$G$13+AJ20*产品成本!$G$14</f>
        <v>152.1</v>
      </c>
      <c r="AO20" s="163">
        <f t="shared" si="15"/>
        <v>113.148</v>
      </c>
      <c r="AP20" s="164">
        <f t="shared" si="16"/>
        <v>524.304281690141</v>
      </c>
      <c r="AQ20" s="165">
        <v>0</v>
      </c>
      <c r="AR20" s="165">
        <v>2</v>
      </c>
      <c r="AS20" s="165"/>
      <c r="AT20" s="166"/>
      <c r="AU20" s="167">
        <f t="shared" si="17"/>
        <v>41.6341463414634</v>
      </c>
      <c r="AV20" s="163">
        <f>AQ20*产品成本!$D$11+AR20*产品成本!$D$12+AS20*产品成本!$D$13+AT20*产品成本!$D$14</f>
        <v>12.3943661971831</v>
      </c>
      <c r="AW20" s="163">
        <f>AQ20*产品成本!$E$11+AR20*产品成本!$E$12+AS20*产品成本!$E$13+AT20*产品成本!$E$14</f>
        <v>0.716169014084508</v>
      </c>
      <c r="AX20" s="163">
        <f>AQ20*产品成本!$F$11+AR20*产品成本!$F$12+AS20*产品成本!$F$13+AT20*产品成本!$F$14</f>
        <v>0.68</v>
      </c>
      <c r="AY20" s="163">
        <v>0</v>
      </c>
      <c r="AZ20" s="163">
        <f t="shared" si="18"/>
        <v>6.24512195121951</v>
      </c>
      <c r="BA20" s="163">
        <f t="shared" si="19"/>
        <v>-1.2490243902439</v>
      </c>
      <c r="BB20" s="164">
        <f t="shared" si="20"/>
        <v>18.7866327722432</v>
      </c>
      <c r="BC20" s="169">
        <f t="shared" si="21"/>
        <v>505.517648917898</v>
      </c>
      <c r="BD20" s="169">
        <f t="shared" si="22"/>
        <v>754.32</v>
      </c>
      <c r="BE20" s="169">
        <f t="shared" si="23"/>
        <v>712.685853658537</v>
      </c>
      <c r="BF20" s="168">
        <f t="shared" si="24"/>
        <v>-157.851795259361</v>
      </c>
      <c r="BG20" s="170">
        <f t="shared" si="25"/>
        <v>-0.221488604620166</v>
      </c>
      <c r="BI20" t="s">
        <v>341</v>
      </c>
    </row>
    <row r="21" ht="29.1" customHeight="1" spans="1:61">
      <c r="A21" s="61" t="s">
        <v>115</v>
      </c>
      <c r="B21" s="89" t="s">
        <v>116</v>
      </c>
      <c r="C21" s="90">
        <v>50</v>
      </c>
      <c r="D21" s="91">
        <v>50</v>
      </c>
      <c r="E21" s="64">
        <v>1040.5</v>
      </c>
      <c r="F21" s="148"/>
      <c r="G21" s="148"/>
      <c r="H21" s="64"/>
      <c r="I21" s="64"/>
      <c r="J21" s="149">
        <v>2</v>
      </c>
      <c r="K21" s="150">
        <f t="shared" si="0"/>
        <v>0.04</v>
      </c>
      <c r="L21" s="151">
        <v>34.14</v>
      </c>
      <c r="M21" s="152">
        <f t="shared" si="1"/>
        <v>0.282051282051282</v>
      </c>
      <c r="N21" s="150">
        <f t="shared" si="2"/>
        <v>0.282051282051282</v>
      </c>
      <c r="O21" s="150">
        <f t="shared" si="3"/>
        <v>0.37938805811857</v>
      </c>
      <c r="P21" s="153">
        <f t="shared" si="4"/>
        <v>1</v>
      </c>
      <c r="Q21" s="154">
        <f t="shared" si="5"/>
        <v>20.81</v>
      </c>
      <c r="R21" s="187">
        <f t="shared" si="6"/>
        <v>20.81</v>
      </c>
      <c r="S21" s="155">
        <f t="shared" si="7"/>
        <v>7.14285714285714</v>
      </c>
      <c r="T21" s="193">
        <f t="shared" si="8"/>
        <v>16</v>
      </c>
      <c r="U21" s="157">
        <f t="shared" si="9"/>
        <v>0.32</v>
      </c>
      <c r="V21" s="94">
        <f t="shared" si="10"/>
        <v>0.392888034598751</v>
      </c>
      <c r="W21" s="91">
        <v>63704</v>
      </c>
      <c r="X21" s="91">
        <v>398</v>
      </c>
      <c r="Y21" s="91">
        <v>34</v>
      </c>
      <c r="Z21" s="91">
        <v>408.8</v>
      </c>
      <c r="AA21" s="92">
        <v>720.36</v>
      </c>
      <c r="AB21" s="91">
        <v>1.03</v>
      </c>
      <c r="AC21" s="71">
        <f t="shared" si="11"/>
        <v>0.567494030762397</v>
      </c>
      <c r="AD21" s="72">
        <f t="shared" si="12"/>
        <v>0.00624764535978902</v>
      </c>
      <c r="AE21" s="159">
        <f t="shared" si="13"/>
        <v>0.085427135678392</v>
      </c>
      <c r="AF21" s="154">
        <f t="shared" si="14"/>
        <v>12.0235294117647</v>
      </c>
      <c r="AG21" s="160">
        <v>9</v>
      </c>
      <c r="AH21" s="161">
        <v>41</v>
      </c>
      <c r="AI21" s="165"/>
      <c r="AJ21" s="166"/>
      <c r="AK21" s="163">
        <f>AG21*产品成本!$D$11+AH21*产品成本!$D$12+AI21*产品成本!$D$13+AJ21*产品成本!$D$14</f>
        <v>300.985915492958</v>
      </c>
      <c r="AL21" s="163">
        <f>AG21*产品成本!$E$11+AH21*产品成本!$E$12+AI21*产品成本!$E$13+AJ21*产品成本!$E$14</f>
        <v>17.9042253521127</v>
      </c>
      <c r="AM21" s="163">
        <f>AG21*产品成本!$F$11+AH21*产品成本!$F$12+AI21*产品成本!$F$13+AJ21*产品成本!$F$14</f>
        <v>17</v>
      </c>
      <c r="AN21" s="163">
        <f>AG21*产品成本!$G$11+AH21*产品成本!$G$12+AI21*产品成本!$G$13+AJ21*产品成本!$G$14</f>
        <v>195</v>
      </c>
      <c r="AO21" s="163">
        <f t="shared" si="15"/>
        <v>156.075</v>
      </c>
      <c r="AP21" s="164">
        <f t="shared" si="16"/>
        <v>686.96514084507</v>
      </c>
      <c r="AQ21" s="165">
        <v>1</v>
      </c>
      <c r="AR21" s="165">
        <v>1</v>
      </c>
      <c r="AS21" s="165"/>
      <c r="AT21" s="166"/>
      <c r="AU21" s="167">
        <f t="shared" si="17"/>
        <v>41.6341463414634</v>
      </c>
      <c r="AV21" s="163">
        <f>AQ21*产品成本!$D$11+AR21*产品成本!$D$12+AS21*产品成本!$D$13+AT21*产品成本!$D$14</f>
        <v>11.4084507042254</v>
      </c>
      <c r="AW21" s="163">
        <f>AQ21*产品成本!$E$11+AR21*产品成本!$E$12+AS21*产品成本!$E$13+AT21*产品成本!$E$14</f>
        <v>0.716169014084508</v>
      </c>
      <c r="AX21" s="163">
        <f>AQ21*产品成本!$F$11+AR21*产品成本!$F$12+AS21*产品成本!$F$13+AT21*产品成本!$F$14</f>
        <v>0.68</v>
      </c>
      <c r="AY21" s="163">
        <v>0</v>
      </c>
      <c r="AZ21" s="163">
        <f t="shared" si="18"/>
        <v>6.24512195121951</v>
      </c>
      <c r="BA21" s="163">
        <f t="shared" si="19"/>
        <v>-1.2490243902439</v>
      </c>
      <c r="BB21" s="164">
        <f t="shared" si="20"/>
        <v>17.8007172792855</v>
      </c>
      <c r="BC21" s="169">
        <f t="shared" si="21"/>
        <v>669.164423565785</v>
      </c>
      <c r="BD21" s="169">
        <f t="shared" si="22"/>
        <v>1040.5</v>
      </c>
      <c r="BE21" s="169">
        <f t="shared" si="23"/>
        <v>998.865853658537</v>
      </c>
      <c r="BF21" s="168">
        <f t="shared" si="24"/>
        <v>-79.0985699072484</v>
      </c>
      <c r="BG21" s="170">
        <f t="shared" si="25"/>
        <v>-0.0791883811199821</v>
      </c>
      <c r="BI21" t="s">
        <v>342</v>
      </c>
    </row>
    <row r="22" ht="29.1" customHeight="1" spans="1:61">
      <c r="A22" s="61" t="s">
        <v>118</v>
      </c>
      <c r="B22" s="89" t="s">
        <v>119</v>
      </c>
      <c r="C22" s="90">
        <v>65</v>
      </c>
      <c r="D22" s="91">
        <v>64</v>
      </c>
      <c r="E22" s="64">
        <v>1312.36</v>
      </c>
      <c r="F22" s="148"/>
      <c r="G22" s="148"/>
      <c r="H22" s="64"/>
      <c r="I22" s="64"/>
      <c r="J22" s="149">
        <v>4</v>
      </c>
      <c r="K22" s="150">
        <f t="shared" si="0"/>
        <v>0.0615384615384615</v>
      </c>
      <c r="L22" s="151">
        <v>72.68</v>
      </c>
      <c r="M22" s="152">
        <f t="shared" si="1"/>
        <v>0.3</v>
      </c>
      <c r="N22" s="150">
        <f t="shared" si="2"/>
        <v>0.28</v>
      </c>
      <c r="O22" s="150">
        <f t="shared" si="3"/>
        <v>0.261278231619414</v>
      </c>
      <c r="P22" s="153">
        <f t="shared" si="4"/>
        <v>1.015625</v>
      </c>
      <c r="Q22" s="154">
        <f t="shared" si="5"/>
        <v>20.505625</v>
      </c>
      <c r="R22" s="187">
        <f t="shared" si="6"/>
        <v>20.1901538461538</v>
      </c>
      <c r="S22" s="155">
        <f t="shared" si="7"/>
        <v>9.28571428571429</v>
      </c>
      <c r="T22" s="193">
        <f t="shared" si="8"/>
        <v>13</v>
      </c>
      <c r="U22" s="157">
        <f t="shared" si="9"/>
        <v>0.203125</v>
      </c>
      <c r="V22" s="94">
        <f t="shared" si="10"/>
        <v>0.576655795665823</v>
      </c>
      <c r="W22" s="91">
        <v>75311</v>
      </c>
      <c r="X22" s="91">
        <v>732</v>
      </c>
      <c r="Y22" s="91">
        <v>51</v>
      </c>
      <c r="Z22" s="91">
        <v>756.78</v>
      </c>
      <c r="AA22" s="92">
        <v>1049.09</v>
      </c>
      <c r="AB22" s="91">
        <v>1.03</v>
      </c>
      <c r="AC22" s="71">
        <f t="shared" si="11"/>
        <v>0.721368042779933</v>
      </c>
      <c r="AD22" s="72">
        <f t="shared" si="12"/>
        <v>0.00971969566198829</v>
      </c>
      <c r="AE22" s="159">
        <f t="shared" si="13"/>
        <v>0.069672131147541</v>
      </c>
      <c r="AF22" s="154">
        <f t="shared" si="14"/>
        <v>14.8388235294118</v>
      </c>
      <c r="AG22" s="160">
        <v>10</v>
      </c>
      <c r="AH22" s="161">
        <v>55</v>
      </c>
      <c r="AI22" s="165"/>
      <c r="AJ22" s="166"/>
      <c r="AK22" s="163">
        <f>AG22*产品成本!$D$11+AH22*产品成本!$D$12+AI22*产品成本!$D$13+AJ22*产品成本!$D$14</f>
        <v>392.957746478873</v>
      </c>
      <c r="AL22" s="163">
        <f>AG22*产品成本!$E$11+AH22*产品成本!$E$12+AI22*产品成本!$E$13+AJ22*产品成本!$E$14</f>
        <v>23.2754929577465</v>
      </c>
      <c r="AM22" s="163">
        <f>AG22*产品成本!$F$11+AH22*产品成本!$F$12+AI22*产品成本!$F$13+AJ22*产品成本!$F$14</f>
        <v>22.1</v>
      </c>
      <c r="AN22" s="163">
        <f>AG22*产品成本!$G$11+AH22*产品成本!$G$12+AI22*产品成本!$G$13+AJ22*产品成本!$G$14</f>
        <v>253.5</v>
      </c>
      <c r="AO22" s="163">
        <f t="shared" si="15"/>
        <v>196.854</v>
      </c>
      <c r="AP22" s="164">
        <f t="shared" si="16"/>
        <v>888.68723943662</v>
      </c>
      <c r="AQ22" s="165">
        <v>1</v>
      </c>
      <c r="AR22" s="165">
        <v>3</v>
      </c>
      <c r="AS22" s="165"/>
      <c r="AT22" s="166"/>
      <c r="AU22" s="167">
        <f t="shared" si="17"/>
        <v>88.6341463414634</v>
      </c>
      <c r="AV22" s="163">
        <f>AQ22*产品成本!$D$11+AR22*产品成本!$D$12+AS22*产品成本!$D$13+AT22*产品成本!$D$14</f>
        <v>23.8028169014084</v>
      </c>
      <c r="AW22" s="163">
        <f>AQ22*产品成本!$E$11+AR22*产品成本!$E$12+AS22*产品成本!$E$13+AT22*产品成本!$E$14</f>
        <v>1.43233802816902</v>
      </c>
      <c r="AX22" s="163">
        <f>AQ22*产品成本!$F$11+AR22*产品成本!$F$12+AS22*产品成本!$F$13+AT22*产品成本!$F$14</f>
        <v>1.36</v>
      </c>
      <c r="AY22" s="163">
        <v>0</v>
      </c>
      <c r="AZ22" s="163">
        <f t="shared" si="18"/>
        <v>13.2951219512195</v>
      </c>
      <c r="BA22" s="163">
        <f t="shared" si="19"/>
        <v>-2.6590243902439</v>
      </c>
      <c r="BB22" s="164">
        <f t="shared" si="20"/>
        <v>37.2312524905531</v>
      </c>
      <c r="BC22" s="169">
        <f t="shared" si="21"/>
        <v>851.455986946067</v>
      </c>
      <c r="BD22" s="169">
        <f t="shared" si="22"/>
        <v>1312.36</v>
      </c>
      <c r="BE22" s="169">
        <f t="shared" si="23"/>
        <v>1223.72585365854</v>
      </c>
      <c r="BF22" s="168">
        <f t="shared" si="24"/>
        <v>-384.51013328753</v>
      </c>
      <c r="BG22" s="170">
        <f t="shared" si="25"/>
        <v>-0.314212641775911</v>
      </c>
      <c r="BI22" t="s">
        <v>343</v>
      </c>
    </row>
    <row r="23" ht="29.1" customHeight="1" spans="1:61">
      <c r="A23" s="61" t="s">
        <v>121</v>
      </c>
      <c r="B23" s="89" t="s">
        <v>122</v>
      </c>
      <c r="C23" s="90">
        <v>55</v>
      </c>
      <c r="D23" s="91">
        <v>55</v>
      </c>
      <c r="E23" s="64">
        <v>1155.95</v>
      </c>
      <c r="F23" s="148"/>
      <c r="G23" s="148"/>
      <c r="H23" s="64"/>
      <c r="I23" s="64"/>
      <c r="J23" s="149">
        <v>8</v>
      </c>
      <c r="K23" s="150">
        <f t="shared" si="0"/>
        <v>0.145454545454545</v>
      </c>
      <c r="L23" s="151">
        <v>142.72</v>
      </c>
      <c r="M23" s="152">
        <f t="shared" si="1"/>
        <v>-0.153846153846154</v>
      </c>
      <c r="N23" s="150">
        <f t="shared" si="2"/>
        <v>-0.140625</v>
      </c>
      <c r="O23" s="150">
        <f t="shared" si="3"/>
        <v>-0.119182236581426</v>
      </c>
      <c r="P23" s="153">
        <f t="shared" si="4"/>
        <v>1</v>
      </c>
      <c r="Q23" s="154">
        <f t="shared" si="5"/>
        <v>21.0172727272727</v>
      </c>
      <c r="R23" s="187">
        <f t="shared" si="6"/>
        <v>21.0172727272727</v>
      </c>
      <c r="S23" s="155">
        <f t="shared" si="7"/>
        <v>7.85714285714286</v>
      </c>
      <c r="T23" s="193">
        <f t="shared" si="8"/>
        <v>16</v>
      </c>
      <c r="U23" s="157">
        <f t="shared" si="9"/>
        <v>0.290909090909091</v>
      </c>
      <c r="V23" s="94">
        <f t="shared" si="10"/>
        <v>0.519486136943639</v>
      </c>
      <c r="W23" s="91">
        <v>68475</v>
      </c>
      <c r="X23" s="91">
        <v>656</v>
      </c>
      <c r="Y23" s="91">
        <v>39</v>
      </c>
      <c r="Z23" s="91">
        <v>600.5</v>
      </c>
      <c r="AA23" s="92">
        <v>825.71</v>
      </c>
      <c r="AB23" s="91">
        <v>0.92</v>
      </c>
      <c r="AC23" s="71">
        <f t="shared" si="11"/>
        <v>0.727252909617178</v>
      </c>
      <c r="AD23" s="72">
        <f t="shared" si="12"/>
        <v>0.00958013873676524</v>
      </c>
      <c r="AE23" s="159">
        <f t="shared" si="13"/>
        <v>0.0594512195121951</v>
      </c>
      <c r="AF23" s="154">
        <f t="shared" si="14"/>
        <v>15.3974358974359</v>
      </c>
      <c r="AG23" s="160">
        <v>17</v>
      </c>
      <c r="AH23" s="161">
        <v>38</v>
      </c>
      <c r="AI23" s="165"/>
      <c r="AJ23" s="166"/>
      <c r="AK23" s="163">
        <f>AG23*产品成本!$D$11+AH23*产品成本!$D$12+AI23*产品成本!$D$13+AJ23*产品成本!$D$14</f>
        <v>324.084507042254</v>
      </c>
      <c r="AL23" s="163">
        <f>AG23*产品成本!$E$11+AH23*产品成本!$E$12+AI23*产品成本!$E$13+AJ23*产品成本!$E$14</f>
        <v>19.694647887324</v>
      </c>
      <c r="AM23" s="163">
        <f>AG23*产品成本!$F$11+AH23*产品成本!$F$12+AI23*产品成本!$F$13+AJ23*产品成本!$F$14</f>
        <v>18.7</v>
      </c>
      <c r="AN23" s="163">
        <f>AG23*产品成本!$G$11+AH23*产品成本!$G$12+AI23*产品成本!$G$13+AJ23*产品成本!$G$14</f>
        <v>214.5</v>
      </c>
      <c r="AO23" s="163">
        <f t="shared" si="15"/>
        <v>173.3925</v>
      </c>
      <c r="AP23" s="164">
        <f t="shared" si="16"/>
        <v>750.371654929578</v>
      </c>
      <c r="AQ23" s="165">
        <v>2</v>
      </c>
      <c r="AR23" s="165">
        <v>6</v>
      </c>
      <c r="AS23" s="165"/>
      <c r="AT23" s="166"/>
      <c r="AU23" s="167">
        <f t="shared" si="17"/>
        <v>174.048780487805</v>
      </c>
      <c r="AV23" s="163">
        <f>AQ23*产品成本!$D$11+AR23*产品成本!$D$12+AS23*产品成本!$D$13+AT23*产品成本!$D$14</f>
        <v>47.6056338028169</v>
      </c>
      <c r="AW23" s="163">
        <f>AQ23*产品成本!$E$11+AR23*产品成本!$E$12+AS23*产品成本!$E$13+AT23*产品成本!$E$14</f>
        <v>2.86467605633803</v>
      </c>
      <c r="AX23" s="163">
        <f>AQ23*产品成本!$F$11+AR23*产品成本!$F$12+AS23*产品成本!$F$13+AT23*产品成本!$F$14</f>
        <v>2.72</v>
      </c>
      <c r="AY23" s="163">
        <v>0</v>
      </c>
      <c r="AZ23" s="163">
        <f t="shared" si="18"/>
        <v>26.1073170731707</v>
      </c>
      <c r="BA23" s="163">
        <f t="shared" si="19"/>
        <v>-5.22146341463415</v>
      </c>
      <c r="BB23" s="164">
        <f t="shared" si="20"/>
        <v>74.0761635176915</v>
      </c>
      <c r="BC23" s="169">
        <f t="shared" si="21"/>
        <v>676.295491411886</v>
      </c>
      <c r="BD23" s="169">
        <f t="shared" si="22"/>
        <v>1155.95</v>
      </c>
      <c r="BE23" s="169">
        <f t="shared" si="23"/>
        <v>981.901219512195</v>
      </c>
      <c r="BF23" s="168">
        <f t="shared" si="24"/>
        <v>-294.894271899691</v>
      </c>
      <c r="BG23" s="170">
        <f t="shared" si="25"/>
        <v>-0.300329876406705</v>
      </c>
      <c r="BI23" t="s">
        <v>344</v>
      </c>
    </row>
    <row r="24" ht="29.1" customHeight="1" spans="1:61">
      <c r="A24" s="61" t="s">
        <v>124</v>
      </c>
      <c r="B24" s="89" t="s">
        <v>125</v>
      </c>
      <c r="C24" s="90">
        <v>80</v>
      </c>
      <c r="D24" s="91">
        <v>72</v>
      </c>
      <c r="E24" s="64">
        <v>1298.12</v>
      </c>
      <c r="F24" s="148"/>
      <c r="G24" s="148"/>
      <c r="H24" s="64"/>
      <c r="I24" s="64"/>
      <c r="J24" s="149">
        <v>6</v>
      </c>
      <c r="K24" s="150">
        <f t="shared" si="0"/>
        <v>0.075</v>
      </c>
      <c r="L24" s="151">
        <v>103.6</v>
      </c>
      <c r="M24" s="152">
        <f t="shared" si="1"/>
        <v>0.454545454545455</v>
      </c>
      <c r="N24" s="150">
        <f t="shared" si="2"/>
        <v>0.309090909090909</v>
      </c>
      <c r="O24" s="150">
        <f t="shared" si="3"/>
        <v>0.122989748691552</v>
      </c>
      <c r="P24" s="153">
        <f t="shared" si="4"/>
        <v>1.11111111111111</v>
      </c>
      <c r="Q24" s="154">
        <f t="shared" si="5"/>
        <v>18.0294444444444</v>
      </c>
      <c r="R24" s="187">
        <f t="shared" si="6"/>
        <v>16.2265</v>
      </c>
      <c r="S24" s="155">
        <f t="shared" si="7"/>
        <v>11.4285714285714</v>
      </c>
      <c r="T24" s="193">
        <f t="shared" si="8"/>
        <v>17</v>
      </c>
      <c r="U24" s="157">
        <f t="shared" si="9"/>
        <v>0.236111111111111</v>
      </c>
      <c r="V24" s="94">
        <f t="shared" si="10"/>
        <v>0.551512957199643</v>
      </c>
      <c r="W24" s="91">
        <v>81114</v>
      </c>
      <c r="X24" s="91">
        <v>711</v>
      </c>
      <c r="Y24" s="91">
        <v>55</v>
      </c>
      <c r="Z24" s="91">
        <v>715.93</v>
      </c>
      <c r="AA24" s="92">
        <v>1025.31</v>
      </c>
      <c r="AB24" s="91">
        <v>1.01</v>
      </c>
      <c r="AC24" s="71">
        <f t="shared" si="11"/>
        <v>0.698257112483054</v>
      </c>
      <c r="AD24" s="72">
        <f t="shared" si="12"/>
        <v>0.00876544123086027</v>
      </c>
      <c r="AE24" s="159">
        <f t="shared" si="13"/>
        <v>0.0773558368495077</v>
      </c>
      <c r="AF24" s="154">
        <f t="shared" si="14"/>
        <v>13.0169090909091</v>
      </c>
      <c r="AG24" s="160">
        <v>13</v>
      </c>
      <c r="AH24" s="161">
        <v>67</v>
      </c>
      <c r="AI24" s="165"/>
      <c r="AJ24" s="166"/>
      <c r="AK24" s="163">
        <f>AG24*产品成本!$D$11+AH24*产品成本!$D$12+AI24*产品成本!$D$13+AJ24*产品成本!$D$14</f>
        <v>482.957746478873</v>
      </c>
      <c r="AL24" s="163">
        <f>AG24*产品成本!$E$11+AH24*产品成本!$E$12+AI24*产品成本!$E$13+AJ24*产品成本!$E$14</f>
        <v>28.6467605633803</v>
      </c>
      <c r="AM24" s="163">
        <f>AG24*产品成本!$F$11+AH24*产品成本!$F$12+AI24*产品成本!$F$13+AJ24*产品成本!$F$14</f>
        <v>27.2</v>
      </c>
      <c r="AN24" s="163">
        <f>AG24*产品成本!$G$11+AH24*产品成本!$G$12+AI24*产品成本!$G$13+AJ24*产品成本!$G$14</f>
        <v>312</v>
      </c>
      <c r="AO24" s="163">
        <f t="shared" si="15"/>
        <v>194.718</v>
      </c>
      <c r="AP24" s="164">
        <f t="shared" si="16"/>
        <v>1045.52250704225</v>
      </c>
      <c r="AQ24" s="165">
        <v>2</v>
      </c>
      <c r="AR24" s="165">
        <v>4</v>
      </c>
      <c r="AS24" s="165"/>
      <c r="AT24" s="166"/>
      <c r="AU24" s="167">
        <f t="shared" si="17"/>
        <v>126.341463414634</v>
      </c>
      <c r="AV24" s="163">
        <f>AQ24*产品成本!$D$11+AR24*产品成本!$D$12+AS24*产品成本!$D$13+AT24*产品成本!$D$14</f>
        <v>35.2112676056338</v>
      </c>
      <c r="AW24" s="163">
        <f>AQ24*产品成本!$E$11+AR24*产品成本!$E$12+AS24*产品成本!$E$13+AT24*产品成本!$E$14</f>
        <v>2.14850704225352</v>
      </c>
      <c r="AX24" s="163">
        <f>AQ24*产品成本!$F$11+AR24*产品成本!$F$12+AS24*产品成本!$F$13+AT24*产品成本!$F$14</f>
        <v>2.04</v>
      </c>
      <c r="AY24" s="163">
        <v>0</v>
      </c>
      <c r="AZ24" s="163">
        <f t="shared" si="18"/>
        <v>18.9512195121951</v>
      </c>
      <c r="BA24" s="163">
        <f t="shared" si="19"/>
        <v>-3.79024390243902</v>
      </c>
      <c r="BB24" s="164">
        <f t="shared" si="20"/>
        <v>54.5607502576434</v>
      </c>
      <c r="BC24" s="169">
        <f t="shared" si="21"/>
        <v>990.96175678461</v>
      </c>
      <c r="BD24" s="169">
        <f t="shared" si="22"/>
        <v>1298.12</v>
      </c>
      <c r="BE24" s="169">
        <f t="shared" si="23"/>
        <v>1171.77853658537</v>
      </c>
      <c r="BF24" s="168">
        <f t="shared" si="24"/>
        <v>-535.113220199244</v>
      </c>
      <c r="BG24" s="170">
        <f t="shared" si="25"/>
        <v>-0.456667538696004</v>
      </c>
      <c r="BI24" t="s">
        <v>345</v>
      </c>
    </row>
    <row r="25" ht="29.1" customHeight="1" spans="1:61">
      <c r="A25" s="61" t="s">
        <v>128</v>
      </c>
      <c r="B25" s="89" t="s">
        <v>129</v>
      </c>
      <c r="C25" s="90">
        <v>56</v>
      </c>
      <c r="D25" s="91">
        <v>56</v>
      </c>
      <c r="E25" s="64">
        <v>1077.08</v>
      </c>
      <c r="F25" s="148"/>
      <c r="G25" s="148"/>
      <c r="H25" s="64"/>
      <c r="I25" s="64"/>
      <c r="J25" s="149">
        <v>6</v>
      </c>
      <c r="K25" s="150">
        <f t="shared" si="0"/>
        <v>0.107142857142857</v>
      </c>
      <c r="L25" s="151">
        <v>98.35</v>
      </c>
      <c r="M25" s="152">
        <f t="shared" si="1"/>
        <v>-0.3</v>
      </c>
      <c r="N25" s="150">
        <f t="shared" si="2"/>
        <v>-0.222222222222222</v>
      </c>
      <c r="O25" s="150">
        <f t="shared" si="3"/>
        <v>-0.170277015992358</v>
      </c>
      <c r="P25" s="153">
        <f t="shared" si="4"/>
        <v>1</v>
      </c>
      <c r="Q25" s="154">
        <f t="shared" si="5"/>
        <v>19.2335714285714</v>
      </c>
      <c r="R25" s="187">
        <f t="shared" si="6"/>
        <v>19.2335714285714</v>
      </c>
      <c r="S25" s="155">
        <f t="shared" si="7"/>
        <v>8</v>
      </c>
      <c r="T25" s="193">
        <f t="shared" si="8"/>
        <v>17</v>
      </c>
      <c r="U25" s="157">
        <f t="shared" si="9"/>
        <v>0.303571428571429</v>
      </c>
      <c r="V25" s="94">
        <f t="shared" si="10"/>
        <v>0.572111635161734</v>
      </c>
      <c r="W25" s="91">
        <v>55573</v>
      </c>
      <c r="X25" s="91">
        <v>642</v>
      </c>
      <c r="Y25" s="91">
        <v>39</v>
      </c>
      <c r="Z25" s="91">
        <v>616.21</v>
      </c>
      <c r="AA25" s="92">
        <v>760.04</v>
      </c>
      <c r="AB25" s="91">
        <v>0.96</v>
      </c>
      <c r="AC25" s="71">
        <f t="shared" si="11"/>
        <v>0.810759960002105</v>
      </c>
      <c r="AD25" s="72">
        <f t="shared" si="12"/>
        <v>0.0115523725550177</v>
      </c>
      <c r="AE25" s="159">
        <f t="shared" si="13"/>
        <v>0.0607476635514019</v>
      </c>
      <c r="AF25" s="154">
        <f t="shared" si="14"/>
        <v>15.8002564102564</v>
      </c>
      <c r="AG25" s="160">
        <v>1</v>
      </c>
      <c r="AH25" s="161">
        <v>55</v>
      </c>
      <c r="AI25" s="165"/>
      <c r="AJ25" s="166"/>
      <c r="AK25" s="163">
        <f>AG25*产品成本!$D$11+AH25*产品成本!$D$12+AI25*产品成本!$D$13+AJ25*产品成本!$D$14</f>
        <v>346.056338028169</v>
      </c>
      <c r="AL25" s="163">
        <f>AG25*产品成本!$E$11+AH25*产品成本!$E$12+AI25*产品成本!$E$13+AJ25*产品成本!$E$14</f>
        <v>20.0527323943662</v>
      </c>
      <c r="AM25" s="163">
        <f>AG25*产品成本!$F$11+AH25*产品成本!$F$12+AI25*产品成本!$F$13+AJ25*产品成本!$F$14</f>
        <v>19.04</v>
      </c>
      <c r="AN25" s="163">
        <f>AG25*产品成本!$G$11+AH25*产品成本!$G$12+AI25*产品成本!$G$13+AJ25*产品成本!$G$14</f>
        <v>218.4</v>
      </c>
      <c r="AO25" s="163">
        <f t="shared" si="15"/>
        <v>161.562</v>
      </c>
      <c r="AP25" s="164">
        <f t="shared" si="16"/>
        <v>765.111070422535</v>
      </c>
      <c r="AQ25" s="165">
        <v>2</v>
      </c>
      <c r="AR25" s="165">
        <v>4</v>
      </c>
      <c r="AS25" s="165"/>
      <c r="AT25" s="166"/>
      <c r="AU25" s="167">
        <f t="shared" si="17"/>
        <v>119.939024390244</v>
      </c>
      <c r="AV25" s="163">
        <f>AQ25*产品成本!$D$11+AR25*产品成本!$D$12+AS25*产品成本!$D$13+AT25*产品成本!$D$14</f>
        <v>35.2112676056338</v>
      </c>
      <c r="AW25" s="163">
        <f>AQ25*产品成本!$E$11+AR25*产品成本!$E$12+AS25*产品成本!$E$13+AT25*产品成本!$E$14</f>
        <v>2.14850704225352</v>
      </c>
      <c r="AX25" s="163">
        <f>AQ25*产品成本!$F$11+AR25*产品成本!$F$12+AS25*产品成本!$F$13+AT25*产品成本!$F$14</f>
        <v>2.04</v>
      </c>
      <c r="AY25" s="163">
        <v>0</v>
      </c>
      <c r="AZ25" s="163">
        <f t="shared" si="18"/>
        <v>17.9908536585366</v>
      </c>
      <c r="BA25" s="163">
        <f t="shared" si="19"/>
        <v>-3.59817073170732</v>
      </c>
      <c r="BB25" s="164">
        <f t="shared" si="20"/>
        <v>53.7924575747166</v>
      </c>
      <c r="BC25" s="169">
        <f t="shared" si="21"/>
        <v>711.318612847819</v>
      </c>
      <c r="BD25" s="169">
        <f t="shared" si="22"/>
        <v>1077.08</v>
      </c>
      <c r="BE25" s="169">
        <f t="shared" si="23"/>
        <v>957.140975609756</v>
      </c>
      <c r="BF25" s="168">
        <f t="shared" si="24"/>
        <v>-370.387637238063</v>
      </c>
      <c r="BG25" s="170">
        <f t="shared" si="25"/>
        <v>-0.386972919012378</v>
      </c>
    </row>
    <row r="26" ht="29.1" customHeight="1" spans="1:61">
      <c r="A26" s="61" t="s">
        <v>130</v>
      </c>
      <c r="B26" s="89" t="s">
        <v>131</v>
      </c>
      <c r="C26" s="90">
        <v>56</v>
      </c>
      <c r="D26" s="91">
        <v>56</v>
      </c>
      <c r="E26" s="64">
        <v>1135.95</v>
      </c>
      <c r="F26" s="148"/>
      <c r="G26" s="148"/>
      <c r="H26" s="64"/>
      <c r="I26" s="64"/>
      <c r="J26" s="149">
        <v>7</v>
      </c>
      <c r="K26" s="150">
        <f t="shared" si="0"/>
        <v>0.125</v>
      </c>
      <c r="L26" s="151">
        <v>128.58</v>
      </c>
      <c r="M26" s="152">
        <f t="shared" si="1"/>
        <v>0</v>
      </c>
      <c r="N26" s="150">
        <f t="shared" si="2"/>
        <v>0</v>
      </c>
      <c r="O26" s="150">
        <f t="shared" si="3"/>
        <v>0.0546570356890854</v>
      </c>
      <c r="P26" s="153">
        <f t="shared" si="4"/>
        <v>1</v>
      </c>
      <c r="Q26" s="154">
        <f t="shared" si="5"/>
        <v>20.2848214285714</v>
      </c>
      <c r="R26" s="187">
        <f t="shared" si="6"/>
        <v>20.2848214285714</v>
      </c>
      <c r="S26" s="155">
        <f t="shared" si="7"/>
        <v>8</v>
      </c>
      <c r="T26" s="193">
        <f t="shared" si="8"/>
        <v>8</v>
      </c>
      <c r="U26" s="157">
        <f t="shared" si="9"/>
        <v>0.142857142857143</v>
      </c>
      <c r="V26" s="94">
        <f t="shared" si="10"/>
        <v>0.490567366521414</v>
      </c>
      <c r="W26" s="91">
        <v>63886</v>
      </c>
      <c r="X26" s="91">
        <v>584</v>
      </c>
      <c r="Y26" s="91">
        <v>48</v>
      </c>
      <c r="Z26" s="91">
        <v>557.26</v>
      </c>
      <c r="AA26" s="92">
        <v>1011.11</v>
      </c>
      <c r="AB26" s="91">
        <v>0.95</v>
      </c>
      <c r="AC26" s="71">
        <f t="shared" si="11"/>
        <v>0.551136869381175</v>
      </c>
      <c r="AD26" s="72">
        <f t="shared" si="12"/>
        <v>0.00914128291018376</v>
      </c>
      <c r="AE26" s="159">
        <f t="shared" si="13"/>
        <v>0.0821917808219178</v>
      </c>
      <c r="AF26" s="154">
        <f t="shared" si="14"/>
        <v>11.6095833333333</v>
      </c>
      <c r="AG26" s="160">
        <v>2</v>
      </c>
      <c r="AH26" s="161">
        <v>54</v>
      </c>
      <c r="AI26" s="165"/>
      <c r="AJ26" s="166"/>
      <c r="AK26" s="163">
        <f>AG26*产品成本!$D$11+AH26*产品成本!$D$12+AI26*产品成本!$D$13+AJ26*产品成本!$D$14</f>
        <v>345.070422535211</v>
      </c>
      <c r="AL26" s="163">
        <f>AG26*产品成本!$E$11+AH26*产品成本!$E$12+AI26*产品成本!$E$13+AJ26*产品成本!$E$14</f>
        <v>20.0527323943662</v>
      </c>
      <c r="AM26" s="163">
        <f>AG26*产品成本!$F$11+AH26*产品成本!$F$12+AI26*产品成本!$F$13+AJ26*产品成本!$F$14</f>
        <v>19.04</v>
      </c>
      <c r="AN26" s="163">
        <f>AG26*产品成本!$G$11+AH26*产品成本!$G$12+AI26*产品成本!$G$13+AJ26*产品成本!$G$14</f>
        <v>218.4</v>
      </c>
      <c r="AO26" s="163">
        <f t="shared" si="15"/>
        <v>170.3925</v>
      </c>
      <c r="AP26" s="164">
        <f t="shared" si="16"/>
        <v>772.955654929578</v>
      </c>
      <c r="AQ26" s="165">
        <v>0</v>
      </c>
      <c r="AR26" s="165">
        <v>7</v>
      </c>
      <c r="AS26" s="165"/>
      <c r="AT26" s="166"/>
      <c r="AU26" s="167">
        <f t="shared" si="17"/>
        <v>156.804878048781</v>
      </c>
      <c r="AV26" s="163">
        <f>AQ26*产品成本!$D$11+AR26*产品成本!$D$12+AS26*产品成本!$D$13+AT26*产品成本!$D$14</f>
        <v>43.3802816901408</v>
      </c>
      <c r="AW26" s="163">
        <f>AQ26*产品成本!$E$11+AR26*产品成本!$E$12+AS26*产品成本!$E$13+AT26*产品成本!$E$14</f>
        <v>2.50659154929578</v>
      </c>
      <c r="AX26" s="163">
        <f>AQ26*产品成本!$F$11+AR26*产品成本!$F$12+AS26*产品成本!$F$13+AT26*产品成本!$F$14</f>
        <v>2.38</v>
      </c>
      <c r="AY26" s="163">
        <v>0</v>
      </c>
      <c r="AZ26" s="163">
        <f t="shared" si="18"/>
        <v>23.5207317073171</v>
      </c>
      <c r="BA26" s="163">
        <f t="shared" si="19"/>
        <v>-4.70414634146342</v>
      </c>
      <c r="BB26" s="164">
        <f t="shared" si="20"/>
        <v>67.0834586052903</v>
      </c>
      <c r="BC26" s="169">
        <f t="shared" si="21"/>
        <v>705.872196324287</v>
      </c>
      <c r="BD26" s="169">
        <f t="shared" si="22"/>
        <v>1135.95</v>
      </c>
      <c r="BE26" s="169">
        <f t="shared" si="23"/>
        <v>979.145121951219</v>
      </c>
      <c r="BF26" s="168">
        <f t="shared" si="24"/>
        <v>-283.987074373068</v>
      </c>
      <c r="BG26" s="170">
        <f t="shared" si="25"/>
        <v>-0.290035734240441</v>
      </c>
    </row>
    <row r="27" ht="29.1" customHeight="1" spans="1:61">
      <c r="A27" s="61" t="s">
        <v>133</v>
      </c>
      <c r="B27" s="89" t="s">
        <v>134</v>
      </c>
      <c r="C27" s="90">
        <v>59</v>
      </c>
      <c r="D27" s="91">
        <v>59</v>
      </c>
      <c r="E27" s="64">
        <v>1231.51</v>
      </c>
      <c r="F27" s="148"/>
      <c r="G27" s="148"/>
      <c r="H27" s="64"/>
      <c r="I27" s="64"/>
      <c r="J27" s="149">
        <v>4</v>
      </c>
      <c r="K27" s="150">
        <f t="shared" si="0"/>
        <v>0.0677966101694915</v>
      </c>
      <c r="L27" s="151">
        <v>66.08</v>
      </c>
      <c r="M27" s="152">
        <f t="shared" si="1"/>
        <v>0.0535714285714286</v>
      </c>
      <c r="N27" s="150">
        <f t="shared" si="2"/>
        <v>0.0535714285714286</v>
      </c>
      <c r="O27" s="150">
        <f t="shared" si="3"/>
        <v>0.0841234209252167</v>
      </c>
      <c r="P27" s="153">
        <f t="shared" si="4"/>
        <v>1</v>
      </c>
      <c r="Q27" s="154">
        <f t="shared" si="5"/>
        <v>20.8730508474576</v>
      </c>
      <c r="R27" s="187">
        <f t="shared" si="6"/>
        <v>20.8730508474576</v>
      </c>
      <c r="S27" s="155">
        <f t="shared" si="7"/>
        <v>8.42857142857143</v>
      </c>
      <c r="T27" s="193">
        <f t="shared" si="8"/>
        <v>14</v>
      </c>
      <c r="U27" s="157">
        <f t="shared" si="9"/>
        <v>0.23728813559322</v>
      </c>
      <c r="V27" s="94">
        <f t="shared" si="10"/>
        <v>0.439103214752621</v>
      </c>
      <c r="W27" s="91">
        <v>67100</v>
      </c>
      <c r="X27" s="91">
        <v>580</v>
      </c>
      <c r="Y27" s="91">
        <v>45</v>
      </c>
      <c r="Z27" s="91">
        <v>540.76</v>
      </c>
      <c r="AA27" s="92">
        <v>949.25</v>
      </c>
      <c r="AB27" s="91">
        <v>0.93</v>
      </c>
      <c r="AC27" s="71">
        <f t="shared" si="11"/>
        <v>0.569670792731104</v>
      </c>
      <c r="AD27" s="72">
        <f t="shared" si="12"/>
        <v>0.00864381520119225</v>
      </c>
      <c r="AE27" s="159">
        <f t="shared" si="13"/>
        <v>0.0775862068965517</v>
      </c>
      <c r="AF27" s="154">
        <f t="shared" si="14"/>
        <v>12.0168888888889</v>
      </c>
      <c r="AG27" s="160">
        <v>0</v>
      </c>
      <c r="AH27" s="161">
        <v>59</v>
      </c>
      <c r="AI27" s="165"/>
      <c r="AJ27" s="166"/>
      <c r="AK27" s="163">
        <f>AG27*产品成本!$D$11+AH27*产品成本!$D$12+AI27*产品成本!$D$13+AJ27*产品成本!$D$14</f>
        <v>365.633802816901</v>
      </c>
      <c r="AL27" s="163">
        <f>AG27*产品成本!$E$11+AH27*产品成本!$E$12+AI27*产品成本!$E$13+AJ27*产品成本!$E$14</f>
        <v>21.126985915493</v>
      </c>
      <c r="AM27" s="163">
        <f>AG27*产品成本!$F$11+AH27*产品成本!$F$12+AI27*产品成本!$F$13+AJ27*产品成本!$F$14</f>
        <v>20.06</v>
      </c>
      <c r="AN27" s="163">
        <f>AG27*产品成本!$G$11+AH27*产品成本!$G$12+AI27*产品成本!$G$13+AJ27*产品成本!$G$14</f>
        <v>230.1</v>
      </c>
      <c r="AO27" s="163">
        <f t="shared" si="15"/>
        <v>184.7265</v>
      </c>
      <c r="AP27" s="164">
        <f t="shared" si="16"/>
        <v>821.647288732394</v>
      </c>
      <c r="AQ27" s="165">
        <v>0</v>
      </c>
      <c r="AR27" s="165">
        <v>4</v>
      </c>
      <c r="AS27" s="165"/>
      <c r="AT27" s="166"/>
      <c r="AU27" s="167">
        <f t="shared" si="17"/>
        <v>80.5853658536585</v>
      </c>
      <c r="AV27" s="163">
        <f>AQ27*产品成本!$D$11+AR27*产品成本!$D$12+AS27*产品成本!$D$13+AT27*产品成本!$D$14</f>
        <v>24.7887323943662</v>
      </c>
      <c r="AW27" s="163">
        <f>AQ27*产品成本!$E$11+AR27*产品成本!$E$12+AS27*产品成本!$E$13+AT27*产品成本!$E$14</f>
        <v>1.43233802816902</v>
      </c>
      <c r="AX27" s="163">
        <f>AQ27*产品成本!$F$11+AR27*产品成本!$F$12+AS27*产品成本!$F$13+AT27*产品成本!$F$14</f>
        <v>1.36</v>
      </c>
      <c r="AY27" s="163">
        <v>0</v>
      </c>
      <c r="AZ27" s="163">
        <f t="shared" si="18"/>
        <v>12.0878048780488</v>
      </c>
      <c r="BA27" s="163">
        <f t="shared" si="19"/>
        <v>-2.41756097560976</v>
      </c>
      <c r="BB27" s="164">
        <f t="shared" si="20"/>
        <v>37.2513143249742</v>
      </c>
      <c r="BC27" s="169">
        <f t="shared" si="21"/>
        <v>784.39597440742</v>
      </c>
      <c r="BD27" s="169">
        <f t="shared" si="22"/>
        <v>1231.51</v>
      </c>
      <c r="BE27" s="169">
        <f t="shared" si="23"/>
        <v>1150.92463414634</v>
      </c>
      <c r="BF27" s="168">
        <f t="shared" si="24"/>
        <v>-174.231340261079</v>
      </c>
      <c r="BG27" s="170">
        <f t="shared" si="25"/>
        <v>-0.151383796203397</v>
      </c>
    </row>
    <row r="28" ht="29.1" customHeight="1" spans="1:61">
      <c r="A28" s="61" t="s">
        <v>136</v>
      </c>
      <c r="B28" s="89" t="s">
        <v>137</v>
      </c>
      <c r="C28" s="90">
        <v>54</v>
      </c>
      <c r="D28" s="91">
        <v>53</v>
      </c>
      <c r="E28" s="64">
        <v>1120.06</v>
      </c>
      <c r="F28" s="148"/>
      <c r="G28" s="148"/>
      <c r="H28" s="64"/>
      <c r="I28" s="64"/>
      <c r="J28" s="149">
        <v>7</v>
      </c>
      <c r="K28" s="150">
        <f t="shared" si="0"/>
        <v>0.12962962962963</v>
      </c>
      <c r="L28" s="151">
        <v>113.8</v>
      </c>
      <c r="M28" s="152">
        <f t="shared" si="1"/>
        <v>-0.0847457627118644</v>
      </c>
      <c r="N28" s="150">
        <f t="shared" si="2"/>
        <v>-0.101694915254237</v>
      </c>
      <c r="O28" s="150">
        <f t="shared" si="3"/>
        <v>-0.090498656121347</v>
      </c>
      <c r="P28" s="153">
        <f t="shared" si="4"/>
        <v>1.0188679245283</v>
      </c>
      <c r="Q28" s="154">
        <f t="shared" si="5"/>
        <v>21.1332075471698</v>
      </c>
      <c r="R28" s="187">
        <f t="shared" si="6"/>
        <v>20.7418518518519</v>
      </c>
      <c r="S28" s="155">
        <f t="shared" si="7"/>
        <v>7.71428571428571</v>
      </c>
      <c r="T28" s="193">
        <f t="shared" si="8"/>
        <v>16</v>
      </c>
      <c r="U28" s="157">
        <f t="shared" si="9"/>
        <v>0.30188679245283</v>
      </c>
      <c r="V28" s="94">
        <f t="shared" si="10"/>
        <v>0.425521847043908</v>
      </c>
      <c r="W28" s="91">
        <v>58548</v>
      </c>
      <c r="X28" s="91">
        <v>525</v>
      </c>
      <c r="Y28" s="91">
        <v>37</v>
      </c>
      <c r="Z28" s="91">
        <v>476.61</v>
      </c>
      <c r="AA28" s="92">
        <v>761.93</v>
      </c>
      <c r="AB28" s="91">
        <v>0.91</v>
      </c>
      <c r="AC28" s="71">
        <f t="shared" si="11"/>
        <v>0.625529904321919</v>
      </c>
      <c r="AD28" s="72">
        <f t="shared" si="12"/>
        <v>0.00896700143472023</v>
      </c>
      <c r="AE28" s="159">
        <f t="shared" si="13"/>
        <v>0.0704761904761905</v>
      </c>
      <c r="AF28" s="154">
        <f t="shared" si="14"/>
        <v>12.8813513513514</v>
      </c>
      <c r="AG28" s="160">
        <v>0</v>
      </c>
      <c r="AH28" s="161">
        <v>54</v>
      </c>
      <c r="AI28" s="165"/>
      <c r="AJ28" s="166"/>
      <c r="AK28" s="163">
        <f>AG28*产品成本!$D$11+AH28*产品成本!$D$12+AI28*产品成本!$D$13+AJ28*产品成本!$D$14</f>
        <v>334.647887323944</v>
      </c>
      <c r="AL28" s="163">
        <f>AG28*产品成本!$E$11+AH28*产品成本!$E$12+AI28*产品成本!$E$13+AJ28*产品成本!$E$14</f>
        <v>19.3365633802817</v>
      </c>
      <c r="AM28" s="163">
        <f>AG28*产品成本!$F$11+AH28*产品成本!$F$12+AI28*产品成本!$F$13+AJ28*产品成本!$F$14</f>
        <v>18.36</v>
      </c>
      <c r="AN28" s="163">
        <f>AG28*产品成本!$G$11+AH28*产品成本!$G$12+AI28*产品成本!$G$13+AJ28*产品成本!$G$14</f>
        <v>210.6</v>
      </c>
      <c r="AO28" s="163">
        <f t="shared" si="15"/>
        <v>168.009</v>
      </c>
      <c r="AP28" s="164">
        <f t="shared" si="16"/>
        <v>750.953450704225</v>
      </c>
      <c r="AQ28" s="165">
        <v>0</v>
      </c>
      <c r="AR28" s="165">
        <v>7</v>
      </c>
      <c r="AS28" s="165"/>
      <c r="AT28" s="166"/>
      <c r="AU28" s="167">
        <f t="shared" si="17"/>
        <v>138.780487804878</v>
      </c>
      <c r="AV28" s="163">
        <f>AQ28*产品成本!$D$11+AR28*产品成本!$D$12+AS28*产品成本!$D$13+AT28*产品成本!$D$14</f>
        <v>43.3802816901408</v>
      </c>
      <c r="AW28" s="163">
        <f>AQ28*产品成本!$E$11+AR28*产品成本!$E$12+AS28*产品成本!$E$13+AT28*产品成本!$E$14</f>
        <v>2.50659154929578</v>
      </c>
      <c r="AX28" s="163">
        <f>AQ28*产品成本!$F$11+AR28*产品成本!$F$12+AS28*产品成本!$F$13+AT28*产品成本!$F$14</f>
        <v>2.38</v>
      </c>
      <c r="AY28" s="163">
        <v>0</v>
      </c>
      <c r="AZ28" s="163">
        <f t="shared" si="18"/>
        <v>20.8170731707317</v>
      </c>
      <c r="BA28" s="163">
        <f t="shared" si="19"/>
        <v>-4.16341463414634</v>
      </c>
      <c r="BB28" s="164">
        <f t="shared" si="20"/>
        <v>64.920531776022</v>
      </c>
      <c r="BC28" s="169">
        <f t="shared" si="21"/>
        <v>686.032918928203</v>
      </c>
      <c r="BD28" s="169">
        <f t="shared" si="22"/>
        <v>1120.06</v>
      </c>
      <c r="BE28" s="169">
        <f t="shared" si="23"/>
        <v>981.279512195122</v>
      </c>
      <c r="BF28" s="168">
        <f t="shared" si="24"/>
        <v>-181.363406733081</v>
      </c>
      <c r="BG28" s="170">
        <f t="shared" si="25"/>
        <v>-0.184823390765972</v>
      </c>
      <c r="BI28" t="s">
        <v>346</v>
      </c>
    </row>
    <row r="29" ht="29.1" customHeight="1" spans="1:61">
      <c r="A29" s="61" t="s">
        <v>139</v>
      </c>
      <c r="B29" s="89" t="s">
        <v>140</v>
      </c>
      <c r="C29" s="90">
        <v>56</v>
      </c>
      <c r="D29" s="91">
        <v>55</v>
      </c>
      <c r="E29" s="64">
        <v>1273.84</v>
      </c>
      <c r="F29" s="148"/>
      <c r="G29" s="148"/>
      <c r="H29" s="64"/>
      <c r="I29" s="64"/>
      <c r="J29" s="149">
        <v>2</v>
      </c>
      <c r="K29" s="150">
        <f t="shared" si="0"/>
        <v>0.0357142857142857</v>
      </c>
      <c r="L29" s="151">
        <v>33.11</v>
      </c>
      <c r="M29" s="152">
        <f t="shared" si="1"/>
        <v>0.037037037037037</v>
      </c>
      <c r="N29" s="150">
        <f t="shared" si="2"/>
        <v>0.0377358490566038</v>
      </c>
      <c r="O29" s="150">
        <f t="shared" si="3"/>
        <v>0.137296216274128</v>
      </c>
      <c r="P29" s="153">
        <f t="shared" si="4"/>
        <v>1.01818181818182</v>
      </c>
      <c r="Q29" s="154">
        <f t="shared" si="5"/>
        <v>23.1607272727273</v>
      </c>
      <c r="R29" s="187">
        <f t="shared" si="6"/>
        <v>22.7471428571429</v>
      </c>
      <c r="S29" s="155">
        <f t="shared" si="7"/>
        <v>8</v>
      </c>
      <c r="T29" s="193">
        <f t="shared" si="8"/>
        <v>16</v>
      </c>
      <c r="U29" s="157">
        <f t="shared" si="9"/>
        <v>0.290909090909091</v>
      </c>
      <c r="V29" s="94">
        <f t="shared" si="10"/>
        <v>0.49539188595114</v>
      </c>
      <c r="W29" s="91">
        <v>71343</v>
      </c>
      <c r="X29" s="91">
        <v>593</v>
      </c>
      <c r="Y29" s="91">
        <v>39</v>
      </c>
      <c r="Z29" s="91">
        <v>631.05</v>
      </c>
      <c r="AA29" s="92">
        <v>923.8</v>
      </c>
      <c r="AB29" s="91">
        <v>1.06</v>
      </c>
      <c r="AC29" s="71">
        <f t="shared" si="11"/>
        <v>0.683102403117558</v>
      </c>
      <c r="AD29" s="72">
        <f t="shared" si="12"/>
        <v>0.00831195772535498</v>
      </c>
      <c r="AE29" s="159">
        <f t="shared" si="13"/>
        <v>0.0657672849915683</v>
      </c>
      <c r="AF29" s="154">
        <f t="shared" si="14"/>
        <v>16.1807692307692</v>
      </c>
      <c r="AG29" s="160">
        <v>4</v>
      </c>
      <c r="AH29" s="161">
        <v>52</v>
      </c>
      <c r="AI29" s="165"/>
      <c r="AJ29" s="166"/>
      <c r="AK29" s="163">
        <f>AG29*产品成本!$D$11+AH29*产品成本!$D$12+AI29*产品成本!$D$13+AJ29*产品成本!$D$14</f>
        <v>343.098591549296</v>
      </c>
      <c r="AL29" s="163">
        <f>AG29*产品成本!$E$11+AH29*产品成本!$E$12+AI29*产品成本!$E$13+AJ29*产品成本!$E$14</f>
        <v>20.0527323943662</v>
      </c>
      <c r="AM29" s="163">
        <f>AG29*产品成本!$F$11+AH29*产品成本!$F$12+AI29*产品成本!$F$13+AJ29*产品成本!$F$14</f>
        <v>19.04</v>
      </c>
      <c r="AN29" s="163">
        <f>AG29*产品成本!$G$11+AH29*产品成本!$G$12+AI29*产品成本!$G$13+AJ29*产品成本!$G$14</f>
        <v>218.4</v>
      </c>
      <c r="AO29" s="163">
        <f t="shared" si="15"/>
        <v>191.076</v>
      </c>
      <c r="AP29" s="164">
        <f t="shared" si="16"/>
        <v>791.667323943662</v>
      </c>
      <c r="AQ29" s="165">
        <v>0</v>
      </c>
      <c r="AR29" s="165">
        <v>2</v>
      </c>
      <c r="AS29" s="165"/>
      <c r="AT29" s="166"/>
      <c r="AU29" s="167">
        <f t="shared" si="17"/>
        <v>40.3780487804878</v>
      </c>
      <c r="AV29" s="163">
        <f>AQ29*产品成本!$D$11+AR29*产品成本!$D$12+AS29*产品成本!$D$13+AT29*产品成本!$D$14</f>
        <v>12.3943661971831</v>
      </c>
      <c r="AW29" s="163">
        <f>AQ29*产品成本!$E$11+AR29*产品成本!$E$12+AS29*产品成本!$E$13+AT29*产品成本!$E$14</f>
        <v>0.716169014084508</v>
      </c>
      <c r="AX29" s="163">
        <f>AQ29*产品成本!$F$11+AR29*产品成本!$F$12+AS29*产品成本!$F$13+AT29*产品成本!$F$14</f>
        <v>0.68</v>
      </c>
      <c r="AY29" s="163">
        <v>0</v>
      </c>
      <c r="AZ29" s="163">
        <f t="shared" si="18"/>
        <v>6.05670731707317</v>
      </c>
      <c r="BA29" s="163">
        <f t="shared" si="19"/>
        <v>-1.21134146341463</v>
      </c>
      <c r="BB29" s="164">
        <f t="shared" si="20"/>
        <v>18.6359010649261</v>
      </c>
      <c r="BC29" s="169">
        <f t="shared" si="21"/>
        <v>773.031422878736</v>
      </c>
      <c r="BD29" s="169">
        <f t="shared" si="22"/>
        <v>1273.84</v>
      </c>
      <c r="BE29" s="169">
        <f t="shared" si="23"/>
        <v>1233.46195121951</v>
      </c>
      <c r="BF29" s="168">
        <f t="shared" si="24"/>
        <v>-170.619471659224</v>
      </c>
      <c r="BG29" s="170">
        <f t="shared" si="25"/>
        <v>-0.138325686893328</v>
      </c>
      <c r="BI29" t="s">
        <v>347</v>
      </c>
    </row>
    <row r="30" ht="29.1" customHeight="1" spans="1:61">
      <c r="A30" s="61" t="s">
        <v>142</v>
      </c>
      <c r="B30" s="89" t="s">
        <v>143</v>
      </c>
      <c r="C30" s="90">
        <v>57</v>
      </c>
      <c r="D30" s="91">
        <v>57</v>
      </c>
      <c r="E30" s="64">
        <v>1329.62</v>
      </c>
      <c r="F30" s="148"/>
      <c r="G30" s="148"/>
      <c r="H30" s="64"/>
      <c r="I30" s="64"/>
      <c r="J30" s="149">
        <v>3</v>
      </c>
      <c r="K30" s="150">
        <f t="shared" si="0"/>
        <v>0.0526315789473684</v>
      </c>
      <c r="L30" s="151">
        <v>54.29</v>
      </c>
      <c r="M30" s="152">
        <f t="shared" si="1"/>
        <v>0.0178571428571429</v>
      </c>
      <c r="N30" s="150">
        <f t="shared" si="2"/>
        <v>0.0363636363636364</v>
      </c>
      <c r="O30" s="150">
        <f t="shared" si="3"/>
        <v>0.0437888588833762</v>
      </c>
      <c r="P30" s="153">
        <f t="shared" si="4"/>
        <v>1</v>
      </c>
      <c r="Q30" s="154">
        <f t="shared" si="5"/>
        <v>23.3266666666667</v>
      </c>
      <c r="R30" s="187">
        <f t="shared" si="6"/>
        <v>23.3266666666667</v>
      </c>
      <c r="S30" s="155">
        <f t="shared" si="7"/>
        <v>8.14285714285714</v>
      </c>
      <c r="T30" s="193">
        <f t="shared" si="8"/>
        <v>11</v>
      </c>
      <c r="U30" s="157">
        <f t="shared" si="9"/>
        <v>0.192982456140351</v>
      </c>
      <c r="V30" s="94">
        <f t="shared" si="10"/>
        <v>0.516124907868414</v>
      </c>
      <c r="W30" s="91">
        <v>90603</v>
      </c>
      <c r="X30" s="91">
        <v>660</v>
      </c>
      <c r="Y30" s="91">
        <v>46</v>
      </c>
      <c r="Z30" s="91">
        <v>686.25</v>
      </c>
      <c r="AA30" s="92">
        <v>1065.04</v>
      </c>
      <c r="AB30" s="91">
        <v>1.04</v>
      </c>
      <c r="AC30" s="71">
        <f t="shared" si="11"/>
        <v>0.644341996544731</v>
      </c>
      <c r="AD30" s="72">
        <f t="shared" si="12"/>
        <v>0.00728452700241714</v>
      </c>
      <c r="AE30" s="159">
        <f t="shared" si="13"/>
        <v>0.0696969696969697</v>
      </c>
      <c r="AF30" s="154">
        <f t="shared" si="14"/>
        <v>14.9184782608696</v>
      </c>
      <c r="AG30" s="160">
        <v>5</v>
      </c>
      <c r="AH30" s="161">
        <v>52</v>
      </c>
      <c r="AI30" s="165"/>
      <c r="AJ30" s="166"/>
      <c r="AK30" s="163">
        <f>AG30*产品成本!$D$11+AH30*产品成本!$D$12+AI30*产品成本!$D$13+AJ30*产品成本!$D$14</f>
        <v>348.30985915493</v>
      </c>
      <c r="AL30" s="163">
        <f>AG30*产品成本!$E$11+AH30*产品成本!$E$12+AI30*产品成本!$E$13+AJ30*产品成本!$E$14</f>
        <v>20.4108169014085</v>
      </c>
      <c r="AM30" s="163">
        <f>AG30*产品成本!$F$11+AH30*产品成本!$F$12+AI30*产品成本!$F$13+AJ30*产品成本!$F$14</f>
        <v>19.38</v>
      </c>
      <c r="AN30" s="163">
        <f>AG30*产品成本!$G$11+AH30*产品成本!$G$12+AI30*产品成本!$G$13+AJ30*产品成本!$G$14</f>
        <v>222.3</v>
      </c>
      <c r="AO30" s="163">
        <f t="shared" si="15"/>
        <v>199.443</v>
      </c>
      <c r="AP30" s="164">
        <f t="shared" si="16"/>
        <v>809.843676056338</v>
      </c>
      <c r="AQ30" s="165">
        <v>0</v>
      </c>
      <c r="AR30" s="165">
        <v>3</v>
      </c>
      <c r="AS30" s="165"/>
      <c r="AT30" s="166"/>
      <c r="AU30" s="167">
        <f t="shared" si="17"/>
        <v>66.2073170731707</v>
      </c>
      <c r="AV30" s="163">
        <f>AQ30*产品成本!$D$11+AR30*产品成本!$D$12+AS30*产品成本!$D$13+AT30*产品成本!$D$14</f>
        <v>18.5915492957746</v>
      </c>
      <c r="AW30" s="163">
        <f>AQ30*产品成本!$E$11+AR30*产品成本!$E$12+AS30*产品成本!$E$13+AT30*产品成本!$E$14</f>
        <v>1.07425352112676</v>
      </c>
      <c r="AX30" s="163">
        <f>AQ30*产品成本!$F$11+AR30*产品成本!$F$12+AS30*产品成本!$F$13+AT30*产品成本!$F$14</f>
        <v>1.02</v>
      </c>
      <c r="AY30" s="163">
        <v>0</v>
      </c>
      <c r="AZ30" s="163">
        <f t="shared" si="18"/>
        <v>9.93109756097561</v>
      </c>
      <c r="BA30" s="163">
        <f t="shared" si="19"/>
        <v>-1.98621951219512</v>
      </c>
      <c r="BB30" s="164">
        <f t="shared" si="20"/>
        <v>28.6306808656819</v>
      </c>
      <c r="BC30" s="169">
        <f t="shared" si="21"/>
        <v>781.212995190656</v>
      </c>
      <c r="BD30" s="169">
        <f t="shared" si="22"/>
        <v>1329.62</v>
      </c>
      <c r="BE30" s="169">
        <f t="shared" si="23"/>
        <v>1263.41268292683</v>
      </c>
      <c r="BF30" s="168">
        <f t="shared" si="24"/>
        <v>-204.050312263827</v>
      </c>
      <c r="BG30" s="170">
        <f t="shared" si="25"/>
        <v>-0.161507253347436</v>
      </c>
      <c r="BI30" t="s">
        <v>289</v>
      </c>
    </row>
    <row r="31" ht="29.1" customHeight="1" spans="1:61">
      <c r="A31" s="61" t="s">
        <v>144</v>
      </c>
      <c r="B31" s="89" t="s">
        <v>145</v>
      </c>
      <c r="C31" s="90">
        <v>84</v>
      </c>
      <c r="D31" s="91">
        <v>84</v>
      </c>
      <c r="E31" s="64">
        <v>1898.87</v>
      </c>
      <c r="F31" s="148"/>
      <c r="G31" s="148"/>
      <c r="H31" s="64"/>
      <c r="I31" s="64"/>
      <c r="J31" s="149">
        <v>2</v>
      </c>
      <c r="K31" s="150">
        <f t="shared" si="0"/>
        <v>0.0238095238095238</v>
      </c>
      <c r="L31" s="151">
        <v>42.06</v>
      </c>
      <c r="M31" s="152">
        <f t="shared" si="1"/>
        <v>0.473684210526316</v>
      </c>
      <c r="N31" s="150">
        <f t="shared" si="2"/>
        <v>0.473684210526316</v>
      </c>
      <c r="O31" s="150">
        <f t="shared" si="3"/>
        <v>0.428129841608881</v>
      </c>
      <c r="P31" s="153">
        <f t="shared" si="4"/>
        <v>1</v>
      </c>
      <c r="Q31" s="154">
        <f t="shared" si="5"/>
        <v>22.6055952380952</v>
      </c>
      <c r="R31" s="187">
        <f t="shared" si="6"/>
        <v>22.6055952380952</v>
      </c>
      <c r="S31" s="155">
        <f t="shared" si="7"/>
        <v>12</v>
      </c>
      <c r="T31" s="193">
        <f t="shared" si="8"/>
        <v>20</v>
      </c>
      <c r="U31" s="157">
        <f t="shared" si="9"/>
        <v>0.238095238095238</v>
      </c>
      <c r="V31" s="94">
        <f t="shared" si="10"/>
        <v>0.410480970261261</v>
      </c>
      <c r="W31" s="91">
        <v>103147</v>
      </c>
      <c r="X31" s="91">
        <v>762</v>
      </c>
      <c r="Y31" s="91">
        <v>64</v>
      </c>
      <c r="Z31" s="91">
        <v>779.45</v>
      </c>
      <c r="AA31" s="92">
        <v>1483.16</v>
      </c>
      <c r="AB31" s="91">
        <v>1.02</v>
      </c>
      <c r="AC31" s="71">
        <f t="shared" si="11"/>
        <v>0.525533320747593</v>
      </c>
      <c r="AD31" s="72">
        <f t="shared" si="12"/>
        <v>0.00738751490591098</v>
      </c>
      <c r="AE31" s="159">
        <f t="shared" si="13"/>
        <v>0.083989501312336</v>
      </c>
      <c r="AF31" s="154">
        <f t="shared" si="14"/>
        <v>12.17890625</v>
      </c>
      <c r="AG31" s="160">
        <v>16</v>
      </c>
      <c r="AH31" s="161">
        <v>68</v>
      </c>
      <c r="AI31" s="165"/>
      <c r="AJ31" s="166"/>
      <c r="AK31" s="163">
        <f>AG31*产品成本!$D$11+AH31*产品成本!$D$12+AI31*产品成本!$D$13+AJ31*产品成本!$D$14</f>
        <v>504.788732394366</v>
      </c>
      <c r="AL31" s="163">
        <f>AG31*产品成本!$E$11+AH31*产品成本!$E$12+AI31*产品成本!$E$13+AJ31*产品成本!$E$14</f>
        <v>30.0790985915493</v>
      </c>
      <c r="AM31" s="163">
        <f>AG31*产品成本!$F$11+AH31*产品成本!$F$12+AI31*产品成本!$F$13+AJ31*产品成本!$F$14</f>
        <v>28.56</v>
      </c>
      <c r="AN31" s="163">
        <f>AG31*产品成本!$G$11+AH31*产品成本!$G$12+AI31*产品成本!$G$13+AJ31*产品成本!$G$14</f>
        <v>327.6</v>
      </c>
      <c r="AO31" s="163">
        <f t="shared" si="15"/>
        <v>284.8305</v>
      </c>
      <c r="AP31" s="164">
        <f t="shared" si="16"/>
        <v>1175.85833098592</v>
      </c>
      <c r="AQ31" s="165">
        <v>0</v>
      </c>
      <c r="AR31" s="165">
        <v>2</v>
      </c>
      <c r="AS31" s="165"/>
      <c r="AT31" s="166"/>
      <c r="AU31" s="167">
        <f t="shared" si="17"/>
        <v>51.2926829268293</v>
      </c>
      <c r="AV31" s="163">
        <f>AQ31*产品成本!$D$11+AR31*产品成本!$D$12+AS31*产品成本!$D$13+AT31*产品成本!$D$14</f>
        <v>12.3943661971831</v>
      </c>
      <c r="AW31" s="163">
        <f>AQ31*产品成本!$E$11+AR31*产品成本!$E$12+AS31*产品成本!$E$13+AT31*产品成本!$E$14</f>
        <v>0.716169014084508</v>
      </c>
      <c r="AX31" s="163">
        <f>AQ31*产品成本!$F$11+AR31*产品成本!$F$12+AS31*产品成本!$F$13+AT31*产品成本!$F$14</f>
        <v>0.68</v>
      </c>
      <c r="AY31" s="163">
        <v>0</v>
      </c>
      <c r="AZ31" s="163">
        <f t="shared" si="18"/>
        <v>7.69390243902439</v>
      </c>
      <c r="BA31" s="163">
        <f t="shared" si="19"/>
        <v>-1.53878048780488</v>
      </c>
      <c r="BB31" s="164">
        <f t="shared" si="20"/>
        <v>19.9456571624871</v>
      </c>
      <c r="BC31" s="169">
        <f t="shared" si="21"/>
        <v>1155.91267382343</v>
      </c>
      <c r="BD31" s="169">
        <f t="shared" si="22"/>
        <v>1898.87</v>
      </c>
      <c r="BE31" s="169">
        <f t="shared" si="23"/>
        <v>1847.57731707317</v>
      </c>
      <c r="BF31" s="168">
        <f t="shared" si="24"/>
        <v>-87.7853567502577</v>
      </c>
      <c r="BG31" s="170">
        <f t="shared" si="25"/>
        <v>-0.0475137662381147</v>
      </c>
      <c r="BI31" t="s">
        <v>348</v>
      </c>
    </row>
    <row r="32" ht="29.1" customHeight="1" spans="1:61">
      <c r="A32" s="61" t="s">
        <v>147</v>
      </c>
      <c r="B32" s="89" t="s">
        <v>148</v>
      </c>
      <c r="C32" s="90">
        <v>111</v>
      </c>
      <c r="D32" s="91">
        <v>111</v>
      </c>
      <c r="E32" s="64">
        <v>2516.99</v>
      </c>
      <c r="F32" s="148"/>
      <c r="G32" s="148"/>
      <c r="H32" s="64"/>
      <c r="I32" s="64"/>
      <c r="J32" s="149">
        <v>10</v>
      </c>
      <c r="K32" s="150">
        <f t="shared" si="0"/>
        <v>0.0900900900900901</v>
      </c>
      <c r="L32" s="151">
        <v>201.5</v>
      </c>
      <c r="M32" s="152">
        <f t="shared" si="1"/>
        <v>0.321428571428571</v>
      </c>
      <c r="N32" s="150">
        <f t="shared" si="2"/>
        <v>0.321428571428571</v>
      </c>
      <c r="O32" s="150">
        <f t="shared" si="3"/>
        <v>0.325519914475451</v>
      </c>
      <c r="P32" s="153">
        <f t="shared" si="4"/>
        <v>1</v>
      </c>
      <c r="Q32" s="154">
        <f t="shared" si="5"/>
        <v>22.6755855855856</v>
      </c>
      <c r="R32" s="187">
        <f t="shared" si="6"/>
        <v>22.6755855855856</v>
      </c>
      <c r="S32" s="155">
        <f t="shared" si="7"/>
        <v>15.8571428571429</v>
      </c>
      <c r="T32" s="193">
        <f t="shared" si="8"/>
        <v>20</v>
      </c>
      <c r="U32" s="157">
        <f t="shared" si="9"/>
        <v>0.18018018018018</v>
      </c>
      <c r="V32" s="94">
        <f t="shared" si="10"/>
        <v>0.388185888700392</v>
      </c>
      <c r="W32" s="91">
        <v>121904</v>
      </c>
      <c r="X32" s="91">
        <v>894</v>
      </c>
      <c r="Y32" s="91">
        <v>91</v>
      </c>
      <c r="Z32" s="91">
        <v>977.06</v>
      </c>
      <c r="AA32" s="92">
        <v>2033.9</v>
      </c>
      <c r="AB32" s="91">
        <v>1.09</v>
      </c>
      <c r="AC32" s="71">
        <f t="shared" si="11"/>
        <v>0.480387433010472</v>
      </c>
      <c r="AD32" s="72">
        <f t="shared" si="12"/>
        <v>0.00733363958524741</v>
      </c>
      <c r="AE32" s="159">
        <f t="shared" si="13"/>
        <v>0.10178970917226</v>
      </c>
      <c r="AF32" s="154">
        <f t="shared" si="14"/>
        <v>10.7369230769231</v>
      </c>
      <c r="AG32" s="160">
        <v>15</v>
      </c>
      <c r="AH32" s="161">
        <v>96</v>
      </c>
      <c r="AI32" s="165"/>
      <c r="AJ32" s="166"/>
      <c r="AK32" s="163">
        <f>AG32*产品成本!$D$11+AH32*产品成本!$D$12+AI32*产品成本!$D$13+AJ32*产品成本!$D$14</f>
        <v>673.098591549296</v>
      </c>
      <c r="AL32" s="163">
        <f>AG32*产品成本!$E$11+AH32*产品成本!$E$12+AI32*产品成本!$E$13+AJ32*产品成本!$E$14</f>
        <v>39.7473802816902</v>
      </c>
      <c r="AM32" s="163">
        <f>AG32*产品成本!$F$11+AH32*产品成本!$F$12+AI32*产品成本!$F$13+AJ32*产品成本!$F$14</f>
        <v>37.74</v>
      </c>
      <c r="AN32" s="163">
        <f>AG32*产品成本!$G$11+AH32*产品成本!$G$12+AI32*产品成本!$G$13+AJ32*产品成本!$G$14</f>
        <v>432.9</v>
      </c>
      <c r="AO32" s="163">
        <f t="shared" si="15"/>
        <v>377.5485</v>
      </c>
      <c r="AP32" s="164">
        <f t="shared" si="16"/>
        <v>1561.03447183099</v>
      </c>
      <c r="AQ32" s="165">
        <v>1</v>
      </c>
      <c r="AR32" s="165">
        <v>9</v>
      </c>
      <c r="AS32" s="165"/>
      <c r="AT32" s="166"/>
      <c r="AU32" s="167">
        <f t="shared" si="17"/>
        <v>245.731707317073</v>
      </c>
      <c r="AV32" s="163">
        <f>AQ32*产品成本!$D$11+AR32*产品成本!$D$12+AS32*产品成本!$D$13+AT32*产品成本!$D$14</f>
        <v>60.9859154929578</v>
      </c>
      <c r="AW32" s="163">
        <f>AQ32*产品成本!$E$11+AR32*产品成本!$E$12+AS32*产品成本!$E$13+AT32*产品成本!$E$14</f>
        <v>3.58084507042254</v>
      </c>
      <c r="AX32" s="163">
        <f>AQ32*产品成本!$F$11+AR32*产品成本!$F$12+AS32*产品成本!$F$13+AT32*产品成本!$F$14</f>
        <v>3.4</v>
      </c>
      <c r="AY32" s="163">
        <v>0</v>
      </c>
      <c r="AZ32" s="163">
        <f t="shared" si="18"/>
        <v>36.859756097561</v>
      </c>
      <c r="BA32" s="163">
        <f t="shared" si="19"/>
        <v>-7.3719512195122</v>
      </c>
      <c r="BB32" s="164">
        <f t="shared" si="20"/>
        <v>97.4545654414291</v>
      </c>
      <c r="BC32" s="169">
        <f t="shared" si="21"/>
        <v>1463.57990638956</v>
      </c>
      <c r="BD32" s="169">
        <f t="shared" si="22"/>
        <v>2516.99</v>
      </c>
      <c r="BE32" s="169">
        <f t="shared" si="23"/>
        <v>2271.25829268293</v>
      </c>
      <c r="BF32" s="168">
        <f t="shared" si="24"/>
        <v>-169.38161370663</v>
      </c>
      <c r="BG32" s="170">
        <f t="shared" si="25"/>
        <v>-0.0745761123921084</v>
      </c>
      <c r="BH32" s="172"/>
      <c r="BI32" s="172" t="s">
        <v>349</v>
      </c>
    </row>
    <row r="33" ht="29.1" customHeight="1" spans="1:61">
      <c r="A33" s="61" t="s">
        <v>150</v>
      </c>
      <c r="B33" s="89" t="s">
        <v>151</v>
      </c>
      <c r="C33" s="90">
        <v>124</v>
      </c>
      <c r="D33" s="91">
        <v>123</v>
      </c>
      <c r="E33" s="64">
        <v>2899.27</v>
      </c>
      <c r="F33" s="148"/>
      <c r="G33" s="148"/>
      <c r="H33" s="64"/>
      <c r="I33" s="64"/>
      <c r="J33" s="149">
        <v>9</v>
      </c>
      <c r="K33" s="150">
        <f t="shared" si="0"/>
        <v>0.0725806451612903</v>
      </c>
      <c r="L33" s="151">
        <v>183.99</v>
      </c>
      <c r="M33" s="152">
        <f t="shared" si="1"/>
        <v>0.117117117117117</v>
      </c>
      <c r="N33" s="150">
        <f t="shared" si="2"/>
        <v>0.108108108108108</v>
      </c>
      <c r="O33" s="150">
        <f t="shared" si="3"/>
        <v>0.151879824711262</v>
      </c>
      <c r="P33" s="153">
        <f t="shared" si="4"/>
        <v>1.00813008130081</v>
      </c>
      <c r="Q33" s="154">
        <f t="shared" si="5"/>
        <v>23.5713008130081</v>
      </c>
      <c r="R33" s="187">
        <f t="shared" si="6"/>
        <v>23.3812096774194</v>
      </c>
      <c r="S33" s="155">
        <f t="shared" si="7"/>
        <v>17.7142857142857</v>
      </c>
      <c r="T33" s="193">
        <f t="shared" si="8"/>
        <v>10</v>
      </c>
      <c r="U33" s="157">
        <f t="shared" si="9"/>
        <v>0.0813008130081301</v>
      </c>
      <c r="V33" s="94">
        <f t="shared" si="10"/>
        <v>0.543409203006274</v>
      </c>
      <c r="W33" s="91">
        <v>171331</v>
      </c>
      <c r="X33" s="91">
        <v>1404</v>
      </c>
      <c r="Y33" s="91">
        <v>113</v>
      </c>
      <c r="Z33" s="91">
        <v>1575.49</v>
      </c>
      <c r="AA33" s="92">
        <v>2611.86</v>
      </c>
      <c r="AB33" s="91">
        <v>1.12</v>
      </c>
      <c r="AC33" s="71">
        <f t="shared" si="11"/>
        <v>0.603206144280321</v>
      </c>
      <c r="AD33" s="72">
        <f t="shared" si="12"/>
        <v>0.00819466412966714</v>
      </c>
      <c r="AE33" s="159">
        <f t="shared" si="13"/>
        <v>0.0804843304843305</v>
      </c>
      <c r="AF33" s="154">
        <f t="shared" si="14"/>
        <v>13.942389380531</v>
      </c>
      <c r="AG33" s="160">
        <v>22</v>
      </c>
      <c r="AH33" s="161">
        <v>102</v>
      </c>
      <c r="AI33" s="165"/>
      <c r="AJ33" s="166"/>
      <c r="AK33" s="163">
        <f>AG33*产品成本!$D$11+AH33*产品成本!$D$12+AI33*产品成本!$D$13+AJ33*产品成本!$D$14</f>
        <v>746.760563380282</v>
      </c>
      <c r="AL33" s="163">
        <f>AG33*产品成本!$E$11+AH33*产品成本!$E$12+AI33*产品成本!$E$13+AJ33*产品成本!$E$14</f>
        <v>44.4024788732395</v>
      </c>
      <c r="AM33" s="163">
        <f>AG33*产品成本!$F$11+AH33*产品成本!$F$12+AI33*产品成本!$F$13+AJ33*产品成本!$F$14</f>
        <v>42.16</v>
      </c>
      <c r="AN33" s="163">
        <f>AG33*产品成本!$G$11+AH33*产品成本!$G$12+AI33*产品成本!$G$13+AJ33*产品成本!$G$14</f>
        <v>483.6</v>
      </c>
      <c r="AO33" s="163">
        <f t="shared" si="15"/>
        <v>434.8905</v>
      </c>
      <c r="AP33" s="164">
        <f t="shared" si="16"/>
        <v>1751.81354225352</v>
      </c>
      <c r="AQ33" s="165">
        <v>2</v>
      </c>
      <c r="AR33" s="165">
        <v>7</v>
      </c>
      <c r="AS33" s="165"/>
      <c r="AT33" s="166"/>
      <c r="AU33" s="167">
        <f t="shared" si="17"/>
        <v>224.378048780488</v>
      </c>
      <c r="AV33" s="163">
        <f>AQ33*产品成本!$D$11+AR33*产品成本!$D$12+AS33*产品成本!$D$13+AT33*产品成本!$D$14</f>
        <v>53.8028169014084</v>
      </c>
      <c r="AW33" s="163">
        <f>AQ33*产品成本!$E$11+AR33*产品成本!$E$12+AS33*产品成本!$E$13+AT33*产品成本!$E$14</f>
        <v>3.22276056338029</v>
      </c>
      <c r="AX33" s="163">
        <f>AQ33*产品成本!$F$11+AR33*产品成本!$F$12+AS33*产品成本!$F$13+AT33*产品成本!$F$14</f>
        <v>3.06</v>
      </c>
      <c r="AY33" s="163">
        <v>0</v>
      </c>
      <c r="AZ33" s="163">
        <f t="shared" si="18"/>
        <v>33.6567073170732</v>
      </c>
      <c r="BA33" s="163">
        <f t="shared" si="19"/>
        <v>-6.73134146341463</v>
      </c>
      <c r="BB33" s="164">
        <f t="shared" si="20"/>
        <v>87.0109433184473</v>
      </c>
      <c r="BC33" s="169">
        <f t="shared" si="21"/>
        <v>1664.80259893507</v>
      </c>
      <c r="BD33" s="169">
        <f t="shared" si="22"/>
        <v>2899.27</v>
      </c>
      <c r="BE33" s="169">
        <f t="shared" si="23"/>
        <v>2674.89195121951</v>
      </c>
      <c r="BF33" s="168">
        <f t="shared" si="24"/>
        <v>-565.400647715562</v>
      </c>
      <c r="BG33" s="170">
        <f t="shared" si="25"/>
        <v>-0.211373265921186</v>
      </c>
      <c r="BI33" t="s">
        <v>290</v>
      </c>
    </row>
    <row r="34" ht="29.1" customHeight="1" spans="1:61">
      <c r="A34" s="61" t="s">
        <v>154</v>
      </c>
      <c r="B34" s="89" t="s">
        <v>155</v>
      </c>
      <c r="C34" s="90">
        <v>135</v>
      </c>
      <c r="D34" s="91">
        <v>133</v>
      </c>
      <c r="E34" s="64">
        <v>3079.15</v>
      </c>
      <c r="F34" s="148">
        <v>3</v>
      </c>
      <c r="G34" s="148">
        <v>3</v>
      </c>
      <c r="H34" s="64">
        <v>69.67</v>
      </c>
      <c r="I34" s="64">
        <v>4.58</v>
      </c>
      <c r="J34" s="149">
        <v>6</v>
      </c>
      <c r="K34" s="150">
        <f t="shared" si="0"/>
        <v>0.0444444444444444</v>
      </c>
      <c r="L34" s="151">
        <v>120.9</v>
      </c>
      <c r="M34" s="152">
        <f t="shared" si="1"/>
        <v>0.0887096774193548</v>
      </c>
      <c r="N34" s="150">
        <f t="shared" si="2"/>
        <v>0.0813008130081301</v>
      </c>
      <c r="O34" s="150">
        <f t="shared" si="3"/>
        <v>0.0620432039789327</v>
      </c>
      <c r="P34" s="153">
        <f t="shared" si="4"/>
        <v>1.01503759398496</v>
      </c>
      <c r="Q34" s="154">
        <f t="shared" si="5"/>
        <v>23.1515037593985</v>
      </c>
      <c r="R34" s="187">
        <f t="shared" si="6"/>
        <v>22.8085185185185</v>
      </c>
      <c r="S34" s="155">
        <f t="shared" si="7"/>
        <v>19.2857142857143</v>
      </c>
      <c r="T34" s="193">
        <f t="shared" si="8"/>
        <v>20</v>
      </c>
      <c r="U34" s="157">
        <f t="shared" si="9"/>
        <v>0.150375939849624</v>
      </c>
      <c r="V34" s="94">
        <f t="shared" si="10"/>
        <v>0.456210136702043</v>
      </c>
      <c r="W34" s="91">
        <v>123891</v>
      </c>
      <c r="X34" s="91">
        <v>1216</v>
      </c>
      <c r="Y34" s="91">
        <v>113</v>
      </c>
      <c r="Z34" s="91">
        <v>1402.65</v>
      </c>
      <c r="AA34" s="92">
        <v>2645.34</v>
      </c>
      <c r="AB34" s="91">
        <v>1.15</v>
      </c>
      <c r="AC34" s="71">
        <f t="shared" si="11"/>
        <v>0.530234298804691</v>
      </c>
      <c r="AD34" s="72">
        <f t="shared" si="12"/>
        <v>0.00981507938429749</v>
      </c>
      <c r="AE34" s="159">
        <f t="shared" si="13"/>
        <v>0.0929276315789474</v>
      </c>
      <c r="AF34" s="154">
        <f t="shared" si="14"/>
        <v>12.4128318584071</v>
      </c>
      <c r="AG34" s="160">
        <v>32</v>
      </c>
      <c r="AH34" s="161">
        <v>103</v>
      </c>
      <c r="AI34" s="165"/>
      <c r="AJ34" s="166"/>
      <c r="AK34" s="163">
        <f>AG34*产品成本!$D$11+AH34*产品成本!$D$12+AI34*产品成本!$D$13+AJ34*产品成本!$D$14</f>
        <v>805.070422535211</v>
      </c>
      <c r="AL34" s="163">
        <f>AG34*产品成本!$E$11+AH34*产品成本!$E$12+AI34*产品成本!$E$13+AJ34*产品成本!$E$14</f>
        <v>48.3414084507043</v>
      </c>
      <c r="AM34" s="163">
        <f>AG34*产品成本!$F$11+AH34*产品成本!$F$12+AI34*产品成本!$F$13+AJ34*产品成本!$F$14</f>
        <v>45.9</v>
      </c>
      <c r="AN34" s="163">
        <f>AG34*产品成本!$G$11+AH34*产品成本!$G$12+AI34*产品成本!$G$13+AJ34*产品成本!$G$14</f>
        <v>526.5</v>
      </c>
      <c r="AO34" s="163">
        <f t="shared" si="15"/>
        <v>461.1855</v>
      </c>
      <c r="AP34" s="164">
        <f t="shared" si="16"/>
        <v>1886.99733098592</v>
      </c>
      <c r="AQ34" s="165">
        <v>0</v>
      </c>
      <c r="AR34" s="165">
        <v>6</v>
      </c>
      <c r="AS34" s="165"/>
      <c r="AT34" s="166"/>
      <c r="AU34" s="167">
        <f t="shared" si="17"/>
        <v>147.439024390244</v>
      </c>
      <c r="AV34" s="163">
        <f>AQ34*产品成本!$D$11+AR34*产品成本!$D$12+AS34*产品成本!$D$13+AT34*产品成本!$D$14</f>
        <v>37.1830985915493</v>
      </c>
      <c r="AW34" s="163">
        <f>AQ34*产品成本!$E$11+AR34*产品成本!$E$12+AS34*产品成本!$E$13+AT34*产品成本!$E$14</f>
        <v>2.14850704225352</v>
      </c>
      <c r="AX34" s="163">
        <f>AQ34*产品成本!$F$11+AR34*产品成本!$F$12+AS34*产品成本!$F$13+AT34*产品成本!$F$14</f>
        <v>2.04</v>
      </c>
      <c r="AY34" s="163">
        <v>0</v>
      </c>
      <c r="AZ34" s="163">
        <f t="shared" si="18"/>
        <v>22.1158536585366</v>
      </c>
      <c r="BA34" s="163">
        <f t="shared" si="19"/>
        <v>-4.42317073170732</v>
      </c>
      <c r="BB34" s="164">
        <f t="shared" si="20"/>
        <v>59.0642885606321</v>
      </c>
      <c r="BC34" s="169">
        <f t="shared" si="21"/>
        <v>1827.93304242528</v>
      </c>
      <c r="BD34" s="169">
        <f t="shared" si="22"/>
        <v>3074.57</v>
      </c>
      <c r="BE34" s="169">
        <f t="shared" si="23"/>
        <v>2927.13097560976</v>
      </c>
      <c r="BF34" s="168">
        <f t="shared" si="24"/>
        <v>-303.452066815527</v>
      </c>
      <c r="BG34" s="170">
        <f t="shared" si="25"/>
        <v>-0.103668769639635</v>
      </c>
    </row>
    <row r="35" ht="29.1" customHeight="1" spans="1:61">
      <c r="A35" s="61" t="s">
        <v>156</v>
      </c>
      <c r="B35" s="89" t="s">
        <v>157</v>
      </c>
      <c r="C35" s="90">
        <v>121</v>
      </c>
      <c r="D35" s="91">
        <v>120</v>
      </c>
      <c r="E35" s="64">
        <v>2748.69</v>
      </c>
      <c r="F35" s="148">
        <v>1</v>
      </c>
      <c r="G35" s="148">
        <v>1</v>
      </c>
      <c r="H35" s="64">
        <v>23.89</v>
      </c>
      <c r="I35" s="64">
        <v>2.39</v>
      </c>
      <c r="J35" s="149">
        <v>10</v>
      </c>
      <c r="K35" s="150">
        <f t="shared" si="0"/>
        <v>0.0826446280991736</v>
      </c>
      <c r="L35" s="151">
        <v>202.91</v>
      </c>
      <c r="M35" s="152">
        <f t="shared" si="1"/>
        <v>-0.103703703703704</v>
      </c>
      <c r="N35" s="150">
        <f t="shared" si="2"/>
        <v>-0.0977443609022556</v>
      </c>
      <c r="O35" s="150">
        <f t="shared" si="3"/>
        <v>-0.107321825828557</v>
      </c>
      <c r="P35" s="153">
        <f t="shared" si="4"/>
        <v>1.00833333333333</v>
      </c>
      <c r="Q35" s="154">
        <f t="shared" si="5"/>
        <v>22.90575</v>
      </c>
      <c r="R35" s="187">
        <f t="shared" si="6"/>
        <v>22.7164462809917</v>
      </c>
      <c r="S35" s="155">
        <f t="shared" si="7"/>
        <v>17.2857142857143</v>
      </c>
      <c r="T35" s="193">
        <f t="shared" si="8"/>
        <v>8</v>
      </c>
      <c r="U35" s="157">
        <f t="shared" si="9"/>
        <v>0.0666666666666667</v>
      </c>
      <c r="V35" s="94">
        <f t="shared" si="10"/>
        <v>0.451502020900848</v>
      </c>
      <c r="W35" s="91">
        <v>127321</v>
      </c>
      <c r="X35" s="91">
        <v>1119</v>
      </c>
      <c r="Y35" s="91">
        <v>112</v>
      </c>
      <c r="Z35" s="91">
        <v>1239.96</v>
      </c>
      <c r="AA35" s="92">
        <v>2496.29</v>
      </c>
      <c r="AB35" s="91">
        <v>1.11</v>
      </c>
      <c r="AC35" s="71">
        <f t="shared" si="11"/>
        <v>0.496721134163098</v>
      </c>
      <c r="AD35" s="72">
        <f t="shared" si="12"/>
        <v>0.00878880938729668</v>
      </c>
      <c r="AE35" s="159">
        <f t="shared" si="13"/>
        <v>0.100089365504915</v>
      </c>
      <c r="AF35" s="154">
        <f t="shared" si="14"/>
        <v>11.0710714285714</v>
      </c>
      <c r="AG35" s="160">
        <v>35</v>
      </c>
      <c r="AH35" s="161">
        <v>87</v>
      </c>
      <c r="AI35" s="165"/>
      <c r="AJ35" s="166"/>
      <c r="AK35" s="163">
        <f>AG35*产品成本!$D$11+AH35*产品成本!$D$12+AI35*产品成本!$D$13+AJ35*产品成本!$D$14</f>
        <v>721.549295774648</v>
      </c>
      <c r="AL35" s="163">
        <f>AG35*产品成本!$E$11+AH35*产品成本!$E$12+AI35*产品成本!$E$13+AJ35*产品成本!$E$14</f>
        <v>43.686309859155</v>
      </c>
      <c r="AM35" s="163">
        <f>AG35*产品成本!$F$11+AH35*产品成本!$F$12+AI35*产品成本!$F$13+AJ35*产品成本!$F$14</f>
        <v>41.48</v>
      </c>
      <c r="AN35" s="163">
        <f>AG35*产品成本!$G$11+AH35*产品成本!$G$12+AI35*产品成本!$G$13+AJ35*产品成本!$G$14</f>
        <v>475.8</v>
      </c>
      <c r="AO35" s="163">
        <f t="shared" si="15"/>
        <v>411.945</v>
      </c>
      <c r="AP35" s="164">
        <f t="shared" si="16"/>
        <v>1694.4606056338</v>
      </c>
      <c r="AQ35" s="165">
        <v>2</v>
      </c>
      <c r="AR35" s="165">
        <v>8</v>
      </c>
      <c r="AS35" s="165"/>
      <c r="AT35" s="166"/>
      <c r="AU35" s="167">
        <f t="shared" si="17"/>
        <v>247.451219512195</v>
      </c>
      <c r="AV35" s="163">
        <f>AQ35*产品成本!$D$11+AR35*产品成本!$D$12+AS35*产品成本!$D$13+AT35*产品成本!$D$14</f>
        <v>60</v>
      </c>
      <c r="AW35" s="163">
        <f>AQ35*产品成本!$E$11+AR35*产品成本!$E$12+AS35*产品成本!$E$13+AT35*产品成本!$E$14</f>
        <v>3.58084507042254</v>
      </c>
      <c r="AX35" s="163">
        <f>AQ35*产品成本!$F$11+AR35*产品成本!$F$12+AS35*产品成本!$F$13+AT35*产品成本!$F$14</f>
        <v>3.4</v>
      </c>
      <c r="AY35" s="163">
        <v>0</v>
      </c>
      <c r="AZ35" s="163">
        <f t="shared" si="18"/>
        <v>37.1176829268293</v>
      </c>
      <c r="BA35" s="163">
        <f t="shared" si="19"/>
        <v>-7.42353658536585</v>
      </c>
      <c r="BB35" s="164">
        <f t="shared" si="20"/>
        <v>96.674991411886</v>
      </c>
      <c r="BC35" s="169">
        <f t="shared" si="21"/>
        <v>1597.78561422192</v>
      </c>
      <c r="BD35" s="169">
        <f t="shared" si="22"/>
        <v>2746.3</v>
      </c>
      <c r="BE35" s="169">
        <f t="shared" si="23"/>
        <v>2498.84878048781</v>
      </c>
      <c r="BF35" s="168">
        <f t="shared" si="24"/>
        <v>-338.896833734112</v>
      </c>
      <c r="BG35" s="170">
        <f t="shared" si="25"/>
        <v>-0.135621185395603</v>
      </c>
    </row>
    <row r="36" ht="29.1" customHeight="1" spans="1:61">
      <c r="A36" s="61" t="s">
        <v>158</v>
      </c>
      <c r="B36" s="89" t="s">
        <v>159</v>
      </c>
      <c r="C36" s="90">
        <v>119</v>
      </c>
      <c r="D36" s="91">
        <v>117</v>
      </c>
      <c r="E36" s="64">
        <v>2458.22</v>
      </c>
      <c r="F36" s="148">
        <v>4</v>
      </c>
      <c r="G36" s="148">
        <v>4</v>
      </c>
      <c r="H36" s="64">
        <v>73.76</v>
      </c>
      <c r="I36" s="64">
        <v>7.38</v>
      </c>
      <c r="J36" s="149">
        <v>8</v>
      </c>
      <c r="K36" s="150">
        <f t="shared" ref="K36:K78" si="26">J36/C36</f>
        <v>0.0672268907563025</v>
      </c>
      <c r="L36" s="151">
        <v>157.68</v>
      </c>
      <c r="M36" s="152">
        <f t="shared" si="1"/>
        <v>-0.0165289256198347</v>
      </c>
      <c r="N36" s="150">
        <f t="shared" si="2"/>
        <v>-0.025</v>
      </c>
      <c r="O36" s="150">
        <f t="shared" si="3"/>
        <v>-0.10567579465127</v>
      </c>
      <c r="P36" s="153">
        <f t="shared" ref="P36:P74" si="27">C36/D36</f>
        <v>1.01709401709402</v>
      </c>
      <c r="Q36" s="154">
        <f t="shared" ref="Q36:Q74" si="28">E36/D36</f>
        <v>21.0104273504273</v>
      </c>
      <c r="R36" s="187">
        <f t="shared" ref="R36:R74" si="29">E36/C36</f>
        <v>20.6573109243697</v>
      </c>
      <c r="S36" s="155">
        <f t="shared" ref="S36:S50" si="30">G36/7</f>
        <v>0.571428571428571</v>
      </c>
      <c r="T36" s="193">
        <f t="shared" ref="T36:T74" si="31">D36-Y36</f>
        <v>36</v>
      </c>
      <c r="U36" s="157">
        <f t="shared" ref="U36:U78" si="32">T36/D36</f>
        <v>0.307692307692308</v>
      </c>
      <c r="V36" s="94">
        <f t="shared" ref="V36:V74" si="33">Z36/(E36-I36)</f>
        <v>0.487188066132428</v>
      </c>
      <c r="W36" s="91">
        <v>134645</v>
      </c>
      <c r="X36" s="91">
        <v>1091</v>
      </c>
      <c r="Y36" s="91">
        <v>81</v>
      </c>
      <c r="Z36" s="91">
        <v>1194.02</v>
      </c>
      <c r="AA36" s="92">
        <v>1721.78</v>
      </c>
      <c r="AB36" s="91">
        <v>1.09</v>
      </c>
      <c r="AC36" s="71">
        <f t="shared" ref="AC36:AC78" si="34">Z36/AA36</f>
        <v>0.693480003252448</v>
      </c>
      <c r="AD36" s="72">
        <f t="shared" ref="AD36:AD74" si="35">X36/W36</f>
        <v>0.00810278881503212</v>
      </c>
      <c r="AE36" s="159">
        <f t="shared" ref="AE36:AE74" si="36">Y36/X36</f>
        <v>0.074243813015582</v>
      </c>
      <c r="AF36" s="154">
        <f t="shared" ref="AF36:AF74" si="37">Z36/Y36</f>
        <v>14.740987654321</v>
      </c>
      <c r="AG36" s="160">
        <v>38</v>
      </c>
      <c r="AH36" s="161">
        <v>81</v>
      </c>
      <c r="AI36" s="165"/>
      <c r="AJ36" s="166"/>
      <c r="AK36" s="163">
        <f>AG36*产品成本!$D$11+AH36*产品成本!$D$12+AI36*产品成本!$D$13+AJ36*产品成本!$D$14</f>
        <v>700</v>
      </c>
      <c r="AL36" s="163">
        <f>AG36*产品成本!$E$11+AH36*产品成本!$E$12+AI36*产品成本!$E$13+AJ36*产品成本!$E$14</f>
        <v>42.6120563380282</v>
      </c>
      <c r="AM36" s="163">
        <f>AG36*产品成本!$F$11+AH36*产品成本!$F$12+AI36*产品成本!$F$13+AJ36*产品成本!$F$14</f>
        <v>40.46</v>
      </c>
      <c r="AN36" s="163">
        <f>AG36*产品成本!$G$11+AH36*产品成本!$G$12+AI36*产品成本!$G$13+AJ36*产品成本!$G$14</f>
        <v>464.1</v>
      </c>
      <c r="AO36" s="163">
        <f t="shared" ref="AO36:AO74" si="38">(E36-I36)*0.15</f>
        <v>367.626</v>
      </c>
      <c r="AP36" s="164">
        <f t="shared" ref="AP36:AP74" si="39">SUM(AK36:AO36)</f>
        <v>1614.79805633803</v>
      </c>
      <c r="AQ36" s="165">
        <v>3</v>
      </c>
      <c r="AR36" s="165">
        <v>5</v>
      </c>
      <c r="AS36" s="165"/>
      <c r="AT36" s="166"/>
      <c r="AU36" s="167">
        <f t="shared" ref="AU36:AU74" si="40">L36/(1-0.15-0.15*0.2)</f>
        <v>192.292682926829</v>
      </c>
      <c r="AV36" s="163">
        <f>AQ36*产品成本!$D$11+AR36*产品成本!$D$12+AS36*产品成本!$D$13+AT36*产品成本!$D$14</f>
        <v>46.6197183098592</v>
      </c>
      <c r="AW36" s="163">
        <f>AQ36*产品成本!$E$11+AR36*产品成本!$E$12+AS36*产品成本!$E$13+AT36*产品成本!$E$14</f>
        <v>2.86467605633803</v>
      </c>
      <c r="AX36" s="163">
        <f>AQ36*产品成本!$F$11+AR36*产品成本!$F$12+AS36*产品成本!$F$13+AT36*产品成本!$F$14</f>
        <v>2.72</v>
      </c>
      <c r="AY36" s="163">
        <v>0</v>
      </c>
      <c r="AZ36" s="163">
        <f t="shared" ref="AZ36:AZ74" si="41">AU36*0.15</f>
        <v>28.8439024390244</v>
      </c>
      <c r="BA36" s="163">
        <f t="shared" ref="BA36:BA74" si="42">-AZ36*0.2</f>
        <v>-5.76878048780488</v>
      </c>
      <c r="BB36" s="164">
        <f t="shared" ref="BB36:BB74" si="43">SUM(AV36:BA36)</f>
        <v>75.2795163174167</v>
      </c>
      <c r="BC36" s="169">
        <f t="shared" ref="BC36:BC74" si="44">AP36-BB36</f>
        <v>1539.51854002061</v>
      </c>
      <c r="BD36" s="169">
        <f t="shared" ref="BD36:BD74" si="45">E36-I36</f>
        <v>2450.84</v>
      </c>
      <c r="BE36" s="169">
        <f t="shared" ref="BE36:BE74" si="46">E36-AU36-I36</f>
        <v>2258.54731707317</v>
      </c>
      <c r="BF36" s="168">
        <f t="shared" ref="BF36:BF74" si="47">BE36-BC36-Z36</f>
        <v>-474.991222947441</v>
      </c>
      <c r="BG36" s="170">
        <f t="shared" ref="BG36:BG74" si="48">BF36/BE36</f>
        <v>-0.210308289472978</v>
      </c>
      <c r="BI36" t="s">
        <v>350</v>
      </c>
    </row>
    <row r="37" ht="29.1" customHeight="1" spans="1:61">
      <c r="A37" s="61" t="s">
        <v>160</v>
      </c>
      <c r="B37" s="89" t="s">
        <v>161</v>
      </c>
      <c r="C37" s="90">
        <v>119</v>
      </c>
      <c r="D37" s="91">
        <v>118</v>
      </c>
      <c r="E37" s="64">
        <v>2684.51</v>
      </c>
      <c r="F37" s="148">
        <v>27</v>
      </c>
      <c r="G37" s="148">
        <v>26</v>
      </c>
      <c r="H37" s="64">
        <v>620.03</v>
      </c>
      <c r="I37" s="64">
        <v>190.97</v>
      </c>
      <c r="J37" s="149">
        <v>4</v>
      </c>
      <c r="K37" s="150">
        <f t="shared" si="26"/>
        <v>0.0336134453781513</v>
      </c>
      <c r="L37" s="151">
        <v>76.9</v>
      </c>
      <c r="M37" s="152">
        <f t="shared" si="1"/>
        <v>0</v>
      </c>
      <c r="N37" s="150">
        <f t="shared" si="2"/>
        <v>0.00854700854700855</v>
      </c>
      <c r="O37" s="150">
        <f t="shared" si="3"/>
        <v>0.0920544133560057</v>
      </c>
      <c r="P37" s="153">
        <f t="shared" si="27"/>
        <v>1.00847457627119</v>
      </c>
      <c r="Q37" s="154">
        <f t="shared" si="28"/>
        <v>22.7500847457627</v>
      </c>
      <c r="R37" s="187">
        <f t="shared" si="29"/>
        <v>22.5589075630252</v>
      </c>
      <c r="S37" s="155">
        <f t="shared" si="30"/>
        <v>3.71428571428571</v>
      </c>
      <c r="T37" s="193">
        <f t="shared" si="31"/>
        <v>19</v>
      </c>
      <c r="U37" s="157">
        <f t="shared" si="32"/>
        <v>0.161016949152542</v>
      </c>
      <c r="V37" s="94">
        <f t="shared" si="33"/>
        <v>0.480762289756731</v>
      </c>
      <c r="W37" s="91">
        <v>118209</v>
      </c>
      <c r="X37" s="91">
        <v>1125</v>
      </c>
      <c r="Y37" s="91">
        <v>99</v>
      </c>
      <c r="Z37" s="91">
        <v>1198.8</v>
      </c>
      <c r="AA37" s="92">
        <v>2255.4</v>
      </c>
      <c r="AB37" s="91">
        <v>1.07</v>
      </c>
      <c r="AC37" s="71">
        <f t="shared" si="34"/>
        <v>0.531524341580207</v>
      </c>
      <c r="AD37" s="72">
        <f t="shared" si="35"/>
        <v>0.00951704184960536</v>
      </c>
      <c r="AE37" s="159">
        <f t="shared" si="36"/>
        <v>0.088</v>
      </c>
      <c r="AF37" s="154">
        <f t="shared" si="37"/>
        <v>12.1090909090909</v>
      </c>
      <c r="AG37" s="160">
        <v>43</v>
      </c>
      <c r="AH37" s="161">
        <v>76</v>
      </c>
      <c r="AI37" s="165"/>
      <c r="AJ37" s="166"/>
      <c r="AK37" s="163">
        <f>AG37*产品成本!$D$11+AH37*产品成本!$D$12+AI37*产品成本!$D$13+AJ37*产品成本!$D$14</f>
        <v>695.070422535211</v>
      </c>
      <c r="AL37" s="163">
        <f>AG37*产品成本!$E$11+AH37*产品成本!$E$12+AI37*产品成本!$E$13+AJ37*产品成本!$E$14</f>
        <v>42.6120563380282</v>
      </c>
      <c r="AM37" s="163">
        <f>AG37*产品成本!$F$11+AH37*产品成本!$F$12+AI37*产品成本!$F$13+AJ37*产品成本!$F$14</f>
        <v>40.46</v>
      </c>
      <c r="AN37" s="163">
        <f>AG37*产品成本!$G$11+AH37*产品成本!$G$12+AI37*产品成本!$G$13+AJ37*产品成本!$G$14</f>
        <v>464.1</v>
      </c>
      <c r="AO37" s="163">
        <f t="shared" si="38"/>
        <v>374.031</v>
      </c>
      <c r="AP37" s="164">
        <f t="shared" si="39"/>
        <v>1616.27347887324</v>
      </c>
      <c r="AQ37" s="165">
        <v>2</v>
      </c>
      <c r="AR37" s="165">
        <v>2</v>
      </c>
      <c r="AS37" s="165"/>
      <c r="AT37" s="166"/>
      <c r="AU37" s="167">
        <f t="shared" si="40"/>
        <v>93.7804878048781</v>
      </c>
      <c r="AV37" s="163">
        <f>AQ37*产品成本!$D$11+AR37*产品成本!$D$12+AS37*产品成本!$D$13+AT37*产品成本!$D$14</f>
        <v>22.8169014084507</v>
      </c>
      <c r="AW37" s="163">
        <f>AQ37*产品成本!$E$11+AR37*产品成本!$E$12+AS37*产品成本!$E$13+AT37*产品成本!$E$14</f>
        <v>1.43233802816902</v>
      </c>
      <c r="AX37" s="163">
        <f>AQ37*产品成本!$F$11+AR37*产品成本!$F$12+AS37*产品成本!$F$13+AT37*产品成本!$F$14</f>
        <v>1.36</v>
      </c>
      <c r="AY37" s="163">
        <v>0</v>
      </c>
      <c r="AZ37" s="163">
        <f t="shared" si="41"/>
        <v>14.0670731707317</v>
      </c>
      <c r="BA37" s="163">
        <f t="shared" si="42"/>
        <v>-2.81341463414634</v>
      </c>
      <c r="BB37" s="164">
        <f t="shared" si="43"/>
        <v>36.8628979732051</v>
      </c>
      <c r="BC37" s="169">
        <f t="shared" si="44"/>
        <v>1579.41058090003</v>
      </c>
      <c r="BD37" s="169">
        <f t="shared" si="45"/>
        <v>2493.54</v>
      </c>
      <c r="BE37" s="169">
        <f t="shared" si="46"/>
        <v>2399.75951219512</v>
      </c>
      <c r="BF37" s="168">
        <f t="shared" si="47"/>
        <v>-378.451068704912</v>
      </c>
      <c r="BG37" s="170">
        <f t="shared" si="48"/>
        <v>-0.157703747722093</v>
      </c>
      <c r="BI37" t="s">
        <v>351</v>
      </c>
    </row>
    <row r="38" ht="29.1" customHeight="1" spans="1:61">
      <c r="A38" s="61" t="s">
        <v>162</v>
      </c>
      <c r="B38" s="89" t="s">
        <v>163</v>
      </c>
      <c r="C38" s="90">
        <v>123</v>
      </c>
      <c r="D38" s="91">
        <v>121</v>
      </c>
      <c r="E38" s="64">
        <v>2624.18</v>
      </c>
      <c r="F38" s="148">
        <v>0</v>
      </c>
      <c r="G38" s="148">
        <v>0</v>
      </c>
      <c r="H38" s="64">
        <v>0</v>
      </c>
      <c r="I38" s="64">
        <v>0</v>
      </c>
      <c r="J38" s="149">
        <v>6</v>
      </c>
      <c r="K38" s="150">
        <f t="shared" si="26"/>
        <v>0.0487804878048781</v>
      </c>
      <c r="L38" s="151">
        <v>101.42</v>
      </c>
      <c r="M38" s="152">
        <f t="shared" si="1"/>
        <v>0.0336134453781513</v>
      </c>
      <c r="N38" s="150">
        <f t="shared" si="2"/>
        <v>0.0254237288135593</v>
      </c>
      <c r="O38" s="150">
        <f t="shared" si="3"/>
        <v>-0.0224733750293351</v>
      </c>
      <c r="P38" s="153">
        <f t="shared" si="27"/>
        <v>1.01652892561983</v>
      </c>
      <c r="Q38" s="154">
        <f t="shared" si="28"/>
        <v>21.6874380165289</v>
      </c>
      <c r="R38" s="187">
        <f t="shared" si="29"/>
        <v>21.3347967479675</v>
      </c>
      <c r="S38" s="155">
        <f t="shared" si="30"/>
        <v>0</v>
      </c>
      <c r="T38" s="193">
        <f t="shared" si="31"/>
        <v>4</v>
      </c>
      <c r="U38" s="157">
        <f t="shared" si="32"/>
        <v>0.0330578512396694</v>
      </c>
      <c r="V38" s="94">
        <f t="shared" si="33"/>
        <v>0.490397000205779</v>
      </c>
      <c r="W38" s="91">
        <v>122158</v>
      </c>
      <c r="X38" s="91">
        <v>1161</v>
      </c>
      <c r="Y38" s="91">
        <v>117</v>
      </c>
      <c r="Z38" s="91">
        <v>1286.89</v>
      </c>
      <c r="AA38" s="92">
        <v>2531.14</v>
      </c>
      <c r="AB38" s="91">
        <v>1.11</v>
      </c>
      <c r="AC38" s="71">
        <f t="shared" si="34"/>
        <v>0.508423082089493</v>
      </c>
      <c r="AD38" s="72">
        <f t="shared" si="35"/>
        <v>0.00950408487368818</v>
      </c>
      <c r="AE38" s="159">
        <f t="shared" si="36"/>
        <v>0.10077519379845</v>
      </c>
      <c r="AF38" s="154">
        <f t="shared" si="37"/>
        <v>10.9990598290598</v>
      </c>
      <c r="AG38" s="160">
        <v>28</v>
      </c>
      <c r="AH38" s="161">
        <v>95</v>
      </c>
      <c r="AI38" s="165"/>
      <c r="AJ38" s="166"/>
      <c r="AK38" s="163">
        <f>AG38*产品成本!$D$11+AH38*产品成本!$D$12+AI38*产品成本!$D$13+AJ38*产品成本!$D$14</f>
        <v>734.647887323944</v>
      </c>
      <c r="AL38" s="163">
        <f>AG38*产品成本!$E$11+AH38*产品成本!$E$12+AI38*产品成本!$E$13+AJ38*产品成本!$E$14</f>
        <v>44.0443943661972</v>
      </c>
      <c r="AM38" s="163">
        <f>AG38*产品成本!$F$11+AH38*产品成本!$F$12+AI38*产品成本!$F$13+AJ38*产品成本!$F$14</f>
        <v>41.82</v>
      </c>
      <c r="AN38" s="163">
        <f>AG38*产品成本!$G$11+AH38*产品成本!$G$12+AI38*产品成本!$G$13+AJ38*产品成本!$G$14</f>
        <v>479.7</v>
      </c>
      <c r="AO38" s="163">
        <f t="shared" si="38"/>
        <v>393.627</v>
      </c>
      <c r="AP38" s="164">
        <f t="shared" si="39"/>
        <v>1693.83928169014</v>
      </c>
      <c r="AQ38" s="165">
        <v>2</v>
      </c>
      <c r="AR38" s="165">
        <v>4</v>
      </c>
      <c r="AS38" s="165"/>
      <c r="AT38" s="166"/>
      <c r="AU38" s="167">
        <f t="shared" si="40"/>
        <v>123.682926829268</v>
      </c>
      <c r="AV38" s="163">
        <f>AQ38*产品成本!$D$11+AR38*产品成本!$D$12+AS38*产品成本!$D$13+AT38*产品成本!$D$14</f>
        <v>35.2112676056338</v>
      </c>
      <c r="AW38" s="163">
        <f>AQ38*产品成本!$E$11+AR38*产品成本!$E$12+AS38*产品成本!$E$13+AT38*产品成本!$E$14</f>
        <v>2.14850704225352</v>
      </c>
      <c r="AX38" s="163">
        <f>AQ38*产品成本!$F$11+AR38*产品成本!$F$12+AS38*产品成本!$F$13+AT38*产品成本!$F$14</f>
        <v>2.04</v>
      </c>
      <c r="AY38" s="163">
        <v>0</v>
      </c>
      <c r="AZ38" s="163">
        <f t="shared" si="41"/>
        <v>18.5524390243902</v>
      </c>
      <c r="BA38" s="163">
        <f t="shared" si="42"/>
        <v>-3.71048780487805</v>
      </c>
      <c r="BB38" s="164">
        <f t="shared" si="43"/>
        <v>54.2417258673995</v>
      </c>
      <c r="BC38" s="169">
        <f t="shared" si="44"/>
        <v>1639.59755582274</v>
      </c>
      <c r="BD38" s="169">
        <f t="shared" si="45"/>
        <v>2624.18</v>
      </c>
      <c r="BE38" s="169">
        <f t="shared" si="46"/>
        <v>2500.49707317073</v>
      </c>
      <c r="BF38" s="168">
        <f t="shared" si="47"/>
        <v>-425.99048265201</v>
      </c>
      <c r="BG38" s="170">
        <f t="shared" si="48"/>
        <v>-0.170362320045365</v>
      </c>
      <c r="BI38" t="s">
        <v>352</v>
      </c>
    </row>
    <row r="39" ht="29.1" customHeight="1" spans="1:61">
      <c r="A39" s="61" t="s">
        <v>165</v>
      </c>
      <c r="B39" s="61" t="s">
        <v>166</v>
      </c>
      <c r="C39" s="90">
        <v>228</v>
      </c>
      <c r="D39" s="91">
        <v>225</v>
      </c>
      <c r="E39" s="64">
        <v>3680.07</v>
      </c>
      <c r="F39" s="148">
        <v>0</v>
      </c>
      <c r="G39" s="148">
        <v>0</v>
      </c>
      <c r="H39" s="64">
        <v>0</v>
      </c>
      <c r="I39" s="64">
        <v>0</v>
      </c>
      <c r="J39" s="149">
        <v>5</v>
      </c>
      <c r="K39" s="150">
        <f t="shared" si="26"/>
        <v>0.0219298245614035</v>
      </c>
      <c r="L39" s="151">
        <v>101.63</v>
      </c>
      <c r="M39" s="152">
        <f t="shared" si="1"/>
        <v>0.853658536585366</v>
      </c>
      <c r="N39" s="150">
        <f t="shared" si="2"/>
        <v>0.859504132231405</v>
      </c>
      <c r="O39" s="150">
        <f t="shared" si="3"/>
        <v>0.402369502092082</v>
      </c>
      <c r="P39" s="153">
        <f t="shared" si="27"/>
        <v>1.01333333333333</v>
      </c>
      <c r="Q39" s="154">
        <f t="shared" si="28"/>
        <v>16.3558666666667</v>
      </c>
      <c r="R39" s="187">
        <f t="shared" si="29"/>
        <v>16.1406578947368</v>
      </c>
      <c r="S39" s="155">
        <f t="shared" si="30"/>
        <v>0</v>
      </c>
      <c r="T39" s="193">
        <f t="shared" si="31"/>
        <v>40</v>
      </c>
      <c r="U39" s="157">
        <f t="shared" si="32"/>
        <v>0.177777777777778</v>
      </c>
      <c r="V39" s="94">
        <f t="shared" si="33"/>
        <v>0.435086832587424</v>
      </c>
      <c r="W39" s="91">
        <v>151914</v>
      </c>
      <c r="X39" s="91">
        <v>1379</v>
      </c>
      <c r="Y39" s="91">
        <v>185</v>
      </c>
      <c r="Z39" s="91">
        <v>1601.15</v>
      </c>
      <c r="AA39" s="92">
        <v>3023.92</v>
      </c>
      <c r="AB39" s="91">
        <v>1.16</v>
      </c>
      <c r="AC39" s="71">
        <f t="shared" si="34"/>
        <v>0.5294948279055</v>
      </c>
      <c r="AD39" s="72">
        <f t="shared" si="35"/>
        <v>0.00907750437747673</v>
      </c>
      <c r="AE39" s="159">
        <f t="shared" si="36"/>
        <v>0.134155184916606</v>
      </c>
      <c r="AF39" s="154">
        <f t="shared" si="37"/>
        <v>8.65486486486487</v>
      </c>
      <c r="AG39" s="160">
        <v>55</v>
      </c>
      <c r="AH39" s="161">
        <v>173</v>
      </c>
      <c r="AI39" s="165"/>
      <c r="AJ39" s="166"/>
      <c r="AK39" s="163">
        <f>AG39*产品成本!$D$11+AH39*产品成本!$D$12+AI39*产品成本!$D$13+AJ39*产品成本!$D$14</f>
        <v>1358.7323943662</v>
      </c>
      <c r="AL39" s="163">
        <f>AG39*产品成本!$E$11+AH39*产品成本!$E$12+AI39*产品成本!$E$13+AJ39*产品成本!$E$14</f>
        <v>81.6432676056339</v>
      </c>
      <c r="AM39" s="163">
        <f>AG39*产品成本!$F$11+AH39*产品成本!$F$12+AI39*产品成本!$F$13+AJ39*产品成本!$F$14</f>
        <v>77.52</v>
      </c>
      <c r="AN39" s="163">
        <f>AG39*产品成本!$G$11+AH39*产品成本!$G$12+AI39*产品成本!$G$13+AJ39*产品成本!$G$14</f>
        <v>889.2</v>
      </c>
      <c r="AO39" s="163">
        <f t="shared" si="38"/>
        <v>552.0105</v>
      </c>
      <c r="AP39" s="164">
        <f t="shared" si="39"/>
        <v>2959.10616197183</v>
      </c>
      <c r="AQ39" s="165">
        <v>1</v>
      </c>
      <c r="AR39" s="165">
        <v>4</v>
      </c>
      <c r="AS39" s="165"/>
      <c r="AT39" s="166"/>
      <c r="AU39" s="167">
        <f t="shared" si="40"/>
        <v>123.939024390244</v>
      </c>
      <c r="AV39" s="163">
        <f>AQ39*产品成本!$D$11+AR39*产品成本!$D$12+AS39*产品成本!$D$13+AT39*产品成本!$D$14</f>
        <v>30</v>
      </c>
      <c r="AW39" s="163">
        <f>AQ39*产品成本!$E$11+AR39*产品成本!$E$12+AS39*产品成本!$E$13+AT39*产品成本!$E$14</f>
        <v>1.79042253521127</v>
      </c>
      <c r="AX39" s="163">
        <f>AQ39*产品成本!$F$11+AR39*产品成本!$F$12+AS39*产品成本!$F$13+AT39*产品成本!$F$14</f>
        <v>1.7</v>
      </c>
      <c r="AY39" s="163">
        <v>0</v>
      </c>
      <c r="AZ39" s="163">
        <f t="shared" si="41"/>
        <v>18.5908536585366</v>
      </c>
      <c r="BA39" s="163">
        <f t="shared" si="42"/>
        <v>-3.71817073170732</v>
      </c>
      <c r="BB39" s="164">
        <f t="shared" si="43"/>
        <v>48.3631054620405</v>
      </c>
      <c r="BC39" s="169">
        <f t="shared" si="44"/>
        <v>2910.74305650979</v>
      </c>
      <c r="BD39" s="169">
        <f t="shared" si="45"/>
        <v>3680.07</v>
      </c>
      <c r="BE39" s="169">
        <f t="shared" si="46"/>
        <v>3556.13097560976</v>
      </c>
      <c r="BF39" s="168">
        <f t="shared" si="47"/>
        <v>-955.762080900034</v>
      </c>
      <c r="BG39" s="170">
        <f t="shared" si="48"/>
        <v>-0.268764589227806</v>
      </c>
    </row>
    <row r="40" ht="29.1" customHeight="1" spans="1:61">
      <c r="A40" s="61" t="s">
        <v>167</v>
      </c>
      <c r="B40" s="61" t="s">
        <v>168</v>
      </c>
      <c r="C40" s="90">
        <v>277</v>
      </c>
      <c r="D40" s="91">
        <v>274</v>
      </c>
      <c r="E40" s="64">
        <v>4734.69</v>
      </c>
      <c r="F40" s="148">
        <v>0</v>
      </c>
      <c r="G40" s="148">
        <v>0</v>
      </c>
      <c r="H40" s="64">
        <v>0</v>
      </c>
      <c r="I40" s="64">
        <v>0</v>
      </c>
      <c r="J40" s="149">
        <v>7</v>
      </c>
      <c r="K40" s="150">
        <f t="shared" si="26"/>
        <v>0.0252707581227437</v>
      </c>
      <c r="L40" s="151">
        <v>117.19</v>
      </c>
      <c r="M40" s="152">
        <f t="shared" si="1"/>
        <v>0.214912280701754</v>
      </c>
      <c r="N40" s="150">
        <f t="shared" si="2"/>
        <v>0.217777777777778</v>
      </c>
      <c r="O40" s="150">
        <f t="shared" si="3"/>
        <v>0.286576070563875</v>
      </c>
      <c r="P40" s="153">
        <f t="shared" si="27"/>
        <v>1.01094890510949</v>
      </c>
      <c r="Q40" s="154">
        <f t="shared" si="28"/>
        <v>17.2798905109489</v>
      </c>
      <c r="R40" s="187">
        <f t="shared" si="29"/>
        <v>17.0927436823105</v>
      </c>
      <c r="S40" s="155">
        <f t="shared" si="30"/>
        <v>0</v>
      </c>
      <c r="T40" s="193">
        <f t="shared" si="31"/>
        <v>50</v>
      </c>
      <c r="U40" s="157">
        <f t="shared" si="32"/>
        <v>0.182481751824818</v>
      </c>
      <c r="V40" s="94">
        <f t="shared" si="33"/>
        <v>0.457818780110208</v>
      </c>
      <c r="W40" s="91">
        <v>206294</v>
      </c>
      <c r="X40" s="91">
        <v>1895</v>
      </c>
      <c r="Y40" s="91">
        <v>224</v>
      </c>
      <c r="Z40" s="91">
        <v>2167.63</v>
      </c>
      <c r="AA40" s="92">
        <v>3857.88</v>
      </c>
      <c r="AB40" s="91">
        <v>1.14</v>
      </c>
      <c r="AC40" s="71">
        <f t="shared" si="34"/>
        <v>0.561870768401298</v>
      </c>
      <c r="AD40" s="72">
        <f t="shared" si="35"/>
        <v>0.00918591912513209</v>
      </c>
      <c r="AE40" s="159">
        <f t="shared" si="36"/>
        <v>0.11820580474934</v>
      </c>
      <c r="AF40" s="154">
        <f t="shared" si="37"/>
        <v>9.67691964285714</v>
      </c>
      <c r="AG40" s="160">
        <v>67</v>
      </c>
      <c r="AH40" s="161">
        <v>211</v>
      </c>
      <c r="AI40" s="165"/>
      <c r="AJ40" s="166"/>
      <c r="AK40" s="163">
        <f>AG40*产品成本!$D$11+AH40*产品成本!$D$12+AI40*产品成本!$D$13+AJ40*产品成本!$D$14</f>
        <v>1656.76056338028</v>
      </c>
      <c r="AL40" s="163">
        <f>AG40*产品成本!$E$11+AH40*产品成本!$E$12+AI40*产品成本!$E$13+AJ40*产品成本!$E$14</f>
        <v>99.5474929577466</v>
      </c>
      <c r="AM40" s="163">
        <f>AG40*产品成本!$F$11+AH40*产品成本!$F$12+AI40*产品成本!$F$13+AJ40*产品成本!$F$14</f>
        <v>94.52</v>
      </c>
      <c r="AN40" s="163">
        <f>AG40*产品成本!$G$11+AH40*产品成本!$G$12+AI40*产品成本!$G$13+AJ40*产品成本!$G$14</f>
        <v>1084.2</v>
      </c>
      <c r="AO40" s="163">
        <f t="shared" si="38"/>
        <v>710.2035</v>
      </c>
      <c r="AP40" s="164">
        <f t="shared" si="39"/>
        <v>3645.23155633803</v>
      </c>
      <c r="AQ40" s="165">
        <v>1</v>
      </c>
      <c r="AR40" s="165">
        <v>5</v>
      </c>
      <c r="AS40" s="165"/>
      <c r="AT40" s="166"/>
      <c r="AU40" s="167">
        <f t="shared" si="40"/>
        <v>142.914634146341</v>
      </c>
      <c r="AV40" s="163">
        <f>AQ40*产品成本!$D$11+AR40*产品成本!$D$12+AS40*产品成本!$D$13+AT40*产品成本!$D$14</f>
        <v>36.1971830985916</v>
      </c>
      <c r="AW40" s="163">
        <f>AQ40*产品成本!$E$11+AR40*产品成本!$E$12+AS40*产品成本!$E$13+AT40*产品成本!$E$14</f>
        <v>2.14850704225352</v>
      </c>
      <c r="AX40" s="163">
        <f>AQ40*产品成本!$F$11+AR40*产品成本!$F$12+AS40*产品成本!$F$13+AT40*产品成本!$F$14</f>
        <v>2.04</v>
      </c>
      <c r="AY40" s="163">
        <v>0</v>
      </c>
      <c r="AZ40" s="163">
        <f t="shared" si="41"/>
        <v>21.4371951219512</v>
      </c>
      <c r="BA40" s="163">
        <f t="shared" si="42"/>
        <v>-4.28743902439024</v>
      </c>
      <c r="BB40" s="164">
        <f t="shared" si="43"/>
        <v>57.535446238406</v>
      </c>
      <c r="BC40" s="169">
        <f t="shared" si="44"/>
        <v>3587.69611009962</v>
      </c>
      <c r="BD40" s="169">
        <f t="shared" si="45"/>
        <v>4734.69</v>
      </c>
      <c r="BE40" s="169">
        <f t="shared" si="46"/>
        <v>4591.77536585366</v>
      </c>
      <c r="BF40" s="168">
        <f t="shared" si="47"/>
        <v>-1163.55074424596</v>
      </c>
      <c r="BG40" s="170">
        <f t="shared" si="48"/>
        <v>-0.253398882031253</v>
      </c>
    </row>
    <row r="41" ht="29.1" customHeight="1" spans="1:61">
      <c r="A41" s="61" t="s">
        <v>169</v>
      </c>
      <c r="B41" s="61" t="s">
        <v>170</v>
      </c>
      <c r="C41" s="90">
        <v>77</v>
      </c>
      <c r="D41" s="91">
        <v>76</v>
      </c>
      <c r="E41" s="64">
        <v>1574.1</v>
      </c>
      <c r="F41" s="148">
        <v>1</v>
      </c>
      <c r="G41" s="148">
        <v>1</v>
      </c>
      <c r="H41" s="64">
        <v>23.89</v>
      </c>
      <c r="I41" s="64">
        <v>2.39</v>
      </c>
      <c r="J41" s="149">
        <v>14</v>
      </c>
      <c r="K41" s="150">
        <f t="shared" si="26"/>
        <v>0.181818181818182</v>
      </c>
      <c r="L41" s="151">
        <v>229.6</v>
      </c>
      <c r="M41" s="152">
        <f t="shared" si="1"/>
        <v>-0.72202166064982</v>
      </c>
      <c r="N41" s="150">
        <f t="shared" si="2"/>
        <v>-0.722627737226277</v>
      </c>
      <c r="O41" s="150">
        <f t="shared" si="3"/>
        <v>-0.667538951863797</v>
      </c>
      <c r="P41" s="153">
        <f t="shared" si="27"/>
        <v>1.01315789473684</v>
      </c>
      <c r="Q41" s="154">
        <f t="shared" si="28"/>
        <v>20.7118421052632</v>
      </c>
      <c r="R41" s="187">
        <f t="shared" si="29"/>
        <v>20.4428571428571</v>
      </c>
      <c r="S41" s="155">
        <f t="shared" si="30"/>
        <v>0.142857142857143</v>
      </c>
      <c r="T41" s="193">
        <f t="shared" si="31"/>
        <v>22</v>
      </c>
      <c r="U41" s="157">
        <f t="shared" si="32"/>
        <v>0.289473684210526</v>
      </c>
      <c r="V41" s="94">
        <f t="shared" si="33"/>
        <v>0.46465314848159</v>
      </c>
      <c r="W41" s="91">
        <v>80541</v>
      </c>
      <c r="X41" s="91">
        <v>722</v>
      </c>
      <c r="Y41" s="91">
        <v>54</v>
      </c>
      <c r="Z41" s="91">
        <v>730.3</v>
      </c>
      <c r="AA41" s="92">
        <v>1113.77</v>
      </c>
      <c r="AB41" s="91">
        <v>1.01</v>
      </c>
      <c r="AC41" s="71">
        <f t="shared" si="34"/>
        <v>0.655700907727807</v>
      </c>
      <c r="AD41" s="72">
        <f t="shared" si="35"/>
        <v>0.00896437839112998</v>
      </c>
      <c r="AE41" s="159">
        <f t="shared" si="36"/>
        <v>0.074792243767313</v>
      </c>
      <c r="AF41" s="154">
        <f t="shared" si="37"/>
        <v>13.5240740740741</v>
      </c>
      <c r="AG41" s="160">
        <v>35</v>
      </c>
      <c r="AH41" s="161">
        <v>42</v>
      </c>
      <c r="AI41" s="165"/>
      <c r="AJ41" s="166"/>
      <c r="AK41" s="163">
        <f>AG41*产品成本!$D$11+AH41*产品成本!$D$12+AI41*产品成本!$D$13+AJ41*产品成本!$D$14</f>
        <v>442.676056338028</v>
      </c>
      <c r="AL41" s="163">
        <f>AG41*产品成本!$E$11+AH41*产品成本!$E$12+AI41*产品成本!$E$13+AJ41*产品成本!$E$14</f>
        <v>27.5725070422536</v>
      </c>
      <c r="AM41" s="163">
        <f>AG41*产品成本!$F$11+AH41*产品成本!$F$12+AI41*产品成本!$F$13+AJ41*产品成本!$F$14</f>
        <v>26.18</v>
      </c>
      <c r="AN41" s="163">
        <f>AG41*产品成本!$G$11+AH41*产品成本!$G$12+AI41*产品成本!$G$13+AJ41*产品成本!$G$14</f>
        <v>300.3</v>
      </c>
      <c r="AO41" s="163">
        <f t="shared" si="38"/>
        <v>235.7565</v>
      </c>
      <c r="AP41" s="164">
        <f t="shared" si="39"/>
        <v>1032.48506338028</v>
      </c>
      <c r="AQ41" s="165">
        <v>7</v>
      </c>
      <c r="AR41" s="165">
        <v>7</v>
      </c>
      <c r="AS41" s="165"/>
      <c r="AT41" s="166"/>
      <c r="AU41" s="167">
        <f t="shared" si="40"/>
        <v>280</v>
      </c>
      <c r="AV41" s="163">
        <f>AQ41*产品成本!$D$11+AR41*产品成本!$D$12+AS41*产品成本!$D$13+AT41*产品成本!$D$14</f>
        <v>79.8591549295774</v>
      </c>
      <c r="AW41" s="163">
        <f>AQ41*产品成本!$E$11+AR41*产品成本!$E$12+AS41*产品成本!$E$13+AT41*产品成本!$E$14</f>
        <v>5.01318309859156</v>
      </c>
      <c r="AX41" s="163">
        <f>AQ41*产品成本!$F$11+AR41*产品成本!$F$12+AS41*产品成本!$F$13+AT41*产品成本!$F$14</f>
        <v>4.76</v>
      </c>
      <c r="AY41" s="163">
        <v>0</v>
      </c>
      <c r="AZ41" s="163">
        <f t="shared" si="41"/>
        <v>42</v>
      </c>
      <c r="BA41" s="163">
        <f t="shared" si="42"/>
        <v>-8.4</v>
      </c>
      <c r="BB41" s="164">
        <f t="shared" si="43"/>
        <v>123.232338028169</v>
      </c>
      <c r="BC41" s="169">
        <f t="shared" si="44"/>
        <v>909.252725352113</v>
      </c>
      <c r="BD41" s="169">
        <f t="shared" si="45"/>
        <v>1571.71</v>
      </c>
      <c r="BE41" s="169">
        <f t="shared" si="46"/>
        <v>1291.71</v>
      </c>
      <c r="BF41" s="168">
        <f t="shared" si="47"/>
        <v>-347.842725352113</v>
      </c>
      <c r="BG41" s="170">
        <f t="shared" si="48"/>
        <v>-0.269288559624152</v>
      </c>
    </row>
    <row r="42" ht="29.1" customHeight="1" spans="1:61">
      <c r="A42" s="61" t="s">
        <v>172</v>
      </c>
      <c r="B42" s="61" t="s">
        <v>173</v>
      </c>
      <c r="C42" s="90">
        <v>74</v>
      </c>
      <c r="D42" s="91">
        <v>74</v>
      </c>
      <c r="E42" s="64">
        <v>1731.86</v>
      </c>
      <c r="F42" s="148">
        <v>6</v>
      </c>
      <c r="G42" s="148">
        <v>6</v>
      </c>
      <c r="H42" s="64">
        <v>139.34</v>
      </c>
      <c r="I42" s="64">
        <v>11.75</v>
      </c>
      <c r="J42" s="149">
        <v>6</v>
      </c>
      <c r="K42" s="150">
        <f t="shared" si="26"/>
        <v>0.0810810810810811</v>
      </c>
      <c r="L42" s="151">
        <v>78.48</v>
      </c>
      <c r="M42" s="152">
        <f t="shared" si="1"/>
        <v>-0.038961038961039</v>
      </c>
      <c r="N42" s="150">
        <f t="shared" si="2"/>
        <v>-0.0263157894736842</v>
      </c>
      <c r="O42" s="150">
        <f t="shared" si="3"/>
        <v>0.100222349278953</v>
      </c>
      <c r="P42" s="153">
        <f t="shared" si="27"/>
        <v>1</v>
      </c>
      <c r="Q42" s="154">
        <f t="shared" si="28"/>
        <v>23.4035135135135</v>
      </c>
      <c r="R42" s="187">
        <f t="shared" si="29"/>
        <v>23.4035135135135</v>
      </c>
      <c r="S42" s="155">
        <f t="shared" si="30"/>
        <v>0.857142857142857</v>
      </c>
      <c r="T42" s="193">
        <f t="shared" si="31"/>
        <v>16</v>
      </c>
      <c r="U42" s="157">
        <f t="shared" si="32"/>
        <v>0.216216216216216</v>
      </c>
      <c r="V42" s="94">
        <f t="shared" si="33"/>
        <v>0.345222107888449</v>
      </c>
      <c r="W42" s="91">
        <v>68861</v>
      </c>
      <c r="X42" s="91">
        <v>593</v>
      </c>
      <c r="Y42" s="91">
        <v>58</v>
      </c>
      <c r="Z42" s="91">
        <v>593.82</v>
      </c>
      <c r="AA42" s="92">
        <v>1351.57</v>
      </c>
      <c r="AB42" s="64">
        <v>1</v>
      </c>
      <c r="AC42" s="71">
        <f t="shared" si="34"/>
        <v>0.439355712245759</v>
      </c>
      <c r="AD42" s="72">
        <f t="shared" si="35"/>
        <v>0.00861155080524535</v>
      </c>
      <c r="AE42" s="159">
        <f t="shared" si="36"/>
        <v>0.0978077571669477</v>
      </c>
      <c r="AF42" s="154">
        <f t="shared" si="37"/>
        <v>10.238275862069</v>
      </c>
      <c r="AG42" s="160">
        <v>28</v>
      </c>
      <c r="AH42" s="161">
        <v>46</v>
      </c>
      <c r="AI42" s="165"/>
      <c r="AJ42" s="166"/>
      <c r="AK42" s="163">
        <f>AG42*产品成本!$D$11+AH42*产品成本!$D$12+AI42*产品成本!$D$13+AJ42*产品成本!$D$14</f>
        <v>430.985915492958</v>
      </c>
      <c r="AL42" s="163">
        <f>AG42*产品成本!$E$11+AH42*产品成本!$E$12+AI42*产品成本!$E$13+AJ42*产品成本!$E$14</f>
        <v>26.4982535211268</v>
      </c>
      <c r="AM42" s="163">
        <f>AG42*产品成本!$F$11+AH42*产品成本!$F$12+AI42*产品成本!$F$13+AJ42*产品成本!$F$14</f>
        <v>25.16</v>
      </c>
      <c r="AN42" s="163">
        <f>AG42*产品成本!$G$11+AH42*产品成本!$G$12+AI42*产品成本!$G$13+AJ42*产品成本!$G$14</f>
        <v>288.6</v>
      </c>
      <c r="AO42" s="163">
        <f t="shared" si="38"/>
        <v>258.0165</v>
      </c>
      <c r="AP42" s="164">
        <f t="shared" si="39"/>
        <v>1029.26066901408</v>
      </c>
      <c r="AQ42" s="165">
        <v>2</v>
      </c>
      <c r="AR42" s="165">
        <v>4</v>
      </c>
      <c r="AS42" s="165"/>
      <c r="AT42" s="166"/>
      <c r="AU42" s="167">
        <f t="shared" si="40"/>
        <v>95.7073170731707</v>
      </c>
      <c r="AV42" s="163">
        <f>AQ42*产品成本!$D$11+AR42*产品成本!$D$12+AS42*产品成本!$D$13+AT42*产品成本!$D$14</f>
        <v>35.2112676056338</v>
      </c>
      <c r="AW42" s="163">
        <f>AQ42*产品成本!$E$11+AR42*产品成本!$E$12+AS42*产品成本!$E$13+AT42*产品成本!$E$14</f>
        <v>2.14850704225352</v>
      </c>
      <c r="AX42" s="163">
        <f>AQ42*产品成本!$F$11+AR42*产品成本!$F$12+AS42*产品成本!$F$13+AT42*产品成本!$F$14</f>
        <v>2.04</v>
      </c>
      <c r="AY42" s="163">
        <v>0</v>
      </c>
      <c r="AZ42" s="163">
        <f t="shared" si="41"/>
        <v>14.3560975609756</v>
      </c>
      <c r="BA42" s="163">
        <f t="shared" si="42"/>
        <v>-2.87121951219512</v>
      </c>
      <c r="BB42" s="164">
        <f t="shared" si="43"/>
        <v>50.8846526966678</v>
      </c>
      <c r="BC42" s="169">
        <f t="shared" si="44"/>
        <v>978.376016317417</v>
      </c>
      <c r="BD42" s="169">
        <f t="shared" si="45"/>
        <v>1720.11</v>
      </c>
      <c r="BE42" s="169">
        <f t="shared" si="46"/>
        <v>1624.40268292683</v>
      </c>
      <c r="BF42" s="168">
        <f t="shared" si="47"/>
        <v>52.2066666094124</v>
      </c>
      <c r="BG42" s="170">
        <f t="shared" si="48"/>
        <v>0.0321389930945861</v>
      </c>
    </row>
    <row r="43" ht="29.1" customHeight="1" spans="1:61">
      <c r="A43" s="61" t="s">
        <v>175</v>
      </c>
      <c r="B43" s="61" t="s">
        <v>176</v>
      </c>
      <c r="C43" s="90">
        <v>67</v>
      </c>
      <c r="D43" s="91">
        <v>67</v>
      </c>
      <c r="E43" s="64">
        <v>1580.23</v>
      </c>
      <c r="F43" s="148">
        <v>2</v>
      </c>
      <c r="G43" s="148">
        <v>2</v>
      </c>
      <c r="H43" s="64">
        <v>47.78</v>
      </c>
      <c r="I43" s="64">
        <v>4.78</v>
      </c>
      <c r="J43" s="149">
        <v>10</v>
      </c>
      <c r="K43" s="150">
        <f t="shared" si="26"/>
        <v>0.149253731343284</v>
      </c>
      <c r="L43" s="151">
        <v>171.96</v>
      </c>
      <c r="M43" s="152">
        <f t="shared" si="1"/>
        <v>-0.0945945945945946</v>
      </c>
      <c r="N43" s="150">
        <f t="shared" si="2"/>
        <v>-0.0945945945945946</v>
      </c>
      <c r="O43" s="150">
        <f t="shared" si="3"/>
        <v>-0.0875532664303119</v>
      </c>
      <c r="P43" s="153">
        <f t="shared" si="27"/>
        <v>1</v>
      </c>
      <c r="Q43" s="154">
        <f t="shared" si="28"/>
        <v>23.5855223880597</v>
      </c>
      <c r="R43" s="187">
        <f t="shared" si="29"/>
        <v>23.5855223880597</v>
      </c>
      <c r="S43" s="155">
        <f t="shared" si="30"/>
        <v>0.285714285714286</v>
      </c>
      <c r="T43" s="193">
        <f t="shared" si="31"/>
        <v>21</v>
      </c>
      <c r="U43" s="157">
        <f t="shared" si="32"/>
        <v>0.313432835820896</v>
      </c>
      <c r="V43" s="94">
        <f t="shared" si="33"/>
        <v>0.378799708019931</v>
      </c>
      <c r="W43" s="91">
        <v>64479</v>
      </c>
      <c r="X43" s="91">
        <v>604</v>
      </c>
      <c r="Y43" s="91">
        <v>46</v>
      </c>
      <c r="Z43" s="91">
        <v>596.78</v>
      </c>
      <c r="AA43" s="92">
        <v>1085.46</v>
      </c>
      <c r="AB43" s="64">
        <v>0.99</v>
      </c>
      <c r="AC43" s="71">
        <f t="shared" si="34"/>
        <v>0.549794557146279</v>
      </c>
      <c r="AD43" s="72">
        <f t="shared" si="35"/>
        <v>0.00936739093348222</v>
      </c>
      <c r="AE43" s="159">
        <f t="shared" si="36"/>
        <v>0.076158940397351</v>
      </c>
      <c r="AF43" s="154">
        <f t="shared" si="37"/>
        <v>12.9734782608696</v>
      </c>
      <c r="AG43" s="160">
        <v>21</v>
      </c>
      <c r="AH43" s="161">
        <v>46</v>
      </c>
      <c r="AI43" s="165"/>
      <c r="AJ43" s="166"/>
      <c r="AK43" s="163">
        <f>AG43*产品成本!$D$11+AH43*产品成本!$D$12+AI43*产品成本!$D$13+AJ43*产品成本!$D$14</f>
        <v>394.507042253521</v>
      </c>
      <c r="AL43" s="163">
        <f>AG43*产品成本!$E$11+AH43*产品成本!$E$12+AI43*产品成本!$E$13+AJ43*产品成本!$E$14</f>
        <v>23.991661971831</v>
      </c>
      <c r="AM43" s="163">
        <f>AG43*产品成本!$F$11+AH43*产品成本!$F$12+AI43*产品成本!$F$13+AJ43*产品成本!$F$14</f>
        <v>22.78</v>
      </c>
      <c r="AN43" s="163">
        <f>AG43*产品成本!$G$11+AH43*产品成本!$G$12+AI43*产品成本!$G$13+AJ43*产品成本!$G$14</f>
        <v>261.3</v>
      </c>
      <c r="AO43" s="163">
        <f t="shared" si="38"/>
        <v>236.3175</v>
      </c>
      <c r="AP43" s="164">
        <f t="shared" si="39"/>
        <v>938.896204225352</v>
      </c>
      <c r="AQ43" s="165">
        <v>4</v>
      </c>
      <c r="AR43" s="165">
        <v>6</v>
      </c>
      <c r="AS43" s="165"/>
      <c r="AT43" s="166"/>
      <c r="AU43" s="167">
        <f t="shared" si="40"/>
        <v>209.707317073171</v>
      </c>
      <c r="AV43" s="163">
        <f>AQ43*产品成本!$D$11+AR43*产品成本!$D$12+AS43*产品成本!$D$13+AT43*产品成本!$D$14</f>
        <v>58.0281690140845</v>
      </c>
      <c r="AW43" s="163">
        <f>AQ43*产品成本!$E$11+AR43*产品成本!$E$12+AS43*产品成本!$E$13+AT43*产品成本!$E$14</f>
        <v>3.58084507042254</v>
      </c>
      <c r="AX43" s="163">
        <f>AQ43*产品成本!$F$11+AR43*产品成本!$F$12+AS43*产品成本!$F$13+AT43*产品成本!$F$14</f>
        <v>3.4</v>
      </c>
      <c r="AY43" s="163">
        <v>0</v>
      </c>
      <c r="AZ43" s="163">
        <f t="shared" si="41"/>
        <v>31.4560975609756</v>
      </c>
      <c r="BA43" s="163">
        <f t="shared" si="42"/>
        <v>-6.29121951219512</v>
      </c>
      <c r="BB43" s="164">
        <f t="shared" si="43"/>
        <v>90.1738921332875</v>
      </c>
      <c r="BC43" s="169">
        <f t="shared" si="44"/>
        <v>848.722312092065</v>
      </c>
      <c r="BD43" s="169">
        <f t="shared" si="45"/>
        <v>1575.45</v>
      </c>
      <c r="BE43" s="169">
        <f t="shared" si="46"/>
        <v>1365.74268292683</v>
      </c>
      <c r="BF43" s="168">
        <f t="shared" si="47"/>
        <v>-79.7596291652353</v>
      </c>
      <c r="BG43" s="170">
        <f t="shared" si="48"/>
        <v>-0.0584001877969486</v>
      </c>
    </row>
    <row r="44" ht="29.1" customHeight="1" spans="1:61">
      <c r="A44" s="61" t="s">
        <v>177</v>
      </c>
      <c r="B44" s="61" t="s">
        <v>178</v>
      </c>
      <c r="C44" s="90">
        <v>80</v>
      </c>
      <c r="D44" s="91">
        <v>80</v>
      </c>
      <c r="E44" s="64">
        <v>1885.2</v>
      </c>
      <c r="F44" s="148">
        <v>1</v>
      </c>
      <c r="G44" s="148">
        <v>1</v>
      </c>
      <c r="H44" s="64">
        <v>23.89</v>
      </c>
      <c r="I44" s="64">
        <v>2.39</v>
      </c>
      <c r="J44" s="149">
        <v>9</v>
      </c>
      <c r="K44" s="150">
        <f t="shared" si="26"/>
        <v>0.1125</v>
      </c>
      <c r="L44" s="151">
        <v>172.27</v>
      </c>
      <c r="M44" s="152">
        <f t="shared" si="1"/>
        <v>0.194029850746269</v>
      </c>
      <c r="N44" s="150">
        <f t="shared" si="2"/>
        <v>0.194029850746269</v>
      </c>
      <c r="O44" s="150">
        <f t="shared" si="3"/>
        <v>0.192990893730659</v>
      </c>
      <c r="P44" s="153">
        <f t="shared" si="27"/>
        <v>1</v>
      </c>
      <c r="Q44" s="154">
        <f t="shared" si="28"/>
        <v>23.565</v>
      </c>
      <c r="R44" s="187">
        <f t="shared" si="29"/>
        <v>23.565</v>
      </c>
      <c r="S44" s="155">
        <f t="shared" si="30"/>
        <v>0.142857142857143</v>
      </c>
      <c r="T44" s="193">
        <f t="shared" si="31"/>
        <v>20</v>
      </c>
      <c r="U44" s="157">
        <f t="shared" si="32"/>
        <v>0.25</v>
      </c>
      <c r="V44" s="94">
        <f t="shared" si="33"/>
        <v>0.389216118461236</v>
      </c>
      <c r="W44" s="91">
        <v>74930</v>
      </c>
      <c r="X44" s="91">
        <v>730</v>
      </c>
      <c r="Y44" s="91">
        <v>60</v>
      </c>
      <c r="Z44" s="91">
        <v>732.82</v>
      </c>
      <c r="AA44" s="92">
        <v>1407.84</v>
      </c>
      <c r="AB44" s="64">
        <v>1</v>
      </c>
      <c r="AC44" s="71">
        <f t="shared" si="34"/>
        <v>0.520527900897829</v>
      </c>
      <c r="AD44" s="72">
        <f t="shared" si="35"/>
        <v>0.00974242626451355</v>
      </c>
      <c r="AE44" s="159">
        <f t="shared" si="36"/>
        <v>0.0821917808219178</v>
      </c>
      <c r="AF44" s="154">
        <f t="shared" si="37"/>
        <v>12.2136666666667</v>
      </c>
      <c r="AG44" s="160">
        <v>29</v>
      </c>
      <c r="AH44" s="161">
        <v>51</v>
      </c>
      <c r="AI44" s="165"/>
      <c r="AJ44" s="166"/>
      <c r="AK44" s="163">
        <f>AG44*产品成本!$D$11+AH44*产品成本!$D$12+AI44*产品成本!$D$13+AJ44*产品成本!$D$14</f>
        <v>467.183098591549</v>
      </c>
      <c r="AL44" s="163">
        <f>AG44*产品成本!$E$11+AH44*产品成本!$E$12+AI44*产品成本!$E$13+AJ44*产品成本!$E$14</f>
        <v>28.6467605633803</v>
      </c>
      <c r="AM44" s="163">
        <f>AG44*产品成本!$F$11+AH44*产品成本!$F$12+AI44*产品成本!$F$13+AJ44*产品成本!$F$14</f>
        <v>27.2</v>
      </c>
      <c r="AN44" s="163">
        <f>AG44*产品成本!$G$11+AH44*产品成本!$G$12+AI44*产品成本!$G$13+AJ44*产品成本!$G$14</f>
        <v>312</v>
      </c>
      <c r="AO44" s="163">
        <f t="shared" si="38"/>
        <v>282.4215</v>
      </c>
      <c r="AP44" s="164">
        <f t="shared" si="39"/>
        <v>1117.45135915493</v>
      </c>
      <c r="AQ44" s="165">
        <v>2</v>
      </c>
      <c r="AR44" s="165">
        <v>7</v>
      </c>
      <c r="AS44" s="165"/>
      <c r="AT44" s="166"/>
      <c r="AU44" s="167">
        <f t="shared" si="40"/>
        <v>210.085365853659</v>
      </c>
      <c r="AV44" s="163">
        <f>AQ44*产品成本!$D$11+AR44*产品成本!$D$12+AS44*产品成本!$D$13+AT44*产品成本!$D$14</f>
        <v>53.8028169014084</v>
      </c>
      <c r="AW44" s="163">
        <f>AQ44*产品成本!$E$11+AR44*产品成本!$E$12+AS44*产品成本!$E$13+AT44*产品成本!$E$14</f>
        <v>3.22276056338029</v>
      </c>
      <c r="AX44" s="163">
        <f>AQ44*产品成本!$F$11+AR44*产品成本!$F$12+AS44*产品成本!$F$13+AT44*产品成本!$F$14</f>
        <v>3.06</v>
      </c>
      <c r="AY44" s="163">
        <v>0</v>
      </c>
      <c r="AZ44" s="163">
        <f t="shared" si="41"/>
        <v>31.5128048780488</v>
      </c>
      <c r="BA44" s="163">
        <f t="shared" si="42"/>
        <v>-6.30256097560976</v>
      </c>
      <c r="BB44" s="164">
        <f t="shared" si="43"/>
        <v>85.2958213672278</v>
      </c>
      <c r="BC44" s="169">
        <f t="shared" si="44"/>
        <v>1032.1555377877</v>
      </c>
      <c r="BD44" s="169">
        <f t="shared" si="45"/>
        <v>1882.81</v>
      </c>
      <c r="BE44" s="169">
        <f t="shared" si="46"/>
        <v>1672.72463414634</v>
      </c>
      <c r="BF44" s="168">
        <f t="shared" si="47"/>
        <v>-92.2509036413607</v>
      </c>
      <c r="BG44" s="170">
        <f t="shared" si="48"/>
        <v>-0.05515008373655</v>
      </c>
    </row>
    <row r="45" ht="29.1" customHeight="1" spans="1:61">
      <c r="A45" s="61" t="s">
        <v>179</v>
      </c>
      <c r="B45" s="61" t="s">
        <v>180</v>
      </c>
      <c r="C45" s="90">
        <v>67</v>
      </c>
      <c r="D45" s="91">
        <v>66</v>
      </c>
      <c r="E45" s="64">
        <v>1554.74</v>
      </c>
      <c r="F45" s="148">
        <v>1</v>
      </c>
      <c r="G45" s="148">
        <v>1</v>
      </c>
      <c r="H45" s="64">
        <v>23.89</v>
      </c>
      <c r="I45" s="64">
        <v>23.89</v>
      </c>
      <c r="J45" s="149">
        <v>9</v>
      </c>
      <c r="K45" s="150">
        <f t="shared" si="26"/>
        <v>0.134328358208955</v>
      </c>
      <c r="L45" s="151">
        <v>174.76</v>
      </c>
      <c r="M45" s="152">
        <f t="shared" si="1"/>
        <v>-0.1625</v>
      </c>
      <c r="N45" s="150">
        <f t="shared" si="2"/>
        <v>-0.175</v>
      </c>
      <c r="O45" s="150">
        <f t="shared" si="3"/>
        <v>-0.175291746233821</v>
      </c>
      <c r="P45" s="153">
        <f t="shared" si="27"/>
        <v>1.01515151515152</v>
      </c>
      <c r="Q45" s="154">
        <f t="shared" si="28"/>
        <v>23.5566666666667</v>
      </c>
      <c r="R45" s="187">
        <f t="shared" si="29"/>
        <v>23.2050746268657</v>
      </c>
      <c r="S45" s="155">
        <f t="shared" si="30"/>
        <v>0.142857142857143</v>
      </c>
      <c r="T45" s="193">
        <f t="shared" si="31"/>
        <v>15</v>
      </c>
      <c r="U45" s="157">
        <f t="shared" si="32"/>
        <v>0.227272727272727</v>
      </c>
      <c r="V45" s="94">
        <f t="shared" si="33"/>
        <v>0.424483130287095</v>
      </c>
      <c r="W45" s="91">
        <v>65149</v>
      </c>
      <c r="X45" s="91">
        <v>650</v>
      </c>
      <c r="Y45" s="91">
        <v>51</v>
      </c>
      <c r="Z45" s="91">
        <v>649.82</v>
      </c>
      <c r="AA45" s="92">
        <v>1169.43</v>
      </c>
      <c r="AB45" s="64">
        <v>1</v>
      </c>
      <c r="AC45" s="71">
        <f t="shared" si="34"/>
        <v>0.555672421607108</v>
      </c>
      <c r="AD45" s="72">
        <f t="shared" si="35"/>
        <v>0.00997712934964466</v>
      </c>
      <c r="AE45" s="159">
        <f t="shared" si="36"/>
        <v>0.0784615384615385</v>
      </c>
      <c r="AF45" s="154">
        <f t="shared" si="37"/>
        <v>12.741568627451</v>
      </c>
      <c r="AG45" s="160">
        <v>21</v>
      </c>
      <c r="AH45" s="161">
        <v>46</v>
      </c>
      <c r="AI45" s="165"/>
      <c r="AJ45" s="166"/>
      <c r="AK45" s="163">
        <f>AG45*产品成本!$D$11+AH45*产品成本!$D$12+AI45*产品成本!$D$13+AJ45*产品成本!$D$14</f>
        <v>394.507042253521</v>
      </c>
      <c r="AL45" s="163">
        <f>AG45*产品成本!$E$11+AH45*产品成本!$E$12+AI45*产品成本!$E$13+AJ45*产品成本!$E$14</f>
        <v>23.991661971831</v>
      </c>
      <c r="AM45" s="163">
        <f>AG45*产品成本!$F$11+AH45*产品成本!$F$12+AI45*产品成本!$F$13+AJ45*产品成本!$F$14</f>
        <v>22.78</v>
      </c>
      <c r="AN45" s="163">
        <f>AG45*产品成本!$G$11+AH45*产品成本!$G$12+AI45*产品成本!$G$13+AJ45*产品成本!$G$14</f>
        <v>261.3</v>
      </c>
      <c r="AO45" s="163">
        <f t="shared" si="38"/>
        <v>229.6275</v>
      </c>
      <c r="AP45" s="164">
        <f t="shared" si="39"/>
        <v>932.206204225352</v>
      </c>
      <c r="AQ45" s="165">
        <v>2</v>
      </c>
      <c r="AR45" s="165">
        <v>7</v>
      </c>
      <c r="AS45" s="165"/>
      <c r="AT45" s="166"/>
      <c r="AU45" s="167">
        <f t="shared" si="40"/>
        <v>213.121951219512</v>
      </c>
      <c r="AV45" s="163">
        <f>AQ45*产品成本!$D$11+AR45*产品成本!$D$12+AS45*产品成本!$D$13+AT45*产品成本!$D$14</f>
        <v>53.8028169014084</v>
      </c>
      <c r="AW45" s="163">
        <f>AQ45*产品成本!$E$11+AR45*产品成本!$E$12+AS45*产品成本!$E$13+AT45*产品成本!$E$14</f>
        <v>3.22276056338029</v>
      </c>
      <c r="AX45" s="163">
        <f>AQ45*产品成本!$F$11+AR45*产品成本!$F$12+AS45*产品成本!$F$13+AT45*产品成本!$F$14</f>
        <v>3.06</v>
      </c>
      <c r="AY45" s="163">
        <v>0</v>
      </c>
      <c r="AZ45" s="163">
        <f t="shared" si="41"/>
        <v>31.9682926829268</v>
      </c>
      <c r="BA45" s="163">
        <f t="shared" si="42"/>
        <v>-6.39365853658537</v>
      </c>
      <c r="BB45" s="164">
        <f t="shared" si="43"/>
        <v>85.6602116111302</v>
      </c>
      <c r="BC45" s="169">
        <f t="shared" si="44"/>
        <v>846.545992614222</v>
      </c>
      <c r="BD45" s="169">
        <f t="shared" si="45"/>
        <v>1530.85</v>
      </c>
      <c r="BE45" s="169">
        <f t="shared" si="46"/>
        <v>1317.72804878049</v>
      </c>
      <c r="BF45" s="168">
        <f t="shared" si="47"/>
        <v>-178.637943833734</v>
      </c>
      <c r="BG45" s="170">
        <f t="shared" si="48"/>
        <v>-0.135565106927076</v>
      </c>
    </row>
    <row r="46" ht="29.1" customHeight="1" spans="1:61">
      <c r="A46" s="61" t="s">
        <v>181</v>
      </c>
      <c r="B46" s="61" t="s">
        <v>182</v>
      </c>
      <c r="C46" s="90">
        <v>76</v>
      </c>
      <c r="D46" s="91">
        <v>74</v>
      </c>
      <c r="E46" s="64">
        <v>1769.64</v>
      </c>
      <c r="F46" s="148">
        <v>4</v>
      </c>
      <c r="G46" s="148">
        <v>4</v>
      </c>
      <c r="H46" s="64">
        <v>95.56</v>
      </c>
      <c r="I46" s="64">
        <v>23.89</v>
      </c>
      <c r="J46" s="149">
        <v>9</v>
      </c>
      <c r="K46" s="150">
        <f t="shared" si="26"/>
        <v>0.118421052631579</v>
      </c>
      <c r="L46" s="151">
        <v>173.8</v>
      </c>
      <c r="M46" s="152">
        <f>(C46-C44)/C44</f>
        <v>-0.05</v>
      </c>
      <c r="N46" s="150">
        <f>(D46-D44)/D44</f>
        <v>-0.075</v>
      </c>
      <c r="O46" s="150">
        <f>(E46-E44)/E44</f>
        <v>-0.0612985359643539</v>
      </c>
      <c r="P46" s="153">
        <f t="shared" si="27"/>
        <v>1.02702702702703</v>
      </c>
      <c r="Q46" s="154">
        <f t="shared" si="28"/>
        <v>23.9140540540541</v>
      </c>
      <c r="R46" s="187">
        <f t="shared" si="29"/>
        <v>23.2847368421053</v>
      </c>
      <c r="S46" s="155">
        <f t="shared" si="30"/>
        <v>0.571428571428571</v>
      </c>
      <c r="T46" s="193">
        <f t="shared" si="31"/>
        <v>18</v>
      </c>
      <c r="U46" s="157">
        <f t="shared" si="32"/>
        <v>0.243243243243243</v>
      </c>
      <c r="V46" s="94">
        <f t="shared" si="33"/>
        <v>0.354036946870972</v>
      </c>
      <c r="W46" s="91">
        <v>64744</v>
      </c>
      <c r="X46" s="91">
        <v>617</v>
      </c>
      <c r="Y46" s="91">
        <v>56</v>
      </c>
      <c r="Z46" s="91">
        <v>618.06</v>
      </c>
      <c r="AA46" s="92">
        <v>1339.15</v>
      </c>
      <c r="AB46" s="64">
        <v>1</v>
      </c>
      <c r="AC46" s="71">
        <f t="shared" si="34"/>
        <v>0.461531568532278</v>
      </c>
      <c r="AD46" s="72">
        <f t="shared" si="35"/>
        <v>0.00952984060299024</v>
      </c>
      <c r="AE46" s="159">
        <f t="shared" si="36"/>
        <v>0.0907617504051864</v>
      </c>
      <c r="AF46" s="154">
        <f t="shared" si="37"/>
        <v>11.0367857142857</v>
      </c>
      <c r="AG46" s="160">
        <v>22</v>
      </c>
      <c r="AH46" s="161">
        <v>54</v>
      </c>
      <c r="AI46" s="165"/>
      <c r="AJ46" s="166"/>
      <c r="AK46" s="163">
        <f>AG46*产品成本!$D$11+AH46*产品成本!$D$12+AI46*产品成本!$D$13+AJ46*产品成本!$D$14</f>
        <v>449.295774647887</v>
      </c>
      <c r="AL46" s="163">
        <f>AG46*产品成本!$E$11+AH46*产品成本!$E$12+AI46*产品成本!$E$13+AJ46*产品成本!$E$14</f>
        <v>27.2144225352113</v>
      </c>
      <c r="AM46" s="163">
        <f>AG46*产品成本!$F$11+AH46*产品成本!$F$12+AI46*产品成本!$F$13+AJ46*产品成本!$F$14</f>
        <v>25.84</v>
      </c>
      <c r="AN46" s="163">
        <f>AG46*产品成本!$G$11+AH46*产品成本!$G$12+AI46*产品成本!$G$13+AJ46*产品成本!$G$14</f>
        <v>296.4</v>
      </c>
      <c r="AO46" s="163">
        <f t="shared" si="38"/>
        <v>261.8625</v>
      </c>
      <c r="AP46" s="164">
        <f t="shared" si="39"/>
        <v>1060.6126971831</v>
      </c>
      <c r="AQ46" s="165">
        <v>2</v>
      </c>
      <c r="AR46" s="165">
        <v>7</v>
      </c>
      <c r="AS46" s="165"/>
      <c r="AT46" s="166"/>
      <c r="AU46" s="167">
        <f t="shared" si="40"/>
        <v>211.951219512195</v>
      </c>
      <c r="AV46" s="163">
        <f>AQ46*产品成本!$D$11+AR46*产品成本!$D$12+AS46*产品成本!$D$13+AT46*产品成本!$D$14</f>
        <v>53.8028169014084</v>
      </c>
      <c r="AW46" s="163">
        <f>AQ46*产品成本!$E$11+AR46*产品成本!$E$12+AS46*产品成本!$E$13+AT46*产品成本!$E$14</f>
        <v>3.22276056338029</v>
      </c>
      <c r="AX46" s="163">
        <f>AQ46*产品成本!$F$11+AR46*产品成本!$F$12+AS46*产品成本!$F$13+AT46*产品成本!$F$14</f>
        <v>3.06</v>
      </c>
      <c r="AY46" s="163">
        <v>0</v>
      </c>
      <c r="AZ46" s="163">
        <f t="shared" si="41"/>
        <v>31.7926829268293</v>
      </c>
      <c r="BA46" s="163">
        <f t="shared" si="42"/>
        <v>-6.35853658536585</v>
      </c>
      <c r="BB46" s="164">
        <f t="shared" si="43"/>
        <v>85.5197238062521</v>
      </c>
      <c r="BC46" s="169">
        <f t="shared" si="44"/>
        <v>975.092973376846</v>
      </c>
      <c r="BD46" s="169">
        <f t="shared" si="45"/>
        <v>1745.75</v>
      </c>
      <c r="BE46" s="169">
        <f t="shared" si="46"/>
        <v>1533.7987804878</v>
      </c>
      <c r="BF46" s="168">
        <f t="shared" si="47"/>
        <v>-59.3541928890415</v>
      </c>
      <c r="BG46" s="170">
        <f t="shared" si="48"/>
        <v>-0.0386975095065369</v>
      </c>
    </row>
    <row r="47" ht="29.1" customHeight="1" spans="1:61">
      <c r="A47" s="61" t="s">
        <v>183</v>
      </c>
      <c r="B47" s="61" t="s">
        <v>184</v>
      </c>
      <c r="C47" s="90">
        <v>63</v>
      </c>
      <c r="D47" s="91">
        <v>62</v>
      </c>
      <c r="E47" s="64">
        <v>1470.25</v>
      </c>
      <c r="F47" s="148">
        <v>3</v>
      </c>
      <c r="G47" s="148">
        <v>3</v>
      </c>
      <c r="H47" s="64">
        <v>64.85</v>
      </c>
      <c r="I47" s="64">
        <v>21.62</v>
      </c>
      <c r="J47" s="149">
        <v>7</v>
      </c>
      <c r="K47" s="150">
        <f t="shared" si="26"/>
        <v>0.111111111111111</v>
      </c>
      <c r="L47" s="151">
        <v>141.92</v>
      </c>
      <c r="M47" s="152">
        <f t="shared" ref="M47:M74" si="49">(C47-C45)/C45</f>
        <v>-0.0597014925373134</v>
      </c>
      <c r="N47" s="150">
        <f t="shared" ref="N47:N74" si="50">(D47-D45)/D45</f>
        <v>-0.0606060606060606</v>
      </c>
      <c r="O47" s="150">
        <f t="shared" ref="O47:O74" si="51">(E47-E45)/E45</f>
        <v>-0.0543434915162664</v>
      </c>
      <c r="P47" s="153">
        <f t="shared" si="27"/>
        <v>1.01612903225806</v>
      </c>
      <c r="Q47" s="154">
        <f t="shared" si="28"/>
        <v>23.7137096774194</v>
      </c>
      <c r="R47" s="187">
        <f t="shared" si="29"/>
        <v>23.3373015873016</v>
      </c>
      <c r="S47" s="155">
        <f t="shared" si="30"/>
        <v>0.428571428571429</v>
      </c>
      <c r="T47" s="193">
        <f t="shared" si="31"/>
        <v>9</v>
      </c>
      <c r="U47" s="157">
        <f t="shared" si="32"/>
        <v>0.145161290322581</v>
      </c>
      <c r="V47" s="94">
        <f t="shared" si="33"/>
        <v>0.444799569248186</v>
      </c>
      <c r="W47" s="91">
        <v>76783</v>
      </c>
      <c r="X47" s="91">
        <v>640</v>
      </c>
      <c r="Y47" s="91">
        <v>53</v>
      </c>
      <c r="Z47" s="91">
        <v>644.35</v>
      </c>
      <c r="AA47" s="92">
        <v>1248.82</v>
      </c>
      <c r="AB47" s="64">
        <v>1.01</v>
      </c>
      <c r="AC47" s="71">
        <f t="shared" si="34"/>
        <v>0.515967072916834</v>
      </c>
      <c r="AD47" s="72">
        <f t="shared" si="35"/>
        <v>0.00833517835979318</v>
      </c>
      <c r="AE47" s="159">
        <f t="shared" si="36"/>
        <v>0.0828125</v>
      </c>
      <c r="AF47" s="154">
        <f t="shared" si="37"/>
        <v>12.1575471698113</v>
      </c>
      <c r="AG47" s="160">
        <v>24</v>
      </c>
      <c r="AH47" s="161">
        <v>39</v>
      </c>
      <c r="AI47" s="165"/>
      <c r="AJ47" s="166"/>
      <c r="AK47" s="163">
        <f>AG47*产品成本!$D$11+AH47*产品成本!$D$12+AI47*产品成本!$D$13+AJ47*产品成本!$D$14</f>
        <v>366.760563380282</v>
      </c>
      <c r="AL47" s="163">
        <f>AG47*产品成本!$E$11+AH47*产品成本!$E$12+AI47*产品成本!$E$13+AJ47*产品成本!$E$14</f>
        <v>22.559323943662</v>
      </c>
      <c r="AM47" s="163">
        <f>AG47*产品成本!$F$11+AH47*产品成本!$F$12+AI47*产品成本!$F$13+AJ47*产品成本!$F$14</f>
        <v>21.42</v>
      </c>
      <c r="AN47" s="163">
        <f>AG47*产品成本!$G$11+AH47*产品成本!$G$12+AI47*产品成本!$G$13+AJ47*产品成本!$G$14</f>
        <v>245.7</v>
      </c>
      <c r="AO47" s="163">
        <f t="shared" si="38"/>
        <v>217.2945</v>
      </c>
      <c r="AP47" s="164">
        <f t="shared" si="39"/>
        <v>873.734387323944</v>
      </c>
      <c r="AQ47" s="165">
        <v>3</v>
      </c>
      <c r="AR47" s="165">
        <v>4</v>
      </c>
      <c r="AS47" s="165"/>
      <c r="AT47" s="166"/>
      <c r="AU47" s="167">
        <f t="shared" si="40"/>
        <v>173.073170731707</v>
      </c>
      <c r="AV47" s="163">
        <f>AQ47*产品成本!$D$11+AR47*产品成本!$D$12+AS47*产品成本!$D$13+AT47*产品成本!$D$14</f>
        <v>40.4225352112676</v>
      </c>
      <c r="AW47" s="163">
        <f>AQ47*产品成本!$E$11+AR47*产品成本!$E$12+AS47*产品成本!$E$13+AT47*产品成本!$E$14</f>
        <v>2.50659154929578</v>
      </c>
      <c r="AX47" s="163">
        <f>AQ47*产品成本!$F$11+AR47*产品成本!$F$12+AS47*产品成本!$F$13+AT47*产品成本!$F$14</f>
        <v>2.38</v>
      </c>
      <c r="AY47" s="163">
        <v>0</v>
      </c>
      <c r="AZ47" s="163">
        <f t="shared" si="41"/>
        <v>25.9609756097561</v>
      </c>
      <c r="BA47" s="163">
        <f t="shared" si="42"/>
        <v>-5.19219512195122</v>
      </c>
      <c r="BB47" s="164">
        <f t="shared" si="43"/>
        <v>66.0779072483683</v>
      </c>
      <c r="BC47" s="169">
        <f t="shared" si="44"/>
        <v>807.656480075575</v>
      </c>
      <c r="BD47" s="169">
        <f t="shared" si="45"/>
        <v>1448.63</v>
      </c>
      <c r="BE47" s="169">
        <f t="shared" si="46"/>
        <v>1275.55682926829</v>
      </c>
      <c r="BF47" s="168">
        <f t="shared" si="47"/>
        <v>-176.449650807282</v>
      </c>
      <c r="BG47" s="170">
        <f t="shared" si="48"/>
        <v>-0.138331469644124</v>
      </c>
    </row>
    <row r="48" ht="29.1" customHeight="1" spans="1:61">
      <c r="A48" s="61" t="s">
        <v>185</v>
      </c>
      <c r="B48" s="61" t="s">
        <v>186</v>
      </c>
      <c r="C48" s="90">
        <v>68</v>
      </c>
      <c r="D48" s="91">
        <v>68</v>
      </c>
      <c r="E48" s="64">
        <v>1602.52</v>
      </c>
      <c r="F48" s="148">
        <v>3</v>
      </c>
      <c r="G48" s="148">
        <v>3</v>
      </c>
      <c r="H48" s="64">
        <v>71.67</v>
      </c>
      <c r="I48" s="64">
        <v>23.89</v>
      </c>
      <c r="J48" s="149">
        <v>5</v>
      </c>
      <c r="K48" s="150">
        <f t="shared" si="26"/>
        <v>0.0735294117647059</v>
      </c>
      <c r="L48" s="151">
        <v>103.39</v>
      </c>
      <c r="M48" s="152">
        <f t="shared" si="49"/>
        <v>-0.105263157894737</v>
      </c>
      <c r="N48" s="150">
        <f t="shared" si="50"/>
        <v>-0.0810810810810811</v>
      </c>
      <c r="O48" s="150">
        <f t="shared" si="51"/>
        <v>-0.0944372866797767</v>
      </c>
      <c r="P48" s="153">
        <f t="shared" si="27"/>
        <v>1</v>
      </c>
      <c r="Q48" s="154">
        <f t="shared" si="28"/>
        <v>23.5664705882353</v>
      </c>
      <c r="R48" s="187">
        <f t="shared" si="29"/>
        <v>23.5664705882353</v>
      </c>
      <c r="S48" s="155">
        <f t="shared" si="30"/>
        <v>0.428571428571429</v>
      </c>
      <c r="T48" s="193">
        <f t="shared" si="31"/>
        <v>14</v>
      </c>
      <c r="U48" s="157">
        <f t="shared" si="32"/>
        <v>0.205882352941176</v>
      </c>
      <c r="V48" s="94">
        <f t="shared" si="33"/>
        <v>0.463300456725135</v>
      </c>
      <c r="W48" s="91">
        <v>71302</v>
      </c>
      <c r="X48" s="91">
        <v>722</v>
      </c>
      <c r="Y48" s="91">
        <v>54</v>
      </c>
      <c r="Z48" s="91">
        <v>731.38</v>
      </c>
      <c r="AA48" s="92">
        <v>1253.93</v>
      </c>
      <c r="AB48" s="64">
        <v>1.01</v>
      </c>
      <c r="AC48" s="71">
        <f t="shared" si="34"/>
        <v>0.583270198495929</v>
      </c>
      <c r="AD48" s="72">
        <f t="shared" si="35"/>
        <v>0.0101259431712995</v>
      </c>
      <c r="AE48" s="159">
        <f t="shared" si="36"/>
        <v>0.074792243767313</v>
      </c>
      <c r="AF48" s="154">
        <f t="shared" si="37"/>
        <v>13.5440740740741</v>
      </c>
      <c r="AG48" s="160">
        <v>29</v>
      </c>
      <c r="AH48" s="161">
        <v>39</v>
      </c>
      <c r="AI48" s="165"/>
      <c r="AJ48" s="166"/>
      <c r="AK48" s="163">
        <f>AG48*产品成本!$D$11+AH48*产品成本!$D$12+AI48*产品成本!$D$13+AJ48*产品成本!$D$14</f>
        <v>392.816901408451</v>
      </c>
      <c r="AL48" s="163">
        <f>AG48*产品成本!$E$11+AH48*产品成本!$E$12+AI48*产品成本!$E$13+AJ48*产品成本!$E$14</f>
        <v>24.3497464788733</v>
      </c>
      <c r="AM48" s="163">
        <f>AG48*产品成本!$F$11+AH48*产品成本!$F$12+AI48*产品成本!$F$13+AJ48*产品成本!$F$14</f>
        <v>23.12</v>
      </c>
      <c r="AN48" s="163">
        <f>AG48*产品成本!$G$11+AH48*产品成本!$G$12+AI48*产品成本!$G$13+AJ48*产品成本!$G$14</f>
        <v>265.2</v>
      </c>
      <c r="AO48" s="163">
        <f t="shared" si="38"/>
        <v>236.7945</v>
      </c>
      <c r="AP48" s="164">
        <f t="shared" si="39"/>
        <v>942.281147887324</v>
      </c>
      <c r="AQ48" s="165">
        <v>2</v>
      </c>
      <c r="AR48" s="165">
        <v>3</v>
      </c>
      <c r="AS48" s="165"/>
      <c r="AT48" s="166"/>
      <c r="AU48" s="167">
        <f t="shared" si="40"/>
        <v>126.085365853659</v>
      </c>
      <c r="AV48" s="163">
        <f>AQ48*产品成本!$D$11+AR48*产品成本!$D$12+AS48*产品成本!$D$13+AT48*产品成本!$D$14</f>
        <v>29.0140845070422</v>
      </c>
      <c r="AW48" s="163">
        <f>AQ48*产品成本!$E$11+AR48*产品成本!$E$12+AS48*产品成本!$E$13+AT48*产品成本!$E$14</f>
        <v>1.79042253521127</v>
      </c>
      <c r="AX48" s="163">
        <f>AQ48*产品成本!$F$11+AR48*产品成本!$F$12+AS48*产品成本!$F$13+AT48*产品成本!$F$14</f>
        <v>1.7</v>
      </c>
      <c r="AY48" s="163">
        <v>0</v>
      </c>
      <c r="AZ48" s="163">
        <f t="shared" si="41"/>
        <v>18.9128048780488</v>
      </c>
      <c r="BA48" s="163">
        <f t="shared" si="42"/>
        <v>-3.78256097560976</v>
      </c>
      <c r="BB48" s="164">
        <f t="shared" si="43"/>
        <v>47.6347509446925</v>
      </c>
      <c r="BC48" s="169">
        <f t="shared" si="44"/>
        <v>894.646396942631</v>
      </c>
      <c r="BD48" s="169">
        <f t="shared" si="45"/>
        <v>1578.63</v>
      </c>
      <c r="BE48" s="169">
        <f t="shared" si="46"/>
        <v>1452.54463414634</v>
      </c>
      <c r="BF48" s="168">
        <f t="shared" si="47"/>
        <v>-173.48176279629</v>
      </c>
      <c r="BG48" s="170">
        <f t="shared" si="48"/>
        <v>-0.119432999660107</v>
      </c>
    </row>
    <row r="49" ht="29.1" customHeight="1" spans="1:61">
      <c r="A49" s="61" t="s">
        <v>187</v>
      </c>
      <c r="B49" s="61" t="s">
        <v>188</v>
      </c>
      <c r="C49" s="90">
        <v>73</v>
      </c>
      <c r="D49" s="91">
        <v>70</v>
      </c>
      <c r="E49" s="64">
        <v>1703.97</v>
      </c>
      <c r="F49" s="148">
        <v>6</v>
      </c>
      <c r="G49" s="148">
        <v>6</v>
      </c>
      <c r="H49" s="64">
        <v>141.34</v>
      </c>
      <c r="I49" s="64">
        <v>23.56</v>
      </c>
      <c r="J49" s="149">
        <v>7</v>
      </c>
      <c r="K49" s="150">
        <f t="shared" si="26"/>
        <v>0.0958904109589041</v>
      </c>
      <c r="L49" s="151">
        <v>145.43</v>
      </c>
      <c r="M49" s="152">
        <f t="shared" si="49"/>
        <v>0.158730158730159</v>
      </c>
      <c r="N49" s="150">
        <f t="shared" si="50"/>
        <v>0.129032258064516</v>
      </c>
      <c r="O49" s="150">
        <f t="shared" si="51"/>
        <v>0.15896616221731</v>
      </c>
      <c r="P49" s="153">
        <f t="shared" si="27"/>
        <v>1.04285714285714</v>
      </c>
      <c r="Q49" s="154">
        <f t="shared" si="28"/>
        <v>24.3424285714286</v>
      </c>
      <c r="R49" s="187">
        <f t="shared" si="29"/>
        <v>23.3420547945205</v>
      </c>
      <c r="S49" s="155">
        <f t="shared" si="30"/>
        <v>0.857142857142857</v>
      </c>
      <c r="T49" s="193">
        <f t="shared" si="31"/>
        <v>-1</v>
      </c>
      <c r="U49" s="157">
        <f t="shared" si="32"/>
        <v>-0.0142857142857143</v>
      </c>
      <c r="V49" s="94">
        <f t="shared" si="33"/>
        <v>0.475110240953101</v>
      </c>
      <c r="W49" s="91">
        <v>80078</v>
      </c>
      <c r="X49" s="91">
        <v>779</v>
      </c>
      <c r="Y49" s="91">
        <v>71</v>
      </c>
      <c r="Z49" s="91">
        <v>798.38</v>
      </c>
      <c r="AA49" s="92">
        <v>1641.78</v>
      </c>
      <c r="AB49" s="64">
        <v>1.02</v>
      </c>
      <c r="AC49" s="71">
        <f t="shared" si="34"/>
        <v>0.486289271400553</v>
      </c>
      <c r="AD49" s="72">
        <f t="shared" si="35"/>
        <v>0.00972801518519444</v>
      </c>
      <c r="AE49" s="159">
        <f t="shared" si="36"/>
        <v>0.0911424903722721</v>
      </c>
      <c r="AF49" s="154">
        <f t="shared" si="37"/>
        <v>11.2447887323944</v>
      </c>
      <c r="AG49" s="160">
        <v>20</v>
      </c>
      <c r="AH49" s="161">
        <v>53</v>
      </c>
      <c r="AI49" s="165"/>
      <c r="AJ49" s="166"/>
      <c r="AK49" s="163">
        <f>AG49*产品成本!$D$11+AH49*产品成本!$D$12+AI49*产品成本!$D$13+AJ49*产品成本!$D$14</f>
        <v>432.676056338028</v>
      </c>
      <c r="AL49" s="163">
        <f>AG49*产品成本!$E$11+AH49*产品成本!$E$12+AI49*产品成本!$E$13+AJ49*产品成本!$E$14</f>
        <v>26.1401690140845</v>
      </c>
      <c r="AM49" s="163">
        <f>AG49*产品成本!$F$11+AH49*产品成本!$F$12+AI49*产品成本!$F$13+AJ49*产品成本!$F$14</f>
        <v>24.82</v>
      </c>
      <c r="AN49" s="163">
        <f>AG49*产品成本!$G$11+AH49*产品成本!$G$12+AI49*产品成本!$G$13+AJ49*产品成本!$G$14</f>
        <v>284.7</v>
      </c>
      <c r="AO49" s="163">
        <f t="shared" si="38"/>
        <v>252.0615</v>
      </c>
      <c r="AP49" s="164">
        <f t="shared" si="39"/>
        <v>1020.39772535211</v>
      </c>
      <c r="AQ49" s="165">
        <v>3</v>
      </c>
      <c r="AR49" s="165">
        <v>4</v>
      </c>
      <c r="AS49" s="165"/>
      <c r="AT49" s="166"/>
      <c r="AU49" s="167">
        <f t="shared" si="40"/>
        <v>177.353658536585</v>
      </c>
      <c r="AV49" s="163">
        <f>AQ49*产品成本!$D$11+AR49*产品成本!$D$12+AS49*产品成本!$D$13+AT49*产品成本!$D$14</f>
        <v>40.4225352112676</v>
      </c>
      <c r="AW49" s="163">
        <f>AQ49*产品成本!$E$11+AR49*产品成本!$E$12+AS49*产品成本!$E$13+AT49*产品成本!$E$14</f>
        <v>2.50659154929578</v>
      </c>
      <c r="AX49" s="163">
        <f>AQ49*产品成本!$F$11+AR49*产品成本!$F$12+AS49*产品成本!$F$13+AT49*产品成本!$F$14</f>
        <v>2.38</v>
      </c>
      <c r="AY49" s="163">
        <v>0</v>
      </c>
      <c r="AZ49" s="163">
        <f t="shared" si="41"/>
        <v>26.6030487804878</v>
      </c>
      <c r="BA49" s="163">
        <f t="shared" si="42"/>
        <v>-5.32060975609756</v>
      </c>
      <c r="BB49" s="164">
        <f t="shared" si="43"/>
        <v>66.5915657849536</v>
      </c>
      <c r="BC49" s="169">
        <f t="shared" si="44"/>
        <v>953.806159567159</v>
      </c>
      <c r="BD49" s="169">
        <f t="shared" si="45"/>
        <v>1680.41</v>
      </c>
      <c r="BE49" s="169">
        <f t="shared" si="46"/>
        <v>1503.05634146341</v>
      </c>
      <c r="BF49" s="168">
        <f t="shared" si="47"/>
        <v>-249.129818103744</v>
      </c>
      <c r="BG49" s="170">
        <f t="shared" si="48"/>
        <v>-0.165748822070891</v>
      </c>
    </row>
    <row r="50" ht="29.1" customHeight="1" spans="1:61">
      <c r="A50" s="61" t="s">
        <v>189</v>
      </c>
      <c r="B50" s="61" t="s">
        <v>190</v>
      </c>
      <c r="C50" s="90">
        <v>102</v>
      </c>
      <c r="D50" s="91">
        <v>99</v>
      </c>
      <c r="E50" s="64">
        <v>2362.89</v>
      </c>
      <c r="F50" s="148">
        <v>5</v>
      </c>
      <c r="G50" s="148">
        <v>5</v>
      </c>
      <c r="H50" s="64">
        <v>117.45</v>
      </c>
      <c r="I50" s="64">
        <v>23.49</v>
      </c>
      <c r="J50" s="149">
        <v>10</v>
      </c>
      <c r="K50" s="150">
        <f t="shared" si="26"/>
        <v>0.0980392156862745</v>
      </c>
      <c r="L50" s="151">
        <v>198.02</v>
      </c>
      <c r="M50" s="152">
        <f t="shared" si="49"/>
        <v>0.5</v>
      </c>
      <c r="N50" s="150">
        <f t="shared" si="50"/>
        <v>0.455882352941176</v>
      </c>
      <c r="O50" s="150">
        <f t="shared" si="51"/>
        <v>0.474483937797968</v>
      </c>
      <c r="P50" s="153">
        <f t="shared" si="27"/>
        <v>1.03030303030303</v>
      </c>
      <c r="Q50" s="154">
        <f t="shared" si="28"/>
        <v>23.8675757575758</v>
      </c>
      <c r="R50" s="187">
        <f t="shared" si="29"/>
        <v>23.1655882352941</v>
      </c>
      <c r="S50" s="155">
        <f t="shared" si="30"/>
        <v>0.714285714285714</v>
      </c>
      <c r="T50" s="193">
        <f t="shared" si="31"/>
        <v>-9</v>
      </c>
      <c r="U50" s="157">
        <f t="shared" si="32"/>
        <v>-0.0909090909090909</v>
      </c>
      <c r="V50" s="94">
        <f t="shared" si="33"/>
        <v>0.409810207745576</v>
      </c>
      <c r="W50" s="91">
        <v>78513</v>
      </c>
      <c r="X50" s="91">
        <v>910</v>
      </c>
      <c r="Y50" s="91">
        <v>108</v>
      </c>
      <c r="Z50" s="91">
        <v>958.71</v>
      </c>
      <c r="AA50" s="92">
        <v>2618.83</v>
      </c>
      <c r="AB50" s="64">
        <v>1.05</v>
      </c>
      <c r="AC50" s="71">
        <f t="shared" si="34"/>
        <v>0.366083327287376</v>
      </c>
      <c r="AD50" s="72">
        <f t="shared" si="35"/>
        <v>0.0115904372524295</v>
      </c>
      <c r="AE50" s="159">
        <f t="shared" si="36"/>
        <v>0.118681318681319</v>
      </c>
      <c r="AF50" s="154">
        <f t="shared" si="37"/>
        <v>8.87694444444445</v>
      </c>
      <c r="AG50" s="160">
        <v>32</v>
      </c>
      <c r="AH50" s="161">
        <v>70</v>
      </c>
      <c r="AI50" s="165"/>
      <c r="AJ50" s="166"/>
      <c r="AK50" s="163">
        <f>AG50*产品成本!$D$11+AH50*产品成本!$D$12+AI50*产品成本!$D$13+AJ50*产品成本!$D$14</f>
        <v>600.56338028169</v>
      </c>
      <c r="AL50" s="163">
        <f>AG50*产品成本!$E$11+AH50*产品成本!$E$12+AI50*产品成本!$E$13+AJ50*产品成本!$E$14</f>
        <v>36.5246197183099</v>
      </c>
      <c r="AM50" s="163">
        <f>AG50*产品成本!$F$11+AH50*产品成本!$F$12+AI50*产品成本!$F$13+AJ50*产品成本!$F$14</f>
        <v>34.68</v>
      </c>
      <c r="AN50" s="163">
        <f>AG50*产品成本!$G$11+AH50*产品成本!$G$12+AI50*产品成本!$G$13+AJ50*产品成本!$G$14</f>
        <v>397.8</v>
      </c>
      <c r="AO50" s="163">
        <f t="shared" si="38"/>
        <v>350.91</v>
      </c>
      <c r="AP50" s="164">
        <f t="shared" si="39"/>
        <v>1420.478</v>
      </c>
      <c r="AQ50" s="165">
        <v>4</v>
      </c>
      <c r="AR50" s="165">
        <v>6</v>
      </c>
      <c r="AS50" s="165"/>
      <c r="AT50" s="166"/>
      <c r="AU50" s="167">
        <f t="shared" si="40"/>
        <v>241.487804878049</v>
      </c>
      <c r="AV50" s="163">
        <f>AQ50*产品成本!$D$11+AR50*产品成本!$D$12+AS50*产品成本!$D$13+AT50*产品成本!$D$14</f>
        <v>58.0281690140845</v>
      </c>
      <c r="AW50" s="163">
        <f>AQ50*产品成本!$E$11+AR50*产品成本!$E$12+AS50*产品成本!$E$13+AT50*产品成本!$E$14</f>
        <v>3.58084507042254</v>
      </c>
      <c r="AX50" s="163">
        <f>AQ50*产品成本!$F$11+AR50*产品成本!$F$12+AS50*产品成本!$F$13+AT50*产品成本!$F$14</f>
        <v>3.4</v>
      </c>
      <c r="AY50" s="163">
        <v>0</v>
      </c>
      <c r="AZ50" s="163">
        <f t="shared" si="41"/>
        <v>36.2231707317073</v>
      </c>
      <c r="BA50" s="163">
        <f t="shared" si="42"/>
        <v>-7.24463414634146</v>
      </c>
      <c r="BB50" s="164">
        <f t="shared" si="43"/>
        <v>93.9875506698729</v>
      </c>
      <c r="BC50" s="169">
        <f t="shared" si="44"/>
        <v>1326.49044933013</v>
      </c>
      <c r="BD50" s="169">
        <f t="shared" si="45"/>
        <v>2339.4</v>
      </c>
      <c r="BE50" s="169">
        <f t="shared" si="46"/>
        <v>2097.91219512195</v>
      </c>
      <c r="BF50" s="168">
        <f t="shared" si="47"/>
        <v>-187.288254208176</v>
      </c>
      <c r="BG50" s="170">
        <f t="shared" si="48"/>
        <v>-0.0892736381644842</v>
      </c>
    </row>
    <row r="51" ht="29.1" customHeight="1" spans="1:61">
      <c r="A51" s="61" t="s">
        <v>191</v>
      </c>
      <c r="B51" s="61" t="s">
        <v>192</v>
      </c>
      <c r="C51" s="90">
        <v>84</v>
      </c>
      <c r="D51" s="91">
        <v>83</v>
      </c>
      <c r="E51" s="64">
        <v>1974.76</v>
      </c>
      <c r="F51" s="148">
        <v>8</v>
      </c>
      <c r="G51" s="148">
        <v>7</v>
      </c>
      <c r="H51" s="64">
        <v>191.12</v>
      </c>
      <c r="I51" s="64">
        <v>19.12</v>
      </c>
      <c r="J51" s="149">
        <v>7</v>
      </c>
      <c r="K51" s="150">
        <f t="shared" si="26"/>
        <v>0.0833333333333333</v>
      </c>
      <c r="L51" s="151">
        <v>141.58</v>
      </c>
      <c r="M51" s="152">
        <f t="shared" si="49"/>
        <v>0.150684931506849</v>
      </c>
      <c r="N51" s="150">
        <f t="shared" si="50"/>
        <v>0.185714285714286</v>
      </c>
      <c r="O51" s="150">
        <f t="shared" si="51"/>
        <v>0.158917117085395</v>
      </c>
      <c r="P51" s="153">
        <f t="shared" si="27"/>
        <v>1.01204819277108</v>
      </c>
      <c r="Q51" s="154">
        <f t="shared" si="28"/>
        <v>23.7922891566265</v>
      </c>
      <c r="R51" s="187">
        <f t="shared" si="29"/>
        <v>23.5090476190476</v>
      </c>
      <c r="S51" s="155">
        <f t="shared" ref="S51:S74" si="52">G51/7</f>
        <v>1</v>
      </c>
      <c r="T51" s="193">
        <f t="shared" si="31"/>
        <v>-7</v>
      </c>
      <c r="U51" s="157">
        <f t="shared" si="32"/>
        <v>-0.0843373493975904</v>
      </c>
      <c r="V51" s="94">
        <f t="shared" si="33"/>
        <v>0.462288560266716</v>
      </c>
      <c r="W51" s="91">
        <v>81151</v>
      </c>
      <c r="X51" s="91">
        <v>850</v>
      </c>
      <c r="Y51" s="91">
        <v>90</v>
      </c>
      <c r="Z51" s="91">
        <v>904.07</v>
      </c>
      <c r="AA51" s="92">
        <v>2116.93</v>
      </c>
      <c r="AB51" s="64" t="s">
        <v>353</v>
      </c>
      <c r="AC51" s="71">
        <f t="shared" si="34"/>
        <v>0.427066553924787</v>
      </c>
      <c r="AD51" s="72">
        <f t="shared" si="35"/>
        <v>0.0104743009944425</v>
      </c>
      <c r="AE51" s="159">
        <f t="shared" si="36"/>
        <v>0.105882352941176</v>
      </c>
      <c r="AF51" s="154">
        <f t="shared" si="37"/>
        <v>10.0452222222222</v>
      </c>
      <c r="AG51" s="160">
        <v>24</v>
      </c>
      <c r="AH51" s="161">
        <v>60</v>
      </c>
      <c r="AI51" s="165"/>
      <c r="AJ51" s="166"/>
      <c r="AK51" s="163">
        <f>AG51*产品成本!$D$11+AH51*产品成本!$D$12+AI51*产品成本!$D$13+AJ51*产品成本!$D$14</f>
        <v>496.901408450704</v>
      </c>
      <c r="AL51" s="163">
        <f>AG51*产品成本!$E$11+AH51*产品成本!$E$12+AI51*产品成本!$E$13+AJ51*产品成本!$E$14</f>
        <v>30.0790985915493</v>
      </c>
      <c r="AM51" s="163">
        <f>AG51*产品成本!$F$11+AH51*产品成本!$F$12+AI51*产品成本!$F$13+AJ51*产品成本!$F$14</f>
        <v>28.56</v>
      </c>
      <c r="AN51" s="163">
        <f>AG51*产品成本!$G$11+AH51*产品成本!$G$12+AI51*产品成本!$G$13+AJ51*产品成本!$G$14</f>
        <v>327.6</v>
      </c>
      <c r="AO51" s="163">
        <f t="shared" si="38"/>
        <v>293.346</v>
      </c>
      <c r="AP51" s="164">
        <f t="shared" si="39"/>
        <v>1176.48650704225</v>
      </c>
      <c r="AQ51" s="165">
        <v>2</v>
      </c>
      <c r="AR51" s="165">
        <v>5</v>
      </c>
      <c r="AS51" s="165"/>
      <c r="AT51" s="166"/>
      <c r="AU51" s="167">
        <f t="shared" si="40"/>
        <v>172.658536585366</v>
      </c>
      <c r="AV51" s="163">
        <f>AQ51*产品成本!$D$11+AR51*产品成本!$D$12+AS51*产品成本!$D$13+AT51*产品成本!$D$14</f>
        <v>41.4084507042254</v>
      </c>
      <c r="AW51" s="163">
        <f>AQ51*产品成本!$E$11+AR51*产品成本!$E$12+AS51*产品成本!$E$13+AT51*产品成本!$E$14</f>
        <v>2.50659154929578</v>
      </c>
      <c r="AX51" s="163">
        <f>AQ51*产品成本!$F$11+AR51*产品成本!$F$12+AS51*产品成本!$F$13+AT51*产品成本!$F$14</f>
        <v>2.38</v>
      </c>
      <c r="AY51" s="163">
        <v>0</v>
      </c>
      <c r="AZ51" s="163">
        <f t="shared" si="41"/>
        <v>25.8987804878049</v>
      </c>
      <c r="BA51" s="163">
        <f t="shared" si="42"/>
        <v>-5.17975609756098</v>
      </c>
      <c r="BB51" s="164">
        <f t="shared" si="43"/>
        <v>67.014066643765</v>
      </c>
      <c r="BC51" s="169">
        <f t="shared" si="44"/>
        <v>1109.47244039849</v>
      </c>
      <c r="BD51" s="169">
        <f t="shared" si="45"/>
        <v>1955.64</v>
      </c>
      <c r="BE51" s="169">
        <f t="shared" si="46"/>
        <v>1782.98146341463</v>
      </c>
      <c r="BF51" s="168">
        <f t="shared" si="47"/>
        <v>-230.560976983854</v>
      </c>
      <c r="BG51" s="170">
        <f t="shared" si="48"/>
        <v>-0.129312043739536</v>
      </c>
    </row>
    <row r="52" ht="29.1" customHeight="1" spans="1:61">
      <c r="A52" s="61" t="s">
        <v>193</v>
      </c>
      <c r="B52" s="61" t="s">
        <v>194</v>
      </c>
      <c r="C52" s="90">
        <v>112</v>
      </c>
      <c r="D52" s="91">
        <v>111</v>
      </c>
      <c r="E52" s="64">
        <v>2577.79</v>
      </c>
      <c r="F52" s="148">
        <v>14</v>
      </c>
      <c r="G52" s="148">
        <v>13</v>
      </c>
      <c r="H52" s="64">
        <v>328.46</v>
      </c>
      <c r="I52" s="64">
        <v>32.86</v>
      </c>
      <c r="J52" s="149">
        <v>14</v>
      </c>
      <c r="K52" s="150">
        <f t="shared" si="26"/>
        <v>0.125</v>
      </c>
      <c r="L52" s="151">
        <v>282.63</v>
      </c>
      <c r="M52" s="152">
        <f t="shared" si="49"/>
        <v>0.0980392156862745</v>
      </c>
      <c r="N52" s="150">
        <f t="shared" si="50"/>
        <v>0.121212121212121</v>
      </c>
      <c r="O52" s="150">
        <f t="shared" si="51"/>
        <v>0.0909479493332318</v>
      </c>
      <c r="P52" s="153">
        <f t="shared" si="27"/>
        <v>1.00900900900901</v>
      </c>
      <c r="Q52" s="154">
        <f t="shared" si="28"/>
        <v>23.2233333333333</v>
      </c>
      <c r="R52" s="187">
        <f t="shared" si="29"/>
        <v>23.0159821428571</v>
      </c>
      <c r="S52" s="155">
        <f t="shared" si="52"/>
        <v>1.85714285714286</v>
      </c>
      <c r="T52" s="193">
        <f t="shared" si="31"/>
        <v>10</v>
      </c>
      <c r="U52" s="157">
        <f t="shared" si="32"/>
        <v>0.0900900900900901</v>
      </c>
      <c r="V52" s="94">
        <f t="shared" si="33"/>
        <v>0.432412679327133</v>
      </c>
      <c r="W52" s="91">
        <v>96422</v>
      </c>
      <c r="X52" s="91">
        <v>1030</v>
      </c>
      <c r="Y52" s="91">
        <v>101</v>
      </c>
      <c r="Z52" s="91">
        <v>1100.46</v>
      </c>
      <c r="AA52" s="92">
        <v>2274.47</v>
      </c>
      <c r="AB52" s="64">
        <v>1.07</v>
      </c>
      <c r="AC52" s="71">
        <f t="shared" si="34"/>
        <v>0.483831398083949</v>
      </c>
      <c r="AD52" s="72">
        <f t="shared" si="35"/>
        <v>0.0106822094542739</v>
      </c>
      <c r="AE52" s="159">
        <f t="shared" si="36"/>
        <v>0.0980582524271845</v>
      </c>
      <c r="AF52" s="154">
        <f t="shared" si="37"/>
        <v>10.8956435643564</v>
      </c>
      <c r="AG52" s="160">
        <v>27</v>
      </c>
      <c r="AH52" s="161">
        <v>81</v>
      </c>
      <c r="AI52" s="165">
        <v>0</v>
      </c>
      <c r="AJ52" s="166">
        <v>4</v>
      </c>
      <c r="AK52" s="163">
        <f>AG52*产品成本!$D$11+AH52*产品成本!$D$12+AI52*产品成本!$D$13+AJ52*产品成本!$D$14</f>
        <v>657.876056338028</v>
      </c>
      <c r="AL52" s="163">
        <f>AG52*产品成本!$E$11+AH52*产品成本!$E$12+AI52*产品成本!$E$13+AJ52*产品成本!$E$14</f>
        <v>40.813971830986</v>
      </c>
      <c r="AM52" s="163">
        <f>AG52*产品成本!$F$11+AH52*产品成本!$F$12+AI52*产品成本!$F$13+AJ52*产品成本!$F$14</f>
        <v>38.08</v>
      </c>
      <c r="AN52" s="163">
        <f>AG52*产品成本!$G$11+AH52*产品成本!$G$12+AI52*产品成本!$G$13+AJ52*产品成本!$G$14</f>
        <v>436.8</v>
      </c>
      <c r="AO52" s="163">
        <f t="shared" si="38"/>
        <v>381.7395</v>
      </c>
      <c r="AP52" s="164">
        <f t="shared" si="39"/>
        <v>1555.30952816901</v>
      </c>
      <c r="AQ52" s="165">
        <v>3</v>
      </c>
      <c r="AR52" s="165">
        <v>10</v>
      </c>
      <c r="AS52" s="165">
        <v>0</v>
      </c>
      <c r="AT52" s="166">
        <v>1</v>
      </c>
      <c r="AU52" s="167">
        <f t="shared" si="40"/>
        <v>344.670731707317</v>
      </c>
      <c r="AV52" s="163">
        <f>AQ52*产品成本!$D$11+AR52*产品成本!$D$12+AS52*产品成本!$D$13+AT52*产品成本!$D$14</f>
        <v>81.4056338028169</v>
      </c>
      <c r="AW52" s="163">
        <f>AQ52*产品成本!$E$11+AR52*产品成本!$E$12+AS52*产品成本!$E$13+AT52*产品成本!$E$14</f>
        <v>5.19030985915494</v>
      </c>
      <c r="AX52" s="163">
        <f>AQ52*产品成本!$F$11+AR52*产品成本!$F$12+AS52*产品成本!$F$13+AT52*产品成本!$F$14</f>
        <v>4.76</v>
      </c>
      <c r="AY52" s="163"/>
      <c r="AZ52" s="163">
        <f t="shared" si="41"/>
        <v>51.7006097560976</v>
      </c>
      <c r="BA52" s="163">
        <f t="shared" si="42"/>
        <v>-10.3401219512195</v>
      </c>
      <c r="BB52" s="164">
        <f t="shared" si="43"/>
        <v>132.71643146685</v>
      </c>
      <c r="BC52" s="169">
        <f t="shared" si="44"/>
        <v>1422.59309670216</v>
      </c>
      <c r="BD52" s="169">
        <f t="shared" si="45"/>
        <v>2544.93</v>
      </c>
      <c r="BE52" s="169">
        <f t="shared" si="46"/>
        <v>2200.25926829268</v>
      </c>
      <c r="BF52" s="168">
        <f t="shared" si="47"/>
        <v>-322.793828409481</v>
      </c>
      <c r="BG52" s="170">
        <f t="shared" si="48"/>
        <v>-0.146707178131765</v>
      </c>
    </row>
    <row r="53" ht="29.1" customHeight="1" spans="1:61">
      <c r="A53" s="61" t="s">
        <v>195</v>
      </c>
      <c r="B53" s="61" t="s">
        <v>196</v>
      </c>
      <c r="C53" s="90">
        <v>174</v>
      </c>
      <c r="D53" s="91">
        <v>171</v>
      </c>
      <c r="E53" s="64">
        <v>3365.96</v>
      </c>
      <c r="F53" s="148">
        <v>16</v>
      </c>
      <c r="G53" s="148">
        <v>15</v>
      </c>
      <c r="H53" s="64">
        <v>326.24</v>
      </c>
      <c r="I53" s="64">
        <v>32.64</v>
      </c>
      <c r="J53" s="149">
        <v>10</v>
      </c>
      <c r="K53" s="150">
        <f t="shared" si="26"/>
        <v>0.0574712643678161</v>
      </c>
      <c r="L53" s="151">
        <v>199.05</v>
      </c>
      <c r="M53" s="152">
        <f t="shared" si="49"/>
        <v>1.07142857142857</v>
      </c>
      <c r="N53" s="150">
        <f t="shared" si="50"/>
        <v>1.06024096385542</v>
      </c>
      <c r="O53" s="150">
        <f t="shared" si="51"/>
        <v>0.704490672284227</v>
      </c>
      <c r="P53" s="153">
        <f t="shared" si="27"/>
        <v>1.01754385964912</v>
      </c>
      <c r="Q53" s="154">
        <f t="shared" si="28"/>
        <v>19.6839766081871</v>
      </c>
      <c r="R53" s="187">
        <f t="shared" si="29"/>
        <v>19.3445977011494</v>
      </c>
      <c r="S53" s="155">
        <f t="shared" si="52"/>
        <v>2.14285714285714</v>
      </c>
      <c r="T53" s="193">
        <f t="shared" si="31"/>
        <v>41</v>
      </c>
      <c r="U53" s="157">
        <f t="shared" si="32"/>
        <v>0.239766081871345</v>
      </c>
      <c r="V53" s="94">
        <f t="shared" si="33"/>
        <v>0.325444301777207</v>
      </c>
      <c r="W53" s="91">
        <v>101187</v>
      </c>
      <c r="X53" s="91">
        <v>1056</v>
      </c>
      <c r="Y53" s="91">
        <v>130</v>
      </c>
      <c r="Z53" s="91">
        <v>1084.81</v>
      </c>
      <c r="AA53" s="92">
        <v>2617.02</v>
      </c>
      <c r="AB53" s="64">
        <v>1.03</v>
      </c>
      <c r="AC53" s="71">
        <f t="shared" si="34"/>
        <v>0.414521096514356</v>
      </c>
      <c r="AD53" s="72">
        <f t="shared" si="35"/>
        <v>0.0104361232174094</v>
      </c>
      <c r="AE53" s="159">
        <f t="shared" si="36"/>
        <v>0.123106060606061</v>
      </c>
      <c r="AF53" s="154">
        <f t="shared" si="37"/>
        <v>8.34469230769231</v>
      </c>
      <c r="AG53" s="160">
        <v>46</v>
      </c>
      <c r="AH53" s="161">
        <v>101</v>
      </c>
      <c r="AI53" s="165">
        <v>4</v>
      </c>
      <c r="AJ53" s="166">
        <v>23</v>
      </c>
      <c r="AK53" s="163">
        <f>AG53*产品成本!$D$11+AH53*产品成本!$D$12+AI53*产品成本!$D$13+AJ53*产品成本!$D$14</f>
        <v>964.873802816901</v>
      </c>
      <c r="AL53" s="163">
        <f>AG53*产品成本!$E$11+AH53*产品成本!$E$12+AI53*产品成本!$E$13+AJ53*产品成本!$E$14</f>
        <v>66.6158873239437</v>
      </c>
      <c r="AM53" s="163">
        <f>AG53*产品成本!$F$11+AH53*产品成本!$F$12+AI53*产品成本!$F$13+AJ53*产品成本!$F$14</f>
        <v>59.16</v>
      </c>
      <c r="AN53" s="163">
        <f>AG53*产品成本!$G$11+AH53*产品成本!$G$12+AI53*产品成本!$G$13+AJ53*产品成本!$G$14</f>
        <v>678.6</v>
      </c>
      <c r="AO53" s="163">
        <f t="shared" si="38"/>
        <v>499.998</v>
      </c>
      <c r="AP53" s="164">
        <f t="shared" si="39"/>
        <v>2269.24769014085</v>
      </c>
      <c r="AQ53" s="165">
        <v>3</v>
      </c>
      <c r="AR53" s="165">
        <v>6</v>
      </c>
      <c r="AS53" s="165">
        <v>0</v>
      </c>
      <c r="AT53" s="166">
        <v>1</v>
      </c>
      <c r="AU53" s="167">
        <f t="shared" si="40"/>
        <v>242.743902439024</v>
      </c>
      <c r="AV53" s="163">
        <f>AQ53*产品成本!$D$11+AR53*产品成本!$D$12+AS53*产品成本!$D$13+AT53*产品成本!$D$14</f>
        <v>56.6169014084507</v>
      </c>
      <c r="AW53" s="163">
        <f>AQ53*产品成本!$E$11+AR53*产品成本!$E$12+AS53*产品成本!$E$13+AT53*产品成本!$E$14</f>
        <v>3.75797183098592</v>
      </c>
      <c r="AX53" s="163">
        <f>AQ53*产品成本!$F$11+AR53*产品成本!$F$12+AS53*产品成本!$F$13+AT53*产品成本!$F$14</f>
        <v>3.4</v>
      </c>
      <c r="AY53" s="163"/>
      <c r="AZ53" s="163">
        <f t="shared" si="41"/>
        <v>36.4115853658537</v>
      </c>
      <c r="BA53" s="163">
        <f t="shared" si="42"/>
        <v>-7.28231707317073</v>
      </c>
      <c r="BB53" s="164">
        <f t="shared" si="43"/>
        <v>92.9041415321195</v>
      </c>
      <c r="BC53" s="169">
        <f t="shared" si="44"/>
        <v>2176.34354860873</v>
      </c>
      <c r="BD53" s="169">
        <f t="shared" si="45"/>
        <v>3333.32</v>
      </c>
      <c r="BE53" s="169">
        <f t="shared" si="46"/>
        <v>3090.57609756098</v>
      </c>
      <c r="BF53" s="168">
        <f t="shared" si="47"/>
        <v>-170.57745104775</v>
      </c>
      <c r="BG53" s="170">
        <f t="shared" si="48"/>
        <v>-0.0551927684881686</v>
      </c>
      <c r="BI53" t="s">
        <v>197</v>
      </c>
    </row>
    <row r="54" ht="29.1" customHeight="1" spans="1:61">
      <c r="A54" s="61" t="s">
        <v>198</v>
      </c>
      <c r="B54" s="61" t="s">
        <v>199</v>
      </c>
      <c r="C54" s="90">
        <v>160</v>
      </c>
      <c r="D54" s="91">
        <v>158</v>
      </c>
      <c r="E54" s="64">
        <v>3549.51</v>
      </c>
      <c r="F54" s="148">
        <v>30</v>
      </c>
      <c r="G54" s="148">
        <v>29</v>
      </c>
      <c r="H54" s="64">
        <v>624.7</v>
      </c>
      <c r="I54" s="64">
        <v>65.18</v>
      </c>
      <c r="J54" s="149">
        <v>8</v>
      </c>
      <c r="K54" s="150">
        <f t="shared" si="26"/>
        <v>0.05</v>
      </c>
      <c r="L54" s="151">
        <v>141.58</v>
      </c>
      <c r="M54" s="152">
        <f t="shared" si="49"/>
        <v>0.428571428571429</v>
      </c>
      <c r="N54" s="150">
        <f t="shared" si="50"/>
        <v>0.423423423423423</v>
      </c>
      <c r="O54" s="150">
        <f t="shared" si="51"/>
        <v>0.376958557524081</v>
      </c>
      <c r="P54" s="153">
        <f t="shared" si="27"/>
        <v>1.0126582278481</v>
      </c>
      <c r="Q54" s="154">
        <f t="shared" si="28"/>
        <v>22.465253164557</v>
      </c>
      <c r="R54" s="187">
        <f t="shared" si="29"/>
        <v>22.1844375</v>
      </c>
      <c r="S54" s="155">
        <f t="shared" si="52"/>
        <v>4.14285714285714</v>
      </c>
      <c r="T54" s="193">
        <f t="shared" si="31"/>
        <v>29</v>
      </c>
      <c r="U54" s="157">
        <f t="shared" si="32"/>
        <v>0.183544303797468</v>
      </c>
      <c r="V54" s="94">
        <f t="shared" si="33"/>
        <v>0.328200830575749</v>
      </c>
      <c r="W54" s="91">
        <v>122283</v>
      </c>
      <c r="X54" s="91">
        <v>1093</v>
      </c>
      <c r="Y54" s="91">
        <v>129</v>
      </c>
      <c r="Z54" s="91">
        <v>1143.56</v>
      </c>
      <c r="AA54" s="92">
        <v>2874.28</v>
      </c>
      <c r="AB54" s="64">
        <v>1.05</v>
      </c>
      <c r="AC54" s="71">
        <f t="shared" si="34"/>
        <v>0.397859637891924</v>
      </c>
      <c r="AD54" s="72">
        <f t="shared" si="35"/>
        <v>0.00893828250860708</v>
      </c>
      <c r="AE54" s="159">
        <f t="shared" si="36"/>
        <v>0.118023787740165</v>
      </c>
      <c r="AF54" s="154">
        <f t="shared" si="37"/>
        <v>8.86480620155039</v>
      </c>
      <c r="AG54" s="160">
        <v>39</v>
      </c>
      <c r="AH54" s="161">
        <v>90</v>
      </c>
      <c r="AI54" s="165">
        <v>18</v>
      </c>
      <c r="AJ54" s="166">
        <v>13</v>
      </c>
      <c r="AK54" s="163">
        <f>AG54*产品成本!$D$11+AH54*产品成本!$D$12+AI54*产品成本!$D$13+AJ54*产品成本!$D$14</f>
        <v>863.665915492958</v>
      </c>
      <c r="AL54" s="163">
        <f>AG54*产品成本!$E$11+AH54*产品成本!$E$12+AI54*产品成本!$E$13+AJ54*产品成本!$E$14</f>
        <v>60.6548732394367</v>
      </c>
      <c r="AM54" s="163">
        <f>AG54*产品成本!$F$11+AH54*产品成本!$F$12+AI54*产品成本!$F$13+AJ54*产品成本!$F$14</f>
        <v>54.4</v>
      </c>
      <c r="AN54" s="163">
        <f>AG54*产品成本!$G$11+AH54*产品成本!$G$12+AI54*产品成本!$G$13+AJ54*产品成本!$G$14</f>
        <v>624</v>
      </c>
      <c r="AO54" s="163">
        <f t="shared" si="38"/>
        <v>522.6495</v>
      </c>
      <c r="AP54" s="164">
        <f t="shared" si="39"/>
        <v>2125.37028873239</v>
      </c>
      <c r="AQ54" s="165">
        <v>2</v>
      </c>
      <c r="AR54" s="165">
        <v>6</v>
      </c>
      <c r="AS54" s="165">
        <v>0</v>
      </c>
      <c r="AT54" s="166">
        <v>0</v>
      </c>
      <c r="AU54" s="167">
        <f t="shared" si="40"/>
        <v>172.658536585366</v>
      </c>
      <c r="AV54" s="163">
        <f>AQ54*产品成本!$D$11+AR54*产品成本!$D$12+AS54*产品成本!$D$13+AT54*产品成本!$D$14</f>
        <v>47.6056338028169</v>
      </c>
      <c r="AW54" s="163">
        <f>AQ54*产品成本!$E$11+AR54*产品成本!$E$12+AS54*产品成本!$E$13+AT54*产品成本!$E$14</f>
        <v>2.86467605633803</v>
      </c>
      <c r="AX54" s="163">
        <f>AQ54*产品成本!$F$11+AR54*产品成本!$F$12+AS54*产品成本!$F$13+AT54*产品成本!$F$14</f>
        <v>2.72</v>
      </c>
      <c r="AY54" s="163"/>
      <c r="AZ54" s="163">
        <f t="shared" si="41"/>
        <v>25.8987804878049</v>
      </c>
      <c r="BA54" s="163">
        <f t="shared" si="42"/>
        <v>-5.17975609756098</v>
      </c>
      <c r="BB54" s="164">
        <f t="shared" si="43"/>
        <v>73.9093342493988</v>
      </c>
      <c r="BC54" s="169">
        <f t="shared" si="44"/>
        <v>2051.460954483</v>
      </c>
      <c r="BD54" s="169">
        <f t="shared" si="45"/>
        <v>3484.33</v>
      </c>
      <c r="BE54" s="169">
        <f t="shared" si="46"/>
        <v>3311.67146341463</v>
      </c>
      <c r="BF54" s="168">
        <f t="shared" si="47"/>
        <v>116.650508931639</v>
      </c>
      <c r="BG54" s="170">
        <f t="shared" si="48"/>
        <v>0.0352240583706217</v>
      </c>
    </row>
    <row r="55" ht="29.1" customHeight="1" spans="1:61">
      <c r="A55" s="61" t="s">
        <v>200</v>
      </c>
      <c r="B55" s="61" t="s">
        <v>201</v>
      </c>
      <c r="C55" s="90">
        <v>140</v>
      </c>
      <c r="D55" s="91">
        <v>140</v>
      </c>
      <c r="E55" s="64">
        <v>3093.93</v>
      </c>
      <c r="F55" s="148">
        <v>14</v>
      </c>
      <c r="G55" s="148">
        <v>14</v>
      </c>
      <c r="H55" s="64">
        <v>274.46</v>
      </c>
      <c r="I55" s="64">
        <v>28.65</v>
      </c>
      <c r="J55" s="149">
        <v>9</v>
      </c>
      <c r="K55" s="150">
        <f t="shared" si="26"/>
        <v>0.0642857142857143</v>
      </c>
      <c r="L55" s="151">
        <v>169.54</v>
      </c>
      <c r="M55" s="152">
        <f t="shared" si="49"/>
        <v>-0.195402298850575</v>
      </c>
      <c r="N55" s="150">
        <f t="shared" si="50"/>
        <v>-0.181286549707602</v>
      </c>
      <c r="O55" s="150">
        <f t="shared" si="51"/>
        <v>-0.0808179538675445</v>
      </c>
      <c r="P55" s="153">
        <f t="shared" si="27"/>
        <v>1</v>
      </c>
      <c r="Q55" s="154">
        <f t="shared" si="28"/>
        <v>22.0995</v>
      </c>
      <c r="R55" s="187">
        <f t="shared" si="29"/>
        <v>22.0995</v>
      </c>
      <c r="S55" s="155">
        <f t="shared" si="52"/>
        <v>2</v>
      </c>
      <c r="T55" s="193">
        <f t="shared" si="31"/>
        <v>34</v>
      </c>
      <c r="U55" s="157">
        <f t="shared" si="32"/>
        <v>0.242857142857143</v>
      </c>
      <c r="V55" s="94">
        <f t="shared" si="33"/>
        <v>0.355239978077044</v>
      </c>
      <c r="W55" s="91">
        <v>122246</v>
      </c>
      <c r="X55" s="91">
        <v>1047</v>
      </c>
      <c r="Y55" s="91">
        <v>106</v>
      </c>
      <c r="Z55" s="91">
        <v>1088.91</v>
      </c>
      <c r="AA55" s="92">
        <v>2380.33</v>
      </c>
      <c r="AB55" s="64">
        <v>1.04</v>
      </c>
      <c r="AC55" s="71">
        <f t="shared" si="34"/>
        <v>0.457461780509425</v>
      </c>
      <c r="AD55" s="72">
        <f t="shared" si="35"/>
        <v>0.0085646974134123</v>
      </c>
      <c r="AE55" s="159">
        <f t="shared" si="36"/>
        <v>0.101241642788921</v>
      </c>
      <c r="AF55" s="154">
        <f t="shared" si="37"/>
        <v>10.2727358490566</v>
      </c>
      <c r="AG55" s="160">
        <v>43</v>
      </c>
      <c r="AH55" s="161">
        <v>79</v>
      </c>
      <c r="AI55" s="165">
        <v>3</v>
      </c>
      <c r="AJ55" s="166">
        <v>15</v>
      </c>
      <c r="AK55" s="163">
        <f>AG55*产品成本!$D$11+AH55*产品成本!$D$12+AI55*产品成本!$D$13+AJ55*产品成本!$D$14</f>
        <v>779.541971830986</v>
      </c>
      <c r="AL55" s="163">
        <f>AG55*产品成本!$E$11+AH55*产品成本!$E$12+AI55*产品成本!$E$13+AJ55*产品成本!$E$14</f>
        <v>52.9651830985916</v>
      </c>
      <c r="AM55" s="163">
        <f>AG55*产品成本!$F$11+AH55*产品成本!$F$12+AI55*产品成本!$F$13+AJ55*产品成本!$F$14</f>
        <v>47.6</v>
      </c>
      <c r="AN55" s="163">
        <f>AG55*产品成本!$G$11+AH55*产品成本!$G$12+AI55*产品成本!$G$13+AJ55*产品成本!$G$14</f>
        <v>546</v>
      </c>
      <c r="AO55" s="163">
        <f t="shared" si="38"/>
        <v>459.792</v>
      </c>
      <c r="AP55" s="164">
        <f t="shared" si="39"/>
        <v>1885.89915492958</v>
      </c>
      <c r="AQ55" s="165">
        <v>0</v>
      </c>
      <c r="AR55" s="165">
        <v>8</v>
      </c>
      <c r="AS55" s="165">
        <v>0</v>
      </c>
      <c r="AT55" s="166">
        <v>1</v>
      </c>
      <c r="AU55" s="167">
        <f t="shared" si="40"/>
        <v>206.756097560976</v>
      </c>
      <c r="AV55" s="163">
        <f>AQ55*产品成本!$D$11+AR55*产品成本!$D$12+AS55*产品成本!$D$13+AT55*产品成本!$D$14</f>
        <v>53.3774647887324</v>
      </c>
      <c r="AW55" s="163">
        <f>AQ55*产品成本!$E$11+AR55*产品成本!$E$12+AS55*产品成本!$E$13+AT55*产品成本!$E$14</f>
        <v>3.39988732394367</v>
      </c>
      <c r="AX55" s="163">
        <f>AQ55*产品成本!$F$11+AR55*产品成本!$F$12+AS55*产品成本!$F$13+AT55*产品成本!$F$14</f>
        <v>3.06</v>
      </c>
      <c r="AY55" s="163"/>
      <c r="AZ55" s="163">
        <f t="shared" si="41"/>
        <v>31.0134146341463</v>
      </c>
      <c r="BA55" s="163">
        <f t="shared" si="42"/>
        <v>-6.20268292682927</v>
      </c>
      <c r="BB55" s="164">
        <f t="shared" si="43"/>
        <v>84.6480838199931</v>
      </c>
      <c r="BC55" s="169">
        <f t="shared" si="44"/>
        <v>1801.25107110958</v>
      </c>
      <c r="BD55" s="169">
        <f t="shared" si="45"/>
        <v>3065.28</v>
      </c>
      <c r="BE55" s="169">
        <f t="shared" si="46"/>
        <v>2858.52390243902</v>
      </c>
      <c r="BF55" s="168">
        <f t="shared" si="47"/>
        <v>-31.63716867056</v>
      </c>
      <c r="BG55" s="170">
        <f t="shared" si="48"/>
        <v>-0.0110676593061075</v>
      </c>
    </row>
    <row r="56" ht="29.1" customHeight="1" spans="1:61">
      <c r="A56" s="61" t="s">
        <v>202</v>
      </c>
      <c r="B56" s="61" t="s">
        <v>203</v>
      </c>
      <c r="C56" s="90">
        <v>144</v>
      </c>
      <c r="D56" s="91">
        <v>144</v>
      </c>
      <c r="E56" s="64">
        <v>3285.27</v>
      </c>
      <c r="F56" s="148">
        <v>44</v>
      </c>
      <c r="G56" s="148">
        <v>44</v>
      </c>
      <c r="H56" s="64">
        <v>1039.16</v>
      </c>
      <c r="I56" s="64">
        <v>108.81</v>
      </c>
      <c r="J56" s="149">
        <v>9</v>
      </c>
      <c r="K56" s="150">
        <f t="shared" si="26"/>
        <v>0.0625</v>
      </c>
      <c r="L56" s="151">
        <v>169.35</v>
      </c>
      <c r="M56" s="152">
        <f t="shared" si="49"/>
        <v>-0.1</v>
      </c>
      <c r="N56" s="150">
        <f t="shared" si="50"/>
        <v>-0.0886075949367089</v>
      </c>
      <c r="O56" s="150">
        <f t="shared" si="51"/>
        <v>-0.0744440781967089</v>
      </c>
      <c r="P56" s="153">
        <f t="shared" si="27"/>
        <v>1</v>
      </c>
      <c r="Q56" s="154">
        <f t="shared" si="28"/>
        <v>22.814375</v>
      </c>
      <c r="R56" s="187">
        <f t="shared" si="29"/>
        <v>22.814375</v>
      </c>
      <c r="S56" s="155">
        <f t="shared" si="52"/>
        <v>6.28571428571429</v>
      </c>
      <c r="T56" s="193">
        <f t="shared" si="31"/>
        <v>26</v>
      </c>
      <c r="U56" s="157">
        <f t="shared" si="32"/>
        <v>0.180555555555556</v>
      </c>
      <c r="V56" s="94">
        <f t="shared" si="33"/>
        <v>0.3330311101037</v>
      </c>
      <c r="W56" s="91">
        <v>115096</v>
      </c>
      <c r="X56" s="91">
        <v>987</v>
      </c>
      <c r="Y56" s="91">
        <v>118</v>
      </c>
      <c r="Z56" s="91">
        <v>1057.86</v>
      </c>
      <c r="AA56" s="92">
        <v>2626.68</v>
      </c>
      <c r="AB56" s="64">
        <v>1.07</v>
      </c>
      <c r="AC56" s="71">
        <f t="shared" si="34"/>
        <v>0.402736534332313</v>
      </c>
      <c r="AD56" s="72">
        <f t="shared" si="35"/>
        <v>0.00857545005908112</v>
      </c>
      <c r="AE56" s="159">
        <f t="shared" si="36"/>
        <v>0.119554204660588</v>
      </c>
      <c r="AF56" s="154">
        <f t="shared" si="37"/>
        <v>8.96491525423729</v>
      </c>
      <c r="AG56" s="160">
        <v>34</v>
      </c>
      <c r="AH56" s="161">
        <v>98</v>
      </c>
      <c r="AI56" s="165">
        <v>5</v>
      </c>
      <c r="AJ56" s="166">
        <v>7</v>
      </c>
      <c r="AK56" s="163">
        <f>AG56*产品成本!$D$11+AH56*产品成本!$D$12+AI56*产品成本!$D$13+AJ56*产品成本!$D$14</f>
        <v>825.907042253521</v>
      </c>
      <c r="AL56" s="163">
        <f>AG56*产品成本!$E$11+AH56*产品成本!$E$12+AI56*产品成本!$E$13+AJ56*产品成本!$E$14</f>
        <v>53.0981408450705</v>
      </c>
      <c r="AM56" s="163">
        <f>AG56*产品成本!$F$11+AH56*产品成本!$F$12+AI56*产品成本!$F$13+AJ56*产品成本!$F$14</f>
        <v>48.96</v>
      </c>
      <c r="AN56" s="163">
        <f>AG56*产品成本!$G$11+AH56*产品成本!$G$12+AI56*产品成本!$G$13+AJ56*产品成本!$G$14</f>
        <v>561.6</v>
      </c>
      <c r="AO56" s="163">
        <f t="shared" si="38"/>
        <v>476.469</v>
      </c>
      <c r="AP56" s="164">
        <f t="shared" si="39"/>
        <v>1966.03418309859</v>
      </c>
      <c r="AQ56" s="165">
        <v>1</v>
      </c>
      <c r="AR56" s="165">
        <v>6</v>
      </c>
      <c r="AS56" s="165">
        <v>1</v>
      </c>
      <c r="AT56" s="166">
        <v>1</v>
      </c>
      <c r="AU56" s="167">
        <f t="shared" si="40"/>
        <v>206.524390243902</v>
      </c>
      <c r="AV56" s="163">
        <f>AQ56*产品成本!$D$11+AR56*产品成本!$D$12+AS56*产品成本!$D$13+AT56*产品成本!$D$14</f>
        <v>49.1543661971831</v>
      </c>
      <c r="AW56" s="163">
        <f>AQ56*产品成本!$E$11+AR56*产品成本!$E$12+AS56*产品成本!$E$13+AT56*产品成本!$E$14</f>
        <v>3.45870422535212</v>
      </c>
      <c r="AX56" s="163">
        <f>AQ56*产品成本!$F$11+AR56*产品成本!$F$12+AS56*产品成本!$F$13+AT56*产品成本!$F$14</f>
        <v>3.06</v>
      </c>
      <c r="AY56" s="163"/>
      <c r="AZ56" s="163">
        <f t="shared" si="41"/>
        <v>30.9786585365854</v>
      </c>
      <c r="BA56" s="163">
        <f t="shared" si="42"/>
        <v>-6.19573170731707</v>
      </c>
      <c r="BB56" s="164">
        <f t="shared" si="43"/>
        <v>80.4559972518035</v>
      </c>
      <c r="BC56" s="169">
        <f t="shared" si="44"/>
        <v>1885.57818584679</v>
      </c>
      <c r="BD56" s="169">
        <f t="shared" si="45"/>
        <v>3176.46</v>
      </c>
      <c r="BE56" s="169">
        <f t="shared" si="46"/>
        <v>2969.9356097561</v>
      </c>
      <c r="BF56" s="168">
        <f t="shared" si="47"/>
        <v>26.4974239093096</v>
      </c>
      <c r="BG56" s="170">
        <f t="shared" si="48"/>
        <v>0.00892188498035677</v>
      </c>
    </row>
    <row r="57" ht="29.1" customHeight="1" spans="1:61">
      <c r="A57" s="61" t="s">
        <v>205</v>
      </c>
      <c r="B57" s="61" t="s">
        <v>206</v>
      </c>
      <c r="C57" s="90">
        <v>153</v>
      </c>
      <c r="D57" s="91">
        <v>153</v>
      </c>
      <c r="E57" s="64">
        <v>3457.39</v>
      </c>
      <c r="F57" s="148">
        <v>16</v>
      </c>
      <c r="G57" s="148">
        <v>16</v>
      </c>
      <c r="H57" s="64">
        <v>326.24</v>
      </c>
      <c r="I57" s="64">
        <v>36.44</v>
      </c>
      <c r="J57" s="149">
        <v>12</v>
      </c>
      <c r="K57" s="150">
        <f t="shared" si="26"/>
        <v>0.0784313725490196</v>
      </c>
      <c r="L57" s="151">
        <v>243.53</v>
      </c>
      <c r="M57" s="152">
        <f t="shared" si="49"/>
        <v>0.0928571428571429</v>
      </c>
      <c r="N57" s="150">
        <f t="shared" si="50"/>
        <v>0.0928571428571429</v>
      </c>
      <c r="O57" s="150">
        <f t="shared" si="51"/>
        <v>0.117475185282149</v>
      </c>
      <c r="P57" s="153">
        <f t="shared" si="27"/>
        <v>1</v>
      </c>
      <c r="Q57" s="154">
        <f t="shared" si="28"/>
        <v>22.5973202614379</v>
      </c>
      <c r="R57" s="187">
        <f t="shared" si="29"/>
        <v>22.5973202614379</v>
      </c>
      <c r="S57" s="155">
        <f t="shared" si="52"/>
        <v>2.28571428571429</v>
      </c>
      <c r="T57" s="193">
        <f t="shared" si="31"/>
        <v>12</v>
      </c>
      <c r="U57" s="157">
        <f t="shared" si="32"/>
        <v>0.0784313725490196</v>
      </c>
      <c r="V57" s="94">
        <f t="shared" si="33"/>
        <v>0.362150864525936</v>
      </c>
      <c r="W57" s="91">
        <v>126104</v>
      </c>
      <c r="X57" s="91">
        <v>1176</v>
      </c>
      <c r="Y57" s="91">
        <v>141</v>
      </c>
      <c r="Z57" s="91">
        <v>1238.9</v>
      </c>
      <c r="AA57" s="92">
        <v>3166.47</v>
      </c>
      <c r="AB57" s="64">
        <v>1.05</v>
      </c>
      <c r="AC57" s="71">
        <f t="shared" si="34"/>
        <v>0.391255877996634</v>
      </c>
      <c r="AD57" s="72">
        <f t="shared" si="35"/>
        <v>0.00932563598299816</v>
      </c>
      <c r="AE57" s="159">
        <f t="shared" si="36"/>
        <v>0.119897959183673</v>
      </c>
      <c r="AF57" s="154">
        <f t="shared" si="37"/>
        <v>8.78652482269504</v>
      </c>
      <c r="AG57" s="160">
        <v>31</v>
      </c>
      <c r="AH57" s="161">
        <v>105</v>
      </c>
      <c r="AI57" s="165">
        <v>5</v>
      </c>
      <c r="AJ57" s="166">
        <v>12</v>
      </c>
      <c r="AK57" s="163">
        <f>AG57*产品成本!$D$11+AH57*产品成本!$D$12+AI57*产品成本!$D$13+AJ57*产品成本!$D$14</f>
        <v>872.653521126761</v>
      </c>
      <c r="AL57" s="163">
        <f>AG57*产品成本!$E$11+AH57*产品成本!$E$12+AI57*产品成本!$E$13+AJ57*产品成本!$E$14</f>
        <v>57.2065352112677</v>
      </c>
      <c r="AM57" s="163">
        <f>AG57*产品成本!$F$11+AH57*产品成本!$F$12+AI57*产品成本!$F$13+AJ57*产品成本!$F$14</f>
        <v>52.02</v>
      </c>
      <c r="AN57" s="163">
        <f>AG57*产品成本!$G$11+AH57*产品成本!$G$12+AI57*产品成本!$G$13+AJ57*产品成本!$G$14</f>
        <v>596.7</v>
      </c>
      <c r="AO57" s="163">
        <f t="shared" si="38"/>
        <v>513.1425</v>
      </c>
      <c r="AP57" s="164">
        <f t="shared" si="39"/>
        <v>2091.72255633803</v>
      </c>
      <c r="AQ57" s="165">
        <v>5</v>
      </c>
      <c r="AR57" s="165">
        <v>7</v>
      </c>
      <c r="AS57" s="165">
        <v>0</v>
      </c>
      <c r="AT57" s="166">
        <v>0</v>
      </c>
      <c r="AU57" s="167">
        <f t="shared" si="40"/>
        <v>296.987804878049</v>
      </c>
      <c r="AV57" s="163">
        <f>AQ57*产品成本!$D$11+AR57*产品成本!$D$12+AS57*产品成本!$D$13+AT57*产品成本!$D$14</f>
        <v>69.4366197183099</v>
      </c>
      <c r="AW57" s="163">
        <f>AQ57*产品成本!$E$11+AR57*产品成本!$E$12+AS57*产品成本!$E$13+AT57*产品成本!$E$14</f>
        <v>4.29701408450705</v>
      </c>
      <c r="AX57" s="163">
        <f>AQ57*产品成本!$F$11+AR57*产品成本!$F$12+AS57*产品成本!$F$13+AT57*产品成本!$F$14</f>
        <v>4.08</v>
      </c>
      <c r="AY57" s="163"/>
      <c r="AZ57" s="163">
        <f t="shared" si="41"/>
        <v>44.5481707317073</v>
      </c>
      <c r="BA57" s="163">
        <f t="shared" si="42"/>
        <v>-8.90963414634146</v>
      </c>
      <c r="BB57" s="164">
        <f t="shared" si="43"/>
        <v>113.452170388183</v>
      </c>
      <c r="BC57" s="169">
        <f t="shared" si="44"/>
        <v>1978.27038594985</v>
      </c>
      <c r="BD57" s="169">
        <f t="shared" si="45"/>
        <v>3420.95</v>
      </c>
      <c r="BE57" s="169">
        <f t="shared" si="46"/>
        <v>3123.96219512195</v>
      </c>
      <c r="BF57" s="168">
        <f t="shared" si="47"/>
        <v>-93.2081908278942</v>
      </c>
      <c r="BG57" s="170">
        <f t="shared" si="48"/>
        <v>-0.0298365297036687</v>
      </c>
    </row>
    <row r="58" ht="29.1" customHeight="1" spans="1:61">
      <c r="A58" s="61" t="s">
        <v>208</v>
      </c>
      <c r="B58" s="61" t="s">
        <v>209</v>
      </c>
      <c r="C58" s="90">
        <v>126</v>
      </c>
      <c r="D58" s="91">
        <v>123</v>
      </c>
      <c r="E58" s="64">
        <v>2825.25</v>
      </c>
      <c r="F58" s="148">
        <v>18</v>
      </c>
      <c r="G58" s="148">
        <v>18</v>
      </c>
      <c r="H58" s="64">
        <v>353.02</v>
      </c>
      <c r="I58" s="64">
        <v>41.2</v>
      </c>
      <c r="J58" s="149">
        <v>7</v>
      </c>
      <c r="K58" s="150">
        <f t="shared" si="26"/>
        <v>0.0555555555555556</v>
      </c>
      <c r="L58" s="151">
        <v>139.47</v>
      </c>
      <c r="M58" s="152">
        <f t="shared" si="49"/>
        <v>-0.125</v>
      </c>
      <c r="N58" s="150">
        <f t="shared" si="50"/>
        <v>-0.145833333333333</v>
      </c>
      <c r="O58" s="150">
        <f t="shared" si="51"/>
        <v>-0.140025020774548</v>
      </c>
      <c r="P58" s="153">
        <f t="shared" si="27"/>
        <v>1.02439024390244</v>
      </c>
      <c r="Q58" s="154">
        <f t="shared" si="28"/>
        <v>22.969512195122</v>
      </c>
      <c r="R58" s="187">
        <f t="shared" si="29"/>
        <v>22.422619047619</v>
      </c>
      <c r="S58" s="155">
        <f t="shared" si="52"/>
        <v>2.57142857142857</v>
      </c>
      <c r="T58" s="193">
        <f t="shared" si="31"/>
        <v>23</v>
      </c>
      <c r="U58" s="157">
        <f t="shared" si="32"/>
        <v>0.186991869918699</v>
      </c>
      <c r="V58" s="94">
        <f t="shared" si="33"/>
        <v>0.368592518094143</v>
      </c>
      <c r="W58" s="91">
        <v>103058</v>
      </c>
      <c r="X58" s="91">
        <v>963</v>
      </c>
      <c r="Y58" s="91">
        <v>100</v>
      </c>
      <c r="Z58" s="91">
        <v>1026.18</v>
      </c>
      <c r="AA58" s="92">
        <v>2241.92</v>
      </c>
      <c r="AB58" s="64">
        <v>1.07</v>
      </c>
      <c r="AC58" s="71">
        <f t="shared" si="34"/>
        <v>0.457723736797031</v>
      </c>
      <c r="AD58" s="72">
        <f t="shared" si="35"/>
        <v>0.00934425275087815</v>
      </c>
      <c r="AE58" s="159">
        <f t="shared" si="36"/>
        <v>0.103842159916926</v>
      </c>
      <c r="AF58" s="154">
        <f t="shared" si="37"/>
        <v>10.2618</v>
      </c>
      <c r="AG58" s="160">
        <v>34</v>
      </c>
      <c r="AH58" s="161">
        <v>75</v>
      </c>
      <c r="AI58" s="165">
        <v>8</v>
      </c>
      <c r="AJ58" s="166">
        <v>9</v>
      </c>
      <c r="AK58" s="163">
        <f>AG58*产品成本!$D$11+AH58*产品成本!$D$12+AI58*产品成本!$D$13+AJ58*产品成本!$D$14</f>
        <v>699.851830985915</v>
      </c>
      <c r="AL58" s="163">
        <f>AG58*产品成本!$E$11+AH58*产品成本!$E$12+AI58*产品成本!$E$13+AJ58*产品成本!$E$14</f>
        <v>47.183323943662</v>
      </c>
      <c r="AM58" s="163">
        <f>AG58*产品成本!$F$11+AH58*产品成本!$F$12+AI58*产品成本!$F$13+AJ58*产品成本!$F$14</f>
        <v>42.84</v>
      </c>
      <c r="AN58" s="163">
        <f>AG58*产品成本!$G$11+AH58*产品成本!$G$12+AI58*产品成本!$G$13+AJ58*产品成本!$G$14</f>
        <v>491.4</v>
      </c>
      <c r="AO58" s="163">
        <f t="shared" si="38"/>
        <v>417.6075</v>
      </c>
      <c r="AP58" s="164">
        <f t="shared" si="39"/>
        <v>1698.88265492958</v>
      </c>
      <c r="AQ58" s="165">
        <v>2</v>
      </c>
      <c r="AR58" s="165">
        <v>5</v>
      </c>
      <c r="AS58" s="165">
        <v>0</v>
      </c>
      <c r="AT58" s="166">
        <v>0</v>
      </c>
      <c r="AU58" s="167">
        <f t="shared" si="40"/>
        <v>170.085365853659</v>
      </c>
      <c r="AV58" s="163">
        <f>AQ58*产品成本!$D$11+AR58*产品成本!$D$12+AS58*产品成本!$D$13+AT58*产品成本!$D$14</f>
        <v>41.4084507042254</v>
      </c>
      <c r="AW58" s="163">
        <f>AQ58*产品成本!$E$11+AR58*产品成本!$E$12+AS58*产品成本!$E$13+AT58*产品成本!$E$14</f>
        <v>2.50659154929578</v>
      </c>
      <c r="AX58" s="163">
        <f>AQ58*产品成本!$F$11+AR58*产品成本!$F$12+AS58*产品成本!$F$13+AT58*产品成本!$F$14</f>
        <v>2.38</v>
      </c>
      <c r="AY58" s="163"/>
      <c r="AZ58" s="163">
        <f t="shared" si="41"/>
        <v>25.5128048780488</v>
      </c>
      <c r="BA58" s="163">
        <f t="shared" si="42"/>
        <v>-5.10256097560976</v>
      </c>
      <c r="BB58" s="164">
        <f t="shared" si="43"/>
        <v>66.7052861559602</v>
      </c>
      <c r="BC58" s="169">
        <f t="shared" si="44"/>
        <v>1632.17736877362</v>
      </c>
      <c r="BD58" s="169">
        <f t="shared" si="45"/>
        <v>2784.05</v>
      </c>
      <c r="BE58" s="169">
        <f t="shared" si="46"/>
        <v>2613.96463414634</v>
      </c>
      <c r="BF58" s="168">
        <f t="shared" si="47"/>
        <v>-44.3927346272756</v>
      </c>
      <c r="BG58" s="170">
        <f t="shared" si="48"/>
        <v>-0.016982913252678</v>
      </c>
    </row>
    <row r="59" ht="29.1" customHeight="1" spans="1:61">
      <c r="A59" s="61" t="s">
        <v>210</v>
      </c>
      <c r="B59" s="61" t="s">
        <v>211</v>
      </c>
      <c r="C59" s="90">
        <v>134</v>
      </c>
      <c r="D59" s="91">
        <v>129</v>
      </c>
      <c r="E59" s="64">
        <v>2380.61</v>
      </c>
      <c r="F59" s="148">
        <v>17</v>
      </c>
      <c r="G59" s="148">
        <v>16</v>
      </c>
      <c r="H59" s="64">
        <v>279.95</v>
      </c>
      <c r="I59" s="64">
        <v>29.45</v>
      </c>
      <c r="J59" s="149">
        <v>12</v>
      </c>
      <c r="K59" s="150">
        <f t="shared" si="26"/>
        <v>0.0895522388059701</v>
      </c>
      <c r="L59" s="151">
        <v>222.3</v>
      </c>
      <c r="M59" s="152">
        <f t="shared" si="49"/>
        <v>-0.124183006535948</v>
      </c>
      <c r="N59" s="150">
        <f t="shared" si="50"/>
        <v>-0.156862745098039</v>
      </c>
      <c r="O59" s="150">
        <f t="shared" si="51"/>
        <v>-0.311443024940779</v>
      </c>
      <c r="P59" s="153">
        <f t="shared" si="27"/>
        <v>1.03875968992248</v>
      </c>
      <c r="Q59" s="154">
        <f t="shared" si="28"/>
        <v>18.4543410852713</v>
      </c>
      <c r="R59" s="187">
        <f t="shared" si="29"/>
        <v>17.7657462686567</v>
      </c>
      <c r="S59" s="155">
        <f t="shared" si="52"/>
        <v>2.28571428571429</v>
      </c>
      <c r="T59" s="193">
        <f t="shared" si="31"/>
        <v>40</v>
      </c>
      <c r="U59" s="157">
        <f t="shared" si="32"/>
        <v>0.310077519379845</v>
      </c>
      <c r="V59" s="94">
        <f t="shared" si="33"/>
        <v>0.418606134844077</v>
      </c>
      <c r="W59" s="91">
        <v>91054</v>
      </c>
      <c r="X59" s="91">
        <v>940</v>
      </c>
      <c r="Y59" s="91">
        <v>89</v>
      </c>
      <c r="Z59" s="91">
        <v>984.21</v>
      </c>
      <c r="AA59" s="92">
        <v>1678.37</v>
      </c>
      <c r="AB59" s="64">
        <v>1.05</v>
      </c>
      <c r="AC59" s="71">
        <f t="shared" si="34"/>
        <v>0.586408241329385</v>
      </c>
      <c r="AD59" s="72">
        <f t="shared" si="35"/>
        <v>0.0103235442704329</v>
      </c>
      <c r="AE59" s="159">
        <f t="shared" si="36"/>
        <v>0.0946808510638298</v>
      </c>
      <c r="AF59" s="154">
        <f t="shared" si="37"/>
        <v>11.0585393258427</v>
      </c>
      <c r="AG59" s="160">
        <v>39</v>
      </c>
      <c r="AH59" s="161">
        <v>69</v>
      </c>
      <c r="AI59" s="165">
        <v>11</v>
      </c>
      <c r="AJ59" s="166">
        <v>14</v>
      </c>
      <c r="AK59" s="163">
        <f>AG59*产品成本!$D$11+AH59*产品成本!$D$12+AI59*产品成本!$D$13+AJ59*产品成本!$D$14</f>
        <v>716.605070422535</v>
      </c>
      <c r="AL59" s="163">
        <f>AG59*产品成本!$E$11+AH59*产品成本!$E$12+AI59*产品成本!$E$13+AJ59*产品成本!$E$14</f>
        <v>50.7520000000001</v>
      </c>
      <c r="AM59" s="163">
        <f>AG59*产品成本!$F$11+AH59*产品成本!$F$12+AI59*产品成本!$F$13+AJ59*产品成本!$F$14</f>
        <v>45.22</v>
      </c>
      <c r="AN59" s="163">
        <f>AG59*产品成本!$G$11+AH59*产品成本!$G$12+AI59*产品成本!$G$13+AJ59*产品成本!$G$14</f>
        <v>518.7</v>
      </c>
      <c r="AO59" s="163">
        <f t="shared" si="38"/>
        <v>352.674</v>
      </c>
      <c r="AP59" s="164">
        <f t="shared" si="39"/>
        <v>1683.95107042254</v>
      </c>
      <c r="AQ59" s="165">
        <v>3</v>
      </c>
      <c r="AR59" s="165">
        <v>8</v>
      </c>
      <c r="AS59" s="165">
        <v>0</v>
      </c>
      <c r="AT59" s="166">
        <v>1</v>
      </c>
      <c r="AU59" s="167">
        <f t="shared" si="40"/>
        <v>271.09756097561</v>
      </c>
      <c r="AV59" s="163">
        <f>AQ59*产品成本!$D$11+AR59*产品成本!$D$12+AS59*产品成本!$D$13+AT59*产品成本!$D$14</f>
        <v>69.0112676056338</v>
      </c>
      <c r="AW59" s="163">
        <f>AQ59*产品成本!$E$11+AR59*产品成本!$E$12+AS59*产品成本!$E$13+AT59*产品成本!$E$14</f>
        <v>4.47414084507043</v>
      </c>
      <c r="AX59" s="163">
        <f>AQ59*产品成本!$F$11+AR59*产品成本!$F$12+AS59*产品成本!$F$13+AT59*产品成本!$F$14</f>
        <v>4.08</v>
      </c>
      <c r="AY59" s="163"/>
      <c r="AZ59" s="163">
        <f t="shared" si="41"/>
        <v>40.6646341463415</v>
      </c>
      <c r="BA59" s="163">
        <f t="shared" si="42"/>
        <v>-8.13292682926829</v>
      </c>
      <c r="BB59" s="164">
        <f t="shared" si="43"/>
        <v>110.097115767777</v>
      </c>
      <c r="BC59" s="169">
        <f t="shared" si="44"/>
        <v>1573.85395465476</v>
      </c>
      <c r="BD59" s="169">
        <f t="shared" si="45"/>
        <v>2351.16</v>
      </c>
      <c r="BE59" s="169">
        <f t="shared" si="46"/>
        <v>2080.06243902439</v>
      </c>
      <c r="BF59" s="168">
        <f t="shared" si="47"/>
        <v>-478.001515630367</v>
      </c>
      <c r="BG59" s="170">
        <f t="shared" si="48"/>
        <v>-0.229801522618986</v>
      </c>
      <c r="BI59" t="s">
        <v>292</v>
      </c>
    </row>
    <row r="60" ht="29.1" customHeight="1" spans="1:61">
      <c r="A60" s="61" t="s">
        <v>213</v>
      </c>
      <c r="B60" s="61" t="s">
        <v>214</v>
      </c>
      <c r="C60" s="90">
        <v>207</v>
      </c>
      <c r="D60" s="91">
        <v>204</v>
      </c>
      <c r="E60" s="64">
        <v>3307.18</v>
      </c>
      <c r="F60" s="148">
        <v>12</v>
      </c>
      <c r="G60" s="148">
        <v>12</v>
      </c>
      <c r="H60" s="64">
        <v>186.76</v>
      </c>
      <c r="I60" s="64">
        <v>18.59</v>
      </c>
      <c r="J60" s="149">
        <v>7</v>
      </c>
      <c r="K60" s="150">
        <f t="shared" si="26"/>
        <v>0.0338164251207729</v>
      </c>
      <c r="L60" s="151">
        <v>116.37</v>
      </c>
      <c r="M60" s="152">
        <f t="shared" si="49"/>
        <v>0.642857142857143</v>
      </c>
      <c r="N60" s="150">
        <f t="shared" si="50"/>
        <v>0.658536585365854</v>
      </c>
      <c r="O60" s="150">
        <f t="shared" si="51"/>
        <v>0.17057959472613</v>
      </c>
      <c r="P60" s="153">
        <f t="shared" si="27"/>
        <v>1.01470588235294</v>
      </c>
      <c r="Q60" s="154">
        <f t="shared" si="28"/>
        <v>16.2116666666667</v>
      </c>
      <c r="R60" s="187">
        <f t="shared" si="29"/>
        <v>15.9767149758454</v>
      </c>
      <c r="S60" s="155">
        <f t="shared" si="52"/>
        <v>1.71428571428571</v>
      </c>
      <c r="T60" s="193">
        <f t="shared" si="31"/>
        <v>31</v>
      </c>
      <c r="U60" s="157">
        <f t="shared" si="32"/>
        <v>0.151960784313725</v>
      </c>
      <c r="V60" s="94">
        <f t="shared" si="33"/>
        <v>0.405447319367875</v>
      </c>
      <c r="W60" s="91">
        <v>100705</v>
      </c>
      <c r="X60" s="91">
        <v>1267</v>
      </c>
      <c r="Y60" s="91">
        <v>173</v>
      </c>
      <c r="Z60" s="91">
        <v>1333.35</v>
      </c>
      <c r="AA60" s="199">
        <v>2730.65</v>
      </c>
      <c r="AB60" s="64">
        <v>1.05</v>
      </c>
      <c r="AC60" s="71">
        <f t="shared" si="34"/>
        <v>0.488290333803307</v>
      </c>
      <c r="AD60" s="72">
        <f t="shared" si="35"/>
        <v>0.0125813018221538</v>
      </c>
      <c r="AE60" s="159">
        <f t="shared" si="36"/>
        <v>0.136543014996054</v>
      </c>
      <c r="AF60" s="154">
        <f t="shared" si="37"/>
        <v>7.70722543352601</v>
      </c>
      <c r="AG60" s="160">
        <v>54</v>
      </c>
      <c r="AH60" s="161">
        <v>94</v>
      </c>
      <c r="AI60" s="165">
        <v>13</v>
      </c>
      <c r="AJ60" s="166">
        <v>42</v>
      </c>
      <c r="AK60" s="163">
        <f>AG60*产品成本!$D$11+AH60*产品成本!$D$12+AI60*产品成本!$D$13+AJ60*产品成本!$D$14</f>
        <v>1062.02366197183</v>
      </c>
      <c r="AL60" s="163">
        <f>AG60*产品成本!$E$11+AH60*产品成本!$E$12+AI60*产品成本!$E$13+AJ60*产品成本!$E$14</f>
        <v>80.8950985915494</v>
      </c>
      <c r="AM60" s="163">
        <f>AG60*产品成本!$F$11+AH60*产品成本!$F$12+AI60*产品成本!$F$13+AJ60*产品成本!$F$14</f>
        <v>69.02</v>
      </c>
      <c r="AN60" s="163">
        <f>AG60*产品成本!$G$11+AH60*产品成本!$G$12+AI60*产品成本!$G$13+AJ60*产品成本!$G$14</f>
        <v>791.7</v>
      </c>
      <c r="AO60" s="163">
        <f t="shared" si="38"/>
        <v>493.2885</v>
      </c>
      <c r="AP60" s="164">
        <f t="shared" si="39"/>
        <v>2496.92726056338</v>
      </c>
      <c r="AQ60" s="165">
        <v>0</v>
      </c>
      <c r="AR60" s="165">
        <v>7</v>
      </c>
      <c r="AS60" s="165">
        <v>0</v>
      </c>
      <c r="AT60" s="166">
        <v>0</v>
      </c>
      <c r="AU60" s="167">
        <f t="shared" si="40"/>
        <v>141.914634146341</v>
      </c>
      <c r="AV60" s="163">
        <f>AQ60*产品成本!$D$11+AR60*产品成本!$D$12+AS60*产品成本!$D$13+AT60*产品成本!$D$14</f>
        <v>43.3802816901408</v>
      </c>
      <c r="AW60" s="163">
        <f>AQ60*产品成本!$E$11+AR60*产品成本!$E$12+AS60*产品成本!$E$13+AT60*产品成本!$E$14</f>
        <v>2.50659154929578</v>
      </c>
      <c r="AX60" s="163">
        <f>AQ60*产品成本!$F$11+AR60*产品成本!$F$12+AS60*产品成本!$F$13+AT60*产品成本!$F$14</f>
        <v>2.38</v>
      </c>
      <c r="AY60" s="163"/>
      <c r="AZ60" s="163">
        <f t="shared" si="41"/>
        <v>21.2871951219512</v>
      </c>
      <c r="BA60" s="163">
        <f t="shared" si="42"/>
        <v>-4.25743902439024</v>
      </c>
      <c r="BB60" s="164">
        <f t="shared" si="43"/>
        <v>65.2966293369976</v>
      </c>
      <c r="BC60" s="169">
        <f t="shared" si="44"/>
        <v>2431.63063122638</v>
      </c>
      <c r="BD60" s="169">
        <f t="shared" si="45"/>
        <v>3288.59</v>
      </c>
      <c r="BE60" s="169">
        <f t="shared" si="46"/>
        <v>3146.67536585366</v>
      </c>
      <c r="BF60" s="168">
        <f t="shared" si="47"/>
        <v>-618.305265372725</v>
      </c>
      <c r="BG60" s="170">
        <f t="shared" si="48"/>
        <v>-0.196494774161422</v>
      </c>
      <c r="BI60" t="s">
        <v>215</v>
      </c>
    </row>
    <row r="61" ht="29.1" customHeight="1" spans="1:61">
      <c r="A61" s="61" t="s">
        <v>216</v>
      </c>
      <c r="B61" s="61" t="s">
        <v>217</v>
      </c>
      <c r="C61" s="90">
        <v>171</v>
      </c>
      <c r="D61" s="91">
        <v>166</v>
      </c>
      <c r="E61" s="64">
        <v>3365.95</v>
      </c>
      <c r="F61" s="148">
        <v>41</v>
      </c>
      <c r="G61" s="148">
        <v>38</v>
      </c>
      <c r="H61" s="64">
        <v>751.43</v>
      </c>
      <c r="I61" s="64">
        <v>78.01</v>
      </c>
      <c r="J61" s="149">
        <v>5</v>
      </c>
      <c r="K61" s="150">
        <f t="shared" si="26"/>
        <v>0.0292397660818713</v>
      </c>
      <c r="L61" s="151">
        <v>76.63</v>
      </c>
      <c r="M61" s="152">
        <f t="shared" si="49"/>
        <v>0.276119402985075</v>
      </c>
      <c r="N61" s="150">
        <f t="shared" si="50"/>
        <v>0.286821705426357</v>
      </c>
      <c r="O61" s="150">
        <f t="shared" si="51"/>
        <v>0.413902319153494</v>
      </c>
      <c r="P61" s="153">
        <f t="shared" si="27"/>
        <v>1.03012048192771</v>
      </c>
      <c r="Q61" s="154">
        <f t="shared" si="28"/>
        <v>20.2768072289157</v>
      </c>
      <c r="R61" s="187">
        <f t="shared" si="29"/>
        <v>19.683918128655</v>
      </c>
      <c r="S61" s="155">
        <f t="shared" si="52"/>
        <v>5.42857142857143</v>
      </c>
      <c r="T61" s="193">
        <f t="shared" si="31"/>
        <v>44</v>
      </c>
      <c r="U61" s="157">
        <f t="shared" si="32"/>
        <v>0.265060240963855</v>
      </c>
      <c r="V61" s="94">
        <f t="shared" si="33"/>
        <v>0.281033108876683</v>
      </c>
      <c r="W61" s="91">
        <v>81197</v>
      </c>
      <c r="X61" s="91">
        <v>895</v>
      </c>
      <c r="Y61" s="91">
        <v>122</v>
      </c>
      <c r="Z61" s="91">
        <v>924.02</v>
      </c>
      <c r="AA61" s="199">
        <v>2505.29</v>
      </c>
      <c r="AB61" s="64">
        <v>1.03</v>
      </c>
      <c r="AC61" s="71">
        <f t="shared" si="34"/>
        <v>0.368827560881175</v>
      </c>
      <c r="AD61" s="72">
        <f t="shared" si="35"/>
        <v>0.0110225747256672</v>
      </c>
      <c r="AE61" s="159">
        <f t="shared" si="36"/>
        <v>0.136312849162011</v>
      </c>
      <c r="AF61" s="154">
        <f t="shared" si="37"/>
        <v>7.57393442622951</v>
      </c>
      <c r="AG61" s="160">
        <v>30</v>
      </c>
      <c r="AH61" s="161">
        <v>79</v>
      </c>
      <c r="AI61" s="165">
        <v>6</v>
      </c>
      <c r="AJ61" s="166">
        <v>54</v>
      </c>
      <c r="AK61" s="163">
        <f>AG61*产品成本!$D$11+AH61*产品成本!$D$12+AI61*产品成本!$D$13+AJ61*产品成本!$D$14</f>
        <v>868.875492957746</v>
      </c>
      <c r="AL61" s="163">
        <f>AG61*产品成本!$E$11+AH61*产品成本!$E$12+AI61*产品成本!$E$13+AJ61*产品成本!$E$14</f>
        <v>70.4340281690141</v>
      </c>
      <c r="AM61" s="163">
        <f>AG61*产品成本!$F$11+AH61*产品成本!$F$12+AI61*产品成本!$F$13+AJ61*产品成本!$F$14</f>
        <v>57.46</v>
      </c>
      <c r="AN61" s="163">
        <f>AG61*产品成本!$G$11+AH61*产品成本!$G$12+AI61*产品成本!$G$13+AJ61*产品成本!$G$14</f>
        <v>659.1</v>
      </c>
      <c r="AO61" s="163">
        <f t="shared" si="38"/>
        <v>493.191</v>
      </c>
      <c r="AP61" s="164">
        <f t="shared" si="39"/>
        <v>2149.06052112676</v>
      </c>
      <c r="AQ61" s="165">
        <v>1</v>
      </c>
      <c r="AR61" s="165">
        <v>3</v>
      </c>
      <c r="AS61" s="165">
        <v>0</v>
      </c>
      <c r="AT61" s="166">
        <v>1</v>
      </c>
      <c r="AU61" s="167">
        <f t="shared" si="40"/>
        <v>93.4512195121951</v>
      </c>
      <c r="AV61" s="163">
        <f>AQ61*产品成本!$D$11+AR61*产品成本!$D$12+AS61*产品成本!$D$13+AT61*产品成本!$D$14</f>
        <v>27.6028169014084</v>
      </c>
      <c r="AW61" s="163">
        <f>AQ61*产品成本!$E$11+AR61*产品成本!$E$12+AS61*产品成本!$E$13+AT61*产品成本!$E$14</f>
        <v>1.96754929577465</v>
      </c>
      <c r="AX61" s="163">
        <f>AQ61*产品成本!$F$11+AR61*产品成本!$F$12+AS61*产品成本!$F$13+AT61*产品成本!$F$14</f>
        <v>1.7</v>
      </c>
      <c r="AY61" s="163"/>
      <c r="AZ61" s="163">
        <f t="shared" si="41"/>
        <v>14.0176829268293</v>
      </c>
      <c r="BA61" s="163">
        <f t="shared" si="42"/>
        <v>-2.80353658536585</v>
      </c>
      <c r="BB61" s="164">
        <f t="shared" si="43"/>
        <v>42.4845125386465</v>
      </c>
      <c r="BC61" s="169">
        <f t="shared" si="44"/>
        <v>2106.57600858811</v>
      </c>
      <c r="BD61" s="169">
        <f t="shared" si="45"/>
        <v>3287.94</v>
      </c>
      <c r="BE61" s="169">
        <f t="shared" si="46"/>
        <v>3194.4887804878</v>
      </c>
      <c r="BF61" s="168">
        <f t="shared" si="47"/>
        <v>163.892771899691</v>
      </c>
      <c r="BG61" s="170">
        <f t="shared" si="48"/>
        <v>0.0513048513116593</v>
      </c>
      <c r="BI61" t="s">
        <v>293</v>
      </c>
    </row>
    <row r="62" ht="29.1" customHeight="1" spans="1:61">
      <c r="A62" s="61" t="s">
        <v>219</v>
      </c>
      <c r="B62" s="61" t="s">
        <v>220</v>
      </c>
      <c r="C62" s="90">
        <v>147</v>
      </c>
      <c r="D62" s="91">
        <v>146</v>
      </c>
      <c r="E62" s="64">
        <v>3207.94</v>
      </c>
      <c r="F62" s="148">
        <v>42</v>
      </c>
      <c r="G62" s="148">
        <v>41</v>
      </c>
      <c r="H62" s="64">
        <v>832.38</v>
      </c>
      <c r="I62" s="64">
        <v>99.18</v>
      </c>
      <c r="J62" s="149">
        <v>11</v>
      </c>
      <c r="K62" s="150">
        <f t="shared" si="26"/>
        <v>0.0748299319727891</v>
      </c>
      <c r="L62" s="151">
        <v>187.51</v>
      </c>
      <c r="M62" s="152">
        <f t="shared" si="49"/>
        <v>-0.289855072463768</v>
      </c>
      <c r="N62" s="150">
        <f t="shared" si="50"/>
        <v>-0.284313725490196</v>
      </c>
      <c r="O62" s="150">
        <f t="shared" si="51"/>
        <v>-0.0300074383613834</v>
      </c>
      <c r="P62" s="153">
        <f t="shared" si="27"/>
        <v>1.00684931506849</v>
      </c>
      <c r="Q62" s="154">
        <f t="shared" si="28"/>
        <v>21.9721917808219</v>
      </c>
      <c r="R62" s="187">
        <f t="shared" si="29"/>
        <v>21.8227210884354</v>
      </c>
      <c r="S62" s="155">
        <f t="shared" si="52"/>
        <v>5.85714285714286</v>
      </c>
      <c r="T62" s="193">
        <f t="shared" si="31"/>
        <v>43</v>
      </c>
      <c r="U62" s="157">
        <f t="shared" si="32"/>
        <v>0.294520547945205</v>
      </c>
      <c r="V62" s="94">
        <f t="shared" si="33"/>
        <v>0.245879385993129</v>
      </c>
      <c r="W62" s="91">
        <v>63474</v>
      </c>
      <c r="X62" s="91">
        <v>751</v>
      </c>
      <c r="Y62" s="91">
        <v>103</v>
      </c>
      <c r="Z62" s="91">
        <v>764.38</v>
      </c>
      <c r="AA62" s="199">
        <v>2238.71</v>
      </c>
      <c r="AB62" s="64">
        <v>1.02</v>
      </c>
      <c r="AC62" s="71">
        <f t="shared" si="34"/>
        <v>0.341437702962867</v>
      </c>
      <c r="AD62" s="72">
        <f t="shared" si="35"/>
        <v>0.011831616094779</v>
      </c>
      <c r="AE62" s="159">
        <f t="shared" si="36"/>
        <v>0.137150466045273</v>
      </c>
      <c r="AF62" s="154">
        <f t="shared" si="37"/>
        <v>7.42116504854369</v>
      </c>
      <c r="AG62" s="160">
        <v>19</v>
      </c>
      <c r="AH62" s="161">
        <v>80</v>
      </c>
      <c r="AI62" s="165">
        <v>2</v>
      </c>
      <c r="AJ62" s="166">
        <v>46</v>
      </c>
      <c r="AK62" s="163">
        <f>AG62*产品成本!$D$11+AH62*产品成本!$D$12+AI62*产品成本!$D$13+AJ62*产品成本!$D$14</f>
        <v>775.508732394366</v>
      </c>
      <c r="AL62" s="163">
        <f>AG62*产品成本!$E$11+AH62*产品成本!$E$12+AI62*产品成本!$E$13+AJ62*产品成本!$E$14</f>
        <v>60.9038873239437</v>
      </c>
      <c r="AM62" s="163">
        <f>AG62*产品成本!$F$11+AH62*产品成本!$F$12+AI62*产品成本!$F$13+AJ62*产品成本!$F$14</f>
        <v>49.98</v>
      </c>
      <c r="AN62" s="163">
        <f>AG62*产品成本!$G$11+AH62*产品成本!$G$12+AI62*产品成本!$G$13+AJ62*产品成本!$G$14</f>
        <v>573.3</v>
      </c>
      <c r="AO62" s="163">
        <f t="shared" si="38"/>
        <v>466.314</v>
      </c>
      <c r="AP62" s="164">
        <f t="shared" si="39"/>
        <v>1926.00661971831</v>
      </c>
      <c r="AQ62" s="165">
        <v>3</v>
      </c>
      <c r="AR62" s="165">
        <v>6</v>
      </c>
      <c r="AS62" s="165">
        <v>0</v>
      </c>
      <c r="AT62" s="166">
        <v>2</v>
      </c>
      <c r="AU62" s="167">
        <f t="shared" si="40"/>
        <v>228.670731707317</v>
      </c>
      <c r="AV62" s="163">
        <f>AQ62*产品成本!$D$11+AR62*产品成本!$D$12+AS62*产品成本!$D$13+AT62*产品成本!$D$14</f>
        <v>60.4169014084507</v>
      </c>
      <c r="AW62" s="163">
        <f>AQ62*产品成本!$E$11+AR62*产品成本!$E$12+AS62*产品成本!$E$13+AT62*产品成本!$E$14</f>
        <v>4.29318309859155</v>
      </c>
      <c r="AX62" s="163">
        <f>AQ62*产品成本!$F$11+AR62*产品成本!$F$12+AS62*产品成本!$F$13+AT62*产品成本!$F$14</f>
        <v>3.74</v>
      </c>
      <c r="AY62" s="163"/>
      <c r="AZ62" s="163">
        <f t="shared" si="41"/>
        <v>34.3006097560976</v>
      </c>
      <c r="BA62" s="163">
        <f t="shared" si="42"/>
        <v>-6.86012195121951</v>
      </c>
      <c r="BB62" s="164">
        <f t="shared" si="43"/>
        <v>95.8905723119203</v>
      </c>
      <c r="BC62" s="169">
        <f t="shared" si="44"/>
        <v>1830.11604740639</v>
      </c>
      <c r="BD62" s="169">
        <f t="shared" si="45"/>
        <v>3108.76</v>
      </c>
      <c r="BE62" s="169">
        <f t="shared" si="46"/>
        <v>2880.08926829268</v>
      </c>
      <c r="BF62" s="168">
        <f t="shared" si="47"/>
        <v>285.593220886294</v>
      </c>
      <c r="BG62" s="170">
        <f t="shared" si="48"/>
        <v>0.0991612392124197</v>
      </c>
    </row>
    <row r="63" ht="29.1" customHeight="1" spans="1:61">
      <c r="A63" s="61" t="s">
        <v>221</v>
      </c>
      <c r="B63" s="61" t="s">
        <v>222</v>
      </c>
      <c r="C63" s="90">
        <v>135</v>
      </c>
      <c r="D63" s="91">
        <v>133</v>
      </c>
      <c r="E63" s="64">
        <v>2898.26</v>
      </c>
      <c r="F63" s="148">
        <v>45</v>
      </c>
      <c r="G63" s="148">
        <v>43</v>
      </c>
      <c r="H63" s="64">
        <v>866.05</v>
      </c>
      <c r="I63" s="64">
        <v>114.23</v>
      </c>
      <c r="J63" s="149">
        <v>17</v>
      </c>
      <c r="K63" s="150">
        <f t="shared" si="26"/>
        <v>0.125925925925926</v>
      </c>
      <c r="L63" s="151">
        <v>278.55</v>
      </c>
      <c r="M63" s="152">
        <f t="shared" si="49"/>
        <v>-0.210526315789474</v>
      </c>
      <c r="N63" s="150">
        <f t="shared" si="50"/>
        <v>-0.198795180722892</v>
      </c>
      <c r="O63" s="150">
        <f t="shared" si="51"/>
        <v>-0.138947399693994</v>
      </c>
      <c r="P63" s="153">
        <f t="shared" si="27"/>
        <v>1.01503759398496</v>
      </c>
      <c r="Q63" s="154">
        <f t="shared" si="28"/>
        <v>21.7914285714286</v>
      </c>
      <c r="R63" s="187">
        <f t="shared" si="29"/>
        <v>21.4685925925926</v>
      </c>
      <c r="S63" s="155">
        <f t="shared" si="52"/>
        <v>6.14285714285714</v>
      </c>
      <c r="T63" s="193">
        <f t="shared" si="31"/>
        <v>40</v>
      </c>
      <c r="U63" s="157">
        <f t="shared" si="32"/>
        <v>0.300751879699248</v>
      </c>
      <c r="V63" s="94">
        <f t="shared" si="33"/>
        <v>0.26106758907052</v>
      </c>
      <c r="W63" s="91">
        <v>56264</v>
      </c>
      <c r="X63" s="91">
        <v>710</v>
      </c>
      <c r="Y63" s="91">
        <v>93</v>
      </c>
      <c r="Z63" s="91">
        <v>726.82</v>
      </c>
      <c r="AA63" s="199">
        <v>1961.55</v>
      </c>
      <c r="AB63" s="64">
        <v>1.02</v>
      </c>
      <c r="AC63" s="71">
        <f t="shared" si="34"/>
        <v>0.370533506665647</v>
      </c>
      <c r="AD63" s="72">
        <f t="shared" si="35"/>
        <v>0.0126190814730556</v>
      </c>
      <c r="AE63" s="159">
        <f t="shared" si="36"/>
        <v>0.130985915492958</v>
      </c>
      <c r="AF63" s="154">
        <f t="shared" si="37"/>
        <v>7.8152688172043</v>
      </c>
      <c r="AG63" s="160">
        <v>24</v>
      </c>
      <c r="AH63" s="161">
        <v>62</v>
      </c>
      <c r="AI63" s="165">
        <v>10</v>
      </c>
      <c r="AJ63" s="166">
        <v>38</v>
      </c>
      <c r="AK63" s="163">
        <f>AG63*产品成本!$D$11+AH63*产品成本!$D$12+AI63*产品成本!$D$13+AJ63*产品成本!$D$14</f>
        <v>683.295774647887</v>
      </c>
      <c r="AL63" s="163">
        <f>AG63*产品成本!$E$11+AH63*产品成本!$E$12+AI63*产品成本!$E$13+AJ63*产品成本!$E$14</f>
        <v>55.302309859155</v>
      </c>
      <c r="AM63" s="163">
        <f>AG63*产品成本!$F$11+AH63*产品成本!$F$12+AI63*产品成本!$F$13+AJ63*产品成本!$F$14</f>
        <v>45.56</v>
      </c>
      <c r="AN63" s="163">
        <f>AG63*产品成本!$G$11+AH63*产品成本!$G$12+AI63*产品成本!$G$13+AJ63*产品成本!$G$14</f>
        <v>522.6</v>
      </c>
      <c r="AO63" s="163">
        <f t="shared" si="38"/>
        <v>417.6045</v>
      </c>
      <c r="AP63" s="164">
        <f t="shared" si="39"/>
        <v>1724.36258450704</v>
      </c>
      <c r="AQ63" s="165">
        <v>2</v>
      </c>
      <c r="AR63" s="165">
        <v>10</v>
      </c>
      <c r="AS63" s="165">
        <v>1</v>
      </c>
      <c r="AT63" s="166">
        <v>4</v>
      </c>
      <c r="AU63" s="167">
        <f t="shared" si="40"/>
        <v>339.69512195122</v>
      </c>
      <c r="AV63" s="163">
        <f>AQ63*产品成本!$D$11+AR63*产品成本!$D$12+AS63*产品成本!$D$13+AT63*产品成本!$D$14</f>
        <v>90.5543661971831</v>
      </c>
      <c r="AW63" s="163">
        <f>AQ63*产品成本!$E$11+AR63*产品成本!$E$12+AS63*产品成本!$E$13+AT63*产品成本!$E$14</f>
        <v>6.85476056338029</v>
      </c>
      <c r="AX63" s="163">
        <f>AQ63*产品成本!$F$11+AR63*产品成本!$F$12+AS63*产品成本!$F$13+AT63*产品成本!$F$14</f>
        <v>5.78</v>
      </c>
      <c r="AY63" s="163"/>
      <c r="AZ63" s="163">
        <f t="shared" si="41"/>
        <v>50.9542682926829</v>
      </c>
      <c r="BA63" s="163">
        <f t="shared" si="42"/>
        <v>-10.1908536585366</v>
      </c>
      <c r="BB63" s="164">
        <f t="shared" si="43"/>
        <v>143.95254139471</v>
      </c>
      <c r="BC63" s="169">
        <f t="shared" si="44"/>
        <v>1580.41004311233</v>
      </c>
      <c r="BD63" s="169">
        <f t="shared" si="45"/>
        <v>2784.03</v>
      </c>
      <c r="BE63" s="169">
        <f t="shared" si="46"/>
        <v>2444.33487804878</v>
      </c>
      <c r="BF63" s="168">
        <f t="shared" si="47"/>
        <v>137.104834936448</v>
      </c>
      <c r="BG63" s="170">
        <f t="shared" si="48"/>
        <v>0.0560908557038198</v>
      </c>
    </row>
    <row r="64" ht="29.1" customHeight="1" spans="1:61">
      <c r="A64" s="61" t="s">
        <v>223</v>
      </c>
      <c r="B64" s="61" t="s">
        <v>224</v>
      </c>
      <c r="C64" s="90">
        <v>118</v>
      </c>
      <c r="D64" s="91">
        <v>117</v>
      </c>
      <c r="E64" s="64">
        <v>2646.02</v>
      </c>
      <c r="F64" s="148">
        <v>42</v>
      </c>
      <c r="G64" s="148">
        <v>42</v>
      </c>
      <c r="H64" s="64">
        <v>903.38</v>
      </c>
      <c r="I64" s="64">
        <v>122.73</v>
      </c>
      <c r="J64" s="149">
        <v>3</v>
      </c>
      <c r="K64" s="150">
        <f t="shared" si="26"/>
        <v>0.0254237288135593</v>
      </c>
      <c r="L64" s="151">
        <v>54.43</v>
      </c>
      <c r="M64" s="152">
        <f t="shared" si="49"/>
        <v>-0.197278911564626</v>
      </c>
      <c r="N64" s="150">
        <f t="shared" si="50"/>
        <v>-0.198630136986301</v>
      </c>
      <c r="O64" s="150">
        <f t="shared" si="51"/>
        <v>-0.175165370923396</v>
      </c>
      <c r="P64" s="153">
        <f t="shared" si="27"/>
        <v>1.00854700854701</v>
      </c>
      <c r="Q64" s="154">
        <f t="shared" si="28"/>
        <v>22.6155555555556</v>
      </c>
      <c r="R64" s="187">
        <f t="shared" si="29"/>
        <v>22.4238983050847</v>
      </c>
      <c r="S64" s="155">
        <f t="shared" si="52"/>
        <v>6</v>
      </c>
      <c r="T64" s="193">
        <f t="shared" si="31"/>
        <v>29</v>
      </c>
      <c r="U64" s="157">
        <f t="shared" si="32"/>
        <v>0.247863247863248</v>
      </c>
      <c r="V64" s="94">
        <f t="shared" si="33"/>
        <v>0.279234650000594</v>
      </c>
      <c r="W64" s="91">
        <v>61162</v>
      </c>
      <c r="X64" s="91">
        <v>698</v>
      </c>
      <c r="Y64" s="91">
        <v>88</v>
      </c>
      <c r="Z64" s="91">
        <v>704.59</v>
      </c>
      <c r="AA64" s="199">
        <v>1880.53</v>
      </c>
      <c r="AB64" s="64">
        <v>1.01</v>
      </c>
      <c r="AC64" s="71">
        <f t="shared" si="34"/>
        <v>0.374676288067726</v>
      </c>
      <c r="AD64" s="72">
        <f t="shared" si="35"/>
        <v>0.0114123148360093</v>
      </c>
      <c r="AE64" s="159">
        <f t="shared" si="36"/>
        <v>0.126074498567335</v>
      </c>
      <c r="AF64" s="154">
        <f t="shared" si="37"/>
        <v>8.00670454545455</v>
      </c>
      <c r="AG64" s="160">
        <v>26</v>
      </c>
      <c r="AH64" s="161">
        <v>68</v>
      </c>
      <c r="AI64" s="165">
        <v>1</v>
      </c>
      <c r="AJ64" s="166">
        <v>23</v>
      </c>
      <c r="AK64" s="163">
        <f>AG64*产品成本!$D$11+AH64*产品成本!$D$12+AI64*产品成本!$D$13+AJ64*产品成本!$D$14</f>
        <v>647.261408450704</v>
      </c>
      <c r="AL64" s="163">
        <f>AG64*产品成本!$E$11+AH64*产品成本!$E$12+AI64*产品成本!$E$13+AJ64*产品成本!$E$14</f>
        <v>46.3867042253522</v>
      </c>
      <c r="AM64" s="163">
        <f>AG64*产品成本!$F$11+AH64*产品成本!$F$12+AI64*产品成本!$F$13+AJ64*产品成本!$F$14</f>
        <v>40.12</v>
      </c>
      <c r="AN64" s="163">
        <f>AG64*产品成本!$G$11+AH64*产品成本!$G$12+AI64*产品成本!$G$13+AJ64*产品成本!$G$14</f>
        <v>460.2</v>
      </c>
      <c r="AO64" s="163">
        <f t="shared" si="38"/>
        <v>378.4935</v>
      </c>
      <c r="AP64" s="164">
        <f t="shared" si="39"/>
        <v>1572.46161267606</v>
      </c>
      <c r="AQ64" s="165">
        <v>1</v>
      </c>
      <c r="AR64" s="165">
        <v>1</v>
      </c>
      <c r="AS64" s="165">
        <v>0</v>
      </c>
      <c r="AT64" s="166">
        <v>1</v>
      </c>
      <c r="AU64" s="167">
        <f t="shared" si="40"/>
        <v>66.3780487804878</v>
      </c>
      <c r="AV64" s="163">
        <f>AQ64*产品成本!$D$11+AR64*产品成本!$D$12+AS64*产品成本!$D$13+AT64*产品成本!$D$14</f>
        <v>15.2084507042253</v>
      </c>
      <c r="AW64" s="163">
        <f>AQ64*产品成本!$E$11+AR64*产品成本!$E$12+AS64*产品成本!$E$13+AT64*产品成本!$E$14</f>
        <v>1.25138028169014</v>
      </c>
      <c r="AX64" s="163">
        <f>AQ64*产品成本!$F$11+AR64*产品成本!$F$12+AS64*产品成本!$F$13+AT64*产品成本!$F$14</f>
        <v>1.02</v>
      </c>
      <c r="AY64" s="163"/>
      <c r="AZ64" s="163">
        <f t="shared" si="41"/>
        <v>9.95670731707317</v>
      </c>
      <c r="BA64" s="163">
        <f t="shared" si="42"/>
        <v>-1.99134146341463</v>
      </c>
      <c r="BB64" s="164">
        <f t="shared" si="43"/>
        <v>25.445196839574</v>
      </c>
      <c r="BC64" s="169">
        <f t="shared" si="44"/>
        <v>1547.01641583648</v>
      </c>
      <c r="BD64" s="169">
        <f t="shared" si="45"/>
        <v>2523.29</v>
      </c>
      <c r="BE64" s="169">
        <f t="shared" si="46"/>
        <v>2456.91195121951</v>
      </c>
      <c r="BF64" s="168">
        <f t="shared" si="47"/>
        <v>205.30553538303</v>
      </c>
      <c r="BG64" s="170">
        <f t="shared" si="48"/>
        <v>0.0835624309943725</v>
      </c>
      <c r="BI64" t="s">
        <v>225</v>
      </c>
    </row>
    <row r="65" ht="29.1" customHeight="1" spans="1:61">
      <c r="A65" s="79" t="s">
        <v>226</v>
      </c>
      <c r="B65" s="80" t="s">
        <v>227</v>
      </c>
      <c r="C65" s="90">
        <v>179</v>
      </c>
      <c r="D65" s="91">
        <v>174</v>
      </c>
      <c r="E65" s="64">
        <v>3901.31</v>
      </c>
      <c r="F65" s="148">
        <v>53</v>
      </c>
      <c r="G65" s="148">
        <v>53</v>
      </c>
      <c r="H65" s="64">
        <v>1163.17</v>
      </c>
      <c r="I65" s="64">
        <v>168.86</v>
      </c>
      <c r="J65" s="149">
        <v>19</v>
      </c>
      <c r="K65" s="150">
        <f t="shared" si="26"/>
        <v>0.106145251396648</v>
      </c>
      <c r="L65" s="151">
        <v>344.4</v>
      </c>
      <c r="M65" s="152">
        <f t="shared" si="49"/>
        <v>0.325925925925926</v>
      </c>
      <c r="N65" s="150">
        <f t="shared" si="50"/>
        <v>0.308270676691729</v>
      </c>
      <c r="O65" s="150">
        <f t="shared" si="51"/>
        <v>0.346086962522341</v>
      </c>
      <c r="P65" s="153">
        <f t="shared" si="27"/>
        <v>1.02873563218391</v>
      </c>
      <c r="Q65" s="154">
        <f t="shared" si="28"/>
        <v>22.4213218390805</v>
      </c>
      <c r="R65" s="187">
        <f t="shared" si="29"/>
        <v>21.7950279329609</v>
      </c>
      <c r="S65" s="155">
        <f t="shared" si="52"/>
        <v>7.57142857142857</v>
      </c>
      <c r="T65" s="193">
        <f t="shared" si="31"/>
        <v>41</v>
      </c>
      <c r="U65" s="157">
        <f t="shared" si="32"/>
        <v>0.235632183908046</v>
      </c>
      <c r="V65" s="94">
        <f t="shared" si="33"/>
        <v>0.319471124864365</v>
      </c>
      <c r="W65" s="91">
        <v>87253</v>
      </c>
      <c r="X65" s="91">
        <v>1141</v>
      </c>
      <c r="Y65" s="91">
        <v>133</v>
      </c>
      <c r="Z65" s="200">
        <v>1192.41</v>
      </c>
      <c r="AA65" s="199">
        <v>2980.93</v>
      </c>
      <c r="AB65" s="64">
        <v>1.05</v>
      </c>
      <c r="AC65" s="71">
        <f t="shared" si="34"/>
        <v>0.400012747699543</v>
      </c>
      <c r="AD65" s="72">
        <f t="shared" si="35"/>
        <v>0.0130769142608277</v>
      </c>
      <c r="AE65" s="159">
        <f t="shared" si="36"/>
        <v>0.116564417177914</v>
      </c>
      <c r="AF65" s="154">
        <f t="shared" si="37"/>
        <v>8.96548872180451</v>
      </c>
      <c r="AG65" s="160">
        <v>45</v>
      </c>
      <c r="AH65" s="161">
        <v>79</v>
      </c>
      <c r="AI65" s="165">
        <v>10</v>
      </c>
      <c r="AJ65" s="166">
        <v>45</v>
      </c>
      <c r="AK65" s="163">
        <f>AG65*产品成本!$D$11+AH65*产品成本!$D$12+AI65*产品成本!$D$13+AJ65*产品成本!$D$14</f>
        <v>924.684507042253</v>
      </c>
      <c r="AL65" s="163">
        <f>AG65*产品成本!$E$11+AH65*产品成本!$E$12+AI65*产品成本!$E$13+AJ65*产品成本!$E$14</f>
        <v>72.6560000000001</v>
      </c>
      <c r="AM65" s="163">
        <f>AG65*产品成本!$F$11+AH65*产品成本!$F$12+AI65*产品成本!$F$13+AJ65*产品成本!$F$14</f>
        <v>60.86</v>
      </c>
      <c r="AN65" s="163">
        <f>AG65*产品成本!$G$11+AH65*产品成本!$G$12+AI65*产品成本!$G$13+AJ65*产品成本!$G$14</f>
        <v>698.1</v>
      </c>
      <c r="AO65" s="163">
        <f t="shared" si="38"/>
        <v>559.8675</v>
      </c>
      <c r="AP65" s="164">
        <f t="shared" si="39"/>
        <v>2316.16800704225</v>
      </c>
      <c r="AQ65" s="165">
        <v>2</v>
      </c>
      <c r="AR65" s="165">
        <v>14</v>
      </c>
      <c r="AS65" s="165">
        <v>0</v>
      </c>
      <c r="AT65" s="166">
        <v>3</v>
      </c>
      <c r="AU65" s="167">
        <f t="shared" si="40"/>
        <v>420</v>
      </c>
      <c r="AV65" s="163">
        <f>AQ65*产品成本!$D$11+AR65*产品成本!$D$12+AS65*产品成本!$D$13+AT65*产品成本!$D$14</f>
        <v>108.583098591549</v>
      </c>
      <c r="AW65" s="163">
        <f>AQ65*产品成本!$E$11+AR65*产品成本!$E$12+AS65*产品成本!$E$13+AT65*产品成本!$E$14</f>
        <v>7.33498591549297</v>
      </c>
      <c r="AX65" s="163">
        <f>AQ65*产品成本!$F$11+AR65*产品成本!$F$12+AS65*产品成本!$F$13+AT65*产品成本!$F$14</f>
        <v>6.46</v>
      </c>
      <c r="AY65" s="163"/>
      <c r="AZ65" s="163">
        <f t="shared" si="41"/>
        <v>63</v>
      </c>
      <c r="BA65" s="163">
        <f t="shared" si="42"/>
        <v>-12.6</v>
      </c>
      <c r="BB65" s="164">
        <f t="shared" si="43"/>
        <v>172.778084507042</v>
      </c>
      <c r="BC65" s="169">
        <f t="shared" si="44"/>
        <v>2143.38992253521</v>
      </c>
      <c r="BD65" s="169">
        <f t="shared" si="45"/>
        <v>3732.45</v>
      </c>
      <c r="BE65" s="169">
        <f t="shared" si="46"/>
        <v>3312.45</v>
      </c>
      <c r="BF65" s="168">
        <f t="shared" si="47"/>
        <v>-23.3499225352114</v>
      </c>
      <c r="BG65" s="170">
        <f t="shared" si="48"/>
        <v>-0.00704913962028449</v>
      </c>
    </row>
    <row r="66" ht="29.1" customHeight="1" spans="1:61">
      <c r="A66" s="61" t="s">
        <v>228</v>
      </c>
      <c r="B66" s="81" t="s">
        <v>229</v>
      </c>
      <c r="C66" s="90">
        <v>165</v>
      </c>
      <c r="D66" s="91">
        <v>165</v>
      </c>
      <c r="E66" s="64">
        <v>3587.96</v>
      </c>
      <c r="F66" s="148">
        <v>15</v>
      </c>
      <c r="G66" s="148">
        <v>15</v>
      </c>
      <c r="H66" s="64">
        <v>333.35</v>
      </c>
      <c r="I66" s="64">
        <v>38.69</v>
      </c>
      <c r="J66" s="149">
        <v>16</v>
      </c>
      <c r="K66" s="150">
        <f t="shared" si="26"/>
        <v>0.096969696969697</v>
      </c>
      <c r="L66" s="151">
        <v>298.12</v>
      </c>
      <c r="M66" s="152">
        <f t="shared" si="49"/>
        <v>0.398305084745763</v>
      </c>
      <c r="N66" s="150">
        <f t="shared" si="50"/>
        <v>0.41025641025641</v>
      </c>
      <c r="O66" s="150">
        <f t="shared" si="51"/>
        <v>0.35598370382688</v>
      </c>
      <c r="P66" s="153">
        <f t="shared" si="27"/>
        <v>1</v>
      </c>
      <c r="Q66" s="154">
        <f t="shared" si="28"/>
        <v>21.7452121212121</v>
      </c>
      <c r="R66" s="187">
        <f t="shared" si="29"/>
        <v>21.7452121212121</v>
      </c>
      <c r="S66" s="155">
        <f t="shared" si="52"/>
        <v>2.14285714285714</v>
      </c>
      <c r="T66" s="193">
        <f t="shared" si="31"/>
        <v>65</v>
      </c>
      <c r="U66" s="157">
        <f t="shared" si="32"/>
        <v>0.393939393939394</v>
      </c>
      <c r="V66" s="94">
        <f t="shared" si="33"/>
        <v>0.305164160517515</v>
      </c>
      <c r="W66" s="91">
        <v>82473</v>
      </c>
      <c r="X66" s="91">
        <v>1095</v>
      </c>
      <c r="Y66" s="91">
        <v>100</v>
      </c>
      <c r="Z66" s="200">
        <v>1083.11</v>
      </c>
      <c r="AA66" s="199">
        <v>2904.24</v>
      </c>
      <c r="AB66" s="64">
        <v>1.02</v>
      </c>
      <c r="AC66" s="71">
        <f t="shared" si="34"/>
        <v>0.372940941519985</v>
      </c>
      <c r="AD66" s="72">
        <f t="shared" si="35"/>
        <v>0.0132770724964534</v>
      </c>
      <c r="AE66" s="159">
        <f t="shared" si="36"/>
        <v>0.091324200913242</v>
      </c>
      <c r="AF66" s="154">
        <f t="shared" si="37"/>
        <v>10.8311</v>
      </c>
      <c r="AG66" s="160">
        <v>28</v>
      </c>
      <c r="AH66" s="161">
        <v>83</v>
      </c>
      <c r="AI66" s="165">
        <v>9</v>
      </c>
      <c r="AJ66" s="166">
        <v>45</v>
      </c>
      <c r="AK66" s="163">
        <f>AG66*产品成本!$D$11+AH66*产品成本!$D$12+AI66*产品成本!$D$13+AJ66*产品成本!$D$14</f>
        <v>857.921690140845</v>
      </c>
      <c r="AL66" s="163">
        <f>AG66*产品成本!$E$11+AH66*产品成本!$E$12+AI66*产品成本!$E$13+AJ66*产品成本!$E$14</f>
        <v>67.5840000000001</v>
      </c>
      <c r="AM66" s="163">
        <f>AG66*产品成本!$F$11+AH66*产品成本!$F$12+AI66*产品成本!$F$13+AJ66*产品成本!$F$14</f>
        <v>56.1</v>
      </c>
      <c r="AN66" s="163">
        <f>AG66*产品成本!$G$11+AH66*产品成本!$G$12+AI66*产品成本!$G$13+AJ66*产品成本!$G$14</f>
        <v>643.5</v>
      </c>
      <c r="AO66" s="163">
        <f t="shared" si="38"/>
        <v>532.3905</v>
      </c>
      <c r="AP66" s="164">
        <f t="shared" si="39"/>
        <v>2157.49619014085</v>
      </c>
      <c r="AQ66" s="165">
        <v>1</v>
      </c>
      <c r="AR66" s="165">
        <v>10</v>
      </c>
      <c r="AS66" s="165">
        <v>1</v>
      </c>
      <c r="AT66" s="166">
        <v>4</v>
      </c>
      <c r="AU66" s="167">
        <f t="shared" si="40"/>
        <v>363.560975609756</v>
      </c>
      <c r="AV66" s="163">
        <f>AQ66*产品成本!$D$11+AR66*产品成本!$D$12+AS66*产品成本!$D$13+AT66*产品成本!$D$14</f>
        <v>85.3430985915493</v>
      </c>
      <c r="AW66" s="163">
        <f>AQ66*产品成本!$E$11+AR66*产品成本!$E$12+AS66*产品成本!$E$13+AT66*产品成本!$E$14</f>
        <v>6.49667605633803</v>
      </c>
      <c r="AX66" s="163">
        <f>AQ66*产品成本!$F$11+AR66*产品成本!$F$12+AS66*产品成本!$F$13+AT66*产品成本!$F$14</f>
        <v>5.44</v>
      </c>
      <c r="AY66" s="163"/>
      <c r="AZ66" s="163">
        <f t="shared" si="41"/>
        <v>54.5341463414634</v>
      </c>
      <c r="BA66" s="163">
        <f t="shared" si="42"/>
        <v>-10.9068292682927</v>
      </c>
      <c r="BB66" s="164">
        <f t="shared" si="43"/>
        <v>140.907091721058</v>
      </c>
      <c r="BC66" s="169">
        <f t="shared" si="44"/>
        <v>2016.58909841979</v>
      </c>
      <c r="BD66" s="169">
        <f t="shared" si="45"/>
        <v>3549.27</v>
      </c>
      <c r="BE66" s="169">
        <f t="shared" si="46"/>
        <v>3185.70902439024</v>
      </c>
      <c r="BF66" s="168">
        <f t="shared" si="47"/>
        <v>86.0099259704571</v>
      </c>
      <c r="BG66" s="170">
        <f t="shared" si="48"/>
        <v>0.0269986760598513</v>
      </c>
    </row>
    <row r="67" ht="29.1" customHeight="1" spans="1:61">
      <c r="A67" s="61" t="s">
        <v>230</v>
      </c>
      <c r="B67" s="81" t="s">
        <v>231</v>
      </c>
      <c r="C67" s="90">
        <v>172</v>
      </c>
      <c r="D67" s="91">
        <v>169</v>
      </c>
      <c r="E67" s="64">
        <v>3773.08</v>
      </c>
      <c r="F67" s="148">
        <v>19</v>
      </c>
      <c r="G67" s="148">
        <v>16</v>
      </c>
      <c r="H67" s="64">
        <v>413.91</v>
      </c>
      <c r="I67" s="64">
        <v>52.34</v>
      </c>
      <c r="J67" s="149">
        <v>15</v>
      </c>
      <c r="K67" s="150">
        <f t="shared" si="26"/>
        <v>0.0872093023255814</v>
      </c>
      <c r="L67" s="151">
        <v>291.88</v>
      </c>
      <c r="M67" s="152">
        <f t="shared" si="49"/>
        <v>-0.0391061452513966</v>
      </c>
      <c r="N67" s="150">
        <f t="shared" si="50"/>
        <v>-0.028735632183908</v>
      </c>
      <c r="O67" s="150">
        <f t="shared" si="51"/>
        <v>-0.0328684467525011</v>
      </c>
      <c r="P67" s="153">
        <f t="shared" si="27"/>
        <v>1.01775147928994</v>
      </c>
      <c r="Q67" s="154">
        <f t="shared" si="28"/>
        <v>22.3259171597633</v>
      </c>
      <c r="R67" s="187">
        <f t="shared" si="29"/>
        <v>21.936511627907</v>
      </c>
      <c r="S67" s="155">
        <f t="shared" si="52"/>
        <v>2.28571428571429</v>
      </c>
      <c r="T67" s="193">
        <f t="shared" si="31"/>
        <v>30</v>
      </c>
      <c r="U67" s="157">
        <f t="shared" si="32"/>
        <v>0.177514792899408</v>
      </c>
      <c r="V67" s="94">
        <f t="shared" si="33"/>
        <v>0.314550331385692</v>
      </c>
      <c r="W67" s="91">
        <v>83315</v>
      </c>
      <c r="X67" s="91">
        <v>1146</v>
      </c>
      <c r="Y67" s="91">
        <v>139</v>
      </c>
      <c r="Z67" s="200">
        <v>1170.36</v>
      </c>
      <c r="AA67" s="199">
        <v>3049.27</v>
      </c>
      <c r="AB67" s="64">
        <v>1.02</v>
      </c>
      <c r="AC67" s="71">
        <f t="shared" si="34"/>
        <v>0.383816454430077</v>
      </c>
      <c r="AD67" s="72">
        <f t="shared" si="35"/>
        <v>0.0137550261057433</v>
      </c>
      <c r="AE67" s="159">
        <f t="shared" si="36"/>
        <v>0.121291448516579</v>
      </c>
      <c r="AF67" s="154">
        <f t="shared" si="37"/>
        <v>8.41985611510791</v>
      </c>
      <c r="AG67" s="160">
        <v>29</v>
      </c>
      <c r="AH67" s="161">
        <v>90</v>
      </c>
      <c r="AI67" s="165">
        <v>13</v>
      </c>
      <c r="AJ67" s="166">
        <v>40</v>
      </c>
      <c r="AK67" s="163">
        <f>AG67*产品成本!$D$11+AH67*产品成本!$D$12+AI67*产品成本!$D$13+AJ67*产品成本!$D$14</f>
        <v>899.35323943662</v>
      </c>
      <c r="AL67" s="163">
        <f>AG67*产品成本!$E$11+AH67*产品成本!$E$12+AI67*产品成本!$E$13+AJ67*产品成本!$E$14</f>
        <v>69.4402253521127</v>
      </c>
      <c r="AM67" s="163">
        <f>AG67*产品成本!$F$11+AH67*产品成本!$F$12+AI67*产品成本!$F$13+AJ67*产品成本!$F$14</f>
        <v>58.48</v>
      </c>
      <c r="AN67" s="163">
        <f>AG67*产品成本!$G$11+AH67*产品成本!$G$12+AI67*产品成本!$G$13+AJ67*产品成本!$G$14</f>
        <v>670.8</v>
      </c>
      <c r="AO67" s="163">
        <f t="shared" si="38"/>
        <v>558.111</v>
      </c>
      <c r="AP67" s="164">
        <f t="shared" si="39"/>
        <v>2256.18446478873</v>
      </c>
      <c r="AQ67" s="165">
        <v>0</v>
      </c>
      <c r="AR67" s="165">
        <v>12</v>
      </c>
      <c r="AS67" s="165">
        <v>1</v>
      </c>
      <c r="AT67" s="166">
        <v>2</v>
      </c>
      <c r="AU67" s="167">
        <f t="shared" si="40"/>
        <v>355.951219512195</v>
      </c>
      <c r="AV67" s="163">
        <f>AQ67*产品成本!$D$11+AR67*产品成本!$D$12+AS67*产品成本!$D$13+AT67*产品成本!$D$14</f>
        <v>84.9261971830986</v>
      </c>
      <c r="AW67" s="163">
        <f>AQ67*产品成本!$E$11+AR67*产品成本!$E$12+AS67*产品成本!$E$13+AT67*产品成本!$E$14</f>
        <v>5.78433802816902</v>
      </c>
      <c r="AX67" s="163">
        <f>AQ67*产品成本!$F$11+AR67*产品成本!$F$12+AS67*产品成本!$F$13+AT67*产品成本!$F$14</f>
        <v>5.1</v>
      </c>
      <c r="AY67" s="163"/>
      <c r="AZ67" s="163">
        <f t="shared" si="41"/>
        <v>53.3926829268293</v>
      </c>
      <c r="BA67" s="163">
        <f t="shared" si="42"/>
        <v>-10.6785365853659</v>
      </c>
      <c r="BB67" s="164">
        <f t="shared" si="43"/>
        <v>138.524681552731</v>
      </c>
      <c r="BC67" s="169">
        <f t="shared" si="44"/>
        <v>2117.659783236</v>
      </c>
      <c r="BD67" s="169">
        <f t="shared" si="45"/>
        <v>3720.74</v>
      </c>
      <c r="BE67" s="169">
        <f t="shared" si="46"/>
        <v>3364.7887804878</v>
      </c>
      <c r="BF67" s="168">
        <f t="shared" si="47"/>
        <v>76.7689972518035</v>
      </c>
      <c r="BG67" s="170">
        <f t="shared" si="48"/>
        <v>0.0228153986059933</v>
      </c>
    </row>
    <row r="68" ht="29.1" customHeight="1" spans="1:61">
      <c r="A68" s="61" t="s">
        <v>232</v>
      </c>
      <c r="B68" s="81" t="s">
        <v>233</v>
      </c>
      <c r="C68" s="90">
        <v>158</v>
      </c>
      <c r="D68" s="91">
        <v>157</v>
      </c>
      <c r="E68" s="64">
        <v>3354.44</v>
      </c>
      <c r="F68" s="148">
        <v>8</v>
      </c>
      <c r="G68" s="148">
        <v>8</v>
      </c>
      <c r="H68" s="64">
        <v>177.12</v>
      </c>
      <c r="I68" s="64">
        <v>21.29</v>
      </c>
      <c r="J68" s="149">
        <v>12</v>
      </c>
      <c r="K68" s="150">
        <f t="shared" si="26"/>
        <v>0.0759493670886076</v>
      </c>
      <c r="L68" s="151">
        <v>205.17</v>
      </c>
      <c r="M68" s="152">
        <f t="shared" si="49"/>
        <v>-0.0424242424242424</v>
      </c>
      <c r="N68" s="150">
        <f t="shared" si="50"/>
        <v>-0.0484848484848485</v>
      </c>
      <c r="O68" s="150">
        <f t="shared" si="51"/>
        <v>-0.0650843376180336</v>
      </c>
      <c r="P68" s="153">
        <f t="shared" si="27"/>
        <v>1.00636942675159</v>
      </c>
      <c r="Q68" s="154">
        <f t="shared" si="28"/>
        <v>21.3658598726115</v>
      </c>
      <c r="R68" s="187">
        <f t="shared" si="29"/>
        <v>21.2306329113924</v>
      </c>
      <c r="S68" s="155">
        <f t="shared" si="52"/>
        <v>1.14285714285714</v>
      </c>
      <c r="T68" s="193">
        <f t="shared" si="31"/>
        <v>44</v>
      </c>
      <c r="U68" s="157">
        <f t="shared" si="32"/>
        <v>0.280254777070064</v>
      </c>
      <c r="V68" s="94">
        <f t="shared" si="33"/>
        <v>0.301879603378186</v>
      </c>
      <c r="W68" s="91">
        <v>76400</v>
      </c>
      <c r="X68" s="91">
        <v>999</v>
      </c>
      <c r="Y68" s="91">
        <v>113</v>
      </c>
      <c r="Z68" s="200">
        <v>1006.21</v>
      </c>
      <c r="AA68" s="199">
        <v>2412.73</v>
      </c>
      <c r="AB68" s="64">
        <v>1.01</v>
      </c>
      <c r="AC68" s="71">
        <f t="shared" si="34"/>
        <v>0.417042105830325</v>
      </c>
      <c r="AD68" s="72">
        <f t="shared" si="35"/>
        <v>0.0130759162303665</v>
      </c>
      <c r="AE68" s="159">
        <f t="shared" si="36"/>
        <v>0.113113113113113</v>
      </c>
      <c r="AF68" s="154">
        <f t="shared" si="37"/>
        <v>8.90451327433628</v>
      </c>
      <c r="AG68" s="160">
        <v>29</v>
      </c>
      <c r="AH68" s="161">
        <v>66</v>
      </c>
      <c r="AI68" s="165">
        <v>11</v>
      </c>
      <c r="AJ68" s="166">
        <v>52</v>
      </c>
      <c r="AK68" s="163">
        <f>AG68*产品成本!$D$11+AH68*产品成本!$D$12+AI68*产品成本!$D$13+AJ68*产品成本!$D$14</f>
        <v>790.300845070422</v>
      </c>
      <c r="AL68" s="163">
        <f>AG68*产品成本!$E$11+AH68*产品成本!$E$12+AI68*产品成本!$E$13+AJ68*产品成本!$E$14</f>
        <v>66.4349295774648</v>
      </c>
      <c r="AM68" s="163">
        <f>AG68*产品成本!$F$11+AH68*产品成本!$F$12+AI68*产品成本!$F$13+AJ68*产品成本!$F$14</f>
        <v>53.72</v>
      </c>
      <c r="AN68" s="163">
        <f>AG68*产品成本!$G$11+AH68*产品成本!$G$12+AI68*产品成本!$G$13+AJ68*产品成本!$G$14</f>
        <v>616.2</v>
      </c>
      <c r="AO68" s="163">
        <f t="shared" si="38"/>
        <v>499.9725</v>
      </c>
      <c r="AP68" s="164">
        <f t="shared" si="39"/>
        <v>2026.62827464789</v>
      </c>
      <c r="AQ68" s="165">
        <v>4</v>
      </c>
      <c r="AR68" s="165">
        <v>3</v>
      </c>
      <c r="AS68" s="165">
        <v>2</v>
      </c>
      <c r="AT68" s="166">
        <v>3</v>
      </c>
      <c r="AU68" s="167">
        <f t="shared" si="40"/>
        <v>250.207317073171</v>
      </c>
      <c r="AV68" s="163">
        <f>AQ68*产品成本!$D$11+AR68*产品成本!$D$12+AS68*产品成本!$D$13+AT68*产品成本!$D$14</f>
        <v>56.7566197183098</v>
      </c>
      <c r="AW68" s="163">
        <f>AQ68*产品成本!$E$11+AR68*产品成本!$E$12+AS68*产品成本!$E$13+AT68*产品成本!$E$14</f>
        <v>4.94602816901409</v>
      </c>
      <c r="AX68" s="163">
        <f>AQ68*产品成本!$F$11+AR68*产品成本!$F$12+AS68*产品成本!$F$13+AT68*产品成本!$F$14</f>
        <v>4.08</v>
      </c>
      <c r="AY68" s="163"/>
      <c r="AZ68" s="163">
        <f t="shared" si="41"/>
        <v>37.5310975609756</v>
      </c>
      <c r="BA68" s="163">
        <f t="shared" si="42"/>
        <v>-7.50621951219512</v>
      </c>
      <c r="BB68" s="164">
        <f t="shared" si="43"/>
        <v>95.8075259361044</v>
      </c>
      <c r="BC68" s="169">
        <f t="shared" si="44"/>
        <v>1930.82074871178</v>
      </c>
      <c r="BD68" s="169">
        <f t="shared" si="45"/>
        <v>3333.15</v>
      </c>
      <c r="BE68" s="169">
        <f t="shared" si="46"/>
        <v>3082.94268292683</v>
      </c>
      <c r="BF68" s="168">
        <f t="shared" si="47"/>
        <v>145.911934215047</v>
      </c>
      <c r="BG68" s="170">
        <f t="shared" si="48"/>
        <v>0.0473287859106493</v>
      </c>
      <c r="BH68" t="s">
        <v>354</v>
      </c>
      <c r="BI68" t="s">
        <v>94</v>
      </c>
    </row>
    <row r="69" ht="29.1" customHeight="1" spans="1:61">
      <c r="A69" s="61" t="s">
        <v>236</v>
      </c>
      <c r="B69" s="81" t="s">
        <v>237</v>
      </c>
      <c r="C69" s="90">
        <v>118</v>
      </c>
      <c r="D69" s="91">
        <v>116</v>
      </c>
      <c r="E69" s="64">
        <v>2579</v>
      </c>
      <c r="F69" s="148">
        <v>29</v>
      </c>
      <c r="G69" s="148">
        <v>28</v>
      </c>
      <c r="H69" s="64">
        <v>650.81</v>
      </c>
      <c r="I69" s="64">
        <v>66</v>
      </c>
      <c r="J69" s="149">
        <v>7</v>
      </c>
      <c r="K69" s="150">
        <f t="shared" si="26"/>
        <v>0.0593220338983051</v>
      </c>
      <c r="L69" s="151">
        <v>132.04</v>
      </c>
      <c r="M69" s="152">
        <f t="shared" si="49"/>
        <v>-0.313953488372093</v>
      </c>
      <c r="N69" s="150">
        <f t="shared" si="50"/>
        <v>-0.313609467455621</v>
      </c>
      <c r="O69" s="150">
        <f t="shared" si="51"/>
        <v>-0.316473544160209</v>
      </c>
      <c r="P69" s="153">
        <f t="shared" si="27"/>
        <v>1.01724137931034</v>
      </c>
      <c r="Q69" s="154">
        <f t="shared" si="28"/>
        <v>22.2327586206897</v>
      </c>
      <c r="R69" s="187">
        <f t="shared" si="29"/>
        <v>21.8559322033898</v>
      </c>
      <c r="S69" s="155">
        <f t="shared" si="52"/>
        <v>4</v>
      </c>
      <c r="T69" s="193">
        <f t="shared" si="31"/>
        <v>29</v>
      </c>
      <c r="U69" s="157">
        <f t="shared" si="32"/>
        <v>0.25</v>
      </c>
      <c r="V69" s="94">
        <f t="shared" si="33"/>
        <v>0.306144050935137</v>
      </c>
      <c r="W69" s="91">
        <v>62879</v>
      </c>
      <c r="X69" s="91">
        <v>757</v>
      </c>
      <c r="Y69" s="91">
        <v>87</v>
      </c>
      <c r="Z69" s="200">
        <v>769.34</v>
      </c>
      <c r="AA69" s="199">
        <v>1833.27</v>
      </c>
      <c r="AB69" s="64">
        <v>1.02</v>
      </c>
      <c r="AC69" s="71">
        <f t="shared" si="34"/>
        <v>0.419654497155356</v>
      </c>
      <c r="AD69" s="72">
        <f t="shared" si="35"/>
        <v>0.0120389955310994</v>
      </c>
      <c r="AE69" s="159">
        <f t="shared" si="36"/>
        <v>0.114927344782034</v>
      </c>
      <c r="AF69" s="154">
        <f t="shared" si="37"/>
        <v>8.84298850574713</v>
      </c>
      <c r="AG69" s="160">
        <v>23</v>
      </c>
      <c r="AH69" s="161">
        <v>58</v>
      </c>
      <c r="AI69" s="165">
        <v>9</v>
      </c>
      <c r="AJ69" s="166">
        <v>28</v>
      </c>
      <c r="AK69" s="163">
        <f>AG69*产品成本!$D$11+AH69*产品成本!$D$12+AI69*产品成本!$D$13+AJ69*产品成本!$D$14</f>
        <v>612.335774647887</v>
      </c>
      <c r="AL69" s="163">
        <f>AG69*产品成本!$E$11+AH69*产品成本!$E$12+AI69*产品成本!$E$13+AJ69*产品成本!$E$14</f>
        <v>47.7428732394367</v>
      </c>
      <c r="AM69" s="163">
        <f>AG69*产品成本!$F$11+AH69*产品成本!$F$12+AI69*产品成本!$F$13+AJ69*产品成本!$F$14</f>
        <v>40.12</v>
      </c>
      <c r="AN69" s="163">
        <f>AG69*产品成本!$G$11+AH69*产品成本!$G$12+AI69*产品成本!$G$13+AJ69*产品成本!$G$14</f>
        <v>460.2</v>
      </c>
      <c r="AO69" s="163">
        <f t="shared" si="38"/>
        <v>376.95</v>
      </c>
      <c r="AP69" s="164">
        <f t="shared" si="39"/>
        <v>1537.34864788732</v>
      </c>
      <c r="AQ69" s="165">
        <v>1</v>
      </c>
      <c r="AR69" s="165">
        <v>4</v>
      </c>
      <c r="AS69" s="165">
        <v>0</v>
      </c>
      <c r="AT69" s="166">
        <v>2</v>
      </c>
      <c r="AU69" s="167">
        <f t="shared" si="40"/>
        <v>161.024390243902</v>
      </c>
      <c r="AV69" s="163">
        <f>AQ69*产品成本!$D$11+AR69*产品成本!$D$12+AS69*产品成本!$D$13+AT69*产品成本!$D$14</f>
        <v>37.6</v>
      </c>
      <c r="AW69" s="163">
        <f>AQ69*产品成本!$E$11+AR69*产品成本!$E$12+AS69*产品成本!$E$13+AT69*产品成本!$E$14</f>
        <v>2.86084507042254</v>
      </c>
      <c r="AX69" s="163">
        <f>AQ69*产品成本!$F$11+AR69*产品成本!$F$12+AS69*产品成本!$F$13+AT69*产品成本!$F$14</f>
        <v>2.38</v>
      </c>
      <c r="AY69" s="163"/>
      <c r="AZ69" s="163">
        <f t="shared" si="41"/>
        <v>24.1536585365854</v>
      </c>
      <c r="BA69" s="163">
        <f t="shared" si="42"/>
        <v>-4.83073170731707</v>
      </c>
      <c r="BB69" s="164">
        <f t="shared" si="43"/>
        <v>62.1637718996908</v>
      </c>
      <c r="BC69" s="169">
        <f t="shared" si="44"/>
        <v>1475.18487598763</v>
      </c>
      <c r="BD69" s="169">
        <f t="shared" si="45"/>
        <v>2513</v>
      </c>
      <c r="BE69" s="169">
        <f t="shared" si="46"/>
        <v>2351.9756097561</v>
      </c>
      <c r="BF69" s="168">
        <f t="shared" si="47"/>
        <v>107.450733768464</v>
      </c>
      <c r="BG69" s="170">
        <f t="shared" si="48"/>
        <v>0.0456853095426475</v>
      </c>
      <c r="BH69" t="s">
        <v>355</v>
      </c>
      <c r="BI69" t="s">
        <v>356</v>
      </c>
    </row>
    <row r="70" ht="29.1" customHeight="1" spans="1:61">
      <c r="A70" s="61" t="s">
        <v>240</v>
      </c>
      <c r="B70" s="81" t="s">
        <v>241</v>
      </c>
      <c r="C70" s="90">
        <v>130</v>
      </c>
      <c r="D70" s="91">
        <v>130</v>
      </c>
      <c r="E70" s="64">
        <v>2830.7</v>
      </c>
      <c r="F70" s="148">
        <v>67</v>
      </c>
      <c r="G70" s="148">
        <v>67</v>
      </c>
      <c r="H70" s="64">
        <v>1453.63</v>
      </c>
      <c r="I70" s="64">
        <v>148.5</v>
      </c>
      <c r="J70" s="149">
        <v>14</v>
      </c>
      <c r="K70" s="150">
        <f t="shared" si="26"/>
        <v>0.107692307692308</v>
      </c>
      <c r="L70" s="151">
        <v>241.1</v>
      </c>
      <c r="M70" s="152">
        <f t="shared" si="49"/>
        <v>-0.177215189873418</v>
      </c>
      <c r="N70" s="150">
        <f t="shared" si="50"/>
        <v>-0.171974522292994</v>
      </c>
      <c r="O70" s="150">
        <f t="shared" si="51"/>
        <v>-0.156133363542052</v>
      </c>
      <c r="P70" s="153">
        <f t="shared" si="27"/>
        <v>1</v>
      </c>
      <c r="Q70" s="154">
        <f t="shared" si="28"/>
        <v>21.7746153846154</v>
      </c>
      <c r="R70" s="187">
        <f t="shared" si="29"/>
        <v>21.7746153846154</v>
      </c>
      <c r="S70" s="155">
        <f t="shared" si="52"/>
        <v>9.57142857142857</v>
      </c>
      <c r="T70" s="193">
        <f t="shared" si="31"/>
        <v>35</v>
      </c>
      <c r="U70" s="157">
        <f t="shared" si="32"/>
        <v>0.269230769230769</v>
      </c>
      <c r="V70" s="94">
        <f t="shared" si="33"/>
        <v>0.300838863619417</v>
      </c>
      <c r="W70" s="91">
        <v>72249</v>
      </c>
      <c r="X70" s="91">
        <v>808</v>
      </c>
      <c r="Y70" s="91">
        <v>95</v>
      </c>
      <c r="Z70" s="200">
        <v>806.91</v>
      </c>
      <c r="AA70" s="199">
        <v>2033.78</v>
      </c>
      <c r="AB70" s="64">
        <v>1</v>
      </c>
      <c r="AC70" s="71">
        <f t="shared" si="34"/>
        <v>0.396753827847653</v>
      </c>
      <c r="AD70" s="72">
        <f t="shared" si="35"/>
        <v>0.0111835457930214</v>
      </c>
      <c r="AE70" s="159">
        <f t="shared" si="36"/>
        <v>0.117574257425743</v>
      </c>
      <c r="AF70" s="154">
        <f t="shared" si="37"/>
        <v>8.49378947368421</v>
      </c>
      <c r="AG70" s="160">
        <v>20</v>
      </c>
      <c r="AH70" s="161">
        <v>65</v>
      </c>
      <c r="AI70" s="165">
        <v>10</v>
      </c>
      <c r="AJ70" s="166">
        <v>35</v>
      </c>
      <c r="AK70" s="163">
        <f>AG70*产品成本!$D$11+AH70*产品成本!$D$12+AI70*产品成本!$D$13+AJ70*产品成本!$D$14</f>
        <v>669.642253521127</v>
      </c>
      <c r="AL70" s="163">
        <f>AG70*产品成本!$E$11+AH70*产品成本!$E$12+AI70*产品成本!$E$13+AJ70*产品成本!$E$14</f>
        <v>53.3385915492958</v>
      </c>
      <c r="AM70" s="163">
        <f>AG70*产品成本!$F$11+AH70*产品成本!$F$12+AI70*产品成本!$F$13+AJ70*产品成本!$F$14</f>
        <v>44.2</v>
      </c>
      <c r="AN70" s="163">
        <f>AG70*产品成本!$G$11+AH70*产品成本!$G$12+AI70*产品成本!$G$13+AJ70*产品成本!$G$14</f>
        <v>507</v>
      </c>
      <c r="AO70" s="163">
        <f t="shared" si="38"/>
        <v>402.33</v>
      </c>
      <c r="AP70" s="164">
        <f t="shared" si="39"/>
        <v>1676.51084507042</v>
      </c>
      <c r="AQ70" s="165">
        <v>2</v>
      </c>
      <c r="AR70" s="165">
        <v>4</v>
      </c>
      <c r="AS70" s="165">
        <v>2</v>
      </c>
      <c r="AT70" s="166">
        <v>6</v>
      </c>
      <c r="AU70" s="167">
        <f t="shared" si="40"/>
        <v>294.024390243902</v>
      </c>
      <c r="AV70" s="163">
        <f>AQ70*产品成本!$D$11+AR70*产品成本!$D$12+AS70*产品成本!$D$13+AT70*产品成本!$D$14</f>
        <v>63.9312676056338</v>
      </c>
      <c r="AW70" s="163">
        <f>AQ70*产品成本!$E$11+AR70*产品成本!$E$12+AS70*产品成本!$E$13+AT70*产品成本!$E$14</f>
        <v>6.19357746478874</v>
      </c>
      <c r="AX70" s="163">
        <f>AQ70*产品成本!$F$11+AR70*产品成本!$F$12+AS70*产品成本!$F$13+AT70*产品成本!$F$14</f>
        <v>4.76</v>
      </c>
      <c r="AY70" s="163"/>
      <c r="AZ70" s="163">
        <f t="shared" si="41"/>
        <v>44.1036585365854</v>
      </c>
      <c r="BA70" s="163">
        <f t="shared" si="42"/>
        <v>-8.82073170731707</v>
      </c>
      <c r="BB70" s="164">
        <f t="shared" si="43"/>
        <v>110.167771899691</v>
      </c>
      <c r="BC70" s="169">
        <f t="shared" si="44"/>
        <v>1566.34307317073</v>
      </c>
      <c r="BD70" s="169">
        <f t="shared" si="45"/>
        <v>2682.2</v>
      </c>
      <c r="BE70" s="169">
        <f t="shared" si="46"/>
        <v>2388.1756097561</v>
      </c>
      <c r="BF70" s="168">
        <f t="shared" si="47"/>
        <v>14.9225365853657</v>
      </c>
      <c r="BG70" s="170">
        <f t="shared" si="48"/>
        <v>0.00624850891383559</v>
      </c>
      <c r="BI70" t="s">
        <v>356</v>
      </c>
    </row>
    <row r="71" ht="29.1" customHeight="1" spans="1:61">
      <c r="A71" s="61" t="s">
        <v>244</v>
      </c>
      <c r="B71" s="81" t="s">
        <v>245</v>
      </c>
      <c r="C71" s="90">
        <v>170</v>
      </c>
      <c r="D71" s="91">
        <v>168</v>
      </c>
      <c r="E71" s="64">
        <v>3620.63</v>
      </c>
      <c r="F71" s="148">
        <v>80</v>
      </c>
      <c r="G71" s="148">
        <v>78</v>
      </c>
      <c r="H71" s="64">
        <v>1771.2</v>
      </c>
      <c r="I71" s="64">
        <v>184.35</v>
      </c>
      <c r="J71" s="149">
        <v>8</v>
      </c>
      <c r="K71" s="150">
        <f t="shared" si="26"/>
        <v>0.0470588235294118</v>
      </c>
      <c r="L71" s="151">
        <v>152.72</v>
      </c>
      <c r="M71" s="152">
        <f t="shared" si="49"/>
        <v>0.440677966101695</v>
      </c>
      <c r="N71" s="150">
        <f t="shared" si="50"/>
        <v>0.448275862068966</v>
      </c>
      <c r="O71" s="150">
        <f t="shared" si="51"/>
        <v>0.403889104303994</v>
      </c>
      <c r="P71" s="153">
        <f t="shared" si="27"/>
        <v>1.01190476190476</v>
      </c>
      <c r="Q71" s="154">
        <f t="shared" si="28"/>
        <v>21.551369047619</v>
      </c>
      <c r="R71" s="187">
        <f t="shared" si="29"/>
        <v>21.2978235294118</v>
      </c>
      <c r="S71" s="155">
        <f t="shared" si="52"/>
        <v>11.1428571428571</v>
      </c>
      <c r="T71" s="193">
        <f t="shared" si="31"/>
        <v>23</v>
      </c>
      <c r="U71" s="157">
        <f t="shared" si="32"/>
        <v>0.136904761904762</v>
      </c>
      <c r="V71" s="94">
        <f t="shared" si="33"/>
        <v>0.320512298182919</v>
      </c>
      <c r="W71" s="91">
        <v>85640</v>
      </c>
      <c r="X71" s="91">
        <v>1059</v>
      </c>
      <c r="Y71" s="91">
        <v>145</v>
      </c>
      <c r="Z71" s="200">
        <v>1101.37</v>
      </c>
      <c r="AA71" s="199">
        <v>3054.59</v>
      </c>
      <c r="AB71" s="64">
        <v>1.04</v>
      </c>
      <c r="AC71" s="71">
        <f t="shared" si="34"/>
        <v>0.360562301323582</v>
      </c>
      <c r="AD71" s="72">
        <f t="shared" si="35"/>
        <v>0.0123657169546941</v>
      </c>
      <c r="AE71" s="159">
        <f t="shared" si="36"/>
        <v>0.136921624173749</v>
      </c>
      <c r="AF71" s="154">
        <f t="shared" si="37"/>
        <v>7.59565517241379</v>
      </c>
      <c r="AG71" s="160">
        <v>34</v>
      </c>
      <c r="AH71" s="161">
        <v>76</v>
      </c>
      <c r="AI71" s="165">
        <v>8</v>
      </c>
      <c r="AJ71" s="166">
        <v>52</v>
      </c>
      <c r="AK71" s="163">
        <f>AG71*产品成本!$D$11+AH71*产品成本!$D$12+AI71*产品成本!$D$13+AJ71*产品成本!$D$14</f>
        <v>869.449014084507</v>
      </c>
      <c r="AL71" s="163">
        <f>AG71*产品成本!$E$11+AH71*产品成本!$E$12+AI71*产品成本!$E$13+AJ71*产品成本!$E$14</f>
        <v>70.5554929577465</v>
      </c>
      <c r="AM71" s="163">
        <f>AG71*产品成本!$F$11+AH71*产品成本!$F$12+AI71*产品成本!$F$13+AJ71*产品成本!$F$14</f>
        <v>57.8</v>
      </c>
      <c r="AN71" s="163">
        <f>AG71*产品成本!$G$11+AH71*产品成本!$G$12+AI71*产品成本!$G$13+AJ71*产品成本!$G$14</f>
        <v>663</v>
      </c>
      <c r="AO71" s="163">
        <f t="shared" si="38"/>
        <v>515.442</v>
      </c>
      <c r="AP71" s="164">
        <f t="shared" si="39"/>
        <v>2176.24650704225</v>
      </c>
      <c r="AQ71" s="165">
        <v>0</v>
      </c>
      <c r="AR71" s="165">
        <v>6</v>
      </c>
      <c r="AS71" s="165">
        <v>0</v>
      </c>
      <c r="AT71" s="166">
        <v>2</v>
      </c>
      <c r="AU71" s="167">
        <f t="shared" si="40"/>
        <v>186.243902439024</v>
      </c>
      <c r="AV71" s="163">
        <f>AQ71*产品成本!$D$11+AR71*产品成本!$D$12+AS71*产品成本!$D$13+AT71*产品成本!$D$14</f>
        <v>44.7830985915493</v>
      </c>
      <c r="AW71" s="163">
        <f>AQ71*产品成本!$E$11+AR71*产品成本!$E$12+AS71*产品成本!$E$13+AT71*产品成本!$E$14</f>
        <v>3.21892957746479</v>
      </c>
      <c r="AX71" s="163">
        <f>AQ71*产品成本!$F$11+AR71*产品成本!$F$12+AS71*产品成本!$F$13+AT71*产品成本!$F$14</f>
        <v>2.72</v>
      </c>
      <c r="AY71" s="163"/>
      <c r="AZ71" s="163">
        <f t="shared" si="41"/>
        <v>27.9365853658537</v>
      </c>
      <c r="BA71" s="163">
        <f t="shared" si="42"/>
        <v>-5.58731707317073</v>
      </c>
      <c r="BB71" s="164">
        <f t="shared" si="43"/>
        <v>73.071296461697</v>
      </c>
      <c r="BC71" s="169">
        <f t="shared" si="44"/>
        <v>2103.17521058056</v>
      </c>
      <c r="BD71" s="169">
        <f t="shared" si="45"/>
        <v>3436.28</v>
      </c>
      <c r="BE71" s="169">
        <f t="shared" si="46"/>
        <v>3250.03609756098</v>
      </c>
      <c r="BF71" s="168">
        <f t="shared" si="47"/>
        <v>45.4908869804194</v>
      </c>
      <c r="BG71" s="170">
        <f t="shared" si="48"/>
        <v>0.0139970405296601</v>
      </c>
      <c r="BI71" t="s">
        <v>356</v>
      </c>
    </row>
    <row r="72" ht="29.1" customHeight="1" spans="1:61">
      <c r="A72" s="61" t="s">
        <v>247</v>
      </c>
      <c r="B72" s="81" t="s">
        <v>248</v>
      </c>
      <c r="C72" s="90">
        <v>237</v>
      </c>
      <c r="D72" s="91">
        <v>235</v>
      </c>
      <c r="E72" s="64">
        <v>5136.93</v>
      </c>
      <c r="F72" s="148">
        <v>20</v>
      </c>
      <c r="G72" s="148">
        <v>18</v>
      </c>
      <c r="H72" s="64">
        <v>456.8</v>
      </c>
      <c r="I72" s="64">
        <v>50.02</v>
      </c>
      <c r="J72" s="149">
        <v>10</v>
      </c>
      <c r="K72" s="150">
        <f t="shared" si="26"/>
        <v>0.0421940928270042</v>
      </c>
      <c r="L72" s="151">
        <v>186.63</v>
      </c>
      <c r="M72" s="152">
        <f t="shared" si="49"/>
        <v>0.823076923076923</v>
      </c>
      <c r="N72" s="150">
        <f t="shared" si="50"/>
        <v>0.807692307692308</v>
      </c>
      <c r="O72" s="150">
        <f t="shared" si="51"/>
        <v>0.814720740452892</v>
      </c>
      <c r="P72" s="153">
        <f t="shared" si="27"/>
        <v>1.00851063829787</v>
      </c>
      <c r="Q72" s="154">
        <f t="shared" si="28"/>
        <v>21.8592765957447</v>
      </c>
      <c r="R72" s="187">
        <f t="shared" si="29"/>
        <v>21.6748101265823</v>
      </c>
      <c r="S72" s="155">
        <f t="shared" si="52"/>
        <v>2.57142857142857</v>
      </c>
      <c r="T72" s="193">
        <f t="shared" si="31"/>
        <v>34</v>
      </c>
      <c r="U72" s="157">
        <f t="shared" si="32"/>
        <v>0.14468085106383</v>
      </c>
      <c r="V72" s="94">
        <f t="shared" si="33"/>
        <v>0.32130704101311</v>
      </c>
      <c r="W72" s="91">
        <v>112297</v>
      </c>
      <c r="X72" s="91">
        <v>1538</v>
      </c>
      <c r="Y72" s="91">
        <v>201</v>
      </c>
      <c r="Z72" s="200">
        <v>1634.46</v>
      </c>
      <c r="AA72" s="199">
        <v>4312.8</v>
      </c>
      <c r="AB72" s="64">
        <v>1.06</v>
      </c>
      <c r="AC72" s="71">
        <f t="shared" si="34"/>
        <v>0.378978853644964</v>
      </c>
      <c r="AD72" s="72">
        <f t="shared" si="35"/>
        <v>0.0136958244654799</v>
      </c>
      <c r="AE72" s="159">
        <f t="shared" si="36"/>
        <v>0.130689206762029</v>
      </c>
      <c r="AF72" s="154">
        <f t="shared" si="37"/>
        <v>8.13164179104478</v>
      </c>
      <c r="AG72" s="160">
        <v>43</v>
      </c>
      <c r="AH72" s="161">
        <v>109</v>
      </c>
      <c r="AI72" s="165">
        <v>14</v>
      </c>
      <c r="AJ72" s="166">
        <v>71</v>
      </c>
      <c r="AK72" s="163">
        <f>AG72*产品成本!$D$11+AH72*产品成本!$D$12+AI72*产品成本!$D$13+AJ72*产品成本!$D$14</f>
        <v>1210.81746478873</v>
      </c>
      <c r="AL72" s="163">
        <f>AG72*产品成本!$E$11+AH72*产品成本!$E$12+AI72*产品成本!$E$13+AJ72*产品成本!$E$14</f>
        <v>98.2654647887325</v>
      </c>
      <c r="AM72" s="163">
        <f>AG72*产品成本!$F$11+AH72*产品成本!$F$12+AI72*产品成本!$F$13+AJ72*产品成本!$F$14</f>
        <v>80.58</v>
      </c>
      <c r="AN72" s="163">
        <f>AG72*产品成本!$G$11+AH72*产品成本!$G$12+AI72*产品成本!$G$13+AJ72*产品成本!$G$14</f>
        <v>924.3</v>
      </c>
      <c r="AO72" s="163">
        <f t="shared" si="38"/>
        <v>763.0365</v>
      </c>
      <c r="AP72" s="164">
        <f t="shared" si="39"/>
        <v>3076.99942957746</v>
      </c>
      <c r="AQ72" s="165">
        <v>4</v>
      </c>
      <c r="AR72" s="165">
        <v>4</v>
      </c>
      <c r="AS72" s="165">
        <v>0</v>
      </c>
      <c r="AT72" s="166">
        <v>2</v>
      </c>
      <c r="AU72" s="167">
        <f t="shared" si="40"/>
        <v>227.59756097561</v>
      </c>
      <c r="AV72" s="163">
        <f>AQ72*产品成本!$D$11+AR72*产品成本!$D$12+AS72*产品成本!$D$13+AT72*产品成本!$D$14</f>
        <v>53.2338028169014</v>
      </c>
      <c r="AW72" s="163">
        <f>AQ72*产品成本!$E$11+AR72*产品成本!$E$12+AS72*产品成本!$E$13+AT72*产品成本!$E$14</f>
        <v>3.9350985915493</v>
      </c>
      <c r="AX72" s="163">
        <f>AQ72*产品成本!$F$11+AR72*产品成本!$F$12+AS72*产品成本!$F$13+AT72*产品成本!$F$14</f>
        <v>3.4</v>
      </c>
      <c r="AY72" s="163"/>
      <c r="AZ72" s="163">
        <f t="shared" si="41"/>
        <v>34.1396341463415</v>
      </c>
      <c r="BA72" s="163">
        <f t="shared" si="42"/>
        <v>-6.82792682926829</v>
      </c>
      <c r="BB72" s="164">
        <f t="shared" si="43"/>
        <v>87.8806087255239</v>
      </c>
      <c r="BC72" s="169">
        <f t="shared" si="44"/>
        <v>2989.11882085194</v>
      </c>
      <c r="BD72" s="169">
        <f t="shared" si="45"/>
        <v>5086.91</v>
      </c>
      <c r="BE72" s="169">
        <f t="shared" si="46"/>
        <v>4859.31243902439</v>
      </c>
      <c r="BF72" s="168">
        <f t="shared" si="47"/>
        <v>235.733618172449</v>
      </c>
      <c r="BG72" s="170">
        <f t="shared" si="48"/>
        <v>0.048511722827145</v>
      </c>
      <c r="BI72" t="s">
        <v>356</v>
      </c>
    </row>
    <row r="73" ht="29.1" customHeight="1" spans="1:61">
      <c r="A73" s="61" t="s">
        <v>250</v>
      </c>
      <c r="B73" s="81" t="s">
        <v>251</v>
      </c>
      <c r="C73" s="90">
        <v>215</v>
      </c>
      <c r="D73" s="91">
        <v>213</v>
      </c>
      <c r="E73" s="64">
        <v>4541.57</v>
      </c>
      <c r="F73" s="148">
        <v>25</v>
      </c>
      <c r="G73" s="148">
        <v>25</v>
      </c>
      <c r="H73" s="64">
        <v>553.25</v>
      </c>
      <c r="I73" s="64">
        <v>60.7</v>
      </c>
      <c r="J73" s="149">
        <v>11</v>
      </c>
      <c r="K73" s="150">
        <f t="shared" si="26"/>
        <v>0.0511627906976744</v>
      </c>
      <c r="L73" s="151">
        <v>211.26</v>
      </c>
      <c r="M73" s="152">
        <f t="shared" si="49"/>
        <v>0.264705882352941</v>
      </c>
      <c r="N73" s="150">
        <f t="shared" si="50"/>
        <v>0.267857142857143</v>
      </c>
      <c r="O73" s="150">
        <f t="shared" si="51"/>
        <v>0.254359048010981</v>
      </c>
      <c r="P73" s="153">
        <f t="shared" si="27"/>
        <v>1.0093896713615</v>
      </c>
      <c r="Q73" s="154">
        <f t="shared" si="28"/>
        <v>21.3219248826291</v>
      </c>
      <c r="R73" s="187">
        <f t="shared" si="29"/>
        <v>21.1235813953488</v>
      </c>
      <c r="S73" s="155">
        <f t="shared" si="52"/>
        <v>3.57142857142857</v>
      </c>
      <c r="T73" s="193">
        <f t="shared" si="31"/>
        <v>29</v>
      </c>
      <c r="U73" s="157">
        <f t="shared" si="32"/>
        <v>0.136150234741784</v>
      </c>
      <c r="V73" s="94">
        <f t="shared" si="33"/>
        <v>0.325780484593394</v>
      </c>
      <c r="W73" s="91">
        <v>115042</v>
      </c>
      <c r="X73" s="91">
        <v>1382</v>
      </c>
      <c r="Y73" s="91">
        <v>184</v>
      </c>
      <c r="Z73" s="200">
        <v>1459.78</v>
      </c>
      <c r="AA73" s="199">
        <v>3912.16</v>
      </c>
      <c r="AB73" s="64">
        <v>1.06</v>
      </c>
      <c r="AC73" s="71">
        <f t="shared" si="34"/>
        <v>0.373139135413685</v>
      </c>
      <c r="AD73" s="72">
        <f t="shared" si="35"/>
        <v>0.0120130039463848</v>
      </c>
      <c r="AE73" s="159">
        <f t="shared" si="36"/>
        <v>0.133140376266281</v>
      </c>
      <c r="AF73" s="154">
        <f t="shared" si="37"/>
        <v>7.93358695652174</v>
      </c>
      <c r="AG73" s="160">
        <v>24</v>
      </c>
      <c r="AH73" s="161">
        <v>92</v>
      </c>
      <c r="AI73" s="165">
        <v>11</v>
      </c>
      <c r="AJ73" s="166">
        <v>88</v>
      </c>
      <c r="AK73" s="163">
        <f>AG73*产品成本!$D$11+AH73*产品成本!$D$12+AI73*产品成本!$D$13+AJ73*产品成本!$D$14</f>
        <v>1062.17126760563</v>
      </c>
      <c r="AL73" s="163">
        <f>AG73*产品成本!$E$11+AH73*产品成本!$E$12+AI73*产品成本!$E$13+AJ73*产品成本!$E$14</f>
        <v>93.222309859155</v>
      </c>
      <c r="AM73" s="163">
        <f>AG73*产品成本!$F$11+AH73*产品成本!$F$12+AI73*产品成本!$F$13+AJ73*产品成本!$F$14</f>
        <v>73.1</v>
      </c>
      <c r="AN73" s="163">
        <f>AG73*产品成本!$G$11+AH73*产品成本!$G$12+AI73*产品成本!$G$13+AJ73*产品成本!$G$14</f>
        <v>838.5</v>
      </c>
      <c r="AO73" s="163">
        <f t="shared" si="38"/>
        <v>672.1305</v>
      </c>
      <c r="AP73" s="164">
        <f t="shared" si="39"/>
        <v>2739.12407746479</v>
      </c>
      <c r="AQ73" s="165">
        <v>3</v>
      </c>
      <c r="AR73" s="165">
        <v>6</v>
      </c>
      <c r="AS73" s="165">
        <v>0</v>
      </c>
      <c r="AT73" s="166">
        <v>2</v>
      </c>
      <c r="AU73" s="167">
        <f t="shared" si="40"/>
        <v>257.634146341463</v>
      </c>
      <c r="AV73" s="163">
        <f>AQ73*产品成本!$D$11+AR73*产品成本!$D$12+AS73*产品成本!$D$13+AT73*产品成本!$D$14</f>
        <v>60.4169014084507</v>
      </c>
      <c r="AW73" s="163">
        <f>AQ73*产品成本!$E$11+AR73*产品成本!$E$12+AS73*产品成本!$E$13+AT73*产品成本!$E$14</f>
        <v>4.29318309859155</v>
      </c>
      <c r="AX73" s="163">
        <f>AQ73*产品成本!$F$11+AR73*产品成本!$F$12+AS73*产品成本!$F$13+AT73*产品成本!$F$14</f>
        <v>3.74</v>
      </c>
      <c r="AY73" s="163"/>
      <c r="AZ73" s="163">
        <f t="shared" si="41"/>
        <v>38.6451219512195</v>
      </c>
      <c r="BA73" s="163">
        <f t="shared" si="42"/>
        <v>-7.7290243902439</v>
      </c>
      <c r="BB73" s="164">
        <f t="shared" si="43"/>
        <v>99.3661820680178</v>
      </c>
      <c r="BC73" s="169">
        <f t="shared" si="44"/>
        <v>2639.75789539677</v>
      </c>
      <c r="BD73" s="169">
        <f t="shared" si="45"/>
        <v>4480.87</v>
      </c>
      <c r="BE73" s="169">
        <f t="shared" si="46"/>
        <v>4223.23585365854</v>
      </c>
      <c r="BF73" s="168">
        <f t="shared" si="47"/>
        <v>123.697958261765</v>
      </c>
      <c r="BG73" s="170">
        <f t="shared" si="48"/>
        <v>0.0292898532187368</v>
      </c>
      <c r="BH73" t="s">
        <v>357</v>
      </c>
      <c r="BI73" t="s">
        <v>358</v>
      </c>
    </row>
    <row r="74" ht="29.1" customHeight="1" spans="1:61">
      <c r="A74" s="61" t="s">
        <v>254</v>
      </c>
      <c r="B74" s="81" t="s">
        <v>255</v>
      </c>
      <c r="C74" s="90">
        <v>238</v>
      </c>
      <c r="D74" s="91">
        <v>233</v>
      </c>
      <c r="E74" s="64">
        <v>5185.82</v>
      </c>
      <c r="F74" s="148">
        <v>145</v>
      </c>
      <c r="G74" s="148">
        <v>140</v>
      </c>
      <c r="H74" s="64">
        <v>3157.05</v>
      </c>
      <c r="I74" s="64">
        <v>329.56</v>
      </c>
      <c r="J74" s="149">
        <v>15</v>
      </c>
      <c r="K74" s="150">
        <f t="shared" si="26"/>
        <v>0.0630252100840336</v>
      </c>
      <c r="L74" s="151">
        <v>274.1</v>
      </c>
      <c r="M74" s="152">
        <f t="shared" si="49"/>
        <v>0.00421940928270042</v>
      </c>
      <c r="N74" s="150">
        <f t="shared" si="50"/>
        <v>-0.00851063829787234</v>
      </c>
      <c r="O74" s="150">
        <f t="shared" si="51"/>
        <v>0.00951735764357299</v>
      </c>
      <c r="P74" s="153">
        <f t="shared" si="27"/>
        <v>1.02145922746781</v>
      </c>
      <c r="Q74" s="154">
        <f t="shared" si="28"/>
        <v>22.2567381974249</v>
      </c>
      <c r="R74" s="187">
        <f t="shared" si="29"/>
        <v>21.7891596638655</v>
      </c>
      <c r="S74" s="155">
        <f t="shared" si="52"/>
        <v>20</v>
      </c>
      <c r="T74" s="193">
        <f t="shared" si="31"/>
        <v>69</v>
      </c>
      <c r="U74" s="157">
        <f t="shared" si="32"/>
        <v>0.296137339055794</v>
      </c>
      <c r="V74" s="94">
        <f t="shared" si="33"/>
        <v>0.284105463875493</v>
      </c>
      <c r="W74" s="91">
        <v>117521</v>
      </c>
      <c r="X74" s="91">
        <v>1333</v>
      </c>
      <c r="Y74" s="91">
        <v>164</v>
      </c>
      <c r="Z74" s="200">
        <v>1379.69</v>
      </c>
      <c r="AA74" s="199">
        <v>3672.84</v>
      </c>
      <c r="AB74" s="64">
        <v>1.04</v>
      </c>
      <c r="AC74" s="71">
        <f t="shared" si="34"/>
        <v>0.375646638568519</v>
      </c>
      <c r="AD74" s="72">
        <f t="shared" si="35"/>
        <v>0.0113426536533896</v>
      </c>
      <c r="AE74" s="159">
        <f t="shared" si="36"/>
        <v>0.123030757689422</v>
      </c>
      <c r="AF74" s="154">
        <f t="shared" si="37"/>
        <v>8.41274390243903</v>
      </c>
      <c r="AG74" s="160">
        <v>47</v>
      </c>
      <c r="AH74" s="161">
        <v>139</v>
      </c>
      <c r="AI74" s="165">
        <v>24</v>
      </c>
      <c r="AJ74" s="166">
        <v>60</v>
      </c>
      <c r="AK74" s="163">
        <f>AG74*产品成本!$D$11+AH74*产品成本!$D$12+AI74*产品成本!$D$13+AJ74*产品成本!$D$14</f>
        <v>1405.37802816901</v>
      </c>
      <c r="AL74" s="163">
        <f>AG74*产品成本!$E$11+AH74*产品成本!$E$12+AI74*产品成本!$E$13+AJ74*产品成本!$E$14</f>
        <v>108.722028169014</v>
      </c>
      <c r="AM74" s="163">
        <f>AG74*产品成本!$F$11+AH74*产品成本!$F$12+AI74*产品成本!$F$13+AJ74*产品成本!$F$14</f>
        <v>91.8</v>
      </c>
      <c r="AN74" s="163">
        <f>AG74*产品成本!$G$11+AH74*产品成本!$G$12+AI74*产品成本!$G$13+AJ74*产品成本!$G$14</f>
        <v>1053</v>
      </c>
      <c r="AO74" s="163">
        <f t="shared" si="38"/>
        <v>728.439</v>
      </c>
      <c r="AP74" s="164">
        <f t="shared" si="39"/>
        <v>3387.33905633803</v>
      </c>
      <c r="AQ74" s="165">
        <v>1</v>
      </c>
      <c r="AR74" s="165">
        <v>8</v>
      </c>
      <c r="AS74" s="165">
        <v>2</v>
      </c>
      <c r="AT74" s="166">
        <v>4</v>
      </c>
      <c r="AU74" s="167">
        <f t="shared" si="40"/>
        <v>334.268292682927</v>
      </c>
      <c r="AV74" s="163">
        <f>AQ74*产品成本!$D$11+AR74*产品成本!$D$12+AS74*产品成本!$D$13+AT74*产品成本!$D$14</f>
        <v>75.9087323943662</v>
      </c>
      <c r="AW74" s="163">
        <f>AQ74*产品成本!$E$11+AR74*产品成本!$E$12+AS74*产品成本!$E$13+AT74*产品成本!$E$14</f>
        <v>6.19740845070423</v>
      </c>
      <c r="AX74" s="163">
        <f>AQ74*产品成本!$F$11+AR74*产品成本!$F$12+AS74*产品成本!$F$13+AT74*产品成本!$F$14</f>
        <v>5.1</v>
      </c>
      <c r="AY74" s="163"/>
      <c r="AZ74" s="163">
        <f t="shared" si="41"/>
        <v>50.140243902439</v>
      </c>
      <c r="BA74" s="163">
        <f t="shared" si="42"/>
        <v>-10.0280487804878</v>
      </c>
      <c r="BB74" s="164">
        <f t="shared" si="43"/>
        <v>127.318335967022</v>
      </c>
      <c r="BC74" s="169">
        <f t="shared" si="44"/>
        <v>3260.02072037101</v>
      </c>
      <c r="BD74" s="169">
        <f t="shared" si="45"/>
        <v>4856.26</v>
      </c>
      <c r="BE74" s="169">
        <f t="shared" si="46"/>
        <v>4521.99170731707</v>
      </c>
      <c r="BF74" s="168">
        <f t="shared" si="47"/>
        <v>-117.719013053934</v>
      </c>
      <c r="BG74" s="170">
        <f t="shared" si="48"/>
        <v>-0.0260325583665825</v>
      </c>
      <c r="BH74" t="s">
        <v>359</v>
      </c>
      <c r="BI74" t="s">
        <v>358</v>
      </c>
    </row>
    <row r="75" ht="29.1" customHeight="1" spans="1:61">
      <c r="A75" s="61" t="s">
        <v>258</v>
      </c>
      <c r="B75" s="81" t="s">
        <v>259</v>
      </c>
      <c r="C75" s="90">
        <v>161</v>
      </c>
      <c r="D75" s="91">
        <v>160</v>
      </c>
      <c r="E75" s="64">
        <v>3584.29</v>
      </c>
      <c r="F75" s="148">
        <v>72</v>
      </c>
      <c r="G75" s="148">
        <v>71</v>
      </c>
      <c r="H75" s="64">
        <v>1625.08</v>
      </c>
      <c r="I75" s="64">
        <v>22.57</v>
      </c>
      <c r="J75" s="149">
        <v>20</v>
      </c>
      <c r="K75" s="150">
        <f t="shared" ref="K75" si="53">J75/C75</f>
        <v>0.124223602484472</v>
      </c>
      <c r="L75" s="151">
        <v>365.71</v>
      </c>
      <c r="M75" s="152">
        <f t="shared" ref="M75" si="54">(C75-C73)/C73</f>
        <v>-0.251162790697674</v>
      </c>
      <c r="N75" s="150">
        <f t="shared" ref="N75" si="55">(D75-D73)/D73</f>
        <v>-0.248826291079812</v>
      </c>
      <c r="O75" s="150">
        <f t="shared" ref="O75" si="56">(E75-E73)/E73</f>
        <v>-0.210781734069936</v>
      </c>
      <c r="P75" s="153">
        <f t="shared" ref="P75" si="57">C75/D75</f>
        <v>1.00625</v>
      </c>
      <c r="Q75" s="154">
        <f t="shared" ref="Q75" si="58">E75/D75</f>
        <v>22.4018125</v>
      </c>
      <c r="R75" s="187">
        <f t="shared" ref="R75" si="59">E75/C75</f>
        <v>22.2626708074534</v>
      </c>
      <c r="S75" s="155">
        <f t="shared" ref="S75" si="60">G75/7</f>
        <v>10.1428571428571</v>
      </c>
      <c r="T75" s="193">
        <f t="shared" ref="T75" si="61">D75-Y75</f>
        <v>38</v>
      </c>
      <c r="U75" s="157">
        <f t="shared" ref="U75" si="62">T75/D75</f>
        <v>0.2375</v>
      </c>
      <c r="V75" s="94">
        <f t="shared" ref="V75" si="63">Z75/(E75-I75)</f>
        <v>0.30590276607931</v>
      </c>
      <c r="W75" s="91">
        <v>109324</v>
      </c>
      <c r="X75" s="91">
        <v>1046</v>
      </c>
      <c r="Y75" s="91">
        <v>122</v>
      </c>
      <c r="Z75" s="200">
        <v>1089.54</v>
      </c>
      <c r="AA75" s="199">
        <v>2901.33</v>
      </c>
      <c r="AB75" s="64">
        <v>1.04</v>
      </c>
      <c r="AC75" s="71">
        <f t="shared" ref="AC75" si="64">Z75/AA75</f>
        <v>0.375531221887893</v>
      </c>
      <c r="AD75" s="72">
        <f t="shared" ref="AD75" si="65">X75/W75</f>
        <v>0.0095678899418243</v>
      </c>
      <c r="AE75" s="159">
        <f t="shared" ref="AE75" si="66">Y75/X75</f>
        <v>0.116634799235182</v>
      </c>
      <c r="AF75" s="154">
        <f t="shared" ref="AF75" si="67">Z75/Y75</f>
        <v>8.93065573770492</v>
      </c>
      <c r="AG75" s="160">
        <v>26</v>
      </c>
      <c r="AH75" s="161">
        <v>95</v>
      </c>
      <c r="AI75" s="165">
        <v>10</v>
      </c>
      <c r="AJ75" s="166">
        <v>30</v>
      </c>
      <c r="AK75" s="163">
        <f>AG75*产品成本!$D$11+AH75*产品成本!$D$12+AI75*产品成本!$D$13+AJ75*产品成本!$D$14</f>
        <v>867.825352112676</v>
      </c>
      <c r="AL75" s="163">
        <f>AG75*产品成本!$E$11+AH75*产品成本!$E$12+AI75*产品成本!$E$13+AJ75*产品成本!$E$14</f>
        <v>63.5535774647888</v>
      </c>
      <c r="AM75" s="163">
        <f>AG75*产品成本!$F$11+AH75*产品成本!$F$12+AI75*产品成本!$F$13+AJ75*产品成本!$F$14</f>
        <v>54.74</v>
      </c>
      <c r="AN75" s="163">
        <f>AG75*产品成本!$G$11+AH75*产品成本!$G$12+AI75*产品成本!$G$13+AJ75*产品成本!$G$14</f>
        <v>627.9</v>
      </c>
      <c r="AO75" s="163">
        <f t="shared" ref="AO75" si="68">(E75-I75)*0.15</f>
        <v>534.258</v>
      </c>
      <c r="AP75" s="164">
        <f t="shared" ref="AP75" si="69">SUM(AK75:AO75)</f>
        <v>2148.27692957746</v>
      </c>
      <c r="AQ75" s="165">
        <v>5</v>
      </c>
      <c r="AR75" s="165">
        <v>11</v>
      </c>
      <c r="AS75" s="165">
        <v>0</v>
      </c>
      <c r="AT75" s="166">
        <v>4</v>
      </c>
      <c r="AU75" s="167">
        <f t="shared" ref="AU75" si="70">L75/(1-0.15-0.15*0.2)</f>
        <v>445.987804878049</v>
      </c>
      <c r="AV75" s="163">
        <f>AQ75*产品成本!$D$11+AR75*产品成本!$D$12+AS75*产品成本!$D$13+AT75*产品成本!$D$14</f>
        <v>109.425352112676</v>
      </c>
      <c r="AW75" s="163">
        <f>AQ75*产品成本!$E$11+AR75*产品成本!$E$12+AS75*产品成本!$E$13+AT75*产品成本!$E$14</f>
        <v>7.8701971830986</v>
      </c>
      <c r="AX75" s="163">
        <f>AQ75*产品成本!$F$11+AR75*产品成本!$F$12+AS75*产品成本!$F$13+AT75*产品成本!$F$14</f>
        <v>6.8</v>
      </c>
      <c r="AY75" s="163"/>
      <c r="AZ75" s="163">
        <f t="shared" ref="AZ75" si="71">AU75*0.15</f>
        <v>66.8981707317073</v>
      </c>
      <c r="BA75" s="163">
        <f t="shared" ref="BA75" si="72">-AZ75*0.2</f>
        <v>-13.3796341463415</v>
      </c>
      <c r="BB75" s="164">
        <f t="shared" ref="BB75" si="73">SUM(AV75:BA75)</f>
        <v>177.614085881141</v>
      </c>
      <c r="BC75" s="169">
        <f t="shared" ref="BC75" si="74">AP75-BB75</f>
        <v>1970.66284369632</v>
      </c>
      <c r="BD75" s="169">
        <f t="shared" ref="BD75" si="75">E75-I75</f>
        <v>3561.72</v>
      </c>
      <c r="BE75" s="169">
        <f t="shared" ref="BE75" si="76">E75-AU75-I75</f>
        <v>3115.73219512195</v>
      </c>
      <c r="BF75" s="168">
        <f t="shared" ref="BF75" si="77">BE75-BC75-Z75</f>
        <v>55.5293514256268</v>
      </c>
      <c r="BG75" s="170">
        <f t="shared" ref="BG75" si="78">BF75/BE75</f>
        <v>0.0178222478531899</v>
      </c>
      <c r="BH75" t="s">
        <v>360</v>
      </c>
      <c r="BI75" t="s">
        <v>361</v>
      </c>
    </row>
    <row r="76" ht="29.1" customHeight="1" spans="1:61">
      <c r="A76" s="61" t="s">
        <v>262</v>
      </c>
      <c r="B76" s="81" t="s">
        <v>263</v>
      </c>
      <c r="C76" s="90">
        <v>186</v>
      </c>
      <c r="D76" s="91">
        <v>182</v>
      </c>
      <c r="E76" s="64">
        <v>3965.65</v>
      </c>
      <c r="F76" s="148">
        <v>118</v>
      </c>
      <c r="G76" s="148">
        <v>115</v>
      </c>
      <c r="H76" s="64">
        <v>2544.02</v>
      </c>
      <c r="I76" s="64">
        <v>21.56</v>
      </c>
      <c r="J76" s="149">
        <v>12</v>
      </c>
      <c r="K76" s="150">
        <f t="shared" ref="K76" si="79">J76/C76</f>
        <v>0.0645161290322581</v>
      </c>
      <c r="L76" s="151">
        <v>219.8</v>
      </c>
      <c r="M76" s="152">
        <f t="shared" ref="M76" si="80">(C76-C74)/C74</f>
        <v>-0.218487394957983</v>
      </c>
      <c r="N76" s="150">
        <f t="shared" ref="N76" si="81">(D76-D74)/D74</f>
        <v>-0.218884120171674</v>
      </c>
      <c r="O76" s="150">
        <f t="shared" ref="O76" si="82">(E76-E74)/E74</f>
        <v>-0.235289693818914</v>
      </c>
      <c r="P76" s="153">
        <f t="shared" ref="P76" si="83">C76/D76</f>
        <v>1.02197802197802</v>
      </c>
      <c r="Q76" s="154">
        <f t="shared" ref="Q76" si="84">E76/D76</f>
        <v>21.7892857142857</v>
      </c>
      <c r="R76" s="187">
        <f t="shared" ref="R76" si="85">E76/C76</f>
        <v>21.3206989247312</v>
      </c>
      <c r="S76" s="155">
        <f t="shared" ref="S76" si="86">G76/7</f>
        <v>16.4285714285714</v>
      </c>
      <c r="T76" s="193">
        <f t="shared" ref="T76" si="87">D76-Y76</f>
        <v>64</v>
      </c>
      <c r="U76" s="157">
        <f t="shared" ref="U76" si="88">T76/D76</f>
        <v>0.351648351648352</v>
      </c>
      <c r="V76" s="94">
        <f t="shared" ref="V76" si="89">Z76/(E76-I76)</f>
        <v>0.303847021746461</v>
      </c>
      <c r="W76" s="91">
        <v>114542</v>
      </c>
      <c r="X76" s="91">
        <v>1174</v>
      </c>
      <c r="Y76" s="91">
        <v>118</v>
      </c>
      <c r="Z76" s="200">
        <v>1198.4</v>
      </c>
      <c r="AA76" s="199">
        <v>2972.85</v>
      </c>
      <c r="AB76" s="64">
        <v>1.02</v>
      </c>
      <c r="AC76" s="71">
        <f t="shared" ref="AC76" si="90">Z76/AA76</f>
        <v>0.403114856114503</v>
      </c>
      <c r="AD76" s="72">
        <f t="shared" ref="AD76" si="91">X76/W76</f>
        <v>0.0102495154615774</v>
      </c>
      <c r="AE76" s="159">
        <f t="shared" ref="AE76" si="92">Y76/X76</f>
        <v>0.100511073253833</v>
      </c>
      <c r="AF76" s="154">
        <f t="shared" ref="AF76" si="93">Z76/Y76</f>
        <v>10.1559322033898</v>
      </c>
      <c r="AG76" s="160">
        <v>46</v>
      </c>
      <c r="AH76" s="161">
        <v>71</v>
      </c>
      <c r="AI76" s="165">
        <v>22</v>
      </c>
      <c r="AJ76" s="166">
        <v>47</v>
      </c>
      <c r="AK76" s="163">
        <f>AG76*产品成本!$D$11+AH76*产品成本!$D$12+AI76*产品成本!$D$13+AJ76*产品成本!$D$14</f>
        <v>923.438309859155</v>
      </c>
      <c r="AL76" s="163">
        <f>AG76*产品成本!$E$11+AH76*产品成本!$E$12+AI76*产品成本!$E$13+AJ76*产品成本!$E$14</f>
        <v>76.222647887324</v>
      </c>
      <c r="AM76" s="163">
        <f>AG76*产品成本!$F$11+AH76*产品成本!$F$12+AI76*产品成本!$F$13+AJ76*产品成本!$F$14</f>
        <v>63.24</v>
      </c>
      <c r="AN76" s="163">
        <f>AG76*产品成本!$G$11+AH76*产品成本!$G$12+AI76*产品成本!$G$13+AJ76*产品成本!$G$14</f>
        <v>725.4</v>
      </c>
      <c r="AO76" s="163">
        <f t="shared" ref="AO76" si="94">(E76-I76)*0.15</f>
        <v>591.6135</v>
      </c>
      <c r="AP76" s="164">
        <f t="shared" ref="AP76" si="95">SUM(AK76:AO76)</f>
        <v>2379.91445774648</v>
      </c>
      <c r="AQ76" s="165">
        <v>2</v>
      </c>
      <c r="AR76" s="165">
        <v>7</v>
      </c>
      <c r="AS76" s="165">
        <v>2</v>
      </c>
      <c r="AT76" s="166">
        <v>1</v>
      </c>
      <c r="AU76" s="167">
        <f t="shared" ref="AU76" si="96">L76/(1-0.15-0.15*0.2)</f>
        <v>268.048780487805</v>
      </c>
      <c r="AV76" s="163">
        <f>AQ76*产品成本!$D$11+AR76*产品成本!$D$12+AS76*产品成本!$D$13+AT76*产品成本!$D$14</f>
        <v>63.5228169014084</v>
      </c>
      <c r="AW76" s="163">
        <f>AQ76*产品成本!$E$11+AR76*产品成本!$E$12+AS76*产品成本!$E$13+AT76*产品成本!$E$14</f>
        <v>4.59177464788733</v>
      </c>
      <c r="AX76" s="163">
        <f>AQ76*产品成本!$F$11+AR76*产品成本!$F$12+AS76*产品成本!$F$13+AT76*产品成本!$F$14</f>
        <v>4.08</v>
      </c>
      <c r="AY76" s="163"/>
      <c r="AZ76" s="163">
        <f t="shared" ref="AZ76" si="97">AU76*0.15</f>
        <v>40.2073170731707</v>
      </c>
      <c r="BA76" s="163">
        <f t="shared" ref="BA76" si="98">-AZ76*0.2</f>
        <v>-8.04146341463415</v>
      </c>
      <c r="BB76" s="164">
        <f t="shared" ref="BB76" si="99">SUM(AV76:BA76)</f>
        <v>104.360445207832</v>
      </c>
      <c r="BC76" s="169">
        <f t="shared" ref="BC76" si="100">AP76-BB76</f>
        <v>2275.55401253865</v>
      </c>
      <c r="BD76" s="169">
        <f t="shared" ref="BD76" si="101">E76-I76</f>
        <v>3944.09</v>
      </c>
      <c r="BE76" s="169">
        <f t="shared" ref="BE76" si="102">E76-AU76-I76</f>
        <v>3676.0412195122</v>
      </c>
      <c r="BF76" s="168">
        <f t="shared" ref="BF76" si="103">BE76-BC76-Z76</f>
        <v>202.087206973549</v>
      </c>
      <c r="BG76" s="170">
        <f t="shared" ref="BG76" si="104">BF76/BE76</f>
        <v>0.0549741406328315</v>
      </c>
      <c r="BH76" t="s">
        <v>362</v>
      </c>
      <c r="BI76" t="s">
        <v>363</v>
      </c>
    </row>
    <row r="77" ht="29.1" customHeight="1" spans="1:61">
      <c r="A77" s="61" t="s">
        <v>266</v>
      </c>
      <c r="B77" s="81" t="s">
        <v>267</v>
      </c>
      <c r="C77" s="90">
        <v>196</v>
      </c>
      <c r="D77" s="91">
        <v>193</v>
      </c>
      <c r="E77" s="64">
        <v>4246.44</v>
      </c>
      <c r="F77" s="148">
        <v>147</v>
      </c>
      <c r="G77" s="148">
        <v>144</v>
      </c>
      <c r="H77" s="64">
        <v>3208.83</v>
      </c>
      <c r="I77" s="64">
        <v>21.83</v>
      </c>
      <c r="J77" s="149">
        <v>25</v>
      </c>
      <c r="K77" s="150">
        <f t="shared" ref="K77" si="105">J77/C77</f>
        <v>0.127551020408163</v>
      </c>
      <c r="L77" s="151">
        <v>424.97</v>
      </c>
      <c r="M77" s="152">
        <f t="shared" ref="M77" si="106">(C77-C75)/C75</f>
        <v>0.217391304347826</v>
      </c>
      <c r="N77" s="150">
        <f t="shared" ref="N77" si="107">(D77-D75)/D75</f>
        <v>0.20625</v>
      </c>
      <c r="O77" s="150">
        <f t="shared" ref="O77" si="108">(E77-E75)/E75</f>
        <v>0.184736726101962</v>
      </c>
      <c r="P77" s="153">
        <f t="shared" ref="P77" si="109">C77/D77</f>
        <v>1.01554404145078</v>
      </c>
      <c r="Q77" s="154">
        <f t="shared" ref="Q77" si="110">E77/D77</f>
        <v>22.0022797927461</v>
      </c>
      <c r="R77" s="187">
        <f t="shared" ref="R77" si="111">E77/C77</f>
        <v>21.6655102040816</v>
      </c>
      <c r="S77" s="155">
        <f t="shared" ref="S77" si="112">G77/7</f>
        <v>20.5714285714286</v>
      </c>
      <c r="T77" s="193">
        <f t="shared" ref="T77" si="113">D77-Y77</f>
        <v>65</v>
      </c>
      <c r="U77" s="157">
        <f t="shared" ref="U77" si="114">T77/D77</f>
        <v>0.336787564766839</v>
      </c>
      <c r="V77" s="94">
        <f t="shared" ref="V77" si="115">Z77/(E77-I77)</f>
        <v>0.239870662617378</v>
      </c>
      <c r="W77" s="91">
        <v>109036</v>
      </c>
      <c r="X77" s="91">
        <v>991</v>
      </c>
      <c r="Y77" s="91">
        <v>128</v>
      </c>
      <c r="Z77" s="200">
        <v>1013.36</v>
      </c>
      <c r="AA77" s="199">
        <v>3182.82</v>
      </c>
      <c r="AB77" s="64">
        <v>1.02</v>
      </c>
      <c r="AC77" s="71">
        <f t="shared" ref="AC77" si="116">Z77/AA77</f>
        <v>0.318384325849404</v>
      </c>
      <c r="AD77" s="72">
        <f t="shared" ref="AD77" si="117">X77/W77</f>
        <v>0.00908874133313768</v>
      </c>
      <c r="AE77" s="159">
        <f t="shared" ref="AE77" si="118">Y77/X77</f>
        <v>0.129162462159435</v>
      </c>
      <c r="AF77" s="154">
        <f t="shared" ref="AF77" si="119">Z77/Y77</f>
        <v>7.916875</v>
      </c>
      <c r="AG77" s="160">
        <v>24</v>
      </c>
      <c r="AH77" s="161">
        <v>97</v>
      </c>
      <c r="AI77" s="165">
        <v>13</v>
      </c>
      <c r="AJ77" s="166">
        <v>62</v>
      </c>
      <c r="AK77" s="163">
        <f>AG77*产品成本!$D$11+AH77*产品成本!$D$12+AI77*产品成本!$D$13+AJ77*产品成本!$D$14</f>
        <v>1000.27718309859</v>
      </c>
      <c r="AL77" s="163">
        <f>AG77*产品成本!$E$11+AH77*产品成本!$E$12+AI77*产品成本!$E$13+AJ77*产品成本!$E$14</f>
        <v>81.9310422535212</v>
      </c>
      <c r="AM77" s="163">
        <f>AG77*产品成本!$F$11+AH77*产品成本!$F$12+AI77*产品成本!$F$13+AJ77*产品成本!$F$14</f>
        <v>66.64</v>
      </c>
      <c r="AN77" s="163">
        <f>AG77*产品成本!$G$11+AH77*产品成本!$G$12+AI77*产品成本!$G$13+AJ77*产品成本!$G$14</f>
        <v>764.4</v>
      </c>
      <c r="AO77" s="163">
        <f t="shared" ref="AO77" si="120">(E77-I77)*0.15</f>
        <v>633.6915</v>
      </c>
      <c r="AP77" s="164">
        <f t="shared" ref="AP77" si="121">SUM(AK77:AO77)</f>
        <v>2546.93972535211</v>
      </c>
      <c r="AQ77" s="165">
        <v>1</v>
      </c>
      <c r="AR77" s="165">
        <v>12</v>
      </c>
      <c r="AS77" s="165">
        <v>4</v>
      </c>
      <c r="AT77" s="166">
        <v>8</v>
      </c>
      <c r="AU77" s="167">
        <f t="shared" ref="AU77" si="122">L77/(1-0.15-0.15*0.2)</f>
        <v>518.256097560976</v>
      </c>
      <c r="AV77" s="163">
        <f>AQ77*产品成本!$D$11+AR77*产品成本!$D$12+AS77*产品成本!$D$13+AT77*产品成本!$D$14</f>
        <v>121.817464788732</v>
      </c>
      <c r="AW77" s="163">
        <f>AQ77*产品成本!$E$11+AR77*产品成本!$E$12+AS77*产品成本!$E$13+AT77*产品成本!$E$14</f>
        <v>10.6043943661972</v>
      </c>
      <c r="AX77" s="163">
        <f>AQ77*产品成本!$F$11+AR77*产品成本!$F$12+AS77*产品成本!$F$13+AT77*产品成本!$F$14</f>
        <v>8.5</v>
      </c>
      <c r="AY77" s="163"/>
      <c r="AZ77" s="163">
        <f t="shared" ref="AZ77" si="123">AU77*0.15</f>
        <v>77.7384146341464</v>
      </c>
      <c r="BA77" s="163">
        <f t="shared" ref="BA77" si="124">-AZ77*0.2</f>
        <v>-15.5476829268293</v>
      </c>
      <c r="BB77" s="164">
        <f t="shared" ref="BB77" si="125">SUM(AV77:BA77)</f>
        <v>203.112590862247</v>
      </c>
      <c r="BC77" s="169">
        <f t="shared" ref="BC77" si="126">AP77-BB77</f>
        <v>2343.82713448987</v>
      </c>
      <c r="BD77" s="169">
        <f t="shared" ref="BD77" si="127">E77-I77</f>
        <v>4224.61</v>
      </c>
      <c r="BE77" s="169">
        <f t="shared" ref="BE77" si="128">E77-AU77-I77</f>
        <v>3706.35390243902</v>
      </c>
      <c r="BF77" s="168">
        <f t="shared" ref="BF77" si="129">BE77-BC77-Z77</f>
        <v>349.166767949158</v>
      </c>
      <c r="BG77" s="170">
        <f t="shared" ref="BG77" si="130">BF77/BE77</f>
        <v>0.0942076167414512</v>
      </c>
      <c r="BH77" t="s">
        <v>364</v>
      </c>
      <c r="BI77" t="s">
        <v>365</v>
      </c>
    </row>
    <row r="78" ht="29.1" customHeight="1" spans="1:61">
      <c r="A78" s="174" t="s">
        <v>270</v>
      </c>
      <c r="B78" s="175"/>
      <c r="C78" s="175">
        <f>SUBTOTAL(109,表3_39[销量])</f>
        <v>7835</v>
      </c>
      <c r="D78" s="175">
        <f>SUBTOTAL(109,表3_39[订单量])</f>
        <v>7725</v>
      </c>
      <c r="E78" s="175">
        <f>SUBTOTAL(109,表3_39[销售额])</f>
        <v>164444.94</v>
      </c>
      <c r="F78" s="175">
        <f>SUBTOTAL(109,表3_39[促销销量])</f>
        <v>1224</v>
      </c>
      <c r="G78" s="175">
        <f>SUBTOTAL(109,表3_39[促销订单量])</f>
        <v>1192</v>
      </c>
      <c r="H78" s="175">
        <f>SUBTOTAL(109,表3_39[促销销售额])</f>
        <v>26328.58</v>
      </c>
      <c r="I78" s="175">
        <f>SUBTOTAL(109,表3_39[促销折扣])</f>
        <v>2380.33</v>
      </c>
      <c r="J78" s="175">
        <f>SUBTOTAL(109,表3_39[退款量])</f>
        <v>573</v>
      </c>
      <c r="K78" s="176">
        <f t="shared" si="26"/>
        <v>0.0731333758774729</v>
      </c>
      <c r="L78" s="177">
        <f>SUBTOTAL(109,表3_39[退款金额])</f>
        <v>10413.74</v>
      </c>
      <c r="M78" s="175"/>
      <c r="N78" s="175"/>
      <c r="O78" s="175"/>
      <c r="P78" s="178">
        <f>SUBTOTAL(101,表3_39[客单
销量])</f>
        <v>1.01530501184887</v>
      </c>
      <c r="Q78" s="178">
        <f>SUBTOTAL(101,表3_39[客单
价格($)])</f>
        <v>21.145307613598</v>
      </c>
      <c r="R78" s="178">
        <f>SUBTOTAL(101,表3_39[销售
均价($)])</f>
        <v>20.8409140968902</v>
      </c>
      <c r="S78" s="178">
        <f>SUBTOTAL(101,表3_39[日均
销量])</f>
        <v>5.94594594594595</v>
      </c>
      <c r="T78" s="179">
        <f>SUBTOTAL(109,表3_39[自然
订单])</f>
        <v>1621</v>
      </c>
      <c r="U78" s="180">
        <f t="shared" si="32"/>
        <v>0.209838187702265</v>
      </c>
      <c r="V78" s="176">
        <f>SUBTOTAL(101,表3_39[TAcos
(%)])</f>
        <v>0.410706621854137</v>
      </c>
      <c r="W78" s="175">
        <f>SUBTOTAL(109,表3_39[展示])</f>
        <v>6199605</v>
      </c>
      <c r="X78" s="175">
        <f>SUBTOTAL(109,表3_39[点击])</f>
        <v>58801</v>
      </c>
      <c r="Y78" s="175">
        <f>SUBTOTAL(109,表3_39[广告订单量])</f>
        <v>6104</v>
      </c>
      <c r="Z78" s="175">
        <f>SUBTOTAL(109,表3_39[广告花费])</f>
        <v>61473.51</v>
      </c>
      <c r="AA78" s="175">
        <f>SUBTOTAL(109,表3_39[广告销售额])</f>
        <v>130980.17</v>
      </c>
      <c r="AB78" s="175">
        <f>SUBTOTAL(101,表3_39[CPC])</f>
        <v>1.02849315068493</v>
      </c>
      <c r="AC78" s="176">
        <f t="shared" si="34"/>
        <v>0.469334480173602</v>
      </c>
      <c r="AD78" s="176">
        <f t="shared" ref="AD78:AF78" si="131">X78/W78</f>
        <v>0.00948463652119772</v>
      </c>
      <c r="AE78" s="176">
        <f t="shared" si="131"/>
        <v>0.103807758371456</v>
      </c>
      <c r="AF78" s="178">
        <f t="shared" si="131"/>
        <v>10.0710206422018</v>
      </c>
      <c r="AG78" s="175">
        <f>SUBTOTAL(109,表3_39[w/oHandle AL])</f>
        <v>1668</v>
      </c>
      <c r="AH78" s="175">
        <f>SUBTOTAL(109,表3_39[w/Handle AL])</f>
        <v>4983</v>
      </c>
      <c r="AI78" s="175">
        <f>SUBTOTAL(109,表3_39[w/oHandle ZN])</f>
        <v>250</v>
      </c>
      <c r="AJ78" s="175">
        <f>SUBTOTAL(109,表3_39[w/Handle ZN])</f>
        <v>955</v>
      </c>
      <c r="AK78" s="177">
        <f>SUBTOTAL(109,表3_39[产品成本])</f>
        <v>43941.9577464789</v>
      </c>
      <c r="AL78" s="177">
        <f>SUBTOTAL(109,表3_39[头程])</f>
        <v>2996.97216901409</v>
      </c>
      <c r="AM78" s="177">
        <f>SUBTOTAL(109,表3_39[入仓费])</f>
        <v>2671.04</v>
      </c>
      <c r="AN78" s="177">
        <f>SUBTOTAL(109,表3_39[FBA物流])</f>
        <v>30638.4</v>
      </c>
      <c r="AO78" s="177">
        <f>SUBTOTAL(109,表3_39[佣金])</f>
        <v>24309.6915</v>
      </c>
      <c r="AP78" s="177">
        <f>SUBTOTAL(109,表3_39[成本小结])</f>
        <v>104558.061415493</v>
      </c>
      <c r="AQ78" s="182">
        <f>SUBTOTAL(109,表3_39[退款w/oHandle AL])</f>
        <v>116</v>
      </c>
      <c r="AR78" s="182">
        <f>SUBTOTAL(109,表3_39[退款w/Handle AL])</f>
        <v>384</v>
      </c>
      <c r="AS78" s="182">
        <f>SUBTOTAL(109,表3_39[退款w/oHandle ZN])</f>
        <v>16</v>
      </c>
      <c r="AT78" s="182">
        <f>SUBTOTAL(109,表3_39[退款w/Handle ZN])</f>
        <v>56</v>
      </c>
      <c r="AU78" s="177">
        <f>SUBTOTAL(109,表3_39[退款
销售金额])</f>
        <v>12699.6829268293</v>
      </c>
      <c r="AV78" s="177">
        <f>SUBTOTAL(109,表3_39[退款
产品成本])</f>
        <v>3244.38535211268</v>
      </c>
      <c r="AW78" s="177">
        <f>SUBTOTAL(109,表3_39[退款头程])</f>
        <v>215.684507042254</v>
      </c>
      <c r="AX78" s="177">
        <f>SUBTOTAL(109,表3_39[退款
入仓费])</f>
        <v>194.48</v>
      </c>
      <c r="AY78" s="177">
        <f>SUBTOTAL(109,表3_39[退款
FBA物流])</f>
        <v>0</v>
      </c>
      <c r="AZ78" s="177">
        <f>SUBTOTAL(109,表3_39[退款佣金])</f>
        <v>1904.95243902439</v>
      </c>
      <c r="BA78" s="177">
        <f>SUBTOTAL(109,表3_39[退款
管理费用
佣金的20%])</f>
        <v>-380.990487804878</v>
      </c>
      <c r="BB78" s="177">
        <f>SUBTOTAL(109,表3_39[退款
成本小结])</f>
        <v>5178.51181037444</v>
      </c>
      <c r="BC78" s="177">
        <f>SUBTOTAL(109,表3_39[净成本])</f>
        <v>99379.5496051185</v>
      </c>
      <c r="BD78" s="177">
        <f>SUBTOTAL(109,表3_39[净销售额])</f>
        <v>162064.61</v>
      </c>
      <c r="BE78" s="177">
        <f>SUBTOTAL(109,表3_39[净销售额
(-退款金额)])</f>
        <v>149364.927073171</v>
      </c>
      <c r="BF78" s="177">
        <f>SUBTOTAL(109,表3_39[毛利])</f>
        <v>-11488.1325319478</v>
      </c>
      <c r="BG78" s="176">
        <f>SUBTOTAL(101,表3_39[毛利率])</f>
        <v>-0.134091886173398</v>
      </c>
    </row>
  </sheetData>
  <mergeCells count="14"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  <mergeCell ref="A1:B2"/>
    <mergeCell ref="BC1:BG2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BF66"/>
  <sheetViews>
    <sheetView workbookViewId="0">
      <pane xSplit="12" ySplit="3" topLeftCell="AV55" activePane="bottomRight" state="frozen"/>
      <selection/>
      <selection pane="topRight"/>
      <selection pane="bottomLeft"/>
      <selection pane="bottomRight" activeCell="BF65" sqref="BF65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7.625" customWidth="1"/>
    <col min="57" max="57" width="28.5" customWidth="1"/>
  </cols>
  <sheetData>
    <row r="1" ht="29.1" customHeight="1" spans="1:58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8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8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366</v>
      </c>
      <c r="AH3" s="184" t="s">
        <v>367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92" t="s">
        <v>368</v>
      </c>
      <c r="AP3" s="186" t="s">
        <v>369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65</v>
      </c>
      <c r="BE3" s="1" t="s">
        <v>66</v>
      </c>
      <c r="BF3" t="s">
        <v>280</v>
      </c>
    </row>
    <row r="4" ht="29.1" customHeight="1" spans="1:58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14.995</v>
      </c>
      <c r="R4" s="187">
        <f t="shared" ref="R4:R35" si="3">E4/C4</f>
        <v>14.995</v>
      </c>
      <c r="S4" s="155">
        <f t="shared" ref="S4:S35" si="4">C4/7</f>
        <v>0.285714285714286</v>
      </c>
      <c r="T4" s="193">
        <f t="shared" ref="T4:T35" si="5">D4-Y4</f>
        <v>1</v>
      </c>
      <c r="U4" s="157">
        <f t="shared" ref="U4:U35" si="6">T4/D4</f>
        <v>0.5</v>
      </c>
      <c r="V4" s="94">
        <f t="shared" ref="V4:V35" si="7">Z4/(E4-I4)</f>
        <v>1.36612204068023</v>
      </c>
      <c r="W4" s="91">
        <v>3053</v>
      </c>
      <c r="X4" s="91">
        <v>39</v>
      </c>
      <c r="Y4" s="91">
        <v>1</v>
      </c>
      <c r="Z4" s="91">
        <v>40.97</v>
      </c>
      <c r="AA4" s="92">
        <v>14.99</v>
      </c>
      <c r="AB4" s="91">
        <v>1.05</v>
      </c>
      <c r="AC4" s="71">
        <f t="shared" ref="AC4:AC35" si="8">Z4/AA4</f>
        <v>2.73315543695797</v>
      </c>
      <c r="AD4" s="72">
        <f t="shared" ref="AD4:AD35" si="9">X4/W4</f>
        <v>0.0127743203406485</v>
      </c>
      <c r="AE4" s="159">
        <f t="shared" ref="AE4:AE35" si="10">Y4/X4</f>
        <v>0.0256410256410256</v>
      </c>
      <c r="AF4" s="154">
        <f t="shared" ref="AF4:AF35" si="11">Z4/Y4</f>
        <v>40.97</v>
      </c>
      <c r="AG4" s="160">
        <v>0</v>
      </c>
      <c r="AH4" s="162">
        <v>2</v>
      </c>
      <c r="AI4" s="163">
        <f>AG4*产品成本!$D$15+AH4*产品成本!$D$16</f>
        <v>10.7042253521127</v>
      </c>
      <c r="AJ4" s="163">
        <f>AG4*产品成本!$E$15+AH4*产品成本!$E$16</f>
        <v>0.64</v>
      </c>
      <c r="AK4" s="163">
        <f>AG4*产品成本!$F$15+AH4*产品成本!$F$16</f>
        <v>0.68</v>
      </c>
      <c r="AL4" s="163">
        <f>AG4*产品成本!$G$15+AH4*产品成本!$G$16</f>
        <v>7.8</v>
      </c>
      <c r="AM4" s="163">
        <f t="shared" ref="AM4:AM35" si="12">(E4-I4)*0.15</f>
        <v>4.4985</v>
      </c>
      <c r="AN4" s="164">
        <f t="shared" ref="AN4:AN35" si="13">SUM(AI4:AM4)</f>
        <v>24.3227253521127</v>
      </c>
      <c r="AO4" s="165">
        <v>0</v>
      </c>
      <c r="AP4" s="166">
        <v>0</v>
      </c>
      <c r="AQ4" s="167">
        <f t="shared" ref="AQ4:AQ35" si="14">L4/(1-0.15-0.15*0.2)</f>
        <v>0</v>
      </c>
      <c r="AR4" s="163">
        <f>AO4*产品成本!$D$15+AP4*产品成本!$D$16</f>
        <v>0</v>
      </c>
      <c r="AS4" s="163">
        <f>AO4*产品成本!$E$15+AP4*产品成本!$E$16</f>
        <v>0</v>
      </c>
      <c r="AT4" s="163">
        <f>AO4*产品成本!$F$15+AP4*产品成本!$F$16</f>
        <v>0</v>
      </c>
      <c r="AU4" s="163"/>
      <c r="AV4" s="163">
        <f t="shared" ref="AV4:AV35" si="15">AQ4*0.15</f>
        <v>0</v>
      </c>
      <c r="AW4" s="163">
        <f t="shared" ref="AW4:AW35" si="16">-AV4*0.2</f>
        <v>0</v>
      </c>
      <c r="AX4" s="164">
        <f t="shared" ref="AX4:AX35" si="17">SUM(AR4:AW4)</f>
        <v>0</v>
      </c>
      <c r="AY4" s="169">
        <f t="shared" ref="AY4:AY21" si="18">AN4-AX4</f>
        <v>24.3227253521127</v>
      </c>
      <c r="AZ4" s="169">
        <f t="shared" ref="AZ4:AZ35" si="19">E4-I4</f>
        <v>29.99</v>
      </c>
      <c r="BA4" s="169">
        <f t="shared" ref="BA4:BA35" si="20">E4-AQ4-I4</f>
        <v>29.99</v>
      </c>
      <c r="BB4" s="168">
        <f t="shared" ref="BB4:BB35" si="21">BA4-AY4-Z4</f>
        <v>-35.3027253521127</v>
      </c>
      <c r="BC4" s="170">
        <f t="shared" ref="BC4:BC21" si="22">BB4/BA4</f>
        <v>-1.17714989503543</v>
      </c>
      <c r="BE4" t="s">
        <v>370</v>
      </c>
    </row>
    <row r="5" ht="29.1" customHeight="1" spans="1:58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21" si="23">(C5-C4)/C4</f>
        <v>2</v>
      </c>
      <c r="N5" s="150">
        <f t="shared" ref="N5:N21" si="24">(D5-D4)/D4</f>
        <v>2</v>
      </c>
      <c r="O5" s="150">
        <f t="shared" ref="O5:O21" si="25">(E5-E4)/E4</f>
        <v>4.17472490830277</v>
      </c>
      <c r="P5" s="153">
        <f t="shared" si="1"/>
        <v>1</v>
      </c>
      <c r="Q5" s="154">
        <f t="shared" si="2"/>
        <v>25.865</v>
      </c>
      <c r="R5" s="187">
        <f t="shared" si="3"/>
        <v>25.865</v>
      </c>
      <c r="S5" s="155">
        <f t="shared" si="4"/>
        <v>0.857142857142857</v>
      </c>
      <c r="T5" s="193">
        <f t="shared" si="5"/>
        <v>-5</v>
      </c>
      <c r="U5" s="157">
        <f t="shared" si="6"/>
        <v>-0.833333333333333</v>
      </c>
      <c r="V5" s="94">
        <f t="shared" si="7"/>
        <v>0.850441394419744</v>
      </c>
      <c r="W5" s="91">
        <v>12361</v>
      </c>
      <c r="X5" s="91">
        <v>118</v>
      </c>
      <c r="Y5" s="91">
        <v>11</v>
      </c>
      <c r="Z5" s="91">
        <v>131.98</v>
      </c>
      <c r="AA5" s="92">
        <v>291.69</v>
      </c>
      <c r="AB5" s="91">
        <v>1.12</v>
      </c>
      <c r="AC5" s="71">
        <f t="shared" si="8"/>
        <v>0.452466659810072</v>
      </c>
      <c r="AD5" s="72">
        <f t="shared" si="9"/>
        <v>0.0095461532238492</v>
      </c>
      <c r="AE5" s="159">
        <f t="shared" si="10"/>
        <v>0.0932203389830508</v>
      </c>
      <c r="AF5" s="154">
        <f t="shared" si="11"/>
        <v>11.9981818181818</v>
      </c>
      <c r="AG5" s="160">
        <v>0</v>
      </c>
      <c r="AH5" s="162">
        <v>6</v>
      </c>
      <c r="AI5" s="163">
        <f>AG5*产品成本!$D$15+AH5*产品成本!$D$16</f>
        <v>32.112676056338</v>
      </c>
      <c r="AJ5" s="163">
        <f>AG5*产品成本!$E$15+AH5*产品成本!$E$16</f>
        <v>1.92</v>
      </c>
      <c r="AK5" s="163">
        <f>AG5*产品成本!$F$15+AH5*产品成本!$F$16</f>
        <v>2.04</v>
      </c>
      <c r="AL5" s="163">
        <f>AG5*产品成本!$G$15+AH5*产品成本!$G$16</f>
        <v>23.4</v>
      </c>
      <c r="AM5" s="163">
        <f t="shared" si="12"/>
        <v>23.2785</v>
      </c>
      <c r="AN5" s="164">
        <f t="shared" si="13"/>
        <v>82.751176056338</v>
      </c>
      <c r="AO5" s="165">
        <v>0</v>
      </c>
      <c r="AP5" s="166">
        <v>0</v>
      </c>
      <c r="AQ5" s="167">
        <f t="shared" si="14"/>
        <v>0</v>
      </c>
      <c r="AR5" s="163">
        <f>AO5*产品成本!$D$15+AP5*产品成本!$D$16</f>
        <v>0</v>
      </c>
      <c r="AS5" s="163">
        <f>AO5*产品成本!$E$15+AP5*产品成本!$E$16</f>
        <v>0</v>
      </c>
      <c r="AT5" s="163">
        <f>AO5*产品成本!$F$15+AP5*产品成本!$F$16</f>
        <v>0</v>
      </c>
      <c r="AU5" s="163"/>
      <c r="AV5" s="163">
        <f t="shared" si="15"/>
        <v>0</v>
      </c>
      <c r="AW5" s="163">
        <f t="shared" si="16"/>
        <v>0</v>
      </c>
      <c r="AX5" s="164">
        <f t="shared" si="17"/>
        <v>0</v>
      </c>
      <c r="AY5" s="169">
        <f t="shared" si="18"/>
        <v>82.751176056338</v>
      </c>
      <c r="AZ5" s="169">
        <f t="shared" si="19"/>
        <v>155.19</v>
      </c>
      <c r="BA5" s="169">
        <f t="shared" si="20"/>
        <v>155.19</v>
      </c>
      <c r="BB5" s="168">
        <f t="shared" si="21"/>
        <v>-59.541176056338</v>
      </c>
      <c r="BC5" s="170">
        <f t="shared" si="22"/>
        <v>-0.383666319069128</v>
      </c>
      <c r="BD5" s="172"/>
      <c r="BE5" s="172"/>
    </row>
    <row r="6" ht="29.1" customHeight="1" spans="1:58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3"/>
        <v>2</v>
      </c>
      <c r="N6" s="150">
        <f t="shared" si="24"/>
        <v>2</v>
      </c>
      <c r="O6" s="150">
        <f t="shared" si="25"/>
        <v>0.652168309813776</v>
      </c>
      <c r="P6" s="153">
        <f t="shared" si="1"/>
        <v>1</v>
      </c>
      <c r="Q6" s="154">
        <f t="shared" si="2"/>
        <v>14.2444444444444</v>
      </c>
      <c r="R6" s="187">
        <f t="shared" si="3"/>
        <v>14.2444444444444</v>
      </c>
      <c r="S6" s="155">
        <f t="shared" si="4"/>
        <v>2.57142857142857</v>
      </c>
      <c r="T6" s="193">
        <f t="shared" si="5"/>
        <v>15</v>
      </c>
      <c r="U6" s="157">
        <f t="shared" si="6"/>
        <v>0.833333333333333</v>
      </c>
      <c r="V6" s="94">
        <f t="shared" si="7"/>
        <v>0.358307332293292</v>
      </c>
      <c r="W6" s="91">
        <v>14591</v>
      </c>
      <c r="X6" s="91">
        <v>96</v>
      </c>
      <c r="Y6" s="91">
        <v>3</v>
      </c>
      <c r="Z6" s="91">
        <v>91.87</v>
      </c>
      <c r="AA6" s="92">
        <v>80.97</v>
      </c>
      <c r="AB6" s="91">
        <v>0.96</v>
      </c>
      <c r="AC6" s="71">
        <f t="shared" si="8"/>
        <v>1.13461775966407</v>
      </c>
      <c r="AD6" s="72">
        <f t="shared" si="9"/>
        <v>0.00657939825920088</v>
      </c>
      <c r="AE6" s="159">
        <f t="shared" si="10"/>
        <v>0.03125</v>
      </c>
      <c r="AF6" s="154">
        <f t="shared" si="11"/>
        <v>30.6233333333333</v>
      </c>
      <c r="AG6" s="160">
        <v>0</v>
      </c>
      <c r="AH6" s="162">
        <v>18</v>
      </c>
      <c r="AI6" s="163">
        <f>AG6*产品成本!$D$15+AH6*产品成本!$D$16</f>
        <v>96.3380281690141</v>
      </c>
      <c r="AJ6" s="163">
        <f>AG6*产品成本!$E$15+AH6*产品成本!$E$16</f>
        <v>5.76</v>
      </c>
      <c r="AK6" s="163">
        <f>AG6*产品成本!$F$15+AH6*产品成本!$F$16</f>
        <v>6.12</v>
      </c>
      <c r="AL6" s="163">
        <f>AG6*产品成本!$G$15+AH6*产品成本!$G$16</f>
        <v>70.2</v>
      </c>
      <c r="AM6" s="163">
        <f t="shared" si="12"/>
        <v>38.46</v>
      </c>
      <c r="AN6" s="164">
        <f t="shared" si="13"/>
        <v>216.878028169014</v>
      </c>
      <c r="AO6" s="165">
        <v>0</v>
      </c>
      <c r="AP6" s="166">
        <v>0</v>
      </c>
      <c r="AQ6" s="167">
        <f t="shared" si="14"/>
        <v>0</v>
      </c>
      <c r="AR6" s="163">
        <f>AO6*产品成本!$D$15+AP6*产品成本!$D$16</f>
        <v>0</v>
      </c>
      <c r="AS6" s="163">
        <f>AO6*产品成本!$E$15+AP6*产品成本!$E$16</f>
        <v>0</v>
      </c>
      <c r="AT6" s="163">
        <f>AO6*产品成本!$F$15+AP6*产品成本!$F$16</f>
        <v>0</v>
      </c>
      <c r="AU6" s="163"/>
      <c r="AV6" s="163">
        <f t="shared" si="15"/>
        <v>0</v>
      </c>
      <c r="AW6" s="163">
        <f t="shared" si="16"/>
        <v>0</v>
      </c>
      <c r="AX6" s="164">
        <f t="shared" si="17"/>
        <v>0</v>
      </c>
      <c r="AY6" s="169">
        <f t="shared" si="18"/>
        <v>216.878028169014</v>
      </c>
      <c r="AZ6" s="169">
        <f t="shared" si="19"/>
        <v>256.4</v>
      </c>
      <c r="BA6" s="169">
        <f t="shared" si="20"/>
        <v>256.4</v>
      </c>
      <c r="BB6" s="168">
        <f t="shared" si="21"/>
        <v>-52.3480281690141</v>
      </c>
      <c r="BC6" s="170">
        <f t="shared" si="22"/>
        <v>-0.204165476478214</v>
      </c>
      <c r="BE6" t="s">
        <v>371</v>
      </c>
    </row>
    <row r="7" ht="29.1" customHeight="1" spans="1:58">
      <c r="A7" s="61" t="s">
        <v>110</v>
      </c>
      <c r="B7" s="89" t="s">
        <v>111</v>
      </c>
      <c r="C7" s="90">
        <v>17</v>
      </c>
      <c r="D7" s="91">
        <v>17</v>
      </c>
      <c r="E7" s="64">
        <v>431.84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3"/>
        <v>-0.0555555555555556</v>
      </c>
      <c r="N7" s="150">
        <f t="shared" si="24"/>
        <v>-0.0555555555555556</v>
      </c>
      <c r="O7" s="150">
        <f t="shared" si="25"/>
        <v>0.684243369734789</v>
      </c>
      <c r="P7" s="153">
        <f t="shared" si="1"/>
        <v>1</v>
      </c>
      <c r="Q7" s="154">
        <f t="shared" si="2"/>
        <v>25.4023529411765</v>
      </c>
      <c r="R7" s="187">
        <f t="shared" si="3"/>
        <v>25.4023529411765</v>
      </c>
      <c r="S7" s="155">
        <f t="shared" si="4"/>
        <v>2.42857142857143</v>
      </c>
      <c r="T7" s="193">
        <f t="shared" si="5"/>
        <v>4</v>
      </c>
      <c r="U7" s="157">
        <f t="shared" si="6"/>
        <v>0.235294117647059</v>
      </c>
      <c r="V7" s="94">
        <f t="shared" si="7"/>
        <v>0.237217487958503</v>
      </c>
      <c r="W7" s="91">
        <v>12016</v>
      </c>
      <c r="X7" s="91">
        <v>122</v>
      </c>
      <c r="Y7" s="91">
        <v>13</v>
      </c>
      <c r="Z7" s="91">
        <v>102.44</v>
      </c>
      <c r="AA7" s="92">
        <v>320.67</v>
      </c>
      <c r="AB7" s="91">
        <v>0.84</v>
      </c>
      <c r="AC7" s="71">
        <f t="shared" si="8"/>
        <v>0.319456138709577</v>
      </c>
      <c r="AD7" s="72">
        <f t="shared" si="9"/>
        <v>0.0101531291611185</v>
      </c>
      <c r="AE7" s="159">
        <f t="shared" si="10"/>
        <v>0.10655737704918</v>
      </c>
      <c r="AF7" s="154">
        <f t="shared" si="11"/>
        <v>7.88</v>
      </c>
      <c r="AG7" s="160">
        <v>0</v>
      </c>
      <c r="AH7" s="162">
        <v>17</v>
      </c>
      <c r="AI7" s="163">
        <f>AG7*产品成本!$D$15+AH7*产品成本!$D$16</f>
        <v>90.9859154929578</v>
      </c>
      <c r="AJ7" s="163">
        <f>AG7*产品成本!$E$15+AH7*产品成本!$E$16</f>
        <v>5.44</v>
      </c>
      <c r="AK7" s="163">
        <f>AG7*产品成本!$F$15+AH7*产品成本!$F$16</f>
        <v>5.78</v>
      </c>
      <c r="AL7" s="163">
        <f>AG7*产品成本!$G$15+AH7*产品成本!$G$16</f>
        <v>66.3</v>
      </c>
      <c r="AM7" s="163">
        <f t="shared" si="12"/>
        <v>64.776</v>
      </c>
      <c r="AN7" s="164">
        <f t="shared" si="13"/>
        <v>233.281915492958</v>
      </c>
      <c r="AO7" s="165">
        <v>0</v>
      </c>
      <c r="AP7" s="166">
        <v>0</v>
      </c>
      <c r="AQ7" s="167">
        <f t="shared" si="14"/>
        <v>0</v>
      </c>
      <c r="AR7" s="163">
        <f>AO7*产品成本!$D$15+AP7*产品成本!$D$16</f>
        <v>0</v>
      </c>
      <c r="AS7" s="163">
        <f>AO7*产品成本!$E$15+AP7*产品成本!$E$16</f>
        <v>0</v>
      </c>
      <c r="AT7" s="163">
        <f>AO7*产品成本!$F$15+AP7*产品成本!$F$16</f>
        <v>0</v>
      </c>
      <c r="AU7" s="163"/>
      <c r="AV7" s="163">
        <f t="shared" si="15"/>
        <v>0</v>
      </c>
      <c r="AW7" s="163">
        <f t="shared" si="16"/>
        <v>0</v>
      </c>
      <c r="AX7" s="164">
        <f t="shared" si="17"/>
        <v>0</v>
      </c>
      <c r="AY7" s="169">
        <f t="shared" si="18"/>
        <v>233.281915492958</v>
      </c>
      <c r="AZ7" s="169">
        <f t="shared" si="19"/>
        <v>431.84</v>
      </c>
      <c r="BA7" s="169">
        <f t="shared" si="20"/>
        <v>431.84</v>
      </c>
      <c r="BB7" s="168">
        <f t="shared" si="21"/>
        <v>96.1180845070422</v>
      </c>
      <c r="BC7" s="170">
        <f t="shared" si="22"/>
        <v>0.222578002285667</v>
      </c>
      <c r="BE7" t="s">
        <v>372</v>
      </c>
    </row>
    <row r="8" ht="29.1" customHeight="1" spans="1:58">
      <c r="A8" s="61" t="s">
        <v>113</v>
      </c>
      <c r="B8" s="89" t="s">
        <v>114</v>
      </c>
      <c r="C8" s="90">
        <v>14</v>
      </c>
      <c r="D8" s="91">
        <v>14</v>
      </c>
      <c r="E8" s="64">
        <v>401.86</v>
      </c>
      <c r="F8" s="148"/>
      <c r="G8" s="148"/>
      <c r="H8" s="64"/>
      <c r="I8" s="64"/>
      <c r="J8" s="149">
        <v>0</v>
      </c>
      <c r="K8" s="150">
        <f t="shared" si="0"/>
        <v>0</v>
      </c>
      <c r="L8" s="151">
        <v>0</v>
      </c>
      <c r="M8" s="152">
        <f t="shared" si="23"/>
        <v>-0.176470588235294</v>
      </c>
      <c r="N8" s="150">
        <f t="shared" si="24"/>
        <v>-0.176470588235294</v>
      </c>
      <c r="O8" s="150">
        <f t="shared" si="25"/>
        <v>-0.069423860689144</v>
      </c>
      <c r="P8" s="153">
        <f t="shared" si="1"/>
        <v>1</v>
      </c>
      <c r="Q8" s="154">
        <f t="shared" si="2"/>
        <v>28.7042857142857</v>
      </c>
      <c r="R8" s="187">
        <f t="shared" si="3"/>
        <v>28.7042857142857</v>
      </c>
      <c r="S8" s="155">
        <f t="shared" si="4"/>
        <v>2</v>
      </c>
      <c r="T8" s="193">
        <f t="shared" si="5"/>
        <v>1</v>
      </c>
      <c r="U8" s="157">
        <f t="shared" si="6"/>
        <v>0.0714285714285714</v>
      </c>
      <c r="V8" s="94">
        <f t="shared" si="7"/>
        <v>0.357388145125168</v>
      </c>
      <c r="W8" s="91">
        <v>19399</v>
      </c>
      <c r="X8" s="91">
        <v>174</v>
      </c>
      <c r="Y8" s="91">
        <v>13</v>
      </c>
      <c r="Z8" s="91">
        <v>143.62</v>
      </c>
      <c r="AA8" s="92">
        <v>353.27</v>
      </c>
      <c r="AB8" s="91">
        <v>0.83</v>
      </c>
      <c r="AC8" s="71">
        <f t="shared" si="8"/>
        <v>0.406544569309593</v>
      </c>
      <c r="AD8" s="72">
        <f t="shared" si="9"/>
        <v>0.00896953451208825</v>
      </c>
      <c r="AE8" s="159">
        <f t="shared" si="10"/>
        <v>0.0747126436781609</v>
      </c>
      <c r="AF8" s="154">
        <f t="shared" si="11"/>
        <v>11.0476923076923</v>
      </c>
      <c r="AG8" s="160">
        <v>0</v>
      </c>
      <c r="AH8" s="162">
        <v>14</v>
      </c>
      <c r="AI8" s="163">
        <f>AG8*产品成本!$D$15+AH8*产品成本!$D$16</f>
        <v>74.9295774647888</v>
      </c>
      <c r="AJ8" s="163">
        <f>AG8*产品成本!$E$15+AH8*产品成本!$E$16</f>
        <v>4.48</v>
      </c>
      <c r="AK8" s="163">
        <f>AG8*产品成本!$F$15+AH8*产品成本!$F$16</f>
        <v>4.76</v>
      </c>
      <c r="AL8" s="163">
        <f>AG8*产品成本!$G$15+AH8*产品成本!$G$16</f>
        <v>54.6</v>
      </c>
      <c r="AM8" s="163">
        <f t="shared" si="12"/>
        <v>60.279</v>
      </c>
      <c r="AN8" s="164">
        <f t="shared" si="13"/>
        <v>199.048577464789</v>
      </c>
      <c r="AO8" s="165">
        <v>0</v>
      </c>
      <c r="AP8" s="166">
        <v>0</v>
      </c>
      <c r="AQ8" s="167">
        <f t="shared" si="14"/>
        <v>0</v>
      </c>
      <c r="AR8" s="163">
        <f>AO8*产品成本!$D$15+AP8*产品成本!$D$16</f>
        <v>0</v>
      </c>
      <c r="AS8" s="163">
        <f>AO8*产品成本!$E$15+AP8*产品成本!$E$16</f>
        <v>0</v>
      </c>
      <c r="AT8" s="163">
        <f>AO8*产品成本!$F$15+AP8*产品成本!$F$16</f>
        <v>0</v>
      </c>
      <c r="AU8" s="163"/>
      <c r="AV8" s="163">
        <f t="shared" si="15"/>
        <v>0</v>
      </c>
      <c r="AW8" s="163">
        <f t="shared" si="16"/>
        <v>0</v>
      </c>
      <c r="AX8" s="164">
        <f t="shared" si="17"/>
        <v>0</v>
      </c>
      <c r="AY8" s="169">
        <f t="shared" si="18"/>
        <v>199.048577464789</v>
      </c>
      <c r="AZ8" s="169">
        <f t="shared" si="19"/>
        <v>401.86</v>
      </c>
      <c r="BA8" s="169">
        <f t="shared" si="20"/>
        <v>401.86</v>
      </c>
      <c r="BB8" s="168">
        <f t="shared" si="21"/>
        <v>59.1914225352112</v>
      </c>
      <c r="BC8" s="170">
        <f t="shared" si="22"/>
        <v>0.147293640907807</v>
      </c>
      <c r="BE8" t="s">
        <v>373</v>
      </c>
    </row>
    <row r="9" ht="29.1" customHeight="1" spans="1:58">
      <c r="A9" s="61" t="s">
        <v>115</v>
      </c>
      <c r="B9" s="89" t="s">
        <v>116</v>
      </c>
      <c r="C9" s="90">
        <v>11</v>
      </c>
      <c r="D9" s="91">
        <v>11</v>
      </c>
      <c r="E9" s="64">
        <v>329.89</v>
      </c>
      <c r="F9" s="148"/>
      <c r="G9" s="148"/>
      <c r="H9" s="64"/>
      <c r="I9" s="64"/>
      <c r="J9" s="149">
        <v>3</v>
      </c>
      <c r="K9" s="150">
        <f t="shared" si="0"/>
        <v>0.272727272727273</v>
      </c>
      <c r="L9" s="151">
        <v>70.33</v>
      </c>
      <c r="M9" s="152">
        <f t="shared" si="23"/>
        <v>-0.214285714285714</v>
      </c>
      <c r="N9" s="150">
        <f t="shared" si="24"/>
        <v>-0.214285714285714</v>
      </c>
      <c r="O9" s="150">
        <f t="shared" si="25"/>
        <v>-0.179092221171552</v>
      </c>
      <c r="P9" s="153">
        <f t="shared" si="1"/>
        <v>1</v>
      </c>
      <c r="Q9" s="154">
        <f t="shared" si="2"/>
        <v>29.99</v>
      </c>
      <c r="R9" s="187">
        <f t="shared" si="3"/>
        <v>29.99</v>
      </c>
      <c r="S9" s="155">
        <f t="shared" si="4"/>
        <v>1.57142857142857</v>
      </c>
      <c r="T9" s="193">
        <f t="shared" si="5"/>
        <v>5</v>
      </c>
      <c r="U9" s="157">
        <f t="shared" si="6"/>
        <v>0.454545454545455</v>
      </c>
      <c r="V9" s="94">
        <f t="shared" si="7"/>
        <v>0.152778198793537</v>
      </c>
      <c r="W9" s="91">
        <v>8341</v>
      </c>
      <c r="X9" s="91">
        <v>61</v>
      </c>
      <c r="Y9" s="91">
        <v>6</v>
      </c>
      <c r="Z9" s="91">
        <v>50.4</v>
      </c>
      <c r="AA9" s="92">
        <v>174.84</v>
      </c>
      <c r="AB9" s="91">
        <v>0.83</v>
      </c>
      <c r="AC9" s="71">
        <f t="shared" si="8"/>
        <v>0.288263555250515</v>
      </c>
      <c r="AD9" s="72">
        <f t="shared" si="9"/>
        <v>0.00731327178995324</v>
      </c>
      <c r="AE9" s="159">
        <f t="shared" si="10"/>
        <v>0.0983606557377049</v>
      </c>
      <c r="AF9" s="154">
        <f t="shared" si="11"/>
        <v>8.4</v>
      </c>
      <c r="AG9" s="160">
        <v>0</v>
      </c>
      <c r="AH9" s="162">
        <v>11</v>
      </c>
      <c r="AI9" s="163">
        <f>AG9*产品成本!$D$15+AH9*产品成本!$D$16</f>
        <v>58.8732394366197</v>
      </c>
      <c r="AJ9" s="163">
        <f>AG9*产品成本!$E$15+AH9*产品成本!$E$16</f>
        <v>3.52</v>
      </c>
      <c r="AK9" s="163">
        <f>AG9*产品成本!$F$15+AH9*产品成本!$F$16</f>
        <v>3.74</v>
      </c>
      <c r="AL9" s="163">
        <f>AG9*产品成本!$G$15+AH9*产品成本!$G$16</f>
        <v>42.9</v>
      </c>
      <c r="AM9" s="163">
        <f t="shared" si="12"/>
        <v>49.4835</v>
      </c>
      <c r="AN9" s="164">
        <f t="shared" si="13"/>
        <v>158.51673943662</v>
      </c>
      <c r="AO9" s="165">
        <v>0</v>
      </c>
      <c r="AP9" s="166">
        <v>3</v>
      </c>
      <c r="AQ9" s="167">
        <f t="shared" si="14"/>
        <v>85.7682926829268</v>
      </c>
      <c r="AR9" s="163">
        <f>AO9*产品成本!$D$15+AP9*产品成本!$D$16</f>
        <v>16.056338028169</v>
      </c>
      <c r="AS9" s="163">
        <f>AO9*产品成本!$E$15+AP9*产品成本!$E$16</f>
        <v>0.96</v>
      </c>
      <c r="AT9" s="163">
        <f>AO9*产品成本!$F$15+AP9*产品成本!$F$16</f>
        <v>1.02</v>
      </c>
      <c r="AU9" s="163"/>
      <c r="AV9" s="163">
        <f t="shared" si="15"/>
        <v>12.865243902439</v>
      </c>
      <c r="AW9" s="163">
        <f t="shared" si="16"/>
        <v>-2.5730487804878</v>
      </c>
      <c r="AX9" s="164">
        <f t="shared" si="17"/>
        <v>28.3285331501202</v>
      </c>
      <c r="AY9" s="169">
        <f t="shared" si="18"/>
        <v>130.188206286499</v>
      </c>
      <c r="AZ9" s="169">
        <f t="shared" si="19"/>
        <v>329.89</v>
      </c>
      <c r="BA9" s="169">
        <f t="shared" si="20"/>
        <v>244.121707317073</v>
      </c>
      <c r="BB9" s="168">
        <f t="shared" si="21"/>
        <v>63.5335010305737</v>
      </c>
      <c r="BC9" s="170">
        <f t="shared" si="22"/>
        <v>0.260253386430951</v>
      </c>
      <c r="BE9" t="s">
        <v>374</v>
      </c>
    </row>
    <row r="10" ht="29.1" customHeight="1" spans="1:58">
      <c r="A10" s="61" t="s">
        <v>118</v>
      </c>
      <c r="B10" s="89" t="s">
        <v>119</v>
      </c>
      <c r="C10" s="90">
        <v>6</v>
      </c>
      <c r="D10" s="91">
        <v>6</v>
      </c>
      <c r="E10" s="64">
        <v>179.94</v>
      </c>
      <c r="F10" s="148"/>
      <c r="G10" s="148"/>
      <c r="H10" s="64"/>
      <c r="I10" s="64"/>
      <c r="J10" s="149">
        <v>0</v>
      </c>
      <c r="K10" s="150">
        <f t="shared" si="0"/>
        <v>0</v>
      </c>
      <c r="L10" s="151">
        <v>0</v>
      </c>
      <c r="M10" s="152">
        <f t="shared" si="23"/>
        <v>-0.454545454545455</v>
      </c>
      <c r="N10" s="150">
        <f t="shared" si="24"/>
        <v>-0.454545454545455</v>
      </c>
      <c r="O10" s="150">
        <f t="shared" si="25"/>
        <v>-0.454545454545455</v>
      </c>
      <c r="P10" s="153">
        <f t="shared" si="1"/>
        <v>1</v>
      </c>
      <c r="Q10" s="154">
        <f t="shared" si="2"/>
        <v>29.99</v>
      </c>
      <c r="R10" s="187">
        <f t="shared" si="3"/>
        <v>29.99</v>
      </c>
      <c r="S10" s="155">
        <f t="shared" si="4"/>
        <v>0.857142857142857</v>
      </c>
      <c r="T10" s="193">
        <f t="shared" si="5"/>
        <v>6</v>
      </c>
      <c r="U10" s="157">
        <f t="shared" si="6"/>
        <v>1</v>
      </c>
      <c r="V10" s="94">
        <f t="shared" si="7"/>
        <v>0</v>
      </c>
      <c r="W10" s="91">
        <v>0</v>
      </c>
      <c r="X10" s="91">
        <v>0</v>
      </c>
      <c r="Y10" s="91">
        <v>0</v>
      </c>
      <c r="Z10" s="91">
        <v>0</v>
      </c>
      <c r="AA10" s="92">
        <v>0</v>
      </c>
      <c r="AB10" s="91">
        <v>0</v>
      </c>
      <c r="AC10" s="71" t="e">
        <f t="shared" si="8"/>
        <v>#DIV/0!</v>
      </c>
      <c r="AD10" s="72" t="e">
        <f t="shared" si="9"/>
        <v>#DIV/0!</v>
      </c>
      <c r="AE10" s="159" t="e">
        <f t="shared" si="10"/>
        <v>#DIV/0!</v>
      </c>
      <c r="AF10" s="154" t="e">
        <f t="shared" si="11"/>
        <v>#DIV/0!</v>
      </c>
      <c r="AG10" s="160">
        <v>0</v>
      </c>
      <c r="AH10" s="162">
        <v>6</v>
      </c>
      <c r="AI10" s="163">
        <f>AG10*产品成本!$D$15+AH10*产品成本!$D$16</f>
        <v>32.112676056338</v>
      </c>
      <c r="AJ10" s="163">
        <f>AG10*产品成本!$E$15+AH10*产品成本!$E$16</f>
        <v>1.92</v>
      </c>
      <c r="AK10" s="163">
        <f>AG10*产品成本!$F$15+AH10*产品成本!$F$16</f>
        <v>2.04</v>
      </c>
      <c r="AL10" s="163">
        <f>AG10*产品成本!$G$15+AH10*产品成本!$G$16</f>
        <v>23.4</v>
      </c>
      <c r="AM10" s="163">
        <f t="shared" si="12"/>
        <v>26.991</v>
      </c>
      <c r="AN10" s="164">
        <f t="shared" si="13"/>
        <v>86.463676056338</v>
      </c>
      <c r="AO10" s="165">
        <v>0</v>
      </c>
      <c r="AP10" s="166">
        <v>0</v>
      </c>
      <c r="AQ10" s="167">
        <f t="shared" si="14"/>
        <v>0</v>
      </c>
      <c r="AR10" s="163">
        <f>AO10*产品成本!$D$15+AP10*产品成本!$D$16</f>
        <v>0</v>
      </c>
      <c r="AS10" s="163">
        <f>AO10*产品成本!$E$15+AP10*产品成本!$E$16</f>
        <v>0</v>
      </c>
      <c r="AT10" s="163">
        <f>AO10*产品成本!$F$15+AP10*产品成本!$F$16</f>
        <v>0</v>
      </c>
      <c r="AU10" s="163"/>
      <c r="AV10" s="163">
        <f t="shared" si="15"/>
        <v>0</v>
      </c>
      <c r="AW10" s="163">
        <f t="shared" si="16"/>
        <v>0</v>
      </c>
      <c r="AX10" s="164">
        <f t="shared" si="17"/>
        <v>0</v>
      </c>
      <c r="AY10" s="169">
        <f t="shared" si="18"/>
        <v>86.463676056338</v>
      </c>
      <c r="AZ10" s="169">
        <f t="shared" si="19"/>
        <v>179.94</v>
      </c>
      <c r="BA10" s="169">
        <f t="shared" si="20"/>
        <v>179.94</v>
      </c>
      <c r="BB10" s="168">
        <f t="shared" si="21"/>
        <v>93.476323943662</v>
      </c>
      <c r="BC10" s="170">
        <f t="shared" si="22"/>
        <v>0.519486072822396</v>
      </c>
      <c r="BE10" t="s">
        <v>374</v>
      </c>
    </row>
    <row r="11" ht="29.1" customHeight="1" spans="1:58">
      <c r="A11" s="61" t="s">
        <v>121</v>
      </c>
      <c r="B11" s="89" t="s">
        <v>122</v>
      </c>
      <c r="C11" s="90">
        <v>3</v>
      </c>
      <c r="D11" s="91">
        <v>3</v>
      </c>
      <c r="E11" s="64">
        <v>89.97</v>
      </c>
      <c r="F11" s="148"/>
      <c r="G11" s="148"/>
      <c r="H11" s="64"/>
      <c r="I11" s="64"/>
      <c r="J11" s="149">
        <v>0</v>
      </c>
      <c r="K11" s="150">
        <f t="shared" si="0"/>
        <v>0</v>
      </c>
      <c r="L11" s="151">
        <v>0</v>
      </c>
      <c r="M11" s="152">
        <f t="shared" si="23"/>
        <v>-0.5</v>
      </c>
      <c r="N11" s="150">
        <f t="shared" si="24"/>
        <v>-0.5</v>
      </c>
      <c r="O11" s="150">
        <f t="shared" si="25"/>
        <v>-0.5</v>
      </c>
      <c r="P11" s="153">
        <f t="shared" si="1"/>
        <v>1</v>
      </c>
      <c r="Q11" s="154">
        <f t="shared" si="2"/>
        <v>29.99</v>
      </c>
      <c r="R11" s="187">
        <f t="shared" si="3"/>
        <v>29.99</v>
      </c>
      <c r="S11" s="155">
        <f t="shared" si="4"/>
        <v>0.428571428571429</v>
      </c>
      <c r="T11" s="193">
        <f t="shared" si="5"/>
        <v>3</v>
      </c>
      <c r="U11" s="157">
        <f t="shared" si="6"/>
        <v>1</v>
      </c>
      <c r="V11" s="94">
        <f t="shared" si="7"/>
        <v>0</v>
      </c>
      <c r="W11" s="91">
        <v>0</v>
      </c>
      <c r="X11" s="91">
        <v>0</v>
      </c>
      <c r="Y11" s="91">
        <v>0</v>
      </c>
      <c r="Z11" s="91">
        <v>0</v>
      </c>
      <c r="AA11" s="92">
        <v>0</v>
      </c>
      <c r="AB11" s="91">
        <v>0</v>
      </c>
      <c r="AC11" s="71" t="e">
        <f t="shared" si="8"/>
        <v>#DIV/0!</v>
      </c>
      <c r="AD11" s="72" t="e">
        <f t="shared" si="9"/>
        <v>#DIV/0!</v>
      </c>
      <c r="AE11" s="159" t="e">
        <f t="shared" si="10"/>
        <v>#DIV/0!</v>
      </c>
      <c r="AF11" s="154" t="e">
        <f t="shared" si="11"/>
        <v>#DIV/0!</v>
      </c>
      <c r="AG11" s="160">
        <v>0</v>
      </c>
      <c r="AH11" s="162">
        <v>3</v>
      </c>
      <c r="AI11" s="163">
        <f>AG11*产品成本!$D$15+AH11*产品成本!$D$16</f>
        <v>16.056338028169</v>
      </c>
      <c r="AJ11" s="163">
        <f>AG11*产品成本!$E$15+AH11*产品成本!$E$16</f>
        <v>0.96</v>
      </c>
      <c r="AK11" s="163">
        <f>AG11*产品成本!$F$15+AH11*产品成本!$F$16</f>
        <v>1.02</v>
      </c>
      <c r="AL11" s="163">
        <f>AG11*产品成本!$G$15+AH11*产品成本!$G$16</f>
        <v>11.7</v>
      </c>
      <c r="AM11" s="163">
        <f t="shared" si="12"/>
        <v>13.4955</v>
      </c>
      <c r="AN11" s="164">
        <f t="shared" si="13"/>
        <v>43.231838028169</v>
      </c>
      <c r="AO11" s="165">
        <v>0</v>
      </c>
      <c r="AP11" s="166">
        <v>0</v>
      </c>
      <c r="AQ11" s="167">
        <f t="shared" si="14"/>
        <v>0</v>
      </c>
      <c r="AR11" s="163">
        <f>AO11*产品成本!$D$15+AP11*产品成本!$D$16</f>
        <v>0</v>
      </c>
      <c r="AS11" s="163">
        <f>AO11*产品成本!$E$15+AP11*产品成本!$E$16</f>
        <v>0</v>
      </c>
      <c r="AT11" s="163">
        <f>AO11*产品成本!$F$15+AP11*产品成本!$F$16</f>
        <v>0</v>
      </c>
      <c r="AU11" s="163"/>
      <c r="AV11" s="163">
        <f t="shared" si="15"/>
        <v>0</v>
      </c>
      <c r="AW11" s="163">
        <f t="shared" si="16"/>
        <v>0</v>
      </c>
      <c r="AX11" s="164">
        <f t="shared" si="17"/>
        <v>0</v>
      </c>
      <c r="AY11" s="169">
        <f t="shared" si="18"/>
        <v>43.231838028169</v>
      </c>
      <c r="AZ11" s="169">
        <f t="shared" si="19"/>
        <v>89.97</v>
      </c>
      <c r="BA11" s="169">
        <f t="shared" si="20"/>
        <v>89.97</v>
      </c>
      <c r="BB11" s="168">
        <f t="shared" si="21"/>
        <v>46.738161971831</v>
      </c>
      <c r="BC11" s="170">
        <f t="shared" si="22"/>
        <v>0.519486072822396</v>
      </c>
      <c r="BE11" t="s">
        <v>374</v>
      </c>
    </row>
    <row r="12" ht="29.1" customHeight="1" spans="1:58">
      <c r="A12" s="61" t="s">
        <v>124</v>
      </c>
      <c r="B12" s="89" t="s">
        <v>125</v>
      </c>
      <c r="C12" s="90">
        <v>7</v>
      </c>
      <c r="D12" s="91">
        <v>7</v>
      </c>
      <c r="E12" s="64">
        <v>181.73</v>
      </c>
      <c r="F12" s="148"/>
      <c r="G12" s="148"/>
      <c r="H12" s="64"/>
      <c r="I12" s="64"/>
      <c r="J12" s="149">
        <v>1</v>
      </c>
      <c r="K12" s="150">
        <f t="shared" si="0"/>
        <v>0.142857142857143</v>
      </c>
      <c r="L12" s="151">
        <v>26.39</v>
      </c>
      <c r="M12" s="152">
        <f t="shared" si="23"/>
        <v>1.33333333333333</v>
      </c>
      <c r="N12" s="150">
        <f t="shared" si="24"/>
        <v>1.33333333333333</v>
      </c>
      <c r="O12" s="150">
        <f t="shared" si="25"/>
        <v>1.01989552072913</v>
      </c>
      <c r="P12" s="153">
        <f t="shared" si="1"/>
        <v>1</v>
      </c>
      <c r="Q12" s="154">
        <f t="shared" si="2"/>
        <v>25.9614285714286</v>
      </c>
      <c r="R12" s="187">
        <f t="shared" si="3"/>
        <v>25.9614285714286</v>
      </c>
      <c r="S12" s="155">
        <f t="shared" si="4"/>
        <v>1</v>
      </c>
      <c r="T12" s="193">
        <f t="shared" si="5"/>
        <v>3</v>
      </c>
      <c r="U12" s="157">
        <f t="shared" si="6"/>
        <v>0.428571428571429</v>
      </c>
      <c r="V12" s="94">
        <f t="shared" si="7"/>
        <v>0.331865954988169</v>
      </c>
      <c r="W12" s="91">
        <v>6868</v>
      </c>
      <c r="X12" s="91">
        <v>59</v>
      </c>
      <c r="Y12" s="91">
        <v>4</v>
      </c>
      <c r="Z12" s="91">
        <v>60.31</v>
      </c>
      <c r="AA12" s="92">
        <v>97.63</v>
      </c>
      <c r="AB12" s="91">
        <v>1.02</v>
      </c>
      <c r="AC12" s="71">
        <f t="shared" si="8"/>
        <v>0.617740448632592</v>
      </c>
      <c r="AD12" s="72">
        <f t="shared" si="9"/>
        <v>0.00859056493884683</v>
      </c>
      <c r="AE12" s="159">
        <f t="shared" si="10"/>
        <v>0.0677966101694915</v>
      </c>
      <c r="AF12" s="154">
        <f t="shared" si="11"/>
        <v>15.0775</v>
      </c>
      <c r="AG12" s="160">
        <v>0</v>
      </c>
      <c r="AH12" s="162">
        <v>7</v>
      </c>
      <c r="AI12" s="163">
        <f>AG12*产品成本!$D$15+AH12*产品成本!$D$16</f>
        <v>37.4647887323944</v>
      </c>
      <c r="AJ12" s="163">
        <f>AG12*产品成本!$E$15+AH12*产品成本!$E$16</f>
        <v>2.24</v>
      </c>
      <c r="AK12" s="163">
        <f>AG12*产品成本!$F$15+AH12*产品成本!$F$16</f>
        <v>2.38</v>
      </c>
      <c r="AL12" s="163">
        <f>AG12*产品成本!$G$15+AH12*产品成本!$G$16</f>
        <v>27.3</v>
      </c>
      <c r="AM12" s="163">
        <f t="shared" si="12"/>
        <v>27.2595</v>
      </c>
      <c r="AN12" s="164">
        <f t="shared" si="13"/>
        <v>96.6442887323944</v>
      </c>
      <c r="AO12" s="165">
        <v>0</v>
      </c>
      <c r="AP12" s="166">
        <v>1</v>
      </c>
      <c r="AQ12" s="167">
        <f t="shared" si="14"/>
        <v>32.1829268292683</v>
      </c>
      <c r="AR12" s="163">
        <f>AO12*产品成本!$D$15+AP12*产品成本!$D$16</f>
        <v>5.35211267605634</v>
      </c>
      <c r="AS12" s="163">
        <f>AO12*产品成本!$E$15+AP12*产品成本!$E$16</f>
        <v>0.32</v>
      </c>
      <c r="AT12" s="163">
        <f>AO12*产品成本!$F$15+AP12*产品成本!$F$16</f>
        <v>0.34</v>
      </c>
      <c r="AU12" s="163"/>
      <c r="AV12" s="163">
        <f t="shared" si="15"/>
        <v>4.82743902439024</v>
      </c>
      <c r="AW12" s="163">
        <f t="shared" si="16"/>
        <v>-0.965487804878049</v>
      </c>
      <c r="AX12" s="164">
        <f t="shared" si="17"/>
        <v>9.87406389556854</v>
      </c>
      <c r="AY12" s="169">
        <f t="shared" si="18"/>
        <v>86.7702248368258</v>
      </c>
      <c r="AZ12" s="169">
        <f t="shared" si="19"/>
        <v>181.73</v>
      </c>
      <c r="BA12" s="169">
        <f t="shared" si="20"/>
        <v>149.547073170732</v>
      </c>
      <c r="BB12" s="168">
        <f t="shared" si="21"/>
        <v>2.46684833390584</v>
      </c>
      <c r="BC12" s="170">
        <f t="shared" si="22"/>
        <v>0.0164954638135214</v>
      </c>
      <c r="BE12" t="s">
        <v>375</v>
      </c>
    </row>
    <row r="13" ht="29.1" customHeight="1" spans="1:58">
      <c r="A13" s="61" t="s">
        <v>128</v>
      </c>
      <c r="B13" s="89" t="s">
        <v>129</v>
      </c>
      <c r="C13" s="90">
        <v>11</v>
      </c>
      <c r="D13" s="91">
        <v>11</v>
      </c>
      <c r="E13" s="64">
        <v>300.59</v>
      </c>
      <c r="F13" s="148"/>
      <c r="G13" s="148"/>
      <c r="H13" s="64"/>
      <c r="I13" s="64"/>
      <c r="J13" s="149">
        <v>2</v>
      </c>
      <c r="K13" s="150">
        <f t="shared" si="0"/>
        <v>0.181818181818182</v>
      </c>
      <c r="L13" s="151">
        <v>52.78</v>
      </c>
      <c r="M13" s="152">
        <f t="shared" si="23"/>
        <v>0.571428571428571</v>
      </c>
      <c r="N13" s="150">
        <f t="shared" si="24"/>
        <v>0.571428571428571</v>
      </c>
      <c r="O13" s="150">
        <f t="shared" si="25"/>
        <v>0.654047212898256</v>
      </c>
      <c r="P13" s="153">
        <f t="shared" si="1"/>
        <v>1</v>
      </c>
      <c r="Q13" s="154">
        <f t="shared" si="2"/>
        <v>27.3263636363636</v>
      </c>
      <c r="R13" s="187">
        <f t="shared" si="3"/>
        <v>27.3263636363636</v>
      </c>
      <c r="S13" s="155">
        <f t="shared" si="4"/>
        <v>1.57142857142857</v>
      </c>
      <c r="T13" s="193">
        <f t="shared" si="5"/>
        <v>3</v>
      </c>
      <c r="U13" s="157">
        <f t="shared" si="6"/>
        <v>0.272727272727273</v>
      </c>
      <c r="V13" s="94">
        <f t="shared" si="7"/>
        <v>0.602149106756712</v>
      </c>
      <c r="W13" s="91">
        <v>26303</v>
      </c>
      <c r="X13" s="91">
        <v>190</v>
      </c>
      <c r="Y13" s="91">
        <v>8</v>
      </c>
      <c r="Z13" s="64">
        <v>181</v>
      </c>
      <c r="AA13" s="92">
        <v>204.82</v>
      </c>
      <c r="AB13" s="91">
        <v>0.95</v>
      </c>
      <c r="AC13" s="71">
        <f t="shared" si="8"/>
        <v>0.883702763402012</v>
      </c>
      <c r="AD13" s="72">
        <f t="shared" si="9"/>
        <v>0.00722351062616432</v>
      </c>
      <c r="AE13" s="159">
        <f t="shared" si="10"/>
        <v>0.0421052631578947</v>
      </c>
      <c r="AF13" s="154">
        <f t="shared" si="11"/>
        <v>22.625</v>
      </c>
      <c r="AG13" s="160">
        <v>0</v>
      </c>
      <c r="AH13" s="162">
        <v>11</v>
      </c>
      <c r="AI13" s="163">
        <f>AG13*产品成本!$D$15+AH13*产品成本!$D$16</f>
        <v>58.8732394366197</v>
      </c>
      <c r="AJ13" s="163">
        <f>AG13*产品成本!$E$15+AH13*产品成本!$E$16</f>
        <v>3.52</v>
      </c>
      <c r="AK13" s="163">
        <f>AG13*产品成本!$F$15+AH13*产品成本!$F$16</f>
        <v>3.74</v>
      </c>
      <c r="AL13" s="163">
        <f>AG13*产品成本!$G$15+AH13*产品成本!$G$16</f>
        <v>42.9</v>
      </c>
      <c r="AM13" s="163">
        <f t="shared" si="12"/>
        <v>45.0885</v>
      </c>
      <c r="AN13" s="164">
        <f t="shared" si="13"/>
        <v>154.12173943662</v>
      </c>
      <c r="AO13" s="165">
        <v>0</v>
      </c>
      <c r="AP13" s="166">
        <v>2</v>
      </c>
      <c r="AQ13" s="167">
        <f t="shared" si="14"/>
        <v>64.3658536585366</v>
      </c>
      <c r="AR13" s="163">
        <f>AO13*产品成本!$D$15+AP13*产品成本!$D$16</f>
        <v>10.7042253521127</v>
      </c>
      <c r="AS13" s="163">
        <f>AO13*产品成本!$E$15+AP13*产品成本!$E$16</f>
        <v>0.64</v>
      </c>
      <c r="AT13" s="163">
        <f>AO13*产品成本!$F$15+AP13*产品成本!$F$16</f>
        <v>0.68</v>
      </c>
      <c r="AU13" s="163"/>
      <c r="AV13" s="163">
        <f t="shared" si="15"/>
        <v>9.65487804878049</v>
      </c>
      <c r="AW13" s="163">
        <f t="shared" si="16"/>
        <v>-1.9309756097561</v>
      </c>
      <c r="AX13" s="164">
        <f t="shared" si="17"/>
        <v>19.7481277911371</v>
      </c>
      <c r="AY13" s="169">
        <f t="shared" si="18"/>
        <v>134.373611645483</v>
      </c>
      <c r="AZ13" s="169">
        <f t="shared" si="19"/>
        <v>300.59</v>
      </c>
      <c r="BA13" s="169">
        <f t="shared" si="20"/>
        <v>236.224146341463</v>
      </c>
      <c r="BB13" s="168">
        <f t="shared" si="21"/>
        <v>-79.1494653040193</v>
      </c>
      <c r="BC13" s="170">
        <f t="shared" si="22"/>
        <v>-0.335060858637238</v>
      </c>
      <c r="BE13" t="s">
        <v>375</v>
      </c>
    </row>
    <row r="14" ht="29.1" customHeight="1" spans="1:58">
      <c r="A14" s="61" t="s">
        <v>130</v>
      </c>
      <c r="B14" s="89" t="s">
        <v>131</v>
      </c>
      <c r="C14" s="90">
        <v>21</v>
      </c>
      <c r="D14" s="91">
        <v>21</v>
      </c>
      <c r="E14" s="64">
        <v>627.49</v>
      </c>
      <c r="F14" s="148"/>
      <c r="G14" s="148"/>
      <c r="H14" s="64"/>
      <c r="I14" s="64"/>
      <c r="J14" s="149">
        <v>2</v>
      </c>
      <c r="K14" s="150">
        <f t="shared" si="0"/>
        <v>0.0952380952380952</v>
      </c>
      <c r="L14" s="151">
        <v>48.82</v>
      </c>
      <c r="M14" s="152">
        <f t="shared" si="23"/>
        <v>0.909090909090909</v>
      </c>
      <c r="N14" s="150">
        <f t="shared" si="24"/>
        <v>0.909090909090909</v>
      </c>
      <c r="O14" s="150">
        <f t="shared" si="25"/>
        <v>1.08752786187165</v>
      </c>
      <c r="P14" s="153">
        <f t="shared" si="1"/>
        <v>1</v>
      </c>
      <c r="Q14" s="154">
        <f t="shared" si="2"/>
        <v>29.8804761904762</v>
      </c>
      <c r="R14" s="187">
        <f t="shared" si="3"/>
        <v>29.8804761904762</v>
      </c>
      <c r="S14" s="155">
        <f t="shared" si="4"/>
        <v>3</v>
      </c>
      <c r="T14" s="193">
        <f t="shared" si="5"/>
        <v>3</v>
      </c>
      <c r="U14" s="157">
        <f t="shared" si="6"/>
        <v>0.142857142857143</v>
      </c>
      <c r="V14" s="94">
        <f t="shared" si="7"/>
        <v>0.229469792347288</v>
      </c>
      <c r="W14" s="91">
        <v>21003</v>
      </c>
      <c r="X14" s="91">
        <v>163</v>
      </c>
      <c r="Y14" s="91">
        <v>18</v>
      </c>
      <c r="Z14" s="64">
        <v>143.99</v>
      </c>
      <c r="AA14" s="92">
        <v>511.82</v>
      </c>
      <c r="AB14" s="91">
        <v>0.88</v>
      </c>
      <c r="AC14" s="71">
        <f t="shared" si="8"/>
        <v>0.281329373607909</v>
      </c>
      <c r="AD14" s="72">
        <f t="shared" si="9"/>
        <v>0.00776079607675094</v>
      </c>
      <c r="AE14" s="159">
        <f t="shared" si="10"/>
        <v>0.110429447852761</v>
      </c>
      <c r="AF14" s="154">
        <f t="shared" si="11"/>
        <v>7.99944444444445</v>
      </c>
      <c r="AG14" s="160">
        <v>1</v>
      </c>
      <c r="AH14" s="162">
        <v>20</v>
      </c>
      <c r="AI14" s="163">
        <f>AG14*产品成本!$D$15+AH14*产品成本!$D$16</f>
        <v>111.267605633803</v>
      </c>
      <c r="AJ14" s="163">
        <f>AG14*产品成本!$E$15+AH14*产品成本!$E$16</f>
        <v>6.64</v>
      </c>
      <c r="AK14" s="163">
        <f>AG14*产品成本!$F$15+AH14*产品成本!$F$16</f>
        <v>7.14</v>
      </c>
      <c r="AL14" s="163">
        <f>AG14*产品成本!$G$15+AH14*产品成本!$G$16</f>
        <v>81.9</v>
      </c>
      <c r="AM14" s="163">
        <f t="shared" si="12"/>
        <v>94.1235</v>
      </c>
      <c r="AN14" s="164">
        <f t="shared" si="13"/>
        <v>301.071105633803</v>
      </c>
      <c r="AO14" s="165">
        <v>0</v>
      </c>
      <c r="AP14" s="166">
        <v>2</v>
      </c>
      <c r="AQ14" s="167">
        <f t="shared" si="14"/>
        <v>59.5365853658537</v>
      </c>
      <c r="AR14" s="163">
        <f>AO14*产品成本!$D$15+AP14*产品成本!$D$16</f>
        <v>10.7042253521127</v>
      </c>
      <c r="AS14" s="163">
        <f>AO14*产品成本!$E$15+AP14*产品成本!$E$16</f>
        <v>0.64</v>
      </c>
      <c r="AT14" s="163">
        <f>AO14*产品成本!$F$15+AP14*产品成本!$F$16</f>
        <v>0.68</v>
      </c>
      <c r="AU14" s="163"/>
      <c r="AV14" s="163">
        <f t="shared" si="15"/>
        <v>8.93048780487805</v>
      </c>
      <c r="AW14" s="163">
        <f t="shared" si="16"/>
        <v>-1.78609756097561</v>
      </c>
      <c r="AX14" s="164">
        <f t="shared" si="17"/>
        <v>19.1686155960151</v>
      </c>
      <c r="AY14" s="169">
        <f t="shared" si="18"/>
        <v>281.902490037788</v>
      </c>
      <c r="AZ14" s="169">
        <f t="shared" si="19"/>
        <v>627.49</v>
      </c>
      <c r="BA14" s="169">
        <f t="shared" si="20"/>
        <v>567.953414634146</v>
      </c>
      <c r="BB14" s="168">
        <f t="shared" si="21"/>
        <v>142.060924596359</v>
      </c>
      <c r="BC14" s="170">
        <f t="shared" si="22"/>
        <v>0.250127776215359</v>
      </c>
      <c r="BE14" t="s">
        <v>375</v>
      </c>
    </row>
    <row r="15" ht="29.1" customHeight="1" spans="1:58">
      <c r="A15" s="61" t="s">
        <v>133</v>
      </c>
      <c r="B15" s="89" t="s">
        <v>134</v>
      </c>
      <c r="C15" s="90">
        <v>26</v>
      </c>
      <c r="D15" s="91">
        <v>26</v>
      </c>
      <c r="E15" s="64">
        <v>775.14</v>
      </c>
      <c r="F15" s="148"/>
      <c r="G15" s="148"/>
      <c r="H15" s="64"/>
      <c r="I15" s="64"/>
      <c r="J15" s="149">
        <v>1</v>
      </c>
      <c r="K15" s="150">
        <f t="shared" si="0"/>
        <v>0.0384615384615385</v>
      </c>
      <c r="L15" s="151">
        <v>26.39</v>
      </c>
      <c r="M15" s="152">
        <f t="shared" si="23"/>
        <v>0.238095238095238</v>
      </c>
      <c r="N15" s="150">
        <f t="shared" si="24"/>
        <v>0.238095238095238</v>
      </c>
      <c r="O15" s="150">
        <f t="shared" si="25"/>
        <v>0.235302554622384</v>
      </c>
      <c r="P15" s="153">
        <f t="shared" si="1"/>
        <v>1</v>
      </c>
      <c r="Q15" s="154">
        <f t="shared" si="2"/>
        <v>29.8130769230769</v>
      </c>
      <c r="R15" s="187">
        <f t="shared" si="3"/>
        <v>29.8130769230769</v>
      </c>
      <c r="S15" s="155">
        <f t="shared" si="4"/>
        <v>3.71428571428571</v>
      </c>
      <c r="T15" s="193">
        <f t="shared" si="5"/>
        <v>13</v>
      </c>
      <c r="U15" s="157">
        <f t="shared" si="6"/>
        <v>0.5</v>
      </c>
      <c r="V15" s="94">
        <f t="shared" si="7"/>
        <v>0.23350620533065</v>
      </c>
      <c r="W15" s="91">
        <v>22270</v>
      </c>
      <c r="X15" s="91">
        <v>201</v>
      </c>
      <c r="Y15" s="91">
        <v>13</v>
      </c>
      <c r="Z15" s="64">
        <v>181</v>
      </c>
      <c r="AA15" s="92">
        <v>385.76</v>
      </c>
      <c r="AB15" s="91">
        <v>0.9</v>
      </c>
      <c r="AC15" s="71">
        <f t="shared" si="8"/>
        <v>0.469203649937785</v>
      </c>
      <c r="AD15" s="72">
        <f t="shared" si="9"/>
        <v>0.00902559497081275</v>
      </c>
      <c r="AE15" s="159">
        <f t="shared" si="10"/>
        <v>0.0646766169154229</v>
      </c>
      <c r="AF15" s="154">
        <f t="shared" si="11"/>
        <v>13.9230769230769</v>
      </c>
      <c r="AG15" s="160">
        <v>2</v>
      </c>
      <c r="AH15" s="162">
        <v>24</v>
      </c>
      <c r="AI15" s="163">
        <f>AG15*产品成本!$D$15+AH15*产品成本!$D$16</f>
        <v>136.901408450704</v>
      </c>
      <c r="AJ15" s="163">
        <f>AG15*产品成本!$E$15+AH15*产品成本!$E$16</f>
        <v>8.16</v>
      </c>
      <c r="AK15" s="163">
        <f>AG15*产品成本!$F$15+AH15*产品成本!$F$16</f>
        <v>8.84</v>
      </c>
      <c r="AL15" s="163">
        <f>AG15*产品成本!$G$15+AH15*产品成本!$G$16</f>
        <v>101.4</v>
      </c>
      <c r="AM15" s="163">
        <f t="shared" si="12"/>
        <v>116.271</v>
      </c>
      <c r="AN15" s="164">
        <f t="shared" si="13"/>
        <v>371.572408450704</v>
      </c>
      <c r="AO15" s="165">
        <v>0</v>
      </c>
      <c r="AP15" s="166">
        <v>1</v>
      </c>
      <c r="AQ15" s="167">
        <f t="shared" si="14"/>
        <v>32.1829268292683</v>
      </c>
      <c r="AR15" s="163">
        <f>AO15*产品成本!$D$15+AP15*产品成本!$D$16</f>
        <v>5.35211267605634</v>
      </c>
      <c r="AS15" s="163">
        <f>AO15*产品成本!$E$15+AP15*产品成本!$E$16</f>
        <v>0.32</v>
      </c>
      <c r="AT15" s="163">
        <f>AO15*产品成本!$F$15+AP15*产品成本!$F$16</f>
        <v>0.34</v>
      </c>
      <c r="AU15" s="163"/>
      <c r="AV15" s="163">
        <f t="shared" si="15"/>
        <v>4.82743902439024</v>
      </c>
      <c r="AW15" s="163">
        <f t="shared" si="16"/>
        <v>-0.965487804878049</v>
      </c>
      <c r="AX15" s="164">
        <f t="shared" si="17"/>
        <v>9.87406389556854</v>
      </c>
      <c r="AY15" s="169">
        <f t="shared" si="18"/>
        <v>361.698344555136</v>
      </c>
      <c r="AZ15" s="169">
        <f t="shared" si="19"/>
        <v>775.14</v>
      </c>
      <c r="BA15" s="169">
        <f t="shared" si="20"/>
        <v>742.957073170732</v>
      </c>
      <c r="BB15" s="168">
        <f t="shared" si="21"/>
        <v>200.258728615596</v>
      </c>
      <c r="BC15" s="170">
        <f t="shared" si="22"/>
        <v>0.269542798429724</v>
      </c>
      <c r="BE15" t="s">
        <v>375</v>
      </c>
    </row>
    <row r="16" ht="29.1" customHeight="1" spans="1:58">
      <c r="A16" s="61" t="s">
        <v>136</v>
      </c>
      <c r="B16" s="89" t="s">
        <v>137</v>
      </c>
      <c r="C16" s="90">
        <v>23</v>
      </c>
      <c r="D16" s="91">
        <v>23</v>
      </c>
      <c r="E16" s="64">
        <v>614.11</v>
      </c>
      <c r="F16" s="148"/>
      <c r="G16" s="148"/>
      <c r="H16" s="64"/>
      <c r="I16" s="64"/>
      <c r="J16" s="149">
        <v>2</v>
      </c>
      <c r="K16" s="150">
        <f t="shared" si="0"/>
        <v>0.0869565217391304</v>
      </c>
      <c r="L16" s="151">
        <v>52.78</v>
      </c>
      <c r="M16" s="152">
        <f t="shared" si="23"/>
        <v>-0.115384615384615</v>
      </c>
      <c r="N16" s="150">
        <f t="shared" si="24"/>
        <v>-0.115384615384615</v>
      </c>
      <c r="O16" s="150">
        <f t="shared" si="25"/>
        <v>-0.207743117372346</v>
      </c>
      <c r="P16" s="153">
        <f t="shared" si="1"/>
        <v>1</v>
      </c>
      <c r="Q16" s="154">
        <f t="shared" si="2"/>
        <v>26.7004347826087</v>
      </c>
      <c r="R16" s="187">
        <f t="shared" si="3"/>
        <v>26.7004347826087</v>
      </c>
      <c r="S16" s="155">
        <f t="shared" si="4"/>
        <v>3.28571428571429</v>
      </c>
      <c r="T16" s="193">
        <f t="shared" si="5"/>
        <v>8</v>
      </c>
      <c r="U16" s="157">
        <f t="shared" si="6"/>
        <v>0.347826086956522</v>
      </c>
      <c r="V16" s="94">
        <f t="shared" si="7"/>
        <v>0.331015616094836</v>
      </c>
      <c r="W16" s="91">
        <v>30438</v>
      </c>
      <c r="X16" s="91">
        <v>229</v>
      </c>
      <c r="Y16" s="91">
        <v>15</v>
      </c>
      <c r="Z16" s="64">
        <v>203.28</v>
      </c>
      <c r="AA16" s="92">
        <v>472.07</v>
      </c>
      <c r="AB16" s="91">
        <v>0.89</v>
      </c>
      <c r="AC16" s="71">
        <f t="shared" si="8"/>
        <v>0.430614103840532</v>
      </c>
      <c r="AD16" s="72">
        <f t="shared" si="9"/>
        <v>0.00752349037387476</v>
      </c>
      <c r="AE16" s="159">
        <f t="shared" si="10"/>
        <v>0.0655021834061135</v>
      </c>
      <c r="AF16" s="154">
        <f t="shared" si="11"/>
        <v>13.552</v>
      </c>
      <c r="AG16" s="160">
        <v>3</v>
      </c>
      <c r="AH16" s="162">
        <v>19</v>
      </c>
      <c r="AI16" s="163">
        <f>AG16*产品成本!$D$15+AH16*产品成本!$D$16</f>
        <v>114.366197183099</v>
      </c>
      <c r="AJ16" s="163">
        <f>AG16*产品成本!$E$15+AH16*产品成本!$E$16</f>
        <v>6.8</v>
      </c>
      <c r="AK16" s="163">
        <f>AG16*产品成本!$F$15+AH16*产品成本!$F$16</f>
        <v>7.48</v>
      </c>
      <c r="AL16" s="163">
        <f>AG16*产品成本!$G$15+AH16*产品成本!$G$16</f>
        <v>85.8</v>
      </c>
      <c r="AM16" s="163">
        <f t="shared" si="12"/>
        <v>92.1165</v>
      </c>
      <c r="AN16" s="164">
        <f t="shared" si="13"/>
        <v>306.562697183099</v>
      </c>
      <c r="AO16" s="165">
        <v>0</v>
      </c>
      <c r="AP16" s="166">
        <v>2</v>
      </c>
      <c r="AQ16" s="167">
        <f t="shared" si="14"/>
        <v>64.3658536585366</v>
      </c>
      <c r="AR16" s="163">
        <f>AO16*产品成本!$D$15+AP16*产品成本!$D$16</f>
        <v>10.7042253521127</v>
      </c>
      <c r="AS16" s="163">
        <f>AO16*产品成本!$E$15+AP16*产品成本!$E$16</f>
        <v>0.64</v>
      </c>
      <c r="AT16" s="163">
        <f>AO16*产品成本!$F$15+AP16*产品成本!$F$16</f>
        <v>0.68</v>
      </c>
      <c r="AU16" s="163"/>
      <c r="AV16" s="163">
        <f t="shared" si="15"/>
        <v>9.65487804878049</v>
      </c>
      <c r="AW16" s="163">
        <f t="shared" si="16"/>
        <v>-1.9309756097561</v>
      </c>
      <c r="AX16" s="164">
        <f t="shared" si="17"/>
        <v>19.7481277911371</v>
      </c>
      <c r="AY16" s="169">
        <f t="shared" si="18"/>
        <v>286.814569391962</v>
      </c>
      <c r="AZ16" s="169">
        <f t="shared" si="19"/>
        <v>614.11</v>
      </c>
      <c r="BA16" s="169">
        <f t="shared" si="20"/>
        <v>549.744146341463</v>
      </c>
      <c r="BB16" s="168">
        <f t="shared" si="21"/>
        <v>59.6495769495018</v>
      </c>
      <c r="BC16" s="170">
        <f t="shared" si="22"/>
        <v>0.108504251198432</v>
      </c>
      <c r="BF16" t="s">
        <v>91</v>
      </c>
    </row>
    <row r="17" ht="29.1" customHeight="1" spans="1:58">
      <c r="A17" s="61" t="s">
        <v>139</v>
      </c>
      <c r="B17" s="89" t="s">
        <v>140</v>
      </c>
      <c r="C17" s="90">
        <v>20</v>
      </c>
      <c r="D17" s="91">
        <v>18</v>
      </c>
      <c r="E17" s="64">
        <v>592.9</v>
      </c>
      <c r="F17" s="148"/>
      <c r="G17" s="148"/>
      <c r="H17" s="64"/>
      <c r="I17" s="64"/>
      <c r="J17" s="149">
        <v>3</v>
      </c>
      <c r="K17" s="150">
        <f t="shared" si="0"/>
        <v>0.15</v>
      </c>
      <c r="L17" s="151">
        <v>77.15</v>
      </c>
      <c r="M17" s="152">
        <f t="shared" si="23"/>
        <v>-0.130434782608696</v>
      </c>
      <c r="N17" s="150">
        <f t="shared" si="24"/>
        <v>-0.217391304347826</v>
      </c>
      <c r="O17" s="150">
        <f t="shared" si="25"/>
        <v>-0.0345377863900605</v>
      </c>
      <c r="P17" s="153">
        <f t="shared" si="1"/>
        <v>1.11111111111111</v>
      </c>
      <c r="Q17" s="154">
        <f t="shared" si="2"/>
        <v>32.9388888888889</v>
      </c>
      <c r="R17" s="187">
        <f t="shared" si="3"/>
        <v>29.645</v>
      </c>
      <c r="S17" s="155">
        <f t="shared" si="4"/>
        <v>2.85714285714286</v>
      </c>
      <c r="T17" s="193">
        <f t="shared" si="5"/>
        <v>4</v>
      </c>
      <c r="U17" s="157">
        <f t="shared" si="6"/>
        <v>0.222222222222222</v>
      </c>
      <c r="V17" s="94">
        <f t="shared" si="7"/>
        <v>0.259892055995952</v>
      </c>
      <c r="W17" s="91">
        <v>20642</v>
      </c>
      <c r="X17" s="91">
        <v>158</v>
      </c>
      <c r="Y17" s="91">
        <v>14</v>
      </c>
      <c r="Z17" s="64">
        <v>154.09</v>
      </c>
      <c r="AA17" s="92">
        <v>370.6</v>
      </c>
      <c r="AB17" s="91">
        <v>0.98</v>
      </c>
      <c r="AC17" s="71">
        <f t="shared" si="8"/>
        <v>0.415785213167836</v>
      </c>
      <c r="AD17" s="72">
        <f t="shared" si="9"/>
        <v>0.00765429706423796</v>
      </c>
      <c r="AE17" s="159">
        <f t="shared" si="10"/>
        <v>0.0886075949367089</v>
      </c>
      <c r="AF17" s="154">
        <f t="shared" si="11"/>
        <v>11.0064285714286</v>
      </c>
      <c r="AG17" s="160">
        <v>3</v>
      </c>
      <c r="AH17" s="162">
        <v>17</v>
      </c>
      <c r="AI17" s="163">
        <f>AG17*产品成本!$D$15+AH17*产品成本!$D$16</f>
        <v>103.661971830986</v>
      </c>
      <c r="AJ17" s="163">
        <f>AG17*产品成本!$E$15+AH17*产品成本!$E$16</f>
        <v>6.16</v>
      </c>
      <c r="AK17" s="163">
        <f>AG17*产品成本!$F$15+AH17*产品成本!$F$16</f>
        <v>6.8</v>
      </c>
      <c r="AL17" s="163">
        <f>AG17*产品成本!$G$15+AH17*产品成本!$G$16</f>
        <v>78</v>
      </c>
      <c r="AM17" s="163">
        <f t="shared" si="12"/>
        <v>88.935</v>
      </c>
      <c r="AN17" s="164">
        <f t="shared" si="13"/>
        <v>283.556971830986</v>
      </c>
      <c r="AO17" s="165">
        <v>1</v>
      </c>
      <c r="AP17" s="166">
        <v>2</v>
      </c>
      <c r="AQ17" s="167">
        <f t="shared" si="14"/>
        <v>94.0853658536585</v>
      </c>
      <c r="AR17" s="163">
        <f>AO17*产品成本!$D$15+AP17*产品成本!$D$16</f>
        <v>14.9295774647887</v>
      </c>
      <c r="AS17" s="163">
        <f>AO17*产品成本!$E$15+AP17*产品成本!$E$16</f>
        <v>0.88</v>
      </c>
      <c r="AT17" s="163">
        <f>AO17*产品成本!$F$15+AP17*产品成本!$F$16</f>
        <v>1.02</v>
      </c>
      <c r="AU17" s="163"/>
      <c r="AV17" s="163">
        <f t="shared" si="15"/>
        <v>14.1128048780488</v>
      </c>
      <c r="AW17" s="163">
        <f t="shared" si="16"/>
        <v>-2.82256097560976</v>
      </c>
      <c r="AX17" s="164">
        <f t="shared" si="17"/>
        <v>28.1198213672278</v>
      </c>
      <c r="AY17" s="169">
        <f t="shared" si="18"/>
        <v>255.437150463758</v>
      </c>
      <c r="AZ17" s="169">
        <f t="shared" si="19"/>
        <v>592.9</v>
      </c>
      <c r="BA17" s="169">
        <f t="shared" si="20"/>
        <v>498.814634146341</v>
      </c>
      <c r="BB17" s="168">
        <f t="shared" si="21"/>
        <v>89.2874836825832</v>
      </c>
      <c r="BC17" s="170">
        <f t="shared" si="22"/>
        <v>0.178999326744668</v>
      </c>
      <c r="BE17" t="s">
        <v>376</v>
      </c>
      <c r="BF17" t="s">
        <v>94</v>
      </c>
    </row>
    <row r="18" ht="29.1" customHeight="1" spans="1:58">
      <c r="A18" s="61" t="s">
        <v>142</v>
      </c>
      <c r="B18" s="89" t="s">
        <v>143</v>
      </c>
      <c r="C18" s="90">
        <v>25</v>
      </c>
      <c r="D18" s="91">
        <v>25</v>
      </c>
      <c r="E18" s="64">
        <v>682.87</v>
      </c>
      <c r="F18" s="148"/>
      <c r="G18" s="148"/>
      <c r="H18" s="64"/>
      <c r="I18" s="64"/>
      <c r="J18" s="149">
        <v>3</v>
      </c>
      <c r="K18" s="150">
        <f t="shared" si="0"/>
        <v>0.12</v>
      </c>
      <c r="L18" s="151">
        <v>76.53</v>
      </c>
      <c r="M18" s="152">
        <f t="shared" si="23"/>
        <v>0.25</v>
      </c>
      <c r="N18" s="150">
        <f t="shared" si="24"/>
        <v>0.388888888888889</v>
      </c>
      <c r="O18" s="150">
        <f t="shared" si="25"/>
        <v>0.151745656940462</v>
      </c>
      <c r="P18" s="153">
        <f t="shared" si="1"/>
        <v>1</v>
      </c>
      <c r="Q18" s="154">
        <f t="shared" si="2"/>
        <v>27.3148</v>
      </c>
      <c r="R18" s="187">
        <f t="shared" si="3"/>
        <v>27.3148</v>
      </c>
      <c r="S18" s="155">
        <f t="shared" si="4"/>
        <v>3.57142857142857</v>
      </c>
      <c r="T18" s="193">
        <f t="shared" si="5"/>
        <v>14</v>
      </c>
      <c r="U18" s="157">
        <f t="shared" si="6"/>
        <v>0.56</v>
      </c>
      <c r="V18" s="94">
        <f t="shared" si="7"/>
        <v>0.169197651090251</v>
      </c>
      <c r="W18" s="91">
        <v>20842</v>
      </c>
      <c r="X18" s="91">
        <v>121</v>
      </c>
      <c r="Y18" s="91">
        <v>11</v>
      </c>
      <c r="Z18" s="64">
        <v>115.54</v>
      </c>
      <c r="AA18" s="92">
        <v>307.39</v>
      </c>
      <c r="AB18" s="91">
        <v>0.95</v>
      </c>
      <c r="AC18" s="71">
        <f t="shared" si="8"/>
        <v>0.375874296496308</v>
      </c>
      <c r="AD18" s="72">
        <f t="shared" si="9"/>
        <v>0.0058055848766913</v>
      </c>
      <c r="AE18" s="159">
        <f t="shared" si="10"/>
        <v>0.0909090909090909</v>
      </c>
      <c r="AF18" s="154">
        <f t="shared" si="11"/>
        <v>10.5036363636364</v>
      </c>
      <c r="AG18" s="160">
        <v>3</v>
      </c>
      <c r="AH18" s="162">
        <v>22</v>
      </c>
      <c r="AI18" s="163">
        <f>AG18*产品成本!$D$15+AH18*产品成本!$D$16</f>
        <v>130.422535211268</v>
      </c>
      <c r="AJ18" s="163">
        <f>AG18*产品成本!$E$15+AH18*产品成本!$E$16</f>
        <v>7.76</v>
      </c>
      <c r="AK18" s="163">
        <f>AG18*产品成本!$F$15+AH18*产品成本!$F$16</f>
        <v>8.5</v>
      </c>
      <c r="AL18" s="163">
        <f>AG18*产品成本!$G$15+AH18*产品成本!$G$16</f>
        <v>97.5</v>
      </c>
      <c r="AM18" s="163">
        <f t="shared" si="12"/>
        <v>102.4305</v>
      </c>
      <c r="AN18" s="164">
        <f t="shared" si="13"/>
        <v>346.613035211268</v>
      </c>
      <c r="AO18" s="165">
        <v>0</v>
      </c>
      <c r="AP18" s="166">
        <v>3</v>
      </c>
      <c r="AQ18" s="167">
        <f t="shared" si="14"/>
        <v>93.3292682926829</v>
      </c>
      <c r="AR18" s="163">
        <f>AO18*产品成本!$D$15+AP18*产品成本!$D$16</f>
        <v>16.056338028169</v>
      </c>
      <c r="AS18" s="163">
        <f>AO18*产品成本!$E$15+AP18*产品成本!$E$16</f>
        <v>0.96</v>
      </c>
      <c r="AT18" s="163">
        <f>AO18*产品成本!$F$15+AP18*产品成本!$F$16</f>
        <v>1.02</v>
      </c>
      <c r="AU18" s="163"/>
      <c r="AV18" s="163">
        <f t="shared" si="15"/>
        <v>13.9993902439024</v>
      </c>
      <c r="AW18" s="163">
        <f t="shared" si="16"/>
        <v>-2.79987804878049</v>
      </c>
      <c r="AX18" s="164">
        <f t="shared" si="17"/>
        <v>29.235850223291</v>
      </c>
      <c r="AY18" s="169">
        <f t="shared" si="18"/>
        <v>317.377184987977</v>
      </c>
      <c r="AZ18" s="169">
        <f t="shared" si="19"/>
        <v>682.87</v>
      </c>
      <c r="BA18" s="169">
        <f t="shared" si="20"/>
        <v>589.540731707317</v>
      </c>
      <c r="BB18" s="168">
        <f t="shared" si="21"/>
        <v>156.62354671934</v>
      </c>
      <c r="BC18" s="170">
        <f t="shared" si="22"/>
        <v>0.265670441914601</v>
      </c>
      <c r="BE18" t="s">
        <v>377</v>
      </c>
    </row>
    <row r="19" ht="29.1" customHeight="1" spans="1:58">
      <c r="A19" s="61" t="s">
        <v>144</v>
      </c>
      <c r="B19" s="89" t="s">
        <v>145</v>
      </c>
      <c r="C19" s="90">
        <v>17</v>
      </c>
      <c r="D19" s="91">
        <v>17</v>
      </c>
      <c r="E19" s="64">
        <v>503.14</v>
      </c>
      <c r="F19" s="148"/>
      <c r="G19" s="148"/>
      <c r="H19" s="64"/>
      <c r="I19" s="64"/>
      <c r="J19" s="149">
        <v>1</v>
      </c>
      <c r="K19" s="150">
        <f t="shared" si="0"/>
        <v>0.0588235294117647</v>
      </c>
      <c r="L19" s="151">
        <v>26.39</v>
      </c>
      <c r="M19" s="152">
        <f t="shared" si="23"/>
        <v>-0.32</v>
      </c>
      <c r="N19" s="150">
        <f t="shared" si="24"/>
        <v>-0.32</v>
      </c>
      <c r="O19" s="150">
        <f t="shared" si="25"/>
        <v>-0.263197973259918</v>
      </c>
      <c r="P19" s="153">
        <f t="shared" si="1"/>
        <v>1</v>
      </c>
      <c r="Q19" s="154">
        <f t="shared" si="2"/>
        <v>29.5964705882353</v>
      </c>
      <c r="R19" s="187">
        <f t="shared" si="3"/>
        <v>29.5964705882353</v>
      </c>
      <c r="S19" s="155">
        <f t="shared" si="4"/>
        <v>2.42857142857143</v>
      </c>
      <c r="T19" s="193">
        <f t="shared" si="5"/>
        <v>-1</v>
      </c>
      <c r="U19" s="157">
        <f t="shared" si="6"/>
        <v>-0.0588235294117647</v>
      </c>
      <c r="V19" s="94">
        <f t="shared" si="7"/>
        <v>0.298028381762531</v>
      </c>
      <c r="W19" s="91">
        <v>22841</v>
      </c>
      <c r="X19" s="91">
        <v>158</v>
      </c>
      <c r="Y19" s="91">
        <v>18</v>
      </c>
      <c r="Z19" s="64">
        <v>149.95</v>
      </c>
      <c r="AA19" s="92">
        <v>473.72</v>
      </c>
      <c r="AB19" s="91">
        <v>0.95</v>
      </c>
      <c r="AC19" s="71">
        <f t="shared" si="8"/>
        <v>0.316537194967491</v>
      </c>
      <c r="AD19" s="72">
        <f t="shared" si="9"/>
        <v>0.00691738540344118</v>
      </c>
      <c r="AE19" s="159">
        <f t="shared" si="10"/>
        <v>0.113924050632911</v>
      </c>
      <c r="AF19" s="154">
        <f t="shared" si="11"/>
        <v>8.33055555555556</v>
      </c>
      <c r="AG19" s="160">
        <v>1</v>
      </c>
      <c r="AH19" s="162">
        <v>16</v>
      </c>
      <c r="AI19" s="163">
        <f>AG19*产品成本!$D$15+AH19*产品成本!$D$16</f>
        <v>89.8591549295775</v>
      </c>
      <c r="AJ19" s="163">
        <f>AG19*产品成本!$E$15+AH19*产品成本!$E$16</f>
        <v>5.36</v>
      </c>
      <c r="AK19" s="163">
        <f>AG19*产品成本!$F$15+AH19*产品成本!$F$16</f>
        <v>5.78</v>
      </c>
      <c r="AL19" s="163">
        <f>AG19*产品成本!$G$15+AH19*产品成本!$G$16</f>
        <v>66.3</v>
      </c>
      <c r="AM19" s="163">
        <f t="shared" si="12"/>
        <v>75.471</v>
      </c>
      <c r="AN19" s="164">
        <f t="shared" si="13"/>
        <v>242.770154929577</v>
      </c>
      <c r="AO19" s="165">
        <v>0</v>
      </c>
      <c r="AP19" s="166">
        <v>1</v>
      </c>
      <c r="AQ19" s="167">
        <f t="shared" si="14"/>
        <v>32.1829268292683</v>
      </c>
      <c r="AR19" s="163">
        <f>AO19*产品成本!$D$15+AP19*产品成本!$D$16</f>
        <v>5.35211267605634</v>
      </c>
      <c r="AS19" s="163">
        <f>AO19*产品成本!$E$15+AP19*产品成本!$E$16</f>
        <v>0.32</v>
      </c>
      <c r="AT19" s="163">
        <f>AO19*产品成本!$F$15+AP19*产品成本!$F$16</f>
        <v>0.34</v>
      </c>
      <c r="AU19" s="163"/>
      <c r="AV19" s="163">
        <f t="shared" si="15"/>
        <v>4.82743902439024</v>
      </c>
      <c r="AW19" s="163">
        <f t="shared" si="16"/>
        <v>-0.965487804878049</v>
      </c>
      <c r="AX19" s="164">
        <f t="shared" si="17"/>
        <v>9.87406389556854</v>
      </c>
      <c r="AY19" s="169">
        <f t="shared" si="18"/>
        <v>232.896091034009</v>
      </c>
      <c r="AZ19" s="169">
        <f t="shared" si="19"/>
        <v>503.14</v>
      </c>
      <c r="BA19" s="169">
        <f t="shared" si="20"/>
        <v>470.957073170732</v>
      </c>
      <c r="BB19" s="168">
        <f t="shared" si="21"/>
        <v>88.1109821367228</v>
      </c>
      <c r="BC19" s="170">
        <f t="shared" si="22"/>
        <v>0.187089200175959</v>
      </c>
    </row>
    <row r="20" ht="29.1" customHeight="1" spans="1:58">
      <c r="A20" s="61" t="s">
        <v>147</v>
      </c>
      <c r="B20" s="89" t="s">
        <v>148</v>
      </c>
      <c r="C20" s="90">
        <v>26</v>
      </c>
      <c r="D20" s="91">
        <v>26</v>
      </c>
      <c r="E20" s="64">
        <v>709.6</v>
      </c>
      <c r="F20" s="148"/>
      <c r="G20" s="148"/>
      <c r="H20" s="64"/>
      <c r="I20" s="64"/>
      <c r="J20" s="149">
        <v>1</v>
      </c>
      <c r="K20" s="150">
        <f t="shared" si="0"/>
        <v>0.0384615384615385</v>
      </c>
      <c r="L20" s="151">
        <v>23.75</v>
      </c>
      <c r="M20" s="152">
        <f t="shared" si="23"/>
        <v>0.529411764705882</v>
      </c>
      <c r="N20" s="150">
        <f t="shared" si="24"/>
        <v>0.529411764705882</v>
      </c>
      <c r="O20" s="150">
        <f t="shared" si="25"/>
        <v>0.410343045673173</v>
      </c>
      <c r="P20" s="153">
        <f t="shared" si="1"/>
        <v>1</v>
      </c>
      <c r="Q20" s="154">
        <f t="shared" si="2"/>
        <v>27.2923076923077</v>
      </c>
      <c r="R20" s="187">
        <f t="shared" si="3"/>
        <v>27.2923076923077</v>
      </c>
      <c r="S20" s="155">
        <f t="shared" si="4"/>
        <v>3.71428571428571</v>
      </c>
      <c r="T20" s="193">
        <f t="shared" si="5"/>
        <v>11</v>
      </c>
      <c r="U20" s="157">
        <f t="shared" si="6"/>
        <v>0.423076923076923</v>
      </c>
      <c r="V20" s="94">
        <f t="shared" si="7"/>
        <v>0.248872604284104</v>
      </c>
      <c r="W20" s="91">
        <v>23355</v>
      </c>
      <c r="X20" s="91">
        <v>183</v>
      </c>
      <c r="Y20" s="91">
        <v>15</v>
      </c>
      <c r="Z20" s="64">
        <v>176.6</v>
      </c>
      <c r="AA20" s="92">
        <v>399.48</v>
      </c>
      <c r="AB20" s="91">
        <v>0.97</v>
      </c>
      <c r="AC20" s="71">
        <f t="shared" si="8"/>
        <v>0.442074697106238</v>
      </c>
      <c r="AD20" s="72">
        <f t="shared" si="9"/>
        <v>0.00783558124598587</v>
      </c>
      <c r="AE20" s="159">
        <f t="shared" si="10"/>
        <v>0.0819672131147541</v>
      </c>
      <c r="AF20" s="154">
        <f t="shared" si="11"/>
        <v>11.7733333333333</v>
      </c>
      <c r="AG20" s="160">
        <v>2</v>
      </c>
      <c r="AH20" s="162">
        <v>24</v>
      </c>
      <c r="AI20" s="163">
        <f>AG20*产品成本!$D$15+AH20*产品成本!$D$16</f>
        <v>136.901408450704</v>
      </c>
      <c r="AJ20" s="163">
        <f>AG20*产品成本!$E$15+AH20*产品成本!$E$16</f>
        <v>8.16</v>
      </c>
      <c r="AK20" s="163">
        <f>AG20*产品成本!$F$15+AH20*产品成本!$F$16</f>
        <v>8.84</v>
      </c>
      <c r="AL20" s="163">
        <f>AG20*产品成本!$G$15+AH20*产品成本!$G$16</f>
        <v>101.4</v>
      </c>
      <c r="AM20" s="163">
        <f t="shared" si="12"/>
        <v>106.44</v>
      </c>
      <c r="AN20" s="164">
        <f t="shared" si="13"/>
        <v>361.741408450704</v>
      </c>
      <c r="AO20" s="165">
        <v>0</v>
      </c>
      <c r="AP20" s="166">
        <v>1</v>
      </c>
      <c r="AQ20" s="167">
        <f t="shared" si="14"/>
        <v>28.9634146341463</v>
      </c>
      <c r="AR20" s="163">
        <f>AO20*产品成本!$D$15+AP20*产品成本!$D$16</f>
        <v>5.35211267605634</v>
      </c>
      <c r="AS20" s="163">
        <f>AO20*产品成本!$E$15+AP20*产品成本!$E$16</f>
        <v>0.32</v>
      </c>
      <c r="AT20" s="163">
        <f>AO20*产品成本!$F$15+AP20*产品成本!$F$16</f>
        <v>0.34</v>
      </c>
      <c r="AU20" s="163"/>
      <c r="AV20" s="163">
        <f t="shared" si="15"/>
        <v>4.34451219512195</v>
      </c>
      <c r="AW20" s="163">
        <f t="shared" si="16"/>
        <v>-0.86890243902439</v>
      </c>
      <c r="AX20" s="164">
        <f t="shared" si="17"/>
        <v>9.4877224321539</v>
      </c>
      <c r="AY20" s="169">
        <f t="shared" si="18"/>
        <v>352.25368601855</v>
      </c>
      <c r="AZ20" s="169">
        <f t="shared" si="19"/>
        <v>709.6</v>
      </c>
      <c r="BA20" s="169">
        <f t="shared" si="20"/>
        <v>680.636585365854</v>
      </c>
      <c r="BB20" s="168">
        <f t="shared" si="21"/>
        <v>151.782899347303</v>
      </c>
      <c r="BC20" s="170">
        <f t="shared" si="22"/>
        <v>0.223001382251172</v>
      </c>
    </row>
    <row r="21" ht="29.1" customHeight="1" spans="1:58">
      <c r="A21" s="61" t="s">
        <v>150</v>
      </c>
      <c r="B21" s="89" t="s">
        <v>151</v>
      </c>
      <c r="C21" s="90">
        <v>28</v>
      </c>
      <c r="D21" s="91">
        <v>28</v>
      </c>
      <c r="E21" s="64">
        <v>762.44</v>
      </c>
      <c r="F21" s="148"/>
      <c r="G21" s="148"/>
      <c r="H21" s="64"/>
      <c r="I21" s="64"/>
      <c r="J21" s="149">
        <v>2</v>
      </c>
      <c r="K21" s="150">
        <f t="shared" si="0"/>
        <v>0.0714285714285714</v>
      </c>
      <c r="L21" s="151">
        <v>50.76</v>
      </c>
      <c r="M21" s="152">
        <f t="shared" si="23"/>
        <v>0.0769230769230769</v>
      </c>
      <c r="N21" s="150">
        <f t="shared" si="24"/>
        <v>0.0769230769230769</v>
      </c>
      <c r="O21" s="150">
        <f t="shared" si="25"/>
        <v>0.0744644870349493</v>
      </c>
      <c r="P21" s="153">
        <f t="shared" si="1"/>
        <v>1</v>
      </c>
      <c r="Q21" s="154">
        <f t="shared" si="2"/>
        <v>27.23</v>
      </c>
      <c r="R21" s="187">
        <f t="shared" si="3"/>
        <v>27.23</v>
      </c>
      <c r="S21" s="155">
        <f t="shared" si="4"/>
        <v>4</v>
      </c>
      <c r="T21" s="193">
        <f t="shared" si="5"/>
        <v>9</v>
      </c>
      <c r="U21" s="157">
        <f t="shared" si="6"/>
        <v>0.321428571428571</v>
      </c>
      <c r="V21" s="94">
        <f t="shared" si="7"/>
        <v>0.282986202192959</v>
      </c>
      <c r="W21" s="91">
        <v>34070</v>
      </c>
      <c r="X21" s="91">
        <v>217</v>
      </c>
      <c r="Y21" s="91">
        <v>19</v>
      </c>
      <c r="Z21" s="64">
        <v>215.76</v>
      </c>
      <c r="AA21" s="92">
        <v>499.3</v>
      </c>
      <c r="AB21" s="91">
        <v>0.99</v>
      </c>
      <c r="AC21" s="71">
        <f t="shared" si="8"/>
        <v>0.432124974964951</v>
      </c>
      <c r="AD21" s="72">
        <f t="shared" si="9"/>
        <v>0.00636923980041092</v>
      </c>
      <c r="AE21" s="159">
        <f t="shared" si="10"/>
        <v>0.0875576036866359</v>
      </c>
      <c r="AF21" s="154">
        <f t="shared" si="11"/>
        <v>11.3557894736842</v>
      </c>
      <c r="AG21" s="160">
        <v>4</v>
      </c>
      <c r="AH21" s="162">
        <v>24</v>
      </c>
      <c r="AI21" s="163">
        <f>AG21*产品成本!$D$15+AH21*产品成本!$D$16</f>
        <v>145.352112676056</v>
      </c>
      <c r="AJ21" s="163">
        <f>AG21*产品成本!$E$15+AH21*产品成本!$E$16</f>
        <v>8.64</v>
      </c>
      <c r="AK21" s="163">
        <f>AG21*产品成本!$F$15+AH21*产品成本!$F$16</f>
        <v>9.52</v>
      </c>
      <c r="AL21" s="163">
        <f>AG21*产品成本!$G$15+AH21*产品成本!$G$16</f>
        <v>109.2</v>
      </c>
      <c r="AM21" s="163">
        <f t="shared" si="12"/>
        <v>114.366</v>
      </c>
      <c r="AN21" s="164">
        <f t="shared" si="13"/>
        <v>387.078112676056</v>
      </c>
      <c r="AO21" s="165">
        <v>1</v>
      </c>
      <c r="AP21" s="166">
        <v>1</v>
      </c>
      <c r="AQ21" s="167">
        <f t="shared" si="14"/>
        <v>61.9024390243902</v>
      </c>
      <c r="AR21" s="163">
        <f>AO21*产品成本!$D$15+AP21*产品成本!$D$16</f>
        <v>9.5774647887324</v>
      </c>
      <c r="AS21" s="163">
        <f>AO21*产品成本!$E$15+AP21*产品成本!$E$16</f>
        <v>0.56</v>
      </c>
      <c r="AT21" s="163">
        <f>AO21*产品成本!$F$15+AP21*产品成本!$F$16</f>
        <v>0.68</v>
      </c>
      <c r="AU21" s="163"/>
      <c r="AV21" s="163">
        <f t="shared" si="15"/>
        <v>9.28536585365854</v>
      </c>
      <c r="AW21" s="163">
        <f t="shared" si="16"/>
        <v>-1.85707317073171</v>
      </c>
      <c r="AX21" s="164">
        <f t="shared" si="17"/>
        <v>18.2457574716592</v>
      </c>
      <c r="AY21" s="169">
        <f t="shared" si="18"/>
        <v>368.832355204397</v>
      </c>
      <c r="AZ21" s="169">
        <f t="shared" si="19"/>
        <v>762.44</v>
      </c>
      <c r="BA21" s="169">
        <f t="shared" si="20"/>
        <v>700.53756097561</v>
      </c>
      <c r="BB21" s="168">
        <f t="shared" si="21"/>
        <v>115.945205771213</v>
      </c>
      <c r="BC21" s="170">
        <f t="shared" si="22"/>
        <v>0.165508906631274</v>
      </c>
    </row>
    <row r="22" ht="29.1" customHeight="1" spans="1:58">
      <c r="A22" s="61" t="s">
        <v>154</v>
      </c>
      <c r="B22" s="89" t="s">
        <v>155</v>
      </c>
      <c r="C22" s="90">
        <v>25</v>
      </c>
      <c r="D22" s="91">
        <v>25</v>
      </c>
      <c r="E22" s="64">
        <v>663.03</v>
      </c>
      <c r="F22" s="148">
        <v>2</v>
      </c>
      <c r="G22" s="148">
        <v>2</v>
      </c>
      <c r="H22" s="64">
        <v>53.98</v>
      </c>
      <c r="I22" s="64">
        <v>3.58</v>
      </c>
      <c r="J22" s="149">
        <v>5</v>
      </c>
      <c r="K22" s="150">
        <f t="shared" si="0"/>
        <v>0.2</v>
      </c>
      <c r="L22" s="151">
        <v>110.43</v>
      </c>
      <c r="M22" s="152">
        <f t="shared" ref="M22:M38" si="26">(C22-C21)/C21</f>
        <v>-0.107142857142857</v>
      </c>
      <c r="N22" s="150">
        <f t="shared" ref="N22:N38" si="27">(D22-D21)/D21</f>
        <v>-0.107142857142857</v>
      </c>
      <c r="O22" s="150">
        <f t="shared" ref="O22:O38" si="28">(E22-E21)/E21</f>
        <v>-0.130384030218771</v>
      </c>
      <c r="P22" s="153">
        <f t="shared" si="1"/>
        <v>1</v>
      </c>
      <c r="Q22" s="154">
        <f t="shared" si="2"/>
        <v>26.5212</v>
      </c>
      <c r="R22" s="187">
        <f t="shared" si="3"/>
        <v>26.5212</v>
      </c>
      <c r="S22" s="155">
        <f t="shared" si="4"/>
        <v>3.57142857142857</v>
      </c>
      <c r="T22" s="193">
        <f t="shared" si="5"/>
        <v>8</v>
      </c>
      <c r="U22" s="157">
        <f t="shared" si="6"/>
        <v>0.32</v>
      </c>
      <c r="V22" s="94">
        <f t="shared" si="7"/>
        <v>0.230859049207673</v>
      </c>
      <c r="W22" s="91">
        <v>25098</v>
      </c>
      <c r="X22" s="91">
        <v>151</v>
      </c>
      <c r="Y22" s="91">
        <v>17</v>
      </c>
      <c r="Z22" s="64">
        <v>152.24</v>
      </c>
      <c r="AA22" s="92">
        <v>439.19</v>
      </c>
      <c r="AB22" s="91">
        <v>1.01</v>
      </c>
      <c r="AC22" s="71">
        <f t="shared" si="8"/>
        <v>0.346638129283454</v>
      </c>
      <c r="AD22" s="72">
        <f t="shared" si="9"/>
        <v>0.00601641565064945</v>
      </c>
      <c r="AE22" s="159">
        <f t="shared" si="10"/>
        <v>0.112582781456954</v>
      </c>
      <c r="AF22" s="154">
        <f t="shared" si="11"/>
        <v>8.95529411764706</v>
      </c>
      <c r="AG22" s="160">
        <v>7</v>
      </c>
      <c r="AH22" s="162">
        <v>18</v>
      </c>
      <c r="AI22" s="163">
        <f>AG22*产品成本!$D$15+AH22*产品成本!$D$16</f>
        <v>125.915492957747</v>
      </c>
      <c r="AJ22" s="163">
        <f>AG22*产品成本!$E$15+AH22*产品成本!$E$16</f>
        <v>7.44</v>
      </c>
      <c r="AK22" s="163">
        <f>AG22*产品成本!$F$15+AH22*产品成本!$F$16</f>
        <v>8.5</v>
      </c>
      <c r="AL22" s="163">
        <f>AG22*产品成本!$G$15+AH22*产品成本!$G$16</f>
        <v>97.5</v>
      </c>
      <c r="AM22" s="163">
        <f t="shared" si="12"/>
        <v>98.9175</v>
      </c>
      <c r="AN22" s="164">
        <f t="shared" si="13"/>
        <v>338.272992957747</v>
      </c>
      <c r="AO22" s="165">
        <v>1</v>
      </c>
      <c r="AP22" s="166">
        <v>4</v>
      </c>
      <c r="AQ22" s="167">
        <f t="shared" si="14"/>
        <v>134.670731707317</v>
      </c>
      <c r="AR22" s="163">
        <f>AO22*产品成本!$D$15+AP22*产品成本!$D$16</f>
        <v>25.6338028169014</v>
      </c>
      <c r="AS22" s="163">
        <f>AO22*产品成本!$E$15+AP22*产品成本!$E$16</f>
        <v>1.52</v>
      </c>
      <c r="AT22" s="163">
        <f>AO22*产品成本!$F$15+AP22*产品成本!$F$16</f>
        <v>1.7</v>
      </c>
      <c r="AU22" s="163"/>
      <c r="AV22" s="163">
        <f t="shared" si="15"/>
        <v>20.2006097560976</v>
      </c>
      <c r="AW22" s="163">
        <f t="shared" si="16"/>
        <v>-4.04012195121951</v>
      </c>
      <c r="AX22" s="164">
        <f t="shared" si="17"/>
        <v>45.0142906217795</v>
      </c>
      <c r="AY22" s="169">
        <f t="shared" ref="AY22:AY38" si="29">AN22-AX22</f>
        <v>293.258702335967</v>
      </c>
      <c r="AZ22" s="169">
        <f t="shared" si="19"/>
        <v>659.45</v>
      </c>
      <c r="BA22" s="169">
        <f t="shared" si="20"/>
        <v>524.779268292683</v>
      </c>
      <c r="BB22" s="168">
        <f t="shared" si="21"/>
        <v>79.2805659567157</v>
      </c>
      <c r="BC22" s="170">
        <f t="shared" ref="BC22:BC38" si="30">BB22/BA22</f>
        <v>0.15107411962871</v>
      </c>
    </row>
    <row r="23" ht="29.1" customHeight="1" spans="1:58">
      <c r="A23" s="61" t="s">
        <v>156</v>
      </c>
      <c r="B23" s="89" t="s">
        <v>157</v>
      </c>
      <c r="C23" s="90">
        <v>23</v>
      </c>
      <c r="D23" s="91">
        <v>22</v>
      </c>
      <c r="E23" s="64">
        <v>582.25</v>
      </c>
      <c r="F23" s="148">
        <v>4</v>
      </c>
      <c r="G23" s="148">
        <v>4</v>
      </c>
      <c r="H23" s="64">
        <v>101.96</v>
      </c>
      <c r="I23" s="64">
        <v>10.2</v>
      </c>
      <c r="J23" s="149">
        <v>3</v>
      </c>
      <c r="K23" s="150">
        <f t="shared" si="0"/>
        <v>0.130434782608696</v>
      </c>
      <c r="L23" s="151">
        <v>69.15</v>
      </c>
      <c r="M23" s="152">
        <f t="shared" si="26"/>
        <v>-0.08</v>
      </c>
      <c r="N23" s="150">
        <f t="shared" si="27"/>
        <v>-0.12</v>
      </c>
      <c r="O23" s="150">
        <f t="shared" si="28"/>
        <v>-0.12183460778547</v>
      </c>
      <c r="P23" s="153">
        <f t="shared" si="1"/>
        <v>1.04545454545455</v>
      </c>
      <c r="Q23" s="154">
        <f t="shared" si="2"/>
        <v>26.4659090909091</v>
      </c>
      <c r="R23" s="187">
        <f t="shared" si="3"/>
        <v>25.3152173913043</v>
      </c>
      <c r="S23" s="155">
        <f t="shared" si="4"/>
        <v>3.28571428571429</v>
      </c>
      <c r="T23" s="193">
        <f t="shared" si="5"/>
        <v>8</v>
      </c>
      <c r="U23" s="157">
        <f t="shared" si="6"/>
        <v>0.363636363636364</v>
      </c>
      <c r="V23" s="94">
        <f t="shared" si="7"/>
        <v>0.295533607202168</v>
      </c>
      <c r="W23" s="91">
        <v>26932</v>
      </c>
      <c r="X23" s="91">
        <v>171</v>
      </c>
      <c r="Y23" s="91">
        <v>14</v>
      </c>
      <c r="Z23" s="64">
        <v>169.06</v>
      </c>
      <c r="AA23" s="92">
        <v>371.73</v>
      </c>
      <c r="AB23" s="91">
        <v>0.99</v>
      </c>
      <c r="AC23" s="71">
        <f t="shared" si="8"/>
        <v>0.454792456890754</v>
      </c>
      <c r="AD23" s="72">
        <f t="shared" si="9"/>
        <v>0.00634932422397148</v>
      </c>
      <c r="AE23" s="159">
        <f t="shared" si="10"/>
        <v>0.0818713450292398</v>
      </c>
      <c r="AF23" s="154">
        <f t="shared" si="11"/>
        <v>12.0757142857143</v>
      </c>
      <c r="AG23" s="160">
        <v>2</v>
      </c>
      <c r="AH23" s="162">
        <v>21</v>
      </c>
      <c r="AI23" s="163">
        <f>AG23*产品成本!$D$15+AH23*产品成本!$D$16</f>
        <v>120.845070422535</v>
      </c>
      <c r="AJ23" s="163">
        <f>AG23*产品成本!$E$15+AH23*产品成本!$E$16</f>
        <v>7.2</v>
      </c>
      <c r="AK23" s="163">
        <f>AG23*产品成本!$F$15+AH23*产品成本!$F$16</f>
        <v>7.82</v>
      </c>
      <c r="AL23" s="163">
        <f>AG23*产品成本!$G$15+AH23*产品成本!$G$16</f>
        <v>89.7</v>
      </c>
      <c r="AM23" s="163">
        <f t="shared" si="12"/>
        <v>85.8075</v>
      </c>
      <c r="AN23" s="164">
        <f t="shared" si="13"/>
        <v>311.372570422535</v>
      </c>
      <c r="AO23" s="165">
        <v>1</v>
      </c>
      <c r="AP23" s="166">
        <v>3</v>
      </c>
      <c r="AQ23" s="167">
        <f t="shared" si="14"/>
        <v>84.3292682926829</v>
      </c>
      <c r="AR23" s="163">
        <f>AO23*产品成本!$D$15+AP23*产品成本!$D$16</f>
        <v>20.2816901408451</v>
      </c>
      <c r="AS23" s="163">
        <f>AO23*产品成本!$E$15+AP23*产品成本!$E$16</f>
        <v>1.2</v>
      </c>
      <c r="AT23" s="163">
        <f>AO23*产品成本!$F$15+AP23*产品成本!$F$16</f>
        <v>1.36</v>
      </c>
      <c r="AU23" s="163"/>
      <c r="AV23" s="163">
        <f t="shared" si="15"/>
        <v>12.6493902439024</v>
      </c>
      <c r="AW23" s="163">
        <f t="shared" si="16"/>
        <v>-2.52987804878049</v>
      </c>
      <c r="AX23" s="164">
        <f t="shared" si="17"/>
        <v>32.961202335967</v>
      </c>
      <c r="AY23" s="169">
        <f t="shared" si="29"/>
        <v>278.411368086568</v>
      </c>
      <c r="AZ23" s="169">
        <f t="shared" si="19"/>
        <v>572.05</v>
      </c>
      <c r="BA23" s="169">
        <f t="shared" si="20"/>
        <v>487.720731707317</v>
      </c>
      <c r="BB23" s="168">
        <f t="shared" si="21"/>
        <v>40.2493636207489</v>
      </c>
      <c r="BC23" s="170">
        <f t="shared" si="30"/>
        <v>0.0825254310593929</v>
      </c>
    </row>
    <row r="24" ht="29.1" customHeight="1" spans="1:58">
      <c r="A24" s="61" t="s">
        <v>158</v>
      </c>
      <c r="B24" s="89" t="s">
        <v>159</v>
      </c>
      <c r="C24" s="90">
        <v>19</v>
      </c>
      <c r="D24" s="91">
        <v>19</v>
      </c>
      <c r="E24" s="64">
        <v>482.35</v>
      </c>
      <c r="F24" s="148">
        <v>4</v>
      </c>
      <c r="G24" s="148">
        <v>4</v>
      </c>
      <c r="H24" s="64">
        <v>100</v>
      </c>
      <c r="I24" s="64">
        <v>10</v>
      </c>
      <c r="J24" s="149">
        <v>3</v>
      </c>
      <c r="K24" s="150">
        <f t="shared" si="0"/>
        <v>0.157894736842105</v>
      </c>
      <c r="L24" s="151">
        <v>62.95</v>
      </c>
      <c r="M24" s="152">
        <f t="shared" si="26"/>
        <v>-0.173913043478261</v>
      </c>
      <c r="N24" s="150">
        <f t="shared" si="27"/>
        <v>-0.136363636363636</v>
      </c>
      <c r="O24" s="150">
        <f t="shared" si="28"/>
        <v>-0.171575783598111</v>
      </c>
      <c r="P24" s="153">
        <f t="shared" si="1"/>
        <v>1</v>
      </c>
      <c r="Q24" s="154">
        <f t="shared" si="2"/>
        <v>25.3868421052632</v>
      </c>
      <c r="R24" s="187">
        <f t="shared" si="3"/>
        <v>25.3868421052632</v>
      </c>
      <c r="S24" s="155">
        <f t="shared" si="4"/>
        <v>2.71428571428571</v>
      </c>
      <c r="T24" s="193">
        <f t="shared" si="5"/>
        <v>-2</v>
      </c>
      <c r="U24" s="157">
        <f t="shared" si="6"/>
        <v>-0.105263157894737</v>
      </c>
      <c r="V24" s="94">
        <f t="shared" si="7"/>
        <v>0.361998518048058</v>
      </c>
      <c r="W24" s="91">
        <v>28948</v>
      </c>
      <c r="X24" s="91">
        <v>173</v>
      </c>
      <c r="Y24" s="91">
        <v>21</v>
      </c>
      <c r="Z24" s="64">
        <v>170.99</v>
      </c>
      <c r="AA24" s="92">
        <v>528.29</v>
      </c>
      <c r="AB24" s="91">
        <v>0.99</v>
      </c>
      <c r="AC24" s="71">
        <f t="shared" si="8"/>
        <v>0.323666925362964</v>
      </c>
      <c r="AD24" s="72">
        <f t="shared" si="9"/>
        <v>0.00597623324582009</v>
      </c>
      <c r="AE24" s="159">
        <f t="shared" si="10"/>
        <v>0.121387283236994</v>
      </c>
      <c r="AF24" s="154">
        <f t="shared" si="11"/>
        <v>8.14238095238095</v>
      </c>
      <c r="AG24" s="160">
        <v>1</v>
      </c>
      <c r="AH24" s="162">
        <v>18</v>
      </c>
      <c r="AI24" s="163">
        <f>AG24*产品成本!$D$15+AH24*产品成本!$D$16</f>
        <v>100.56338028169</v>
      </c>
      <c r="AJ24" s="163">
        <f>AG24*产品成本!$E$15+AH24*产品成本!$E$16</f>
        <v>6</v>
      </c>
      <c r="AK24" s="163">
        <f>AG24*产品成本!$F$15+AH24*产品成本!$F$16</f>
        <v>6.46</v>
      </c>
      <c r="AL24" s="163">
        <f>AG24*产品成本!$G$15+AH24*产品成本!$G$16</f>
        <v>74.1</v>
      </c>
      <c r="AM24" s="163">
        <f t="shared" si="12"/>
        <v>70.8525</v>
      </c>
      <c r="AN24" s="164">
        <f t="shared" si="13"/>
        <v>257.97588028169</v>
      </c>
      <c r="AO24" s="165">
        <v>0</v>
      </c>
      <c r="AP24" s="166">
        <v>3</v>
      </c>
      <c r="AQ24" s="167">
        <f t="shared" si="14"/>
        <v>76.7682926829268</v>
      </c>
      <c r="AR24" s="163">
        <f>AO24*产品成本!$D$15+AP24*产品成本!$D$16</f>
        <v>16.056338028169</v>
      </c>
      <c r="AS24" s="163">
        <f>AO24*产品成本!$E$15+AP24*产品成本!$E$16</f>
        <v>0.96</v>
      </c>
      <c r="AT24" s="163">
        <f>AO24*产品成本!$F$15+AP24*产品成本!$F$16</f>
        <v>1.02</v>
      </c>
      <c r="AU24" s="163"/>
      <c r="AV24" s="163">
        <f t="shared" si="15"/>
        <v>11.515243902439</v>
      </c>
      <c r="AW24" s="163">
        <f t="shared" si="16"/>
        <v>-2.30304878048781</v>
      </c>
      <c r="AX24" s="164">
        <f t="shared" si="17"/>
        <v>27.2485331501202</v>
      </c>
      <c r="AY24" s="169">
        <f t="shared" si="29"/>
        <v>230.72734713157</v>
      </c>
      <c r="AZ24" s="169">
        <f t="shared" si="19"/>
        <v>472.35</v>
      </c>
      <c r="BA24" s="169">
        <f t="shared" si="20"/>
        <v>395.581707317073</v>
      </c>
      <c r="BB24" s="168">
        <f t="shared" si="21"/>
        <v>-6.13563981449676</v>
      </c>
      <c r="BC24" s="170">
        <f t="shared" si="30"/>
        <v>-0.0155104235130337</v>
      </c>
    </row>
    <row r="25" ht="29.1" customHeight="1" spans="1:58">
      <c r="A25" s="61" t="s">
        <v>160</v>
      </c>
      <c r="B25" s="89" t="s">
        <v>161</v>
      </c>
      <c r="C25" s="90">
        <v>27</v>
      </c>
      <c r="D25" s="91">
        <v>27</v>
      </c>
      <c r="E25" s="64">
        <v>682.35</v>
      </c>
      <c r="F25" s="148">
        <v>1</v>
      </c>
      <c r="G25" s="148">
        <v>1</v>
      </c>
      <c r="H25" s="64">
        <v>25.49</v>
      </c>
      <c r="I25" s="64">
        <v>2.55</v>
      </c>
      <c r="J25" s="149">
        <v>2</v>
      </c>
      <c r="K25" s="150">
        <f t="shared" si="0"/>
        <v>0.0740740740740741</v>
      </c>
      <c r="L25" s="151">
        <v>43.81</v>
      </c>
      <c r="M25" s="152">
        <f t="shared" si="26"/>
        <v>0.421052631578947</v>
      </c>
      <c r="N25" s="150">
        <f t="shared" si="27"/>
        <v>0.421052631578947</v>
      </c>
      <c r="O25" s="150">
        <f t="shared" si="28"/>
        <v>0.41463667461387</v>
      </c>
      <c r="P25" s="153">
        <f t="shared" si="1"/>
        <v>1</v>
      </c>
      <c r="Q25" s="154">
        <f t="shared" si="2"/>
        <v>25.2722222222222</v>
      </c>
      <c r="R25" s="187">
        <f t="shared" si="3"/>
        <v>25.2722222222222</v>
      </c>
      <c r="S25" s="155">
        <f t="shared" si="4"/>
        <v>3.85714285714286</v>
      </c>
      <c r="T25" s="193">
        <f t="shared" si="5"/>
        <v>9</v>
      </c>
      <c r="U25" s="157">
        <f t="shared" si="6"/>
        <v>0.333333333333333</v>
      </c>
      <c r="V25" s="94">
        <f t="shared" si="7"/>
        <v>0.289143865842895</v>
      </c>
      <c r="W25" s="91">
        <v>30187</v>
      </c>
      <c r="X25" s="91">
        <v>194</v>
      </c>
      <c r="Y25" s="91">
        <v>18</v>
      </c>
      <c r="Z25" s="64">
        <v>196.56</v>
      </c>
      <c r="AA25" s="92">
        <v>451.68</v>
      </c>
      <c r="AB25" s="91">
        <v>1.01</v>
      </c>
      <c r="AC25" s="71">
        <f t="shared" si="8"/>
        <v>0.435175345377258</v>
      </c>
      <c r="AD25" s="72">
        <f t="shared" si="9"/>
        <v>0.00642660748004108</v>
      </c>
      <c r="AE25" s="159">
        <f t="shared" si="10"/>
        <v>0.0927835051546392</v>
      </c>
      <c r="AF25" s="154">
        <f t="shared" si="11"/>
        <v>10.92</v>
      </c>
      <c r="AG25" s="160">
        <v>3</v>
      </c>
      <c r="AH25" s="162">
        <v>24</v>
      </c>
      <c r="AI25" s="163">
        <f>AG25*产品成本!$D$15+AH25*产品成本!$D$16</f>
        <v>141.12676056338</v>
      </c>
      <c r="AJ25" s="163">
        <f>AG25*产品成本!$E$15+AH25*产品成本!$E$16</f>
        <v>8.4</v>
      </c>
      <c r="AK25" s="163">
        <f>AG25*产品成本!$F$15+AH25*产品成本!$F$16</f>
        <v>9.18</v>
      </c>
      <c r="AL25" s="163">
        <f>AG25*产品成本!$G$15+AH25*产品成本!$G$16</f>
        <v>105.3</v>
      </c>
      <c r="AM25" s="163">
        <f t="shared" si="12"/>
        <v>101.97</v>
      </c>
      <c r="AN25" s="164">
        <f t="shared" si="13"/>
        <v>365.97676056338</v>
      </c>
      <c r="AO25" s="165">
        <v>0</v>
      </c>
      <c r="AP25" s="166">
        <v>2</v>
      </c>
      <c r="AQ25" s="167">
        <f t="shared" si="14"/>
        <v>53.4268292682927</v>
      </c>
      <c r="AR25" s="163">
        <f>AO25*产品成本!$D$15+AP25*产品成本!$D$16</f>
        <v>10.7042253521127</v>
      </c>
      <c r="AS25" s="163">
        <f>AO25*产品成本!$E$15+AP25*产品成本!$E$16</f>
        <v>0.64</v>
      </c>
      <c r="AT25" s="163">
        <f>AO25*产品成本!$F$15+AP25*产品成本!$F$16</f>
        <v>0.68</v>
      </c>
      <c r="AU25" s="163"/>
      <c r="AV25" s="163">
        <f t="shared" si="15"/>
        <v>8.0140243902439</v>
      </c>
      <c r="AW25" s="163">
        <f t="shared" si="16"/>
        <v>-1.60280487804878</v>
      </c>
      <c r="AX25" s="164">
        <f t="shared" si="17"/>
        <v>18.4354448643078</v>
      </c>
      <c r="AY25" s="169">
        <f t="shared" si="29"/>
        <v>347.541315699073</v>
      </c>
      <c r="AZ25" s="169">
        <f t="shared" si="19"/>
        <v>679.8</v>
      </c>
      <c r="BA25" s="169">
        <f t="shared" si="20"/>
        <v>626.373170731707</v>
      </c>
      <c r="BB25" s="168">
        <f t="shared" si="21"/>
        <v>82.2718550326348</v>
      </c>
      <c r="BC25" s="170">
        <f t="shared" si="30"/>
        <v>0.131346390421748</v>
      </c>
    </row>
    <row r="26" ht="29.1" customHeight="1" spans="1:58">
      <c r="A26" s="61" t="s">
        <v>162</v>
      </c>
      <c r="B26" s="89" t="s">
        <v>163</v>
      </c>
      <c r="C26" s="90">
        <v>20</v>
      </c>
      <c r="D26" s="91">
        <v>20</v>
      </c>
      <c r="E26" s="64">
        <v>530.48</v>
      </c>
      <c r="F26" s="148">
        <v>1</v>
      </c>
      <c r="G26" s="148">
        <v>1</v>
      </c>
      <c r="H26" s="64">
        <v>25.49</v>
      </c>
      <c r="I26" s="64">
        <v>2.55</v>
      </c>
      <c r="J26" s="149">
        <v>2</v>
      </c>
      <c r="K26" s="150">
        <f t="shared" si="0"/>
        <v>0.1</v>
      </c>
      <c r="L26" s="151">
        <v>36.7</v>
      </c>
      <c r="M26" s="152">
        <f t="shared" si="26"/>
        <v>-0.259259259259259</v>
      </c>
      <c r="N26" s="150">
        <f t="shared" si="27"/>
        <v>-0.259259259259259</v>
      </c>
      <c r="O26" s="150">
        <f t="shared" si="28"/>
        <v>-0.222569062797684</v>
      </c>
      <c r="P26" s="153">
        <f t="shared" si="1"/>
        <v>1</v>
      </c>
      <c r="Q26" s="154">
        <f t="shared" si="2"/>
        <v>26.524</v>
      </c>
      <c r="R26" s="187">
        <f t="shared" si="3"/>
        <v>26.524</v>
      </c>
      <c r="S26" s="155">
        <f t="shared" si="4"/>
        <v>2.85714285714286</v>
      </c>
      <c r="T26" s="193">
        <f t="shared" si="5"/>
        <v>9</v>
      </c>
      <c r="U26" s="157">
        <f t="shared" si="6"/>
        <v>0.45</v>
      </c>
      <c r="V26" s="94">
        <f t="shared" si="7"/>
        <v>0.290511999696929</v>
      </c>
      <c r="W26" s="91">
        <v>21073</v>
      </c>
      <c r="X26" s="91">
        <v>151</v>
      </c>
      <c r="Y26" s="91">
        <v>11</v>
      </c>
      <c r="Z26" s="64">
        <v>153.37</v>
      </c>
      <c r="AA26" s="92">
        <v>269.89</v>
      </c>
      <c r="AB26" s="91">
        <v>1.02</v>
      </c>
      <c r="AC26" s="71">
        <f t="shared" si="8"/>
        <v>0.568268553855274</v>
      </c>
      <c r="AD26" s="72">
        <f t="shared" si="9"/>
        <v>0.00716556731362407</v>
      </c>
      <c r="AE26" s="159">
        <f t="shared" si="10"/>
        <v>0.0728476821192053</v>
      </c>
      <c r="AF26" s="154">
        <f t="shared" si="11"/>
        <v>13.9427272727273</v>
      </c>
      <c r="AG26" s="160">
        <v>5</v>
      </c>
      <c r="AH26" s="162">
        <v>15</v>
      </c>
      <c r="AI26" s="163">
        <f>AG26*产品成本!$D$15+AH26*产品成本!$D$16</f>
        <v>101.408450704225</v>
      </c>
      <c r="AJ26" s="163">
        <f>AG26*产品成本!$E$15+AH26*产品成本!$E$16</f>
        <v>6</v>
      </c>
      <c r="AK26" s="163">
        <f>AG26*产品成本!$F$15+AH26*产品成本!$F$16</f>
        <v>6.8</v>
      </c>
      <c r="AL26" s="163">
        <f>AG26*产品成本!$G$15+AH26*产品成本!$G$16</f>
        <v>78</v>
      </c>
      <c r="AM26" s="163">
        <f t="shared" si="12"/>
        <v>79.1895</v>
      </c>
      <c r="AN26" s="164">
        <f t="shared" si="13"/>
        <v>271.397950704225</v>
      </c>
      <c r="AO26" s="165">
        <v>1</v>
      </c>
      <c r="AP26" s="166">
        <v>1</v>
      </c>
      <c r="AQ26" s="167">
        <f t="shared" si="14"/>
        <v>44.7560975609756</v>
      </c>
      <c r="AR26" s="163">
        <f>AO26*产品成本!$D$15+AP26*产品成本!$D$16</f>
        <v>9.5774647887324</v>
      </c>
      <c r="AS26" s="163">
        <f>AO26*产品成本!$E$15+AP26*产品成本!$E$16</f>
        <v>0.56</v>
      </c>
      <c r="AT26" s="163">
        <f>AO26*产品成本!$F$15+AP26*产品成本!$F$16</f>
        <v>0.68</v>
      </c>
      <c r="AU26" s="163"/>
      <c r="AV26" s="163">
        <f t="shared" si="15"/>
        <v>6.71341463414634</v>
      </c>
      <c r="AW26" s="163">
        <f t="shared" si="16"/>
        <v>-1.34268292682927</v>
      </c>
      <c r="AX26" s="164">
        <f t="shared" si="17"/>
        <v>16.1881964960495</v>
      </c>
      <c r="AY26" s="169">
        <f t="shared" si="29"/>
        <v>255.209754208176</v>
      </c>
      <c r="AZ26" s="169">
        <f t="shared" si="19"/>
        <v>527.93</v>
      </c>
      <c r="BA26" s="169">
        <f t="shared" si="20"/>
        <v>483.173902439024</v>
      </c>
      <c r="BB26" s="168">
        <f t="shared" si="21"/>
        <v>74.5941482308484</v>
      </c>
      <c r="BC26" s="170">
        <f t="shared" si="30"/>
        <v>0.154383645007114</v>
      </c>
    </row>
    <row r="27" ht="29.1" customHeight="1" spans="1:58">
      <c r="A27" s="61" t="s">
        <v>165</v>
      </c>
      <c r="B27" s="61" t="s">
        <v>166</v>
      </c>
      <c r="C27" s="90">
        <v>33</v>
      </c>
      <c r="D27" s="91">
        <v>33</v>
      </c>
      <c r="E27" s="64">
        <v>787.99</v>
      </c>
      <c r="F27" s="148">
        <v>0</v>
      </c>
      <c r="G27" s="148">
        <v>0</v>
      </c>
      <c r="H27" s="64">
        <v>0</v>
      </c>
      <c r="I27" s="64">
        <v>0</v>
      </c>
      <c r="J27" s="149">
        <v>1</v>
      </c>
      <c r="K27" s="150">
        <f t="shared" si="0"/>
        <v>0.0303030303030303</v>
      </c>
      <c r="L27" s="151">
        <v>22.43</v>
      </c>
      <c r="M27" s="152">
        <f t="shared" si="26"/>
        <v>0.65</v>
      </c>
      <c r="N27" s="150">
        <f t="shared" si="27"/>
        <v>0.65</v>
      </c>
      <c r="O27" s="150">
        <f t="shared" si="28"/>
        <v>0.485428291358769</v>
      </c>
      <c r="P27" s="153">
        <f t="shared" si="1"/>
        <v>1</v>
      </c>
      <c r="Q27" s="154">
        <f t="shared" si="2"/>
        <v>23.8784848484848</v>
      </c>
      <c r="R27" s="187">
        <f t="shared" si="3"/>
        <v>23.8784848484848</v>
      </c>
      <c r="S27" s="155">
        <f t="shared" si="4"/>
        <v>4.71428571428571</v>
      </c>
      <c r="T27" s="193">
        <f t="shared" si="5"/>
        <v>18</v>
      </c>
      <c r="U27" s="157">
        <f t="shared" si="6"/>
        <v>0.545454545454545</v>
      </c>
      <c r="V27" s="94">
        <f t="shared" si="7"/>
        <v>0.273099912435437</v>
      </c>
      <c r="W27" s="91">
        <v>39032</v>
      </c>
      <c r="X27" s="91">
        <v>224</v>
      </c>
      <c r="Y27" s="91">
        <v>15</v>
      </c>
      <c r="Z27" s="64">
        <v>215.2</v>
      </c>
      <c r="AA27" s="92">
        <v>343.35</v>
      </c>
      <c r="AB27" s="91">
        <v>0.96</v>
      </c>
      <c r="AC27" s="71">
        <f t="shared" si="8"/>
        <v>0.626765690985874</v>
      </c>
      <c r="AD27" s="72">
        <f t="shared" si="9"/>
        <v>0.00573888091822095</v>
      </c>
      <c r="AE27" s="159">
        <f t="shared" si="10"/>
        <v>0.0669642857142857</v>
      </c>
      <c r="AF27" s="154">
        <f t="shared" si="11"/>
        <v>14.3466666666667</v>
      </c>
      <c r="AG27" s="160">
        <v>2</v>
      </c>
      <c r="AH27" s="162">
        <v>31</v>
      </c>
      <c r="AI27" s="163">
        <f>AG27*产品成本!$D$15+AH27*产品成本!$D$16</f>
        <v>174.366197183099</v>
      </c>
      <c r="AJ27" s="163">
        <f>AG27*产品成本!$E$15+AH27*产品成本!$E$16</f>
        <v>10.4</v>
      </c>
      <c r="AK27" s="163">
        <f>AG27*产品成本!$F$15+AH27*产品成本!$F$16</f>
        <v>11.22</v>
      </c>
      <c r="AL27" s="163">
        <f>AG27*产品成本!$G$15+AH27*产品成本!$G$16</f>
        <v>128.7</v>
      </c>
      <c r="AM27" s="163">
        <f t="shared" si="12"/>
        <v>118.1985</v>
      </c>
      <c r="AN27" s="164">
        <f t="shared" si="13"/>
        <v>442.884697183099</v>
      </c>
      <c r="AO27" s="165">
        <v>0</v>
      </c>
      <c r="AP27" s="166">
        <v>1</v>
      </c>
      <c r="AQ27" s="167">
        <f t="shared" si="14"/>
        <v>27.3536585365854</v>
      </c>
      <c r="AR27" s="163">
        <f>AO27*产品成本!$D$15+AP27*产品成本!$D$16</f>
        <v>5.35211267605634</v>
      </c>
      <c r="AS27" s="163">
        <f>AO27*产品成本!$E$15+AP27*产品成本!$E$16</f>
        <v>0.32</v>
      </c>
      <c r="AT27" s="163">
        <f>AO27*产品成本!$F$15+AP27*产品成本!$F$16</f>
        <v>0.34</v>
      </c>
      <c r="AU27" s="163"/>
      <c r="AV27" s="163">
        <f t="shared" si="15"/>
        <v>4.10304878048781</v>
      </c>
      <c r="AW27" s="163">
        <f t="shared" si="16"/>
        <v>-0.820609756097561</v>
      </c>
      <c r="AX27" s="164">
        <f t="shared" si="17"/>
        <v>9.29455170044658</v>
      </c>
      <c r="AY27" s="169">
        <f t="shared" si="29"/>
        <v>433.590145482652</v>
      </c>
      <c r="AZ27" s="169">
        <f t="shared" si="19"/>
        <v>787.99</v>
      </c>
      <c r="BA27" s="169">
        <f t="shared" si="20"/>
        <v>760.636341463415</v>
      </c>
      <c r="BB27" s="168">
        <f t="shared" si="21"/>
        <v>111.846195980763</v>
      </c>
      <c r="BC27" s="170">
        <f t="shared" si="30"/>
        <v>0.147042929562868</v>
      </c>
    </row>
    <row r="28" ht="29.1" customHeight="1" spans="1:58">
      <c r="A28" s="61" t="s">
        <v>167</v>
      </c>
      <c r="B28" s="61" t="s">
        <v>168</v>
      </c>
      <c r="C28" s="90">
        <v>44</v>
      </c>
      <c r="D28" s="91">
        <v>44</v>
      </c>
      <c r="E28" s="64">
        <v>1113.28</v>
      </c>
      <c r="F28" s="148">
        <v>0</v>
      </c>
      <c r="G28" s="148">
        <v>0</v>
      </c>
      <c r="H28" s="64">
        <v>0</v>
      </c>
      <c r="I28" s="64">
        <v>0</v>
      </c>
      <c r="J28" s="149">
        <v>1</v>
      </c>
      <c r="K28" s="150">
        <f t="shared" si="0"/>
        <v>0.0227272727272727</v>
      </c>
      <c r="L28" s="151">
        <v>22.43</v>
      </c>
      <c r="M28" s="152">
        <f t="shared" si="26"/>
        <v>0.333333333333333</v>
      </c>
      <c r="N28" s="150">
        <f t="shared" si="27"/>
        <v>0.333333333333333</v>
      </c>
      <c r="O28" s="150">
        <f t="shared" si="28"/>
        <v>0.412809807231056</v>
      </c>
      <c r="P28" s="153">
        <f t="shared" si="1"/>
        <v>1</v>
      </c>
      <c r="Q28" s="154">
        <f t="shared" si="2"/>
        <v>25.3018181818182</v>
      </c>
      <c r="R28" s="187">
        <f t="shared" si="3"/>
        <v>25.3018181818182</v>
      </c>
      <c r="S28" s="155">
        <f t="shared" si="4"/>
        <v>6.28571428571429</v>
      </c>
      <c r="T28" s="193">
        <f t="shared" si="5"/>
        <v>22</v>
      </c>
      <c r="U28" s="157">
        <f t="shared" si="6"/>
        <v>0.5</v>
      </c>
      <c r="V28" s="94">
        <f t="shared" si="7"/>
        <v>0.265135455590687</v>
      </c>
      <c r="W28" s="91">
        <v>51434</v>
      </c>
      <c r="X28" s="91">
        <v>311</v>
      </c>
      <c r="Y28" s="91">
        <v>22</v>
      </c>
      <c r="Z28" s="64">
        <v>295.17</v>
      </c>
      <c r="AA28" s="92">
        <v>532.26</v>
      </c>
      <c r="AB28" s="91">
        <v>0.95</v>
      </c>
      <c r="AC28" s="71">
        <f t="shared" si="8"/>
        <v>0.554559801600721</v>
      </c>
      <c r="AD28" s="72">
        <f t="shared" si="9"/>
        <v>0.00604658397169188</v>
      </c>
      <c r="AE28" s="159">
        <f t="shared" si="10"/>
        <v>0.0707395498392283</v>
      </c>
      <c r="AF28" s="154">
        <f t="shared" si="11"/>
        <v>13.4168181818182</v>
      </c>
      <c r="AG28" s="160">
        <v>4</v>
      </c>
      <c r="AH28" s="162">
        <v>39</v>
      </c>
      <c r="AI28" s="163">
        <f>AG28*产品成本!$D$15+AH28*产品成本!$D$16</f>
        <v>225.633802816901</v>
      </c>
      <c r="AJ28" s="163">
        <f>AG28*产品成本!$E$15+AH28*产品成本!$E$16</f>
        <v>13.44</v>
      </c>
      <c r="AK28" s="163">
        <f>AG28*产品成本!$F$15+AH28*产品成本!$F$16</f>
        <v>14.62</v>
      </c>
      <c r="AL28" s="163">
        <f>AG28*产品成本!$G$15+AH28*产品成本!$G$16</f>
        <v>167.7</v>
      </c>
      <c r="AM28" s="163">
        <f t="shared" si="12"/>
        <v>166.992</v>
      </c>
      <c r="AN28" s="164">
        <f t="shared" si="13"/>
        <v>588.385802816901</v>
      </c>
      <c r="AO28" s="165">
        <v>0</v>
      </c>
      <c r="AP28" s="166">
        <v>1</v>
      </c>
      <c r="AQ28" s="167">
        <f t="shared" si="14"/>
        <v>27.3536585365854</v>
      </c>
      <c r="AR28" s="163">
        <f>AO28*产品成本!$D$15+AP28*产品成本!$D$16</f>
        <v>5.35211267605634</v>
      </c>
      <c r="AS28" s="163">
        <f>AO28*产品成本!$E$15+AP28*产品成本!$E$16</f>
        <v>0.32</v>
      </c>
      <c r="AT28" s="163">
        <f>AO28*产品成本!$F$15+AP28*产品成本!$F$16</f>
        <v>0.34</v>
      </c>
      <c r="AU28" s="163"/>
      <c r="AV28" s="163">
        <f t="shared" si="15"/>
        <v>4.10304878048781</v>
      </c>
      <c r="AW28" s="163">
        <f t="shared" si="16"/>
        <v>-0.820609756097561</v>
      </c>
      <c r="AX28" s="164">
        <f t="shared" si="17"/>
        <v>9.29455170044658</v>
      </c>
      <c r="AY28" s="169">
        <f t="shared" si="29"/>
        <v>579.091251116455</v>
      </c>
      <c r="AZ28" s="169">
        <f t="shared" si="19"/>
        <v>1113.28</v>
      </c>
      <c r="BA28" s="169">
        <f t="shared" si="20"/>
        <v>1085.92634146341</v>
      </c>
      <c r="BB28" s="168">
        <f t="shared" si="21"/>
        <v>211.66509034696</v>
      </c>
      <c r="BC28" s="170">
        <f t="shared" si="30"/>
        <v>0.194916618434466</v>
      </c>
    </row>
    <row r="29" ht="29.1" customHeight="1" spans="1:58">
      <c r="A29" s="61" t="s">
        <v>169</v>
      </c>
      <c r="B29" s="61" t="s">
        <v>170</v>
      </c>
      <c r="C29" s="90">
        <v>19</v>
      </c>
      <c r="D29" s="91">
        <v>19</v>
      </c>
      <c r="E29" s="64">
        <v>518.61</v>
      </c>
      <c r="F29" s="148">
        <v>1</v>
      </c>
      <c r="G29" s="148">
        <v>1</v>
      </c>
      <c r="H29" s="64">
        <v>29.99</v>
      </c>
      <c r="I29" s="64">
        <v>3</v>
      </c>
      <c r="J29" s="149">
        <v>6</v>
      </c>
      <c r="K29" s="150">
        <f t="shared" si="0"/>
        <v>0.315789473684211</v>
      </c>
      <c r="L29" s="151">
        <v>135.9</v>
      </c>
      <c r="M29" s="152">
        <f t="shared" si="26"/>
        <v>-0.568181818181818</v>
      </c>
      <c r="N29" s="150">
        <f t="shared" si="27"/>
        <v>-0.568181818181818</v>
      </c>
      <c r="O29" s="150">
        <f t="shared" si="28"/>
        <v>-0.5341603190572</v>
      </c>
      <c r="P29" s="153">
        <f t="shared" si="1"/>
        <v>1</v>
      </c>
      <c r="Q29" s="154">
        <f t="shared" si="2"/>
        <v>27.2952631578947</v>
      </c>
      <c r="R29" s="187">
        <f t="shared" si="3"/>
        <v>27.2952631578947</v>
      </c>
      <c r="S29" s="155">
        <f t="shared" si="4"/>
        <v>2.71428571428571</v>
      </c>
      <c r="T29" s="193">
        <f t="shared" si="5"/>
        <v>-1</v>
      </c>
      <c r="U29" s="157">
        <f t="shared" si="6"/>
        <v>-0.0526315789473684</v>
      </c>
      <c r="V29" s="94">
        <f t="shared" si="7"/>
        <v>0.415313900040728</v>
      </c>
      <c r="W29" s="91">
        <v>36029</v>
      </c>
      <c r="X29" s="91">
        <v>233</v>
      </c>
      <c r="Y29" s="91">
        <v>20</v>
      </c>
      <c r="Z29" s="64">
        <v>214.14</v>
      </c>
      <c r="AA29" s="92">
        <v>528.67</v>
      </c>
      <c r="AB29" s="91">
        <v>0.92</v>
      </c>
      <c r="AC29" s="71">
        <f t="shared" si="8"/>
        <v>0.405054192596516</v>
      </c>
      <c r="AD29" s="72">
        <f t="shared" si="9"/>
        <v>0.00646701268422659</v>
      </c>
      <c r="AE29" s="159">
        <f t="shared" si="10"/>
        <v>0.0858369098712446</v>
      </c>
      <c r="AF29" s="154">
        <f t="shared" si="11"/>
        <v>10.707</v>
      </c>
      <c r="AG29" s="160">
        <v>3</v>
      </c>
      <c r="AH29" s="162">
        <v>16</v>
      </c>
      <c r="AI29" s="163">
        <f>AG29*产品成本!$D$15+AH29*产品成本!$D$16</f>
        <v>98.3098591549296</v>
      </c>
      <c r="AJ29" s="163">
        <f>AG29*产品成本!$E$15+AH29*产品成本!$E$16</f>
        <v>5.84</v>
      </c>
      <c r="AK29" s="163">
        <f>AG29*产品成本!$F$15+AH29*产品成本!$F$16</f>
        <v>6.46</v>
      </c>
      <c r="AL29" s="163">
        <f>AG29*产品成本!$G$15+AH29*产品成本!$G$16</f>
        <v>74.1</v>
      </c>
      <c r="AM29" s="163">
        <f t="shared" si="12"/>
        <v>77.3415</v>
      </c>
      <c r="AN29" s="164">
        <f t="shared" si="13"/>
        <v>262.05135915493</v>
      </c>
      <c r="AO29" s="165">
        <v>0</v>
      </c>
      <c r="AP29" s="166">
        <v>6</v>
      </c>
      <c r="AQ29" s="167">
        <f t="shared" si="14"/>
        <v>165.731707317073</v>
      </c>
      <c r="AR29" s="163">
        <f>AO29*产品成本!$D$15+AP29*产品成本!$D$16</f>
        <v>32.112676056338</v>
      </c>
      <c r="AS29" s="163">
        <f>AO29*产品成本!$E$15+AP29*产品成本!$E$16</f>
        <v>1.92</v>
      </c>
      <c r="AT29" s="163">
        <f>AO29*产品成本!$F$15+AP29*产品成本!$F$16</f>
        <v>2.04</v>
      </c>
      <c r="AU29" s="163"/>
      <c r="AV29" s="163">
        <f t="shared" si="15"/>
        <v>24.859756097561</v>
      </c>
      <c r="AW29" s="163">
        <f t="shared" si="16"/>
        <v>-4.9719512195122</v>
      </c>
      <c r="AX29" s="164">
        <f t="shared" si="17"/>
        <v>55.9604809343868</v>
      </c>
      <c r="AY29" s="169">
        <f t="shared" si="29"/>
        <v>206.090878220543</v>
      </c>
      <c r="AZ29" s="169">
        <f t="shared" si="19"/>
        <v>515.61</v>
      </c>
      <c r="BA29" s="169">
        <f t="shared" si="20"/>
        <v>349.878292682927</v>
      </c>
      <c r="BB29" s="168">
        <f t="shared" si="21"/>
        <v>-70.352585537616</v>
      </c>
      <c r="BC29" s="170">
        <f t="shared" si="30"/>
        <v>-0.201077308906878</v>
      </c>
    </row>
    <row r="30" ht="29.1" customHeight="1" spans="1:58">
      <c r="A30" s="61" t="s">
        <v>172</v>
      </c>
      <c r="B30" s="61" t="s">
        <v>173</v>
      </c>
      <c r="C30" s="90">
        <v>35</v>
      </c>
      <c r="D30" s="91">
        <v>35</v>
      </c>
      <c r="E30" s="64">
        <v>830</v>
      </c>
      <c r="F30" s="148">
        <v>7</v>
      </c>
      <c r="G30" s="148">
        <v>7</v>
      </c>
      <c r="H30" s="64">
        <v>167.93</v>
      </c>
      <c r="I30" s="64">
        <v>16.8</v>
      </c>
      <c r="J30" s="149">
        <v>3</v>
      </c>
      <c r="K30" s="150">
        <f t="shared" si="0"/>
        <v>0.0857142857142857</v>
      </c>
      <c r="L30" s="151">
        <v>68.61</v>
      </c>
      <c r="M30" s="152">
        <f t="shared" si="26"/>
        <v>0.842105263157895</v>
      </c>
      <c r="N30" s="150">
        <f t="shared" si="27"/>
        <v>0.842105263157895</v>
      </c>
      <c r="O30" s="150">
        <f t="shared" si="28"/>
        <v>0.600431923796302</v>
      </c>
      <c r="P30" s="153">
        <f t="shared" si="1"/>
        <v>1</v>
      </c>
      <c r="Q30" s="154">
        <f t="shared" si="2"/>
        <v>23.7142857142857</v>
      </c>
      <c r="R30" s="187">
        <f t="shared" si="3"/>
        <v>23.7142857142857</v>
      </c>
      <c r="S30" s="155">
        <f t="shared" si="4"/>
        <v>5</v>
      </c>
      <c r="T30" s="193">
        <f t="shared" si="5"/>
        <v>4</v>
      </c>
      <c r="U30" s="157">
        <f t="shared" si="6"/>
        <v>0.114285714285714</v>
      </c>
      <c r="V30" s="94">
        <f t="shared" si="7"/>
        <v>0.356984751598623</v>
      </c>
      <c r="W30" s="91">
        <v>47466</v>
      </c>
      <c r="X30" s="91">
        <v>313</v>
      </c>
      <c r="Y30" s="91">
        <v>31</v>
      </c>
      <c r="Z30" s="64">
        <v>290.3</v>
      </c>
      <c r="AA30" s="92">
        <v>765.9</v>
      </c>
      <c r="AB30" s="91">
        <v>0.93</v>
      </c>
      <c r="AC30" s="71">
        <f t="shared" si="8"/>
        <v>0.379031205118162</v>
      </c>
      <c r="AD30" s="72">
        <f t="shared" si="9"/>
        <v>0.0065941937386761</v>
      </c>
      <c r="AE30" s="159">
        <f t="shared" si="10"/>
        <v>0.0990415335463259</v>
      </c>
      <c r="AF30" s="154">
        <f t="shared" si="11"/>
        <v>9.36451612903226</v>
      </c>
      <c r="AG30" s="160">
        <v>6</v>
      </c>
      <c r="AH30" s="162">
        <v>29</v>
      </c>
      <c r="AI30" s="163">
        <f>AG30*产品成本!$D$15+AH30*产品成本!$D$16</f>
        <v>180.56338028169</v>
      </c>
      <c r="AJ30" s="163">
        <f>AG30*产品成本!$E$15+AH30*产品成本!$E$16</f>
        <v>10.72</v>
      </c>
      <c r="AK30" s="163">
        <f>AG30*产品成本!$F$15+AH30*产品成本!$F$16</f>
        <v>11.9</v>
      </c>
      <c r="AL30" s="163">
        <f>AG30*产品成本!$G$15+AH30*产品成本!$G$16</f>
        <v>136.5</v>
      </c>
      <c r="AM30" s="163">
        <f t="shared" si="12"/>
        <v>121.98</v>
      </c>
      <c r="AN30" s="164">
        <f t="shared" si="13"/>
        <v>461.66338028169</v>
      </c>
      <c r="AO30" s="165">
        <v>0</v>
      </c>
      <c r="AP30" s="166">
        <v>3</v>
      </c>
      <c r="AQ30" s="167">
        <f t="shared" si="14"/>
        <v>83.6707317073171</v>
      </c>
      <c r="AR30" s="163">
        <f>AO30*产品成本!$D$15+AP30*产品成本!$D$16</f>
        <v>16.056338028169</v>
      </c>
      <c r="AS30" s="163">
        <f>AO30*产品成本!$E$15+AP30*产品成本!$E$16</f>
        <v>0.96</v>
      </c>
      <c r="AT30" s="163">
        <f>AO30*产品成本!$F$15+AP30*产品成本!$F$16</f>
        <v>1.02</v>
      </c>
      <c r="AU30" s="163"/>
      <c r="AV30" s="163">
        <f t="shared" si="15"/>
        <v>12.5506097560976</v>
      </c>
      <c r="AW30" s="163">
        <f t="shared" si="16"/>
        <v>-2.51012195121951</v>
      </c>
      <c r="AX30" s="164">
        <f t="shared" si="17"/>
        <v>28.0768258330471</v>
      </c>
      <c r="AY30" s="169">
        <f t="shared" si="29"/>
        <v>433.586554448643</v>
      </c>
      <c r="AZ30" s="169">
        <f t="shared" si="19"/>
        <v>813.2</v>
      </c>
      <c r="BA30" s="169">
        <f t="shared" si="20"/>
        <v>729.529268292683</v>
      </c>
      <c r="BB30" s="168">
        <f t="shared" si="21"/>
        <v>5.6427138440398</v>
      </c>
      <c r="BC30" s="170">
        <f t="shared" si="30"/>
        <v>0.00773473264101582</v>
      </c>
    </row>
    <row r="31" ht="29.1" customHeight="1" spans="1:58">
      <c r="A31" s="61" t="s">
        <v>175</v>
      </c>
      <c r="B31" s="61" t="s">
        <v>176</v>
      </c>
      <c r="C31" s="90">
        <v>40</v>
      </c>
      <c r="D31" s="91">
        <v>39</v>
      </c>
      <c r="E31" s="64">
        <v>1185.8</v>
      </c>
      <c r="F31" s="148">
        <v>1</v>
      </c>
      <c r="G31" s="148">
        <v>1</v>
      </c>
      <c r="H31" s="64">
        <v>9.99</v>
      </c>
      <c r="I31" s="64">
        <v>3</v>
      </c>
      <c r="J31" s="149">
        <v>6</v>
      </c>
      <c r="K31" s="150">
        <f t="shared" si="0"/>
        <v>0.15</v>
      </c>
      <c r="L31" s="151">
        <v>119.72</v>
      </c>
      <c r="M31" s="152">
        <f t="shared" si="26"/>
        <v>0.142857142857143</v>
      </c>
      <c r="N31" s="150">
        <f t="shared" si="27"/>
        <v>0.114285714285714</v>
      </c>
      <c r="O31" s="150">
        <f t="shared" si="28"/>
        <v>0.428674698795181</v>
      </c>
      <c r="P31" s="153">
        <f t="shared" si="1"/>
        <v>1.02564102564103</v>
      </c>
      <c r="Q31" s="154">
        <f t="shared" si="2"/>
        <v>30.4051282051282</v>
      </c>
      <c r="R31" s="187">
        <f t="shared" si="3"/>
        <v>29.645</v>
      </c>
      <c r="S31" s="155">
        <f t="shared" si="4"/>
        <v>5.71428571428571</v>
      </c>
      <c r="T31" s="193">
        <f t="shared" si="5"/>
        <v>2</v>
      </c>
      <c r="U31" s="157">
        <f t="shared" si="6"/>
        <v>0.0512820512820513</v>
      </c>
      <c r="V31" s="94">
        <f t="shared" si="7"/>
        <v>0.26274940818397</v>
      </c>
      <c r="W31" s="91">
        <v>48084</v>
      </c>
      <c r="X31" s="91">
        <v>336</v>
      </c>
      <c r="Y31" s="91">
        <v>37</v>
      </c>
      <c r="Z31" s="64">
        <v>310.78</v>
      </c>
      <c r="AA31" s="92">
        <v>1188.27</v>
      </c>
      <c r="AB31" s="91">
        <v>0.92</v>
      </c>
      <c r="AC31" s="71">
        <f t="shared" si="8"/>
        <v>0.261539885716209</v>
      </c>
      <c r="AD31" s="72">
        <f t="shared" si="9"/>
        <v>0.00698777140004991</v>
      </c>
      <c r="AE31" s="159">
        <f t="shared" si="10"/>
        <v>0.110119047619048</v>
      </c>
      <c r="AF31" s="154">
        <f t="shared" si="11"/>
        <v>8.39945945945946</v>
      </c>
      <c r="AG31" s="160">
        <v>6</v>
      </c>
      <c r="AH31" s="162">
        <v>34</v>
      </c>
      <c r="AI31" s="163">
        <f>AG31*产品成本!$D$15+AH31*产品成本!$D$16</f>
        <v>207.323943661972</v>
      </c>
      <c r="AJ31" s="163">
        <f>AG31*产品成本!$E$15+AH31*产品成本!$E$16</f>
        <v>12.32</v>
      </c>
      <c r="AK31" s="163">
        <f>AG31*产品成本!$F$15+AH31*产品成本!$F$16</f>
        <v>13.6</v>
      </c>
      <c r="AL31" s="163">
        <f>AG31*产品成本!$G$15+AH31*产品成本!$G$16</f>
        <v>156</v>
      </c>
      <c r="AM31" s="163">
        <f t="shared" si="12"/>
        <v>177.42</v>
      </c>
      <c r="AN31" s="164">
        <f t="shared" si="13"/>
        <v>566.663943661972</v>
      </c>
      <c r="AO31" s="165">
        <v>3</v>
      </c>
      <c r="AP31" s="166">
        <v>3</v>
      </c>
      <c r="AQ31" s="167">
        <f t="shared" si="14"/>
        <v>146</v>
      </c>
      <c r="AR31" s="163">
        <f>AO31*产品成本!$D$15+AP31*产品成本!$D$16</f>
        <v>28.7323943661972</v>
      </c>
      <c r="AS31" s="163">
        <f>AO31*产品成本!$E$15+AP31*产品成本!$E$16</f>
        <v>1.68</v>
      </c>
      <c r="AT31" s="163">
        <f>AO31*产品成本!$F$15+AP31*产品成本!$F$16</f>
        <v>2.04</v>
      </c>
      <c r="AU31" s="163"/>
      <c r="AV31" s="163">
        <f t="shared" si="15"/>
        <v>21.9</v>
      </c>
      <c r="AW31" s="163">
        <f t="shared" si="16"/>
        <v>-4.38</v>
      </c>
      <c r="AX31" s="164">
        <f t="shared" si="17"/>
        <v>49.9723943661972</v>
      </c>
      <c r="AY31" s="169">
        <f t="shared" si="29"/>
        <v>516.691549295775</v>
      </c>
      <c r="AZ31" s="169">
        <f t="shared" si="19"/>
        <v>1182.8</v>
      </c>
      <c r="BA31" s="169">
        <f t="shared" si="20"/>
        <v>1036.8</v>
      </c>
      <c r="BB31" s="168">
        <f t="shared" si="21"/>
        <v>209.328450704225</v>
      </c>
      <c r="BC31" s="170">
        <f t="shared" si="30"/>
        <v>0.201898582855156</v>
      </c>
    </row>
    <row r="32" ht="29.1" customHeight="1" spans="1:58">
      <c r="A32" s="61" t="s">
        <v>177</v>
      </c>
      <c r="B32" s="61" t="s">
        <v>178</v>
      </c>
      <c r="C32" s="90">
        <v>41</v>
      </c>
      <c r="D32" s="91">
        <v>40</v>
      </c>
      <c r="E32" s="64">
        <v>992.41</v>
      </c>
      <c r="F32" s="148">
        <v>1</v>
      </c>
      <c r="G32" s="148">
        <v>1</v>
      </c>
      <c r="H32" s="64">
        <v>29.99</v>
      </c>
      <c r="I32" s="64">
        <v>3</v>
      </c>
      <c r="J32" s="149">
        <v>3</v>
      </c>
      <c r="K32" s="150">
        <f t="shared" si="0"/>
        <v>0.0731707317073171</v>
      </c>
      <c r="L32" s="151">
        <v>79.17</v>
      </c>
      <c r="M32" s="152">
        <f t="shared" si="26"/>
        <v>0.025</v>
      </c>
      <c r="N32" s="150">
        <f t="shared" si="27"/>
        <v>0.0256410256410256</v>
      </c>
      <c r="O32" s="150">
        <f t="shared" si="28"/>
        <v>-0.163088210490808</v>
      </c>
      <c r="P32" s="153">
        <f t="shared" si="1"/>
        <v>1.025</v>
      </c>
      <c r="Q32" s="154">
        <f t="shared" si="2"/>
        <v>24.81025</v>
      </c>
      <c r="R32" s="187">
        <f t="shared" si="3"/>
        <v>24.2051219512195</v>
      </c>
      <c r="S32" s="155">
        <f t="shared" si="4"/>
        <v>5.85714285714286</v>
      </c>
      <c r="T32" s="193">
        <f t="shared" si="5"/>
        <v>19</v>
      </c>
      <c r="U32" s="157">
        <f t="shared" si="6"/>
        <v>0.475</v>
      </c>
      <c r="V32" s="94">
        <f t="shared" si="7"/>
        <v>0.31077106558454</v>
      </c>
      <c r="W32" s="91">
        <v>43710</v>
      </c>
      <c r="X32" s="91">
        <v>324</v>
      </c>
      <c r="Y32" s="91">
        <v>21</v>
      </c>
      <c r="Z32" s="64">
        <v>307.48</v>
      </c>
      <c r="AA32" s="92">
        <v>526</v>
      </c>
      <c r="AB32" s="91">
        <v>0.95</v>
      </c>
      <c r="AC32" s="71">
        <f t="shared" si="8"/>
        <v>0.584562737642586</v>
      </c>
      <c r="AD32" s="72">
        <f t="shared" si="9"/>
        <v>0.00741249142072752</v>
      </c>
      <c r="AE32" s="159">
        <f t="shared" si="10"/>
        <v>0.0648148148148148</v>
      </c>
      <c r="AF32" s="154">
        <f t="shared" si="11"/>
        <v>14.6419047619048</v>
      </c>
      <c r="AG32" s="160">
        <v>8</v>
      </c>
      <c r="AH32" s="162">
        <v>33</v>
      </c>
      <c r="AI32" s="163">
        <f>AG32*产品成本!$D$15+AH32*产品成本!$D$16</f>
        <v>210.422535211268</v>
      </c>
      <c r="AJ32" s="163">
        <f>AG32*产品成本!$E$15+AH32*产品成本!$E$16</f>
        <v>12.48</v>
      </c>
      <c r="AK32" s="163">
        <f>AG32*产品成本!$F$15+AH32*产品成本!$F$16</f>
        <v>13.94</v>
      </c>
      <c r="AL32" s="163">
        <f>AG32*产品成本!$G$15+AH32*产品成本!$G$16</f>
        <v>159.9</v>
      </c>
      <c r="AM32" s="163">
        <f t="shared" si="12"/>
        <v>148.4115</v>
      </c>
      <c r="AN32" s="164">
        <f t="shared" si="13"/>
        <v>545.154035211268</v>
      </c>
      <c r="AO32" s="165">
        <v>0</v>
      </c>
      <c r="AP32" s="166">
        <v>3</v>
      </c>
      <c r="AQ32" s="167">
        <f t="shared" si="14"/>
        <v>96.5487804878049</v>
      </c>
      <c r="AR32" s="163">
        <f>AO32*产品成本!$D$15+AP32*产品成本!$D$16</f>
        <v>16.056338028169</v>
      </c>
      <c r="AS32" s="163">
        <f>AO32*产品成本!$E$15+AP32*产品成本!$E$16</f>
        <v>0.96</v>
      </c>
      <c r="AT32" s="163">
        <f>AO32*产品成本!$F$15+AP32*产品成本!$F$16</f>
        <v>1.02</v>
      </c>
      <c r="AU32" s="163"/>
      <c r="AV32" s="163">
        <f t="shared" si="15"/>
        <v>14.4823170731707</v>
      </c>
      <c r="AW32" s="163">
        <f t="shared" si="16"/>
        <v>-2.89646341463415</v>
      </c>
      <c r="AX32" s="164">
        <f t="shared" si="17"/>
        <v>29.6221916867056</v>
      </c>
      <c r="AY32" s="169">
        <f t="shared" si="29"/>
        <v>515.531843524562</v>
      </c>
      <c r="AZ32" s="169">
        <f t="shared" si="19"/>
        <v>989.41</v>
      </c>
      <c r="BA32" s="169">
        <f t="shared" si="20"/>
        <v>892.861219512195</v>
      </c>
      <c r="BB32" s="168">
        <f t="shared" si="21"/>
        <v>69.8493759876329</v>
      </c>
      <c r="BC32" s="170">
        <f t="shared" si="30"/>
        <v>0.0782309439151074</v>
      </c>
    </row>
    <row r="33" ht="29.1" customHeight="1" spans="1:57">
      <c r="A33" s="61" t="s">
        <v>179</v>
      </c>
      <c r="B33" s="61" t="s">
        <v>180</v>
      </c>
      <c r="C33" s="90">
        <v>33</v>
      </c>
      <c r="D33" s="91">
        <v>33</v>
      </c>
      <c r="E33" s="64">
        <v>784.31</v>
      </c>
      <c r="F33" s="148">
        <v>5</v>
      </c>
      <c r="G33" s="148">
        <v>5</v>
      </c>
      <c r="H33" s="64">
        <v>119.95</v>
      </c>
      <c r="I33" s="64">
        <v>23.99</v>
      </c>
      <c r="J33" s="149">
        <v>2</v>
      </c>
      <c r="K33" s="150">
        <f t="shared" si="0"/>
        <v>0.0606060606060606</v>
      </c>
      <c r="L33" s="151">
        <v>40.11</v>
      </c>
      <c r="M33" s="152">
        <f t="shared" si="26"/>
        <v>-0.195121951219512</v>
      </c>
      <c r="N33" s="150">
        <f t="shared" si="27"/>
        <v>-0.175</v>
      </c>
      <c r="O33" s="150">
        <f t="shared" si="28"/>
        <v>-0.209691558932296</v>
      </c>
      <c r="P33" s="153">
        <f t="shared" si="1"/>
        <v>1</v>
      </c>
      <c r="Q33" s="154">
        <f t="shared" si="2"/>
        <v>23.7669696969697</v>
      </c>
      <c r="R33" s="187">
        <f t="shared" si="3"/>
        <v>23.7669696969697</v>
      </c>
      <c r="S33" s="155">
        <f t="shared" si="4"/>
        <v>4.71428571428571</v>
      </c>
      <c r="T33" s="193">
        <f t="shared" si="5"/>
        <v>11</v>
      </c>
      <c r="U33" s="157">
        <f t="shared" si="6"/>
        <v>0.333333333333333</v>
      </c>
      <c r="V33" s="94">
        <f t="shared" si="7"/>
        <v>0.393557975589226</v>
      </c>
      <c r="W33" s="91">
        <v>54254</v>
      </c>
      <c r="X33" s="91">
        <v>320</v>
      </c>
      <c r="Y33" s="91">
        <v>22</v>
      </c>
      <c r="Z33" s="64">
        <v>299.23</v>
      </c>
      <c r="AA33" s="92">
        <v>514.88</v>
      </c>
      <c r="AB33" s="91">
        <v>0.94</v>
      </c>
      <c r="AC33" s="71">
        <f t="shared" si="8"/>
        <v>0.581164543194531</v>
      </c>
      <c r="AD33" s="72">
        <f t="shared" si="9"/>
        <v>0.00589818262247945</v>
      </c>
      <c r="AE33" s="159">
        <f t="shared" si="10"/>
        <v>0.06875</v>
      </c>
      <c r="AF33" s="154">
        <f t="shared" si="11"/>
        <v>13.6013636363636</v>
      </c>
      <c r="AG33" s="160">
        <v>4</v>
      </c>
      <c r="AH33" s="162">
        <v>29</v>
      </c>
      <c r="AI33" s="163">
        <f>AG33*产品成本!$D$15+AH33*产品成本!$D$16</f>
        <v>172.112676056338</v>
      </c>
      <c r="AJ33" s="163">
        <f>AG33*产品成本!$E$15+AH33*产品成本!$E$16</f>
        <v>10.24</v>
      </c>
      <c r="AK33" s="163">
        <f>AG33*产品成本!$F$15+AH33*产品成本!$F$16</f>
        <v>11.22</v>
      </c>
      <c r="AL33" s="163">
        <f>AG33*产品成本!$G$15+AH33*产品成本!$G$16</f>
        <v>128.7</v>
      </c>
      <c r="AM33" s="163">
        <f t="shared" si="12"/>
        <v>114.048</v>
      </c>
      <c r="AN33" s="164">
        <f t="shared" si="13"/>
        <v>436.320676056338</v>
      </c>
      <c r="AO33" s="165">
        <v>0</v>
      </c>
      <c r="AP33" s="166">
        <v>2</v>
      </c>
      <c r="AQ33" s="167">
        <f t="shared" si="14"/>
        <v>48.9146341463415</v>
      </c>
      <c r="AR33" s="163">
        <f>AO33*产品成本!$D$15+AP33*产品成本!$D$16</f>
        <v>10.7042253521127</v>
      </c>
      <c r="AS33" s="163">
        <f>AO33*产品成本!$E$15+AP33*产品成本!$E$16</f>
        <v>0.64</v>
      </c>
      <c r="AT33" s="163">
        <f>AO33*产品成本!$F$15+AP33*产品成本!$F$16</f>
        <v>0.68</v>
      </c>
      <c r="AU33" s="163"/>
      <c r="AV33" s="163">
        <f t="shared" si="15"/>
        <v>7.33719512195122</v>
      </c>
      <c r="AW33" s="163">
        <f t="shared" si="16"/>
        <v>-1.46743902439024</v>
      </c>
      <c r="AX33" s="164">
        <f t="shared" si="17"/>
        <v>17.8939814496737</v>
      </c>
      <c r="AY33" s="169">
        <f t="shared" si="29"/>
        <v>418.426694606664</v>
      </c>
      <c r="AZ33" s="169">
        <f t="shared" si="19"/>
        <v>760.32</v>
      </c>
      <c r="BA33" s="169">
        <f t="shared" si="20"/>
        <v>711.405365853659</v>
      </c>
      <c r="BB33" s="168">
        <f t="shared" si="21"/>
        <v>-6.25132875300596</v>
      </c>
      <c r="BC33" s="170">
        <f t="shared" si="30"/>
        <v>-0.00878729491378606</v>
      </c>
    </row>
    <row r="34" ht="29.1" customHeight="1" spans="1:57">
      <c r="A34" s="61" t="s">
        <v>181</v>
      </c>
      <c r="B34" s="61" t="s">
        <v>182</v>
      </c>
      <c r="C34" s="90">
        <v>31</v>
      </c>
      <c r="D34" s="91">
        <v>31</v>
      </c>
      <c r="E34" s="64">
        <v>736.33</v>
      </c>
      <c r="F34" s="148">
        <v>1</v>
      </c>
      <c r="G34" s="148">
        <v>1</v>
      </c>
      <c r="H34" s="64">
        <v>23.99</v>
      </c>
      <c r="I34" s="64">
        <v>23.99</v>
      </c>
      <c r="J34" s="149">
        <v>1</v>
      </c>
      <c r="K34" s="150">
        <f t="shared" si="0"/>
        <v>0.032258064516129</v>
      </c>
      <c r="L34" s="151">
        <v>21.11</v>
      </c>
      <c r="M34" s="152">
        <f t="shared" si="26"/>
        <v>-0.0606060606060606</v>
      </c>
      <c r="N34" s="150">
        <f t="shared" si="27"/>
        <v>-0.0606060606060606</v>
      </c>
      <c r="O34" s="150">
        <f t="shared" si="28"/>
        <v>-0.0611747905802551</v>
      </c>
      <c r="P34" s="153">
        <f t="shared" si="1"/>
        <v>1</v>
      </c>
      <c r="Q34" s="154">
        <f t="shared" si="2"/>
        <v>23.7525806451613</v>
      </c>
      <c r="R34" s="187">
        <f t="shared" si="3"/>
        <v>23.7525806451613</v>
      </c>
      <c r="S34" s="155">
        <f t="shared" si="4"/>
        <v>4.42857142857143</v>
      </c>
      <c r="T34" s="193">
        <f t="shared" si="5"/>
        <v>7</v>
      </c>
      <c r="U34" s="157">
        <f t="shared" si="6"/>
        <v>0.225806451612903</v>
      </c>
      <c r="V34" s="94">
        <f t="shared" si="7"/>
        <v>0.452017295111885</v>
      </c>
      <c r="W34" s="91">
        <v>47762</v>
      </c>
      <c r="X34" s="91">
        <v>349</v>
      </c>
      <c r="Y34" s="91">
        <v>24</v>
      </c>
      <c r="Z34" s="64">
        <v>321.99</v>
      </c>
      <c r="AA34" s="92">
        <v>588.47</v>
      </c>
      <c r="AB34" s="91">
        <v>0.92</v>
      </c>
      <c r="AC34" s="71">
        <f t="shared" si="8"/>
        <v>0.547164681292164</v>
      </c>
      <c r="AD34" s="72">
        <f t="shared" si="9"/>
        <v>0.00730706419329174</v>
      </c>
      <c r="AE34" s="159">
        <f t="shared" si="10"/>
        <v>0.0687679083094556</v>
      </c>
      <c r="AF34" s="154">
        <f t="shared" si="11"/>
        <v>13.41625</v>
      </c>
      <c r="AG34" s="160">
        <v>4</v>
      </c>
      <c r="AH34" s="162">
        <v>27</v>
      </c>
      <c r="AI34" s="163">
        <f>AG34*产品成本!$D$15+AH34*产品成本!$D$16</f>
        <v>161.408450704225</v>
      </c>
      <c r="AJ34" s="163">
        <f>AG34*产品成本!$E$15+AH34*产品成本!$E$16</f>
        <v>9.6</v>
      </c>
      <c r="AK34" s="163">
        <f>AG34*产品成本!$F$15+AH34*产品成本!$F$16</f>
        <v>10.54</v>
      </c>
      <c r="AL34" s="163">
        <f>AG34*产品成本!$G$15+AH34*产品成本!$G$16</f>
        <v>120.9</v>
      </c>
      <c r="AM34" s="163">
        <f t="shared" si="12"/>
        <v>106.851</v>
      </c>
      <c r="AN34" s="164">
        <f t="shared" si="13"/>
        <v>409.299450704225</v>
      </c>
      <c r="AO34" s="165">
        <v>0</v>
      </c>
      <c r="AP34" s="166">
        <v>1</v>
      </c>
      <c r="AQ34" s="167">
        <f t="shared" si="14"/>
        <v>25.7439024390244</v>
      </c>
      <c r="AR34" s="163">
        <f>AO34*产品成本!$D$15+AP34*产品成本!$D$16</f>
        <v>5.35211267605634</v>
      </c>
      <c r="AS34" s="163">
        <f>AO34*产品成本!$E$15+AP34*产品成本!$E$16</f>
        <v>0.32</v>
      </c>
      <c r="AT34" s="163">
        <f>AO34*产品成本!$F$15+AP34*产品成本!$F$16</f>
        <v>0.34</v>
      </c>
      <c r="AU34" s="163"/>
      <c r="AV34" s="163">
        <f t="shared" si="15"/>
        <v>3.86158536585366</v>
      </c>
      <c r="AW34" s="163">
        <f t="shared" si="16"/>
        <v>-0.772317073170732</v>
      </c>
      <c r="AX34" s="164">
        <f t="shared" si="17"/>
        <v>9.10138096873927</v>
      </c>
      <c r="AY34" s="169">
        <f t="shared" si="29"/>
        <v>400.198069735486</v>
      </c>
      <c r="AZ34" s="169">
        <f t="shared" si="19"/>
        <v>712.34</v>
      </c>
      <c r="BA34" s="169">
        <f t="shared" si="20"/>
        <v>686.596097560976</v>
      </c>
      <c r="BB34" s="168">
        <f t="shared" si="21"/>
        <v>-35.5919721745105</v>
      </c>
      <c r="BC34" s="170">
        <f t="shared" si="30"/>
        <v>-0.0518382966360359</v>
      </c>
    </row>
    <row r="35" ht="29.1" customHeight="1" spans="1:57">
      <c r="A35" s="61" t="s">
        <v>183</v>
      </c>
      <c r="B35" s="61" t="s">
        <v>184</v>
      </c>
      <c r="C35" s="90">
        <v>44</v>
      </c>
      <c r="D35" s="91">
        <v>42</v>
      </c>
      <c r="E35" s="64">
        <v>1016.85</v>
      </c>
      <c r="F35" s="148">
        <v>2</v>
      </c>
      <c r="G35" s="148">
        <v>2</v>
      </c>
      <c r="H35" s="64">
        <v>46.14</v>
      </c>
      <c r="I35" s="64">
        <v>23.07</v>
      </c>
      <c r="J35" s="149">
        <v>2</v>
      </c>
      <c r="K35" s="150">
        <f t="shared" si="0"/>
        <v>0.0454545454545455</v>
      </c>
      <c r="L35" s="151">
        <v>40.6</v>
      </c>
      <c r="M35" s="152">
        <f t="shared" si="26"/>
        <v>0.419354838709677</v>
      </c>
      <c r="N35" s="150">
        <f t="shared" si="27"/>
        <v>0.354838709677419</v>
      </c>
      <c r="O35" s="150">
        <f t="shared" si="28"/>
        <v>0.380970488775413</v>
      </c>
      <c r="P35" s="153">
        <f t="shared" si="1"/>
        <v>1.04761904761905</v>
      </c>
      <c r="Q35" s="154">
        <f t="shared" si="2"/>
        <v>24.2107142857143</v>
      </c>
      <c r="R35" s="187">
        <f t="shared" si="3"/>
        <v>23.1102272727273</v>
      </c>
      <c r="S35" s="155">
        <f t="shared" si="4"/>
        <v>6.28571428571429</v>
      </c>
      <c r="T35" s="193">
        <f t="shared" si="5"/>
        <v>8</v>
      </c>
      <c r="U35" s="157">
        <f t="shared" si="6"/>
        <v>0.19047619047619</v>
      </c>
      <c r="V35" s="94">
        <f t="shared" si="7"/>
        <v>0.342570790315764</v>
      </c>
      <c r="W35" s="91">
        <v>52810</v>
      </c>
      <c r="X35" s="91">
        <v>369</v>
      </c>
      <c r="Y35" s="91">
        <v>34</v>
      </c>
      <c r="Z35" s="64">
        <v>340.44</v>
      </c>
      <c r="AA35" s="92">
        <v>822.97</v>
      </c>
      <c r="AB35" s="91">
        <v>0.92</v>
      </c>
      <c r="AC35" s="71">
        <f t="shared" si="8"/>
        <v>0.413672430343755</v>
      </c>
      <c r="AD35" s="72">
        <f t="shared" si="9"/>
        <v>0.00698731300889983</v>
      </c>
      <c r="AE35" s="159">
        <f t="shared" si="10"/>
        <v>0.0921409214092141</v>
      </c>
      <c r="AF35" s="154">
        <f t="shared" si="11"/>
        <v>10.0129411764706</v>
      </c>
      <c r="AG35" s="160">
        <v>8</v>
      </c>
      <c r="AH35" s="162">
        <v>36</v>
      </c>
      <c r="AI35" s="163">
        <f>AG35*产品成本!$D$15+AH35*产品成本!$D$16</f>
        <v>226.478873239437</v>
      </c>
      <c r="AJ35" s="163">
        <f>AG35*产品成本!$E$15+AH35*产品成本!$E$16</f>
        <v>13.44</v>
      </c>
      <c r="AK35" s="163">
        <f>AG35*产品成本!$F$15+AH35*产品成本!$F$16</f>
        <v>14.96</v>
      </c>
      <c r="AL35" s="163">
        <f>AG35*产品成本!$G$15+AH35*产品成本!$G$16</f>
        <v>171.6</v>
      </c>
      <c r="AM35" s="163">
        <f t="shared" si="12"/>
        <v>149.067</v>
      </c>
      <c r="AN35" s="164">
        <f t="shared" si="13"/>
        <v>575.545873239437</v>
      </c>
      <c r="AO35" s="165">
        <v>1</v>
      </c>
      <c r="AP35" s="166">
        <v>1</v>
      </c>
      <c r="AQ35" s="167">
        <f t="shared" si="14"/>
        <v>49.5121951219512</v>
      </c>
      <c r="AR35" s="163">
        <f>AO35*产品成本!$D$15+AP35*产品成本!$D$16</f>
        <v>9.5774647887324</v>
      </c>
      <c r="AS35" s="163">
        <f>AO35*产品成本!$E$15+AP35*产品成本!$E$16</f>
        <v>0.56</v>
      </c>
      <c r="AT35" s="163">
        <f>AO35*产品成本!$F$15+AP35*产品成本!$F$16</f>
        <v>0.68</v>
      </c>
      <c r="AU35" s="163"/>
      <c r="AV35" s="163">
        <f t="shared" si="15"/>
        <v>7.42682926829268</v>
      </c>
      <c r="AW35" s="163">
        <f t="shared" si="16"/>
        <v>-1.48536585365854</v>
      </c>
      <c r="AX35" s="164">
        <f t="shared" si="17"/>
        <v>16.7589282033665</v>
      </c>
      <c r="AY35" s="169">
        <f t="shared" si="29"/>
        <v>558.78694503607</v>
      </c>
      <c r="AZ35" s="169">
        <f t="shared" si="19"/>
        <v>993.78</v>
      </c>
      <c r="BA35" s="169">
        <f t="shared" si="20"/>
        <v>944.267804878049</v>
      </c>
      <c r="BB35" s="168">
        <f t="shared" si="21"/>
        <v>45.0408598419786</v>
      </c>
      <c r="BC35" s="170">
        <f t="shared" si="30"/>
        <v>0.0476992433812732</v>
      </c>
    </row>
    <row r="36" ht="29.1" customHeight="1" spans="1:57">
      <c r="A36" s="61" t="s">
        <v>185</v>
      </c>
      <c r="B36" s="61" t="s">
        <v>186</v>
      </c>
      <c r="C36" s="90">
        <v>19</v>
      </c>
      <c r="D36" s="91">
        <v>19</v>
      </c>
      <c r="E36" s="64">
        <v>446.61</v>
      </c>
      <c r="F36" s="148">
        <v>0</v>
      </c>
      <c r="G36" s="148">
        <v>0</v>
      </c>
      <c r="H36" s="64">
        <v>0</v>
      </c>
      <c r="I36" s="64">
        <v>0</v>
      </c>
      <c r="J36" s="149">
        <v>6</v>
      </c>
      <c r="K36" s="150">
        <f t="shared" ref="K36:K66" si="31">J36/C36</f>
        <v>0.315789473684211</v>
      </c>
      <c r="L36" s="151">
        <v>122.93</v>
      </c>
      <c r="M36" s="152">
        <f t="shared" si="26"/>
        <v>-0.568181818181818</v>
      </c>
      <c r="N36" s="150">
        <f t="shared" si="27"/>
        <v>-0.547619047619048</v>
      </c>
      <c r="O36" s="150">
        <f t="shared" si="28"/>
        <v>-0.560790677091016</v>
      </c>
      <c r="P36" s="153">
        <f t="shared" ref="P36:P62" si="32">C36/D36</f>
        <v>1</v>
      </c>
      <c r="Q36" s="154">
        <f t="shared" ref="Q36:Q62" si="33">E36/D36</f>
        <v>23.5057894736842</v>
      </c>
      <c r="R36" s="187">
        <f t="shared" ref="R36:R62" si="34">E36/C36</f>
        <v>23.5057894736842</v>
      </c>
      <c r="S36" s="155">
        <f t="shared" ref="S36:S62" si="35">C36/7</f>
        <v>2.71428571428571</v>
      </c>
      <c r="T36" s="193">
        <f t="shared" ref="T36:T62" si="36">D36-Y36</f>
        <v>2</v>
      </c>
      <c r="U36" s="157">
        <f t="shared" ref="U36:U66" si="37">T36/D36</f>
        <v>0.105263157894737</v>
      </c>
      <c r="V36" s="94">
        <f t="shared" ref="V36:V62" si="38">Z36/(E36-I36)</f>
        <v>0.63948411365621</v>
      </c>
      <c r="W36" s="91">
        <v>48824</v>
      </c>
      <c r="X36" s="91">
        <v>308</v>
      </c>
      <c r="Y36" s="91">
        <v>17</v>
      </c>
      <c r="Z36" s="64">
        <v>285.6</v>
      </c>
      <c r="AA36" s="92">
        <v>399.31</v>
      </c>
      <c r="AB36" s="91">
        <v>0.93</v>
      </c>
      <c r="AC36" s="71">
        <f t="shared" ref="AC36:AC66" si="39">Z36/AA36</f>
        <v>0.715233778267512</v>
      </c>
      <c r="AD36" s="72">
        <f t="shared" ref="AD36:AD62" si="40">X36/W36</f>
        <v>0.00630837293134524</v>
      </c>
      <c r="AE36" s="159">
        <f t="shared" ref="AE36:AE62" si="41">Y36/X36</f>
        <v>0.0551948051948052</v>
      </c>
      <c r="AF36" s="154">
        <f t="shared" ref="AF36:AF62" si="42">Z36/Y36</f>
        <v>16.8</v>
      </c>
      <c r="AG36" s="160">
        <v>5</v>
      </c>
      <c r="AH36" s="162">
        <v>14</v>
      </c>
      <c r="AI36" s="163">
        <f>AG36*产品成本!$D$15+AH36*产品成本!$D$16</f>
        <v>96.0563380281691</v>
      </c>
      <c r="AJ36" s="163">
        <f>AG36*产品成本!$E$15+AH36*产品成本!$E$16</f>
        <v>5.68</v>
      </c>
      <c r="AK36" s="163">
        <f>AG36*产品成本!$F$15+AH36*产品成本!$F$16</f>
        <v>6.46</v>
      </c>
      <c r="AL36" s="163">
        <f>AG36*产品成本!$G$15+AH36*产品成本!$G$16</f>
        <v>74.1</v>
      </c>
      <c r="AM36" s="163">
        <f t="shared" ref="AM36:AM62" si="43">(E36-I36)*0.15</f>
        <v>66.9915</v>
      </c>
      <c r="AN36" s="164">
        <f t="shared" ref="AN36:AN62" si="44">SUM(AI36:AM36)</f>
        <v>249.287838028169</v>
      </c>
      <c r="AO36" s="165">
        <v>1</v>
      </c>
      <c r="AP36" s="166">
        <v>5</v>
      </c>
      <c r="AQ36" s="167">
        <f t="shared" ref="AQ36:AQ62" si="45">L36/(1-0.15-0.15*0.2)</f>
        <v>149.914634146341</v>
      </c>
      <c r="AR36" s="163">
        <f>AO36*产品成本!$D$15+AP36*产品成本!$D$16</f>
        <v>30.9859154929578</v>
      </c>
      <c r="AS36" s="163">
        <f>AO36*产品成本!$E$15+AP36*产品成本!$E$16</f>
        <v>1.84</v>
      </c>
      <c r="AT36" s="163">
        <f>AO36*产品成本!$F$15+AP36*产品成本!$F$16</f>
        <v>2.04</v>
      </c>
      <c r="AU36" s="163"/>
      <c r="AV36" s="163">
        <f t="shared" ref="AV36:AV62" si="46">AQ36*0.15</f>
        <v>22.4871951219512</v>
      </c>
      <c r="AW36" s="163">
        <f t="shared" ref="AW36:AW62" si="47">-AV36*0.2</f>
        <v>-4.49743902439024</v>
      </c>
      <c r="AX36" s="164">
        <f t="shared" ref="AX36:AX62" si="48">SUM(AR36:AW36)</f>
        <v>52.8556715905187</v>
      </c>
      <c r="AY36" s="169">
        <f t="shared" si="29"/>
        <v>196.43216643765</v>
      </c>
      <c r="AZ36" s="169">
        <f t="shared" ref="AZ36:AZ62" si="49">E36-I36</f>
        <v>446.61</v>
      </c>
      <c r="BA36" s="169">
        <f t="shared" ref="BA36:BA62" si="50">E36-AQ36-I36</f>
        <v>296.695365853659</v>
      </c>
      <c r="BB36" s="168">
        <f t="shared" ref="BB36:BB62" si="51">BA36-AY36-Z36</f>
        <v>-185.336800583992</v>
      </c>
      <c r="BC36" s="170">
        <f t="shared" si="30"/>
        <v>-0.624670358604141</v>
      </c>
    </row>
    <row r="37" ht="29.1" customHeight="1" spans="1:57">
      <c r="A37" s="61" t="s">
        <v>187</v>
      </c>
      <c r="B37" s="61" t="s">
        <v>188</v>
      </c>
      <c r="C37" s="90">
        <v>40</v>
      </c>
      <c r="D37" s="91">
        <v>38</v>
      </c>
      <c r="E37" s="64">
        <v>941.2</v>
      </c>
      <c r="F37" s="148">
        <v>5</v>
      </c>
      <c r="G37" s="148">
        <v>5</v>
      </c>
      <c r="H37" s="64">
        <v>114.43</v>
      </c>
      <c r="I37" s="64">
        <v>22.89</v>
      </c>
      <c r="J37" s="149">
        <v>3</v>
      </c>
      <c r="K37" s="150">
        <f t="shared" si="31"/>
        <v>0.075</v>
      </c>
      <c r="L37" s="151">
        <v>61.22</v>
      </c>
      <c r="M37" s="152">
        <f t="shared" si="26"/>
        <v>1.10526315789474</v>
      </c>
      <c r="N37" s="150">
        <f t="shared" si="27"/>
        <v>1</v>
      </c>
      <c r="O37" s="150">
        <f t="shared" si="28"/>
        <v>1.10743153982222</v>
      </c>
      <c r="P37" s="153">
        <f t="shared" si="32"/>
        <v>1.05263157894737</v>
      </c>
      <c r="Q37" s="154">
        <f t="shared" si="33"/>
        <v>24.7684210526316</v>
      </c>
      <c r="R37" s="187">
        <f t="shared" si="34"/>
        <v>23.53</v>
      </c>
      <c r="S37" s="155">
        <f t="shared" si="35"/>
        <v>5.71428571428571</v>
      </c>
      <c r="T37" s="193">
        <f t="shared" si="36"/>
        <v>11</v>
      </c>
      <c r="U37" s="157">
        <f t="shared" si="37"/>
        <v>0.289473684210526</v>
      </c>
      <c r="V37" s="94">
        <f t="shared" si="38"/>
        <v>0.340985070401063</v>
      </c>
      <c r="W37" s="91">
        <v>43274</v>
      </c>
      <c r="X37" s="91">
        <v>328</v>
      </c>
      <c r="Y37" s="91">
        <v>27</v>
      </c>
      <c r="Z37" s="64">
        <v>313.13</v>
      </c>
      <c r="AA37" s="92">
        <v>673.11</v>
      </c>
      <c r="AB37" s="91">
        <v>0.95</v>
      </c>
      <c r="AC37" s="71">
        <f t="shared" si="39"/>
        <v>0.465198853084934</v>
      </c>
      <c r="AD37" s="72">
        <f t="shared" si="40"/>
        <v>0.00757960900309655</v>
      </c>
      <c r="AE37" s="159">
        <f t="shared" si="41"/>
        <v>0.0823170731707317</v>
      </c>
      <c r="AF37" s="154">
        <f t="shared" si="42"/>
        <v>11.5974074074074</v>
      </c>
      <c r="AG37" s="160">
        <v>10</v>
      </c>
      <c r="AH37" s="162">
        <v>30</v>
      </c>
      <c r="AI37" s="163">
        <f>AG37*产品成本!$D$15+AH37*产品成本!$D$16</f>
        <v>202.816901408451</v>
      </c>
      <c r="AJ37" s="163">
        <f>AG37*产品成本!$E$15+AH37*产品成本!$E$16</f>
        <v>12</v>
      </c>
      <c r="AK37" s="163">
        <f>AG37*产品成本!$F$15+AH37*产品成本!$F$16</f>
        <v>13.6</v>
      </c>
      <c r="AL37" s="163">
        <f>AG37*产品成本!$G$15+AH37*产品成本!$G$16</f>
        <v>156</v>
      </c>
      <c r="AM37" s="163">
        <f t="shared" si="43"/>
        <v>137.7465</v>
      </c>
      <c r="AN37" s="164">
        <f t="shared" si="44"/>
        <v>522.163401408451</v>
      </c>
      <c r="AO37" s="165">
        <v>0</v>
      </c>
      <c r="AP37" s="166">
        <v>3</v>
      </c>
      <c r="AQ37" s="167">
        <f t="shared" si="45"/>
        <v>74.6585365853659</v>
      </c>
      <c r="AR37" s="163">
        <f>AO37*产品成本!$D$15+AP37*产品成本!$D$16</f>
        <v>16.056338028169</v>
      </c>
      <c r="AS37" s="163">
        <f>AO37*产品成本!$E$15+AP37*产品成本!$E$16</f>
        <v>0.96</v>
      </c>
      <c r="AT37" s="163">
        <f>AO37*产品成本!$F$15+AP37*产品成本!$F$16</f>
        <v>1.02</v>
      </c>
      <c r="AU37" s="163"/>
      <c r="AV37" s="163">
        <f t="shared" si="46"/>
        <v>11.1987804878049</v>
      </c>
      <c r="AW37" s="163">
        <f t="shared" si="47"/>
        <v>-2.23975609756098</v>
      </c>
      <c r="AX37" s="164">
        <f t="shared" si="48"/>
        <v>26.9953624184129</v>
      </c>
      <c r="AY37" s="169">
        <f t="shared" si="29"/>
        <v>495.168038990038</v>
      </c>
      <c r="AZ37" s="169">
        <f t="shared" si="49"/>
        <v>918.31</v>
      </c>
      <c r="BA37" s="169">
        <f t="shared" si="50"/>
        <v>843.651463414634</v>
      </c>
      <c r="BB37" s="168">
        <f t="shared" si="51"/>
        <v>35.3534244245964</v>
      </c>
      <c r="BC37" s="170">
        <f t="shared" si="30"/>
        <v>0.0419052487404043</v>
      </c>
    </row>
    <row r="38" ht="29.1" customHeight="1" spans="1:57">
      <c r="A38" s="61" t="s">
        <v>189</v>
      </c>
      <c r="B38" s="61" t="s">
        <v>190</v>
      </c>
      <c r="C38" s="90">
        <v>47</v>
      </c>
      <c r="D38" s="91">
        <v>47</v>
      </c>
      <c r="E38" s="64">
        <v>1094.34</v>
      </c>
      <c r="F38" s="148">
        <v>3</v>
      </c>
      <c r="G38" s="148">
        <v>3</v>
      </c>
      <c r="H38" s="64">
        <v>71.97</v>
      </c>
      <c r="I38" s="64">
        <v>23.99</v>
      </c>
      <c r="J38" s="149">
        <v>4</v>
      </c>
      <c r="K38" s="150">
        <f t="shared" si="31"/>
        <v>0.0851063829787234</v>
      </c>
      <c r="L38" s="151">
        <v>81.2</v>
      </c>
      <c r="M38" s="152">
        <f t="shared" si="26"/>
        <v>0.175</v>
      </c>
      <c r="N38" s="150">
        <f t="shared" si="27"/>
        <v>0.236842105263158</v>
      </c>
      <c r="O38" s="150">
        <f t="shared" si="28"/>
        <v>0.162707182320442</v>
      </c>
      <c r="P38" s="153">
        <f t="shared" si="32"/>
        <v>1</v>
      </c>
      <c r="Q38" s="154">
        <f t="shared" si="33"/>
        <v>23.283829787234</v>
      </c>
      <c r="R38" s="187">
        <f t="shared" si="34"/>
        <v>23.283829787234</v>
      </c>
      <c r="S38" s="155">
        <f t="shared" si="35"/>
        <v>6.71428571428571</v>
      </c>
      <c r="T38" s="193">
        <f t="shared" si="36"/>
        <v>13</v>
      </c>
      <c r="U38" s="157">
        <f t="shared" si="37"/>
        <v>0.276595744680851</v>
      </c>
      <c r="V38" s="94">
        <f t="shared" si="38"/>
        <v>0.279048909235297</v>
      </c>
      <c r="W38" s="91">
        <v>45715</v>
      </c>
      <c r="X38" s="91">
        <v>320</v>
      </c>
      <c r="Y38" s="91">
        <v>34</v>
      </c>
      <c r="Z38" s="64">
        <v>298.68</v>
      </c>
      <c r="AA38" s="92">
        <v>768.09</v>
      </c>
      <c r="AB38" s="91">
        <v>0.93</v>
      </c>
      <c r="AC38" s="71">
        <f t="shared" si="39"/>
        <v>0.388860680389017</v>
      </c>
      <c r="AD38" s="72">
        <f t="shared" si="40"/>
        <v>0.00699989062670896</v>
      </c>
      <c r="AE38" s="159">
        <f t="shared" si="41"/>
        <v>0.10625</v>
      </c>
      <c r="AF38" s="154">
        <f t="shared" si="42"/>
        <v>8.78470588235294</v>
      </c>
      <c r="AG38" s="160">
        <v>5</v>
      </c>
      <c r="AH38" s="162">
        <v>42</v>
      </c>
      <c r="AI38" s="163">
        <f>AG38*产品成本!$D$15+AH38*产品成本!$D$16</f>
        <v>245.915492957747</v>
      </c>
      <c r="AJ38" s="163">
        <f>AG38*产品成本!$E$15+AH38*产品成本!$E$16</f>
        <v>14.64</v>
      </c>
      <c r="AK38" s="163">
        <f>AG38*产品成本!$F$15+AH38*产品成本!$F$16</f>
        <v>15.98</v>
      </c>
      <c r="AL38" s="163">
        <f>AG38*产品成本!$G$15+AH38*产品成本!$G$16</f>
        <v>183.3</v>
      </c>
      <c r="AM38" s="163">
        <f t="shared" si="43"/>
        <v>160.5525</v>
      </c>
      <c r="AN38" s="164">
        <f t="shared" si="44"/>
        <v>620.387992957747</v>
      </c>
      <c r="AO38" s="165">
        <v>2</v>
      </c>
      <c r="AP38" s="166">
        <v>2</v>
      </c>
      <c r="AQ38" s="167">
        <f t="shared" si="45"/>
        <v>99.0243902439024</v>
      </c>
      <c r="AR38" s="163">
        <f>AO38*产品成本!$D$15+AP38*产品成本!$D$16</f>
        <v>19.1549295774648</v>
      </c>
      <c r="AS38" s="163">
        <f>AO38*产品成本!$E$15+AP38*产品成本!$E$16</f>
        <v>1.12</v>
      </c>
      <c r="AT38" s="163">
        <f>AO38*产品成本!$F$15+AP38*产品成本!$F$16</f>
        <v>1.36</v>
      </c>
      <c r="AU38" s="163"/>
      <c r="AV38" s="163">
        <f t="shared" si="46"/>
        <v>14.8536585365854</v>
      </c>
      <c r="AW38" s="163">
        <f t="shared" si="47"/>
        <v>-2.97073170731707</v>
      </c>
      <c r="AX38" s="164">
        <f t="shared" si="48"/>
        <v>33.5178564067331</v>
      </c>
      <c r="AY38" s="169">
        <f t="shared" si="29"/>
        <v>586.870136551013</v>
      </c>
      <c r="AZ38" s="169">
        <f t="shared" si="49"/>
        <v>1070.35</v>
      </c>
      <c r="BA38" s="169">
        <f t="shared" si="50"/>
        <v>971.325609756097</v>
      </c>
      <c r="BB38" s="168">
        <f t="shared" si="51"/>
        <v>85.7754732050841</v>
      </c>
      <c r="BC38" s="170">
        <f t="shared" si="30"/>
        <v>0.0883076409635926</v>
      </c>
    </row>
    <row r="39" ht="29.1" customHeight="1" spans="1:57">
      <c r="A39" s="61" t="s">
        <v>191</v>
      </c>
      <c r="B39" s="61" t="s">
        <v>192</v>
      </c>
      <c r="C39" s="90">
        <v>38</v>
      </c>
      <c r="D39" s="91">
        <v>38</v>
      </c>
      <c r="E39" s="64">
        <v>891.38</v>
      </c>
      <c r="F39" s="148">
        <v>7</v>
      </c>
      <c r="G39" s="148">
        <v>7</v>
      </c>
      <c r="H39" s="64">
        <v>160.57</v>
      </c>
      <c r="I39" s="64">
        <v>14.52</v>
      </c>
      <c r="J39" s="149">
        <v>5</v>
      </c>
      <c r="K39" s="150">
        <f t="shared" si="31"/>
        <v>0.131578947368421</v>
      </c>
      <c r="L39" s="151">
        <v>102.31</v>
      </c>
      <c r="M39" s="152">
        <f t="shared" ref="M39:M62" si="52">(C39-C38)/C38</f>
        <v>-0.191489361702128</v>
      </c>
      <c r="N39" s="150">
        <f t="shared" ref="N39:N62" si="53">(D39-D38)/D38</f>
        <v>-0.191489361702128</v>
      </c>
      <c r="O39" s="150">
        <f t="shared" ref="O39:O62" si="54">(E39-E38)/E38</f>
        <v>-0.185463384322971</v>
      </c>
      <c r="P39" s="153">
        <f t="shared" si="32"/>
        <v>1</v>
      </c>
      <c r="Q39" s="154">
        <f t="shared" si="33"/>
        <v>23.4573684210526</v>
      </c>
      <c r="R39" s="187">
        <f t="shared" si="34"/>
        <v>23.4573684210526</v>
      </c>
      <c r="S39" s="155">
        <f t="shared" si="35"/>
        <v>5.42857142857143</v>
      </c>
      <c r="T39" s="193">
        <f t="shared" si="36"/>
        <v>5</v>
      </c>
      <c r="U39" s="157">
        <f t="shared" si="37"/>
        <v>0.131578947368421</v>
      </c>
      <c r="V39" s="94">
        <f t="shared" si="38"/>
        <v>0.373503181807814</v>
      </c>
      <c r="W39" s="91">
        <v>43400</v>
      </c>
      <c r="X39" s="91">
        <v>337</v>
      </c>
      <c r="Y39" s="91">
        <v>33</v>
      </c>
      <c r="Z39" s="64">
        <v>327.51</v>
      </c>
      <c r="AA39" s="92">
        <v>769.1</v>
      </c>
      <c r="AB39" s="91">
        <v>0.97</v>
      </c>
      <c r="AC39" s="71">
        <f t="shared" si="39"/>
        <v>0.425835392016643</v>
      </c>
      <c r="AD39" s="72">
        <f t="shared" si="40"/>
        <v>0.00776497695852535</v>
      </c>
      <c r="AE39" s="159">
        <f t="shared" si="41"/>
        <v>0.0979228486646884</v>
      </c>
      <c r="AF39" s="154">
        <f t="shared" si="42"/>
        <v>9.92454545454545</v>
      </c>
      <c r="AG39" s="160">
        <v>11</v>
      </c>
      <c r="AH39" s="162">
        <v>27</v>
      </c>
      <c r="AI39" s="163">
        <f>AG39*产品成本!$D$15+AH39*产品成本!$D$16</f>
        <v>190.985915492958</v>
      </c>
      <c r="AJ39" s="163">
        <f>AG39*产品成本!$E$15+AH39*产品成本!$E$16</f>
        <v>11.28</v>
      </c>
      <c r="AK39" s="163">
        <f>AG39*产品成本!$F$15+AH39*产品成本!$F$16</f>
        <v>12.92</v>
      </c>
      <c r="AL39" s="163">
        <f>AG39*产品成本!$G$15+AH39*产品成本!$G$16</f>
        <v>148.2</v>
      </c>
      <c r="AM39" s="163">
        <f t="shared" si="43"/>
        <v>131.529</v>
      </c>
      <c r="AN39" s="164">
        <f t="shared" si="44"/>
        <v>494.914915492958</v>
      </c>
      <c r="AO39" s="165">
        <v>2</v>
      </c>
      <c r="AP39" s="166">
        <v>3</v>
      </c>
      <c r="AQ39" s="167">
        <f t="shared" si="45"/>
        <v>124.768292682927</v>
      </c>
      <c r="AR39" s="163">
        <f>AO39*产品成本!$D$15+AP39*产品成本!$D$16</f>
        <v>24.5070422535211</v>
      </c>
      <c r="AS39" s="163">
        <f>AO39*产品成本!$E$15+AP39*产品成本!$E$16</f>
        <v>1.44</v>
      </c>
      <c r="AT39" s="163">
        <f>AO39*产品成本!$F$15+AP39*产品成本!$F$16</f>
        <v>1.7</v>
      </c>
      <c r="AU39" s="163"/>
      <c r="AV39" s="163">
        <f t="shared" si="46"/>
        <v>18.715243902439</v>
      </c>
      <c r="AW39" s="163">
        <f t="shared" si="47"/>
        <v>-3.7430487804878</v>
      </c>
      <c r="AX39" s="164">
        <f t="shared" si="48"/>
        <v>42.6192373754724</v>
      </c>
      <c r="AY39" s="169">
        <f t="shared" ref="AY39:AY62" si="55">AN39-AX39</f>
        <v>452.295678117485</v>
      </c>
      <c r="AZ39" s="169">
        <f t="shared" si="49"/>
        <v>876.86</v>
      </c>
      <c r="BA39" s="169">
        <f t="shared" si="50"/>
        <v>752.091707317073</v>
      </c>
      <c r="BB39" s="168">
        <f t="shared" si="51"/>
        <v>-27.7139708004122</v>
      </c>
      <c r="BC39" s="170">
        <f t="shared" ref="BC39:BC62" si="56">BB39/BA39</f>
        <v>-0.0368491907712636</v>
      </c>
    </row>
    <row r="40" ht="29.1" customHeight="1" spans="1:57">
      <c r="A40" s="61" t="s">
        <v>193</v>
      </c>
      <c r="B40" s="61" t="s">
        <v>194</v>
      </c>
      <c r="C40" s="90">
        <v>31</v>
      </c>
      <c r="D40" s="91">
        <v>30</v>
      </c>
      <c r="E40" s="64">
        <v>892.79</v>
      </c>
      <c r="F40" s="148">
        <v>3</v>
      </c>
      <c r="G40" s="148">
        <v>3</v>
      </c>
      <c r="H40" s="64">
        <v>79.37</v>
      </c>
      <c r="I40" s="64">
        <v>7.94</v>
      </c>
      <c r="J40" s="149">
        <v>3</v>
      </c>
      <c r="K40" s="150">
        <f t="shared" si="31"/>
        <v>0.0967741935483871</v>
      </c>
      <c r="L40" s="151">
        <v>59.76</v>
      </c>
      <c r="M40" s="152">
        <f t="shared" si="52"/>
        <v>-0.184210526315789</v>
      </c>
      <c r="N40" s="150">
        <f t="shared" si="53"/>
        <v>-0.210526315789474</v>
      </c>
      <c r="O40" s="150">
        <f t="shared" si="54"/>
        <v>0.00158181695797524</v>
      </c>
      <c r="P40" s="153">
        <f t="shared" si="32"/>
        <v>1.03333333333333</v>
      </c>
      <c r="Q40" s="154">
        <f t="shared" si="33"/>
        <v>29.7596666666667</v>
      </c>
      <c r="R40" s="187">
        <f t="shared" si="34"/>
        <v>28.7996774193548</v>
      </c>
      <c r="S40" s="155">
        <f t="shared" si="35"/>
        <v>4.42857142857143</v>
      </c>
      <c r="T40" s="193">
        <f t="shared" si="36"/>
        <v>-8</v>
      </c>
      <c r="U40" s="157">
        <f t="shared" si="37"/>
        <v>-0.266666666666667</v>
      </c>
      <c r="V40" s="94">
        <f t="shared" si="38"/>
        <v>0.36999491439227</v>
      </c>
      <c r="W40" s="91">
        <v>59702</v>
      </c>
      <c r="X40" s="91">
        <v>341</v>
      </c>
      <c r="Y40" s="91">
        <v>38</v>
      </c>
      <c r="Z40" s="64">
        <v>327.39</v>
      </c>
      <c r="AA40" s="92">
        <v>969.02</v>
      </c>
      <c r="AB40" s="91">
        <v>0.96</v>
      </c>
      <c r="AC40" s="71">
        <f t="shared" si="39"/>
        <v>0.33785680378114</v>
      </c>
      <c r="AD40" s="72">
        <f t="shared" si="40"/>
        <v>0.00571170145053767</v>
      </c>
      <c r="AE40" s="159">
        <f t="shared" si="41"/>
        <v>0.111436950146628</v>
      </c>
      <c r="AF40" s="154">
        <f t="shared" si="42"/>
        <v>8.61552631578947</v>
      </c>
      <c r="AG40" s="160">
        <v>3</v>
      </c>
      <c r="AH40" s="162">
        <v>28</v>
      </c>
      <c r="AI40" s="163">
        <f>AG40*产品成本!$D$15+AH40*产品成本!$D$16</f>
        <v>162.535211267606</v>
      </c>
      <c r="AJ40" s="163">
        <f>AG40*产品成本!$E$15+AH40*产品成本!$E$16</f>
        <v>9.68</v>
      </c>
      <c r="AK40" s="163">
        <f>AG40*产品成本!$F$15+AH40*产品成本!$F$16</f>
        <v>10.54</v>
      </c>
      <c r="AL40" s="163">
        <f>AG40*产品成本!$G$15+AH40*产品成本!$G$16</f>
        <v>120.9</v>
      </c>
      <c r="AM40" s="163">
        <f t="shared" si="43"/>
        <v>132.7275</v>
      </c>
      <c r="AN40" s="164">
        <f t="shared" si="44"/>
        <v>436.382711267606</v>
      </c>
      <c r="AO40" s="165">
        <v>1</v>
      </c>
      <c r="AP40" s="166">
        <v>2</v>
      </c>
      <c r="AQ40" s="167">
        <f t="shared" si="45"/>
        <v>72.8780487804878</v>
      </c>
      <c r="AR40" s="163">
        <f>AO40*产品成本!$D$15+AP40*产品成本!$D$16</f>
        <v>14.9295774647887</v>
      </c>
      <c r="AS40" s="163">
        <f>AO40*产品成本!$E$15+AP40*产品成本!$E$16</f>
        <v>0.88</v>
      </c>
      <c r="AT40" s="163">
        <f>AO40*产品成本!$F$15+AP40*产品成本!$F$16</f>
        <v>1.02</v>
      </c>
      <c r="AU40" s="163"/>
      <c r="AV40" s="163">
        <f t="shared" si="46"/>
        <v>10.9317073170732</v>
      </c>
      <c r="AW40" s="163">
        <f t="shared" si="47"/>
        <v>-2.18634146341463</v>
      </c>
      <c r="AX40" s="164">
        <f t="shared" si="48"/>
        <v>25.5749433184473</v>
      </c>
      <c r="AY40" s="169">
        <f t="shared" si="55"/>
        <v>410.807767949158</v>
      </c>
      <c r="AZ40" s="169">
        <f t="shared" si="49"/>
        <v>884.85</v>
      </c>
      <c r="BA40" s="169">
        <f t="shared" si="50"/>
        <v>811.971951219512</v>
      </c>
      <c r="BB40" s="168">
        <f t="shared" si="51"/>
        <v>73.7741832703537</v>
      </c>
      <c r="BC40" s="170">
        <f t="shared" si="56"/>
        <v>0.0908580439996125</v>
      </c>
    </row>
    <row r="41" ht="29.1" customHeight="1" spans="1:57">
      <c r="A41" s="61" t="s">
        <v>195</v>
      </c>
      <c r="B41" s="61" t="s">
        <v>196</v>
      </c>
      <c r="C41" s="90">
        <v>49</v>
      </c>
      <c r="D41" s="91">
        <v>46</v>
      </c>
      <c r="E41" s="64">
        <v>1184.35</v>
      </c>
      <c r="F41" s="148">
        <v>2</v>
      </c>
      <c r="G41" s="148">
        <v>2</v>
      </c>
      <c r="H41" s="64">
        <v>50.98</v>
      </c>
      <c r="I41" s="64">
        <v>7.64</v>
      </c>
      <c r="J41" s="149">
        <v>2</v>
      </c>
      <c r="K41" s="150">
        <f t="shared" si="31"/>
        <v>0.0408163265306122</v>
      </c>
      <c r="L41" s="151">
        <v>40.6</v>
      </c>
      <c r="M41" s="152">
        <f t="shared" si="52"/>
        <v>0.580645161290323</v>
      </c>
      <c r="N41" s="150">
        <f t="shared" si="53"/>
        <v>0.533333333333333</v>
      </c>
      <c r="O41" s="150">
        <f t="shared" si="54"/>
        <v>0.326571758196216</v>
      </c>
      <c r="P41" s="153">
        <f t="shared" si="32"/>
        <v>1.06521739130435</v>
      </c>
      <c r="Q41" s="154">
        <f t="shared" si="33"/>
        <v>25.7467391304348</v>
      </c>
      <c r="R41" s="187">
        <f t="shared" si="34"/>
        <v>24.1704081632653</v>
      </c>
      <c r="S41" s="155">
        <f t="shared" si="35"/>
        <v>7</v>
      </c>
      <c r="T41" s="193">
        <f t="shared" si="36"/>
        <v>17</v>
      </c>
      <c r="U41" s="157">
        <f t="shared" si="37"/>
        <v>0.369565217391304</v>
      </c>
      <c r="V41" s="94">
        <f t="shared" si="38"/>
        <v>0.264976077368256</v>
      </c>
      <c r="W41" s="91">
        <v>47428</v>
      </c>
      <c r="X41" s="91">
        <v>331</v>
      </c>
      <c r="Y41" s="91">
        <v>29</v>
      </c>
      <c r="Z41" s="64">
        <v>311.8</v>
      </c>
      <c r="AA41" s="92">
        <v>758.64</v>
      </c>
      <c r="AB41" s="91">
        <v>0.94</v>
      </c>
      <c r="AC41" s="71">
        <f t="shared" si="39"/>
        <v>0.410998629125804</v>
      </c>
      <c r="AD41" s="72">
        <f t="shared" si="40"/>
        <v>0.0069789997469849</v>
      </c>
      <c r="AE41" s="159">
        <f t="shared" si="41"/>
        <v>0.0876132930513595</v>
      </c>
      <c r="AF41" s="154">
        <f t="shared" si="42"/>
        <v>10.751724137931</v>
      </c>
      <c r="AG41" s="160">
        <v>3</v>
      </c>
      <c r="AH41" s="162">
        <v>46</v>
      </c>
      <c r="AI41" s="163">
        <f>AG41*产品成本!$D$15+AH41*产品成本!$D$16</f>
        <v>258.87323943662</v>
      </c>
      <c r="AJ41" s="163">
        <f>AG41*产品成本!$E$15+AH41*产品成本!$E$16</f>
        <v>15.44</v>
      </c>
      <c r="AK41" s="163">
        <f>AG41*产品成本!$F$15+AH41*产品成本!$F$16</f>
        <v>16.66</v>
      </c>
      <c r="AL41" s="163">
        <f>AG41*产品成本!$G$15+AH41*产品成本!$G$16</f>
        <v>191.1</v>
      </c>
      <c r="AM41" s="163">
        <f t="shared" si="43"/>
        <v>176.5065</v>
      </c>
      <c r="AN41" s="164">
        <f t="shared" si="44"/>
        <v>658.57973943662</v>
      </c>
      <c r="AO41" s="165">
        <v>1</v>
      </c>
      <c r="AP41" s="166">
        <v>1</v>
      </c>
      <c r="AQ41" s="167">
        <f t="shared" si="45"/>
        <v>49.5121951219512</v>
      </c>
      <c r="AR41" s="163">
        <f>AO41*产品成本!$D$15+AP41*产品成本!$D$16</f>
        <v>9.5774647887324</v>
      </c>
      <c r="AS41" s="163">
        <f>AO41*产品成本!$E$15+AP41*产品成本!$E$16</f>
        <v>0.56</v>
      </c>
      <c r="AT41" s="163">
        <f>AO41*产品成本!$F$15+AP41*产品成本!$F$16</f>
        <v>0.68</v>
      </c>
      <c r="AU41" s="163"/>
      <c r="AV41" s="163">
        <f t="shared" si="46"/>
        <v>7.42682926829268</v>
      </c>
      <c r="AW41" s="163">
        <f t="shared" si="47"/>
        <v>-1.48536585365854</v>
      </c>
      <c r="AX41" s="164">
        <f t="shared" si="48"/>
        <v>16.7589282033665</v>
      </c>
      <c r="AY41" s="169">
        <f t="shared" si="55"/>
        <v>641.820811233253</v>
      </c>
      <c r="AZ41" s="169">
        <f t="shared" si="49"/>
        <v>1176.71</v>
      </c>
      <c r="BA41" s="169">
        <f t="shared" si="50"/>
        <v>1127.19780487805</v>
      </c>
      <c r="BB41" s="168">
        <f t="shared" si="51"/>
        <v>173.576993644795</v>
      </c>
      <c r="BC41" s="170">
        <f t="shared" si="56"/>
        <v>0.153989825826155</v>
      </c>
      <c r="BE41" t="s">
        <v>197</v>
      </c>
    </row>
    <row r="42" ht="29.1" customHeight="1" spans="1:57">
      <c r="A42" s="61" t="s">
        <v>198</v>
      </c>
      <c r="B42" s="61" t="s">
        <v>199</v>
      </c>
      <c r="C42" s="90">
        <v>31</v>
      </c>
      <c r="D42" s="91">
        <v>30</v>
      </c>
      <c r="E42" s="64">
        <v>809.09</v>
      </c>
      <c r="F42" s="148">
        <v>5</v>
      </c>
      <c r="G42" s="148">
        <v>5</v>
      </c>
      <c r="H42" s="64">
        <v>121.15</v>
      </c>
      <c r="I42" s="64">
        <v>11.06</v>
      </c>
      <c r="J42" s="149">
        <v>4</v>
      </c>
      <c r="K42" s="150">
        <f t="shared" si="31"/>
        <v>0.129032258064516</v>
      </c>
      <c r="L42" s="151">
        <v>76.49</v>
      </c>
      <c r="M42" s="152">
        <f t="shared" si="52"/>
        <v>-0.36734693877551</v>
      </c>
      <c r="N42" s="150">
        <f t="shared" si="53"/>
        <v>-0.347826086956522</v>
      </c>
      <c r="O42" s="150">
        <f t="shared" si="54"/>
        <v>-0.316848904462363</v>
      </c>
      <c r="P42" s="153">
        <f t="shared" si="32"/>
        <v>1.03333333333333</v>
      </c>
      <c r="Q42" s="154">
        <f t="shared" si="33"/>
        <v>26.9696666666667</v>
      </c>
      <c r="R42" s="187">
        <f t="shared" si="34"/>
        <v>26.0996774193548</v>
      </c>
      <c r="S42" s="155">
        <f t="shared" si="35"/>
        <v>4.42857142857143</v>
      </c>
      <c r="T42" s="193">
        <f t="shared" si="36"/>
        <v>7</v>
      </c>
      <c r="U42" s="157">
        <f t="shared" si="37"/>
        <v>0.233333333333333</v>
      </c>
      <c r="V42" s="94">
        <f t="shared" si="38"/>
        <v>0.360362392391263</v>
      </c>
      <c r="W42" s="91">
        <v>61367</v>
      </c>
      <c r="X42" s="91">
        <v>301</v>
      </c>
      <c r="Y42" s="91">
        <v>23</v>
      </c>
      <c r="Z42" s="64">
        <v>287.58</v>
      </c>
      <c r="AA42" s="92">
        <v>592.86</v>
      </c>
      <c r="AB42" s="91">
        <v>0.96</v>
      </c>
      <c r="AC42" s="71">
        <f t="shared" si="39"/>
        <v>0.485072361097055</v>
      </c>
      <c r="AD42" s="72">
        <f t="shared" si="40"/>
        <v>0.00490491632310525</v>
      </c>
      <c r="AE42" s="159">
        <f t="shared" si="41"/>
        <v>0.0764119601328904</v>
      </c>
      <c r="AF42" s="154">
        <f t="shared" si="42"/>
        <v>12.5034782608696</v>
      </c>
      <c r="AG42" s="160">
        <v>6</v>
      </c>
      <c r="AH42" s="162">
        <v>25</v>
      </c>
      <c r="AI42" s="163">
        <f>AG42*产品成本!$D$15+AH42*产品成本!$D$16</f>
        <v>159.154929577465</v>
      </c>
      <c r="AJ42" s="163">
        <f>AG42*产品成本!$E$15+AH42*产品成本!$E$16</f>
        <v>9.44</v>
      </c>
      <c r="AK42" s="163">
        <f>AG42*产品成本!$F$15+AH42*产品成本!$F$16</f>
        <v>10.54</v>
      </c>
      <c r="AL42" s="163">
        <f>AG42*产品成本!$G$15+AH42*产品成本!$G$16</f>
        <v>120.9</v>
      </c>
      <c r="AM42" s="163">
        <f t="shared" si="43"/>
        <v>119.7045</v>
      </c>
      <c r="AN42" s="164">
        <f t="shared" si="44"/>
        <v>419.739429577465</v>
      </c>
      <c r="AO42" s="165">
        <v>1</v>
      </c>
      <c r="AP42" s="166">
        <v>3</v>
      </c>
      <c r="AQ42" s="167">
        <f t="shared" si="45"/>
        <v>93.280487804878</v>
      </c>
      <c r="AR42" s="163">
        <f>AO42*产品成本!$D$15+AP42*产品成本!$D$16</f>
        <v>20.2816901408451</v>
      </c>
      <c r="AS42" s="163">
        <f>AO42*产品成本!$E$15+AP42*产品成本!$E$16</f>
        <v>1.2</v>
      </c>
      <c r="AT42" s="163">
        <f>AO42*产品成本!$F$15+AP42*产品成本!$F$16</f>
        <v>1.36</v>
      </c>
      <c r="AU42" s="163"/>
      <c r="AV42" s="163">
        <f t="shared" si="46"/>
        <v>13.9920731707317</v>
      </c>
      <c r="AW42" s="163">
        <f t="shared" si="47"/>
        <v>-2.79841463414634</v>
      </c>
      <c r="AX42" s="164">
        <f t="shared" si="48"/>
        <v>34.0353486774304</v>
      </c>
      <c r="AY42" s="169">
        <f t="shared" si="55"/>
        <v>385.704080900034</v>
      </c>
      <c r="AZ42" s="169">
        <f t="shared" si="49"/>
        <v>798.03</v>
      </c>
      <c r="BA42" s="169">
        <f t="shared" si="50"/>
        <v>704.749512195122</v>
      </c>
      <c r="BB42" s="168">
        <f t="shared" si="51"/>
        <v>31.4654312950877</v>
      </c>
      <c r="BC42" s="170">
        <f t="shared" si="56"/>
        <v>0.0446476808434824</v>
      </c>
    </row>
    <row r="43" ht="29.1" customHeight="1" spans="1:57">
      <c r="A43" s="61" t="s">
        <v>200</v>
      </c>
      <c r="B43" s="61" t="s">
        <v>201</v>
      </c>
      <c r="C43" s="90">
        <v>19</v>
      </c>
      <c r="D43" s="91">
        <v>19</v>
      </c>
      <c r="E43" s="64">
        <v>469.61</v>
      </c>
      <c r="F43" s="148">
        <v>3</v>
      </c>
      <c r="G43" s="148">
        <v>3</v>
      </c>
      <c r="H43" s="64">
        <v>72.27</v>
      </c>
      <c r="I43" s="64">
        <v>10.84</v>
      </c>
      <c r="J43" s="149">
        <v>5</v>
      </c>
      <c r="K43" s="150">
        <f t="shared" si="31"/>
        <v>0.263157894736842</v>
      </c>
      <c r="L43" s="151">
        <v>120.07</v>
      </c>
      <c r="M43" s="152">
        <f t="shared" si="52"/>
        <v>-0.387096774193548</v>
      </c>
      <c r="N43" s="150">
        <f t="shared" si="53"/>
        <v>-0.366666666666667</v>
      </c>
      <c r="O43" s="150">
        <f t="shared" si="54"/>
        <v>-0.419582493912915</v>
      </c>
      <c r="P43" s="153">
        <f t="shared" si="32"/>
        <v>1</v>
      </c>
      <c r="Q43" s="154">
        <f t="shared" si="33"/>
        <v>24.7163157894737</v>
      </c>
      <c r="R43" s="187">
        <f t="shared" si="34"/>
        <v>24.7163157894737</v>
      </c>
      <c r="S43" s="155">
        <f t="shared" si="35"/>
        <v>2.71428571428571</v>
      </c>
      <c r="T43" s="193">
        <f t="shared" si="36"/>
        <v>4</v>
      </c>
      <c r="U43" s="157">
        <f t="shared" si="37"/>
        <v>0.210526315789474</v>
      </c>
      <c r="V43" s="94">
        <f t="shared" si="38"/>
        <v>0.493885825141138</v>
      </c>
      <c r="W43" s="91">
        <v>35381</v>
      </c>
      <c r="X43" s="91">
        <v>239</v>
      </c>
      <c r="Y43" s="91">
        <v>15</v>
      </c>
      <c r="Z43" s="64">
        <v>226.58</v>
      </c>
      <c r="AA43" s="92">
        <v>355.55</v>
      </c>
      <c r="AB43" s="91">
        <v>0.95</v>
      </c>
      <c r="AC43" s="71">
        <f t="shared" si="39"/>
        <v>0.637266207284489</v>
      </c>
      <c r="AD43" s="72">
        <f t="shared" si="40"/>
        <v>0.00675503801475368</v>
      </c>
      <c r="AE43" s="159">
        <f t="shared" si="41"/>
        <v>0.0627615062761506</v>
      </c>
      <c r="AF43" s="154">
        <f t="shared" si="42"/>
        <v>15.1053333333333</v>
      </c>
      <c r="AG43" s="160">
        <v>7</v>
      </c>
      <c r="AH43" s="162">
        <v>12</v>
      </c>
      <c r="AI43" s="163">
        <f>AG43*产品成本!$D$15+AH43*产品成本!$D$16</f>
        <v>93.8028169014085</v>
      </c>
      <c r="AJ43" s="163">
        <f>AG43*产品成本!$E$15+AH43*产品成本!$E$16</f>
        <v>5.52</v>
      </c>
      <c r="AK43" s="163">
        <f>AG43*产品成本!$F$15+AH43*产品成本!$F$16</f>
        <v>6.46</v>
      </c>
      <c r="AL43" s="163">
        <f>AG43*产品成本!$G$15+AH43*产品成本!$G$16</f>
        <v>74.1</v>
      </c>
      <c r="AM43" s="163">
        <f t="shared" si="43"/>
        <v>68.8155</v>
      </c>
      <c r="AN43" s="164">
        <f t="shared" si="44"/>
        <v>248.698316901408</v>
      </c>
      <c r="AO43" s="165">
        <v>0</v>
      </c>
      <c r="AP43" s="166">
        <v>5</v>
      </c>
      <c r="AQ43" s="167">
        <f t="shared" si="45"/>
        <v>146.426829268293</v>
      </c>
      <c r="AR43" s="163">
        <f>AO43*产品成本!$D$15+AP43*产品成本!$D$16</f>
        <v>26.7605633802817</v>
      </c>
      <c r="AS43" s="163">
        <f>AO43*产品成本!$E$15+AP43*产品成本!$E$16</f>
        <v>1.6</v>
      </c>
      <c r="AT43" s="163">
        <f>AO43*产品成本!$F$15+AP43*产品成本!$F$16</f>
        <v>1.7</v>
      </c>
      <c r="AU43" s="163"/>
      <c r="AV43" s="163">
        <f t="shared" si="46"/>
        <v>21.9640243902439</v>
      </c>
      <c r="AW43" s="163">
        <f t="shared" si="47"/>
        <v>-4.39280487804878</v>
      </c>
      <c r="AX43" s="164">
        <f t="shared" si="48"/>
        <v>47.6317828924768</v>
      </c>
      <c r="AY43" s="169">
        <f t="shared" si="55"/>
        <v>201.066534008932</v>
      </c>
      <c r="AZ43" s="169">
        <f t="shared" si="49"/>
        <v>458.77</v>
      </c>
      <c r="BA43" s="169">
        <f t="shared" si="50"/>
        <v>312.343170731707</v>
      </c>
      <c r="BB43" s="168">
        <f t="shared" si="51"/>
        <v>-115.303363277224</v>
      </c>
      <c r="BC43" s="170">
        <f t="shared" si="56"/>
        <v>-0.369156024788729</v>
      </c>
    </row>
    <row r="44" ht="29.1" customHeight="1" spans="1:57">
      <c r="A44" s="61" t="s">
        <v>202</v>
      </c>
      <c r="B44" s="61" t="s">
        <v>203</v>
      </c>
      <c r="C44" s="90">
        <v>23</v>
      </c>
      <c r="D44" s="91">
        <v>23</v>
      </c>
      <c r="E44" s="64">
        <v>603.27</v>
      </c>
      <c r="F44" s="148">
        <v>3</v>
      </c>
      <c r="G44" s="148">
        <v>3</v>
      </c>
      <c r="H44" s="64">
        <v>70.17</v>
      </c>
      <c r="I44" s="64">
        <v>7.02</v>
      </c>
      <c r="J44" s="149">
        <v>1</v>
      </c>
      <c r="K44" s="150">
        <f t="shared" si="31"/>
        <v>0.0434782608695652</v>
      </c>
      <c r="L44" s="151">
        <v>22.43</v>
      </c>
      <c r="M44" s="152">
        <f t="shared" si="52"/>
        <v>0.210526315789474</v>
      </c>
      <c r="N44" s="150">
        <f t="shared" si="53"/>
        <v>0.210526315789474</v>
      </c>
      <c r="O44" s="150">
        <f t="shared" si="54"/>
        <v>0.28461915206235</v>
      </c>
      <c r="P44" s="153">
        <f t="shared" si="32"/>
        <v>1</v>
      </c>
      <c r="Q44" s="154">
        <f t="shared" si="33"/>
        <v>26.2291304347826</v>
      </c>
      <c r="R44" s="187">
        <f t="shared" si="34"/>
        <v>26.2291304347826</v>
      </c>
      <c r="S44" s="155">
        <f t="shared" si="35"/>
        <v>3.28571428571429</v>
      </c>
      <c r="T44" s="193">
        <f t="shared" si="36"/>
        <v>6</v>
      </c>
      <c r="U44" s="157">
        <f t="shared" si="37"/>
        <v>0.260869565217391</v>
      </c>
      <c r="V44" s="94">
        <f t="shared" si="38"/>
        <v>0.364142557651992</v>
      </c>
      <c r="W44" s="91">
        <v>54050</v>
      </c>
      <c r="X44" s="91">
        <v>229</v>
      </c>
      <c r="Y44" s="91">
        <v>17</v>
      </c>
      <c r="Z44" s="64">
        <v>217.12</v>
      </c>
      <c r="AA44" s="92">
        <v>435.83</v>
      </c>
      <c r="AB44" s="91">
        <v>0.95</v>
      </c>
      <c r="AC44" s="71">
        <f t="shared" si="39"/>
        <v>0.498175894270702</v>
      </c>
      <c r="AD44" s="72">
        <f t="shared" si="40"/>
        <v>0.0042368177613321</v>
      </c>
      <c r="AE44" s="159">
        <f t="shared" si="41"/>
        <v>0.074235807860262</v>
      </c>
      <c r="AF44" s="154">
        <f t="shared" si="42"/>
        <v>12.7717647058824</v>
      </c>
      <c r="AG44" s="160">
        <v>11</v>
      </c>
      <c r="AH44" s="162">
        <v>12</v>
      </c>
      <c r="AI44" s="163">
        <f>AG44*产品成本!$D$15+AH44*产品成本!$D$16</f>
        <v>110.704225352113</v>
      </c>
      <c r="AJ44" s="163">
        <f>AG44*产品成本!$E$15+AH44*产品成本!$E$16</f>
        <v>6.48</v>
      </c>
      <c r="AK44" s="163">
        <f>AG44*产品成本!$F$15+AH44*产品成本!$F$16</f>
        <v>7.82</v>
      </c>
      <c r="AL44" s="163">
        <f>AG44*产品成本!$G$15+AH44*产品成本!$G$16</f>
        <v>89.7</v>
      </c>
      <c r="AM44" s="163">
        <f t="shared" si="43"/>
        <v>89.4375</v>
      </c>
      <c r="AN44" s="164">
        <f t="shared" si="44"/>
        <v>304.141725352113</v>
      </c>
      <c r="AO44" s="165">
        <v>0</v>
      </c>
      <c r="AP44" s="166">
        <v>1</v>
      </c>
      <c r="AQ44" s="167">
        <f t="shared" si="45"/>
        <v>27.3536585365854</v>
      </c>
      <c r="AR44" s="163">
        <f>AO44*产品成本!$D$15+AP44*产品成本!$D$16</f>
        <v>5.35211267605634</v>
      </c>
      <c r="AS44" s="163">
        <f>AO44*产品成本!$E$15+AP44*产品成本!$E$16</f>
        <v>0.32</v>
      </c>
      <c r="AT44" s="163">
        <f>AO44*产品成本!$F$15+AP44*产品成本!$F$16</f>
        <v>0.34</v>
      </c>
      <c r="AU44" s="163"/>
      <c r="AV44" s="163">
        <f t="shared" si="46"/>
        <v>4.10304878048781</v>
      </c>
      <c r="AW44" s="163">
        <f t="shared" si="47"/>
        <v>-0.820609756097561</v>
      </c>
      <c r="AX44" s="164">
        <f t="shared" si="48"/>
        <v>9.29455170044658</v>
      </c>
      <c r="AY44" s="169">
        <f t="shared" si="55"/>
        <v>294.847173651666</v>
      </c>
      <c r="AZ44" s="169">
        <f t="shared" si="49"/>
        <v>596.25</v>
      </c>
      <c r="BA44" s="169">
        <f t="shared" si="50"/>
        <v>568.896341463415</v>
      </c>
      <c r="BB44" s="168">
        <f t="shared" si="51"/>
        <v>56.9291678117484</v>
      </c>
      <c r="BC44" s="170">
        <f t="shared" si="56"/>
        <v>0.100069491860864</v>
      </c>
    </row>
    <row r="45" ht="29.1" customHeight="1" spans="1:57">
      <c r="A45" s="61" t="s">
        <v>205</v>
      </c>
      <c r="B45" s="61" t="s">
        <v>206</v>
      </c>
      <c r="C45" s="90">
        <v>26</v>
      </c>
      <c r="D45" s="91">
        <v>26</v>
      </c>
      <c r="E45" s="64">
        <v>699.56</v>
      </c>
      <c r="F45" s="148">
        <v>3</v>
      </c>
      <c r="G45" s="148">
        <v>3</v>
      </c>
      <c r="H45" s="64">
        <v>78.67</v>
      </c>
      <c r="I45" s="64">
        <v>10.52</v>
      </c>
      <c r="J45" s="149">
        <v>0</v>
      </c>
      <c r="K45" s="150">
        <f t="shared" si="31"/>
        <v>0</v>
      </c>
      <c r="L45" s="151">
        <v>0</v>
      </c>
      <c r="M45" s="152">
        <f t="shared" si="52"/>
        <v>0.130434782608696</v>
      </c>
      <c r="N45" s="150">
        <f t="shared" si="53"/>
        <v>0.130434782608696</v>
      </c>
      <c r="O45" s="150">
        <f t="shared" si="54"/>
        <v>0.159613440084871</v>
      </c>
      <c r="P45" s="153">
        <f t="shared" si="32"/>
        <v>1</v>
      </c>
      <c r="Q45" s="154">
        <f t="shared" si="33"/>
        <v>26.9061538461538</v>
      </c>
      <c r="R45" s="187">
        <f t="shared" si="34"/>
        <v>26.9061538461538</v>
      </c>
      <c r="S45" s="155">
        <f t="shared" si="35"/>
        <v>3.71428571428571</v>
      </c>
      <c r="T45" s="193">
        <f t="shared" si="36"/>
        <v>10</v>
      </c>
      <c r="U45" s="157">
        <f t="shared" si="37"/>
        <v>0.384615384615385</v>
      </c>
      <c r="V45" s="94">
        <f t="shared" si="38"/>
        <v>0.374463021014745</v>
      </c>
      <c r="W45" s="91">
        <v>52390</v>
      </c>
      <c r="X45" s="91">
        <v>271</v>
      </c>
      <c r="Y45" s="91">
        <v>16</v>
      </c>
      <c r="Z45" s="64">
        <v>258.02</v>
      </c>
      <c r="AA45" s="92">
        <v>422.2</v>
      </c>
      <c r="AB45" s="91">
        <v>0.95</v>
      </c>
      <c r="AC45" s="71">
        <f t="shared" si="39"/>
        <v>0.611132164850782</v>
      </c>
      <c r="AD45" s="72">
        <f t="shared" si="40"/>
        <v>0.00517274288986448</v>
      </c>
      <c r="AE45" s="159">
        <f t="shared" si="41"/>
        <v>0.0590405904059041</v>
      </c>
      <c r="AF45" s="154">
        <f t="shared" si="42"/>
        <v>16.12625</v>
      </c>
      <c r="AG45" s="160">
        <v>4</v>
      </c>
      <c r="AH45" s="162">
        <v>22</v>
      </c>
      <c r="AI45" s="163">
        <f>AG45*产品成本!$D$15+AH45*产品成本!$D$16</f>
        <v>134.647887323944</v>
      </c>
      <c r="AJ45" s="163">
        <f>AG45*产品成本!$E$15+AH45*产品成本!$E$16</f>
        <v>8</v>
      </c>
      <c r="AK45" s="163">
        <f>AG45*产品成本!$F$15+AH45*产品成本!$F$16</f>
        <v>8.84</v>
      </c>
      <c r="AL45" s="163">
        <f>AG45*产品成本!$G$15+AH45*产品成本!$G$16</f>
        <v>101.4</v>
      </c>
      <c r="AM45" s="163">
        <f t="shared" si="43"/>
        <v>103.356</v>
      </c>
      <c r="AN45" s="164">
        <f t="shared" si="44"/>
        <v>356.243887323944</v>
      </c>
      <c r="AO45" s="165">
        <v>0</v>
      </c>
      <c r="AP45" s="166">
        <v>0</v>
      </c>
      <c r="AQ45" s="167">
        <f t="shared" si="45"/>
        <v>0</v>
      </c>
      <c r="AR45" s="163">
        <f>AO45*产品成本!$D$15+AP45*产品成本!$D$16</f>
        <v>0</v>
      </c>
      <c r="AS45" s="163">
        <f>AO45*产品成本!$E$15+AP45*产品成本!$E$16</f>
        <v>0</v>
      </c>
      <c r="AT45" s="163">
        <f>AO45*产品成本!$F$15+AP45*产品成本!$F$16</f>
        <v>0</v>
      </c>
      <c r="AU45" s="163"/>
      <c r="AV45" s="163">
        <f t="shared" si="46"/>
        <v>0</v>
      </c>
      <c r="AW45" s="163">
        <f t="shared" si="47"/>
        <v>0</v>
      </c>
      <c r="AX45" s="164">
        <f t="shared" si="48"/>
        <v>0</v>
      </c>
      <c r="AY45" s="169">
        <f t="shared" si="55"/>
        <v>356.243887323944</v>
      </c>
      <c r="AZ45" s="169">
        <f t="shared" si="49"/>
        <v>689.04</v>
      </c>
      <c r="BA45" s="169">
        <f t="shared" si="50"/>
        <v>689.04</v>
      </c>
      <c r="BB45" s="168">
        <f t="shared" si="51"/>
        <v>74.7761126760562</v>
      </c>
      <c r="BC45" s="170">
        <f t="shared" si="56"/>
        <v>0.108522165151597</v>
      </c>
    </row>
    <row r="46" ht="29.1" customHeight="1" spans="1:57">
      <c r="A46" s="61" t="s">
        <v>208</v>
      </c>
      <c r="B46" s="61" t="s">
        <v>209</v>
      </c>
      <c r="C46" s="90">
        <v>22</v>
      </c>
      <c r="D46" s="91">
        <v>22</v>
      </c>
      <c r="E46" s="64">
        <v>498.04</v>
      </c>
      <c r="F46" s="148">
        <v>2</v>
      </c>
      <c r="G46" s="148">
        <v>2</v>
      </c>
      <c r="H46" s="64">
        <v>49.02</v>
      </c>
      <c r="I46" s="64">
        <v>6.17</v>
      </c>
      <c r="J46" s="149">
        <v>2</v>
      </c>
      <c r="K46" s="150">
        <f t="shared" si="31"/>
        <v>0.0909090909090909</v>
      </c>
      <c r="L46" s="151">
        <v>37.02</v>
      </c>
      <c r="M46" s="152">
        <f t="shared" si="52"/>
        <v>-0.153846153846154</v>
      </c>
      <c r="N46" s="150">
        <f t="shared" si="53"/>
        <v>-0.153846153846154</v>
      </c>
      <c r="O46" s="150">
        <f t="shared" si="54"/>
        <v>-0.288066784836183</v>
      </c>
      <c r="P46" s="153">
        <f t="shared" si="32"/>
        <v>1</v>
      </c>
      <c r="Q46" s="154">
        <f t="shared" si="33"/>
        <v>22.6381818181818</v>
      </c>
      <c r="R46" s="187">
        <f t="shared" si="34"/>
        <v>22.6381818181818</v>
      </c>
      <c r="S46" s="155">
        <f t="shared" si="35"/>
        <v>3.14285714285714</v>
      </c>
      <c r="T46" s="193">
        <f t="shared" si="36"/>
        <v>6</v>
      </c>
      <c r="U46" s="157">
        <f t="shared" si="37"/>
        <v>0.272727272727273</v>
      </c>
      <c r="V46" s="94">
        <f t="shared" si="38"/>
        <v>0.455059263626568</v>
      </c>
      <c r="W46" s="91">
        <v>50661</v>
      </c>
      <c r="X46" s="91">
        <v>233</v>
      </c>
      <c r="Y46" s="91">
        <v>16</v>
      </c>
      <c r="Z46" s="64">
        <v>223.83</v>
      </c>
      <c r="AA46" s="92">
        <v>383.9</v>
      </c>
      <c r="AB46" s="91">
        <v>0.96</v>
      </c>
      <c r="AC46" s="71">
        <f t="shared" si="39"/>
        <v>0.583042458973691</v>
      </c>
      <c r="AD46" s="72">
        <f t="shared" si="40"/>
        <v>0.00459919859457966</v>
      </c>
      <c r="AE46" s="159">
        <f t="shared" si="41"/>
        <v>0.0686695278969957</v>
      </c>
      <c r="AF46" s="154">
        <f t="shared" si="42"/>
        <v>13.989375</v>
      </c>
      <c r="AG46" s="160">
        <v>6</v>
      </c>
      <c r="AH46" s="162">
        <v>16</v>
      </c>
      <c r="AI46" s="163">
        <f>AG46*产品成本!$D$15+AH46*产品成本!$D$16</f>
        <v>110.985915492958</v>
      </c>
      <c r="AJ46" s="163">
        <f>AG46*产品成本!$E$15+AH46*产品成本!$E$16</f>
        <v>6.56</v>
      </c>
      <c r="AK46" s="163">
        <f>AG46*产品成本!$F$15+AH46*产品成本!$F$16</f>
        <v>7.48</v>
      </c>
      <c r="AL46" s="163">
        <f>AG46*产品成本!$G$15+AH46*产品成本!$G$16</f>
        <v>85.8</v>
      </c>
      <c r="AM46" s="163">
        <f t="shared" si="43"/>
        <v>73.7805</v>
      </c>
      <c r="AN46" s="164">
        <f t="shared" si="44"/>
        <v>284.606415492958</v>
      </c>
      <c r="AO46" s="165">
        <v>1</v>
      </c>
      <c r="AP46" s="166">
        <v>1</v>
      </c>
      <c r="AQ46" s="167">
        <f t="shared" si="45"/>
        <v>45.1463414634146</v>
      </c>
      <c r="AR46" s="163">
        <f>AO46*产品成本!$D$15+AP46*产品成本!$D$16</f>
        <v>9.5774647887324</v>
      </c>
      <c r="AS46" s="163">
        <f>AO46*产品成本!$E$15+AP46*产品成本!$E$16</f>
        <v>0.56</v>
      </c>
      <c r="AT46" s="163">
        <f>AO46*产品成本!$F$15+AP46*产品成本!$F$16</f>
        <v>0.68</v>
      </c>
      <c r="AU46" s="163"/>
      <c r="AV46" s="163">
        <f t="shared" si="46"/>
        <v>6.7719512195122</v>
      </c>
      <c r="AW46" s="163">
        <f t="shared" si="47"/>
        <v>-1.35439024390244</v>
      </c>
      <c r="AX46" s="164">
        <f t="shared" si="48"/>
        <v>16.2350257643422</v>
      </c>
      <c r="AY46" s="169">
        <f t="shared" si="55"/>
        <v>268.371389728616</v>
      </c>
      <c r="AZ46" s="169">
        <f t="shared" si="49"/>
        <v>491.87</v>
      </c>
      <c r="BA46" s="169">
        <f t="shared" si="50"/>
        <v>446.723658536585</v>
      </c>
      <c r="BB46" s="168">
        <f t="shared" si="51"/>
        <v>-45.4777311920303</v>
      </c>
      <c r="BC46" s="170">
        <f t="shared" si="56"/>
        <v>-0.1018028266983</v>
      </c>
    </row>
    <row r="47" ht="29.1" customHeight="1" spans="1:57">
      <c r="A47" s="61" t="s">
        <v>210</v>
      </c>
      <c r="B47" s="61" t="s">
        <v>211</v>
      </c>
      <c r="C47" s="90">
        <v>31</v>
      </c>
      <c r="D47" s="91">
        <v>31</v>
      </c>
      <c r="E47" s="64">
        <v>657.27</v>
      </c>
      <c r="F47" s="148">
        <v>4</v>
      </c>
      <c r="G47" s="148">
        <v>4</v>
      </c>
      <c r="H47" s="64">
        <v>86.5</v>
      </c>
      <c r="I47" s="64">
        <v>11.7</v>
      </c>
      <c r="J47" s="149">
        <v>3</v>
      </c>
      <c r="K47" s="150">
        <f t="shared" si="31"/>
        <v>0.0967741935483871</v>
      </c>
      <c r="L47" s="151">
        <v>61.65</v>
      </c>
      <c r="M47" s="152">
        <f t="shared" si="52"/>
        <v>0.409090909090909</v>
      </c>
      <c r="N47" s="150">
        <f t="shared" si="53"/>
        <v>0.409090909090909</v>
      </c>
      <c r="O47" s="150">
        <f t="shared" si="54"/>
        <v>0.319713276042085</v>
      </c>
      <c r="P47" s="153">
        <f t="shared" si="32"/>
        <v>1</v>
      </c>
      <c r="Q47" s="154">
        <f t="shared" si="33"/>
        <v>21.2022580645161</v>
      </c>
      <c r="R47" s="187">
        <f t="shared" si="34"/>
        <v>21.2022580645161</v>
      </c>
      <c r="S47" s="155">
        <f t="shared" si="35"/>
        <v>4.42857142857143</v>
      </c>
      <c r="T47" s="193">
        <f t="shared" si="36"/>
        <v>10</v>
      </c>
      <c r="U47" s="157">
        <f t="shared" si="37"/>
        <v>0.32258064516129</v>
      </c>
      <c r="V47" s="94">
        <f t="shared" si="38"/>
        <v>0.364468609136112</v>
      </c>
      <c r="W47" s="91">
        <v>50492</v>
      </c>
      <c r="X47" s="91">
        <v>241</v>
      </c>
      <c r="Y47" s="91">
        <v>21</v>
      </c>
      <c r="Z47" s="64">
        <v>235.29</v>
      </c>
      <c r="AA47" s="92">
        <v>429.04</v>
      </c>
      <c r="AB47" s="91">
        <v>0.98</v>
      </c>
      <c r="AC47" s="71">
        <f t="shared" si="39"/>
        <v>0.548410404624277</v>
      </c>
      <c r="AD47" s="72">
        <f t="shared" si="40"/>
        <v>0.00477303335181811</v>
      </c>
      <c r="AE47" s="159">
        <f t="shared" si="41"/>
        <v>0.0871369294605809</v>
      </c>
      <c r="AF47" s="154">
        <f t="shared" si="42"/>
        <v>11.2042857142857</v>
      </c>
      <c r="AG47" s="160">
        <v>4</v>
      </c>
      <c r="AH47" s="162">
        <v>27</v>
      </c>
      <c r="AI47" s="163">
        <f>AG47*产品成本!$D$15+AH47*产品成本!$D$16</f>
        <v>161.408450704225</v>
      </c>
      <c r="AJ47" s="163">
        <f>AG47*产品成本!$E$15+AH47*产品成本!$E$16</f>
        <v>9.6</v>
      </c>
      <c r="AK47" s="163">
        <f>AG47*产品成本!$F$15+AH47*产品成本!$F$16</f>
        <v>10.54</v>
      </c>
      <c r="AL47" s="163">
        <f>AG47*产品成本!$G$15+AH47*产品成本!$G$16</f>
        <v>120.9</v>
      </c>
      <c r="AM47" s="163">
        <f t="shared" si="43"/>
        <v>96.8355</v>
      </c>
      <c r="AN47" s="164">
        <f t="shared" si="44"/>
        <v>399.283950704225</v>
      </c>
      <c r="AO47" s="194">
        <v>2</v>
      </c>
      <c r="AP47" s="166">
        <v>1</v>
      </c>
      <c r="AQ47" s="167">
        <f t="shared" si="45"/>
        <v>75.1829268292683</v>
      </c>
      <c r="AR47" s="163">
        <f>AO47*产品成本!$D$15+AP47*产品成本!$D$16</f>
        <v>13.8028169014085</v>
      </c>
      <c r="AS47" s="163">
        <f>AO47*产品成本!$E$15+AP47*产品成本!$E$16</f>
        <v>0.8</v>
      </c>
      <c r="AT47" s="163">
        <f>AO47*产品成本!$F$15+AP47*产品成本!$F$16</f>
        <v>1.02</v>
      </c>
      <c r="AU47" s="163"/>
      <c r="AV47" s="163">
        <f t="shared" si="46"/>
        <v>11.2774390243902</v>
      </c>
      <c r="AW47" s="163">
        <f t="shared" si="47"/>
        <v>-2.25548780487805</v>
      </c>
      <c r="AX47" s="164">
        <f t="shared" si="48"/>
        <v>24.6447681209207</v>
      </c>
      <c r="AY47" s="169">
        <f t="shared" si="55"/>
        <v>374.639182583305</v>
      </c>
      <c r="AZ47" s="169">
        <f t="shared" si="49"/>
        <v>645.57</v>
      </c>
      <c r="BA47" s="169">
        <f t="shared" si="50"/>
        <v>570.387073170732</v>
      </c>
      <c r="BB47" s="168">
        <f t="shared" si="51"/>
        <v>-39.5421094125731</v>
      </c>
      <c r="BC47" s="170">
        <f t="shared" si="56"/>
        <v>-0.0693250448204619</v>
      </c>
      <c r="BE47" t="s">
        <v>292</v>
      </c>
    </row>
    <row r="48" ht="29.1" customHeight="1" spans="1:57">
      <c r="A48" s="61" t="s">
        <v>213</v>
      </c>
      <c r="B48" s="61" t="s">
        <v>214</v>
      </c>
      <c r="C48" s="90">
        <v>42</v>
      </c>
      <c r="D48" s="91">
        <v>42</v>
      </c>
      <c r="E48" s="64">
        <v>830.58</v>
      </c>
      <c r="F48" s="148">
        <v>6</v>
      </c>
      <c r="G48" s="148">
        <v>6</v>
      </c>
      <c r="H48" s="64">
        <v>115.44</v>
      </c>
      <c r="I48" s="64">
        <v>9.65</v>
      </c>
      <c r="J48" s="149">
        <v>3</v>
      </c>
      <c r="K48" s="150">
        <f t="shared" si="31"/>
        <v>0.0714285714285714</v>
      </c>
      <c r="L48" s="151">
        <v>51.73</v>
      </c>
      <c r="M48" s="152">
        <f t="shared" si="52"/>
        <v>0.354838709677419</v>
      </c>
      <c r="N48" s="150">
        <f t="shared" si="53"/>
        <v>0.354838709677419</v>
      </c>
      <c r="O48" s="150">
        <f t="shared" si="54"/>
        <v>0.263681592039801</v>
      </c>
      <c r="P48" s="153">
        <f t="shared" si="32"/>
        <v>1</v>
      </c>
      <c r="Q48" s="154">
        <f t="shared" si="33"/>
        <v>19.7757142857143</v>
      </c>
      <c r="R48" s="187">
        <f t="shared" si="34"/>
        <v>19.7757142857143</v>
      </c>
      <c r="S48" s="155">
        <f t="shared" si="35"/>
        <v>6</v>
      </c>
      <c r="T48" s="193">
        <f t="shared" si="36"/>
        <v>9</v>
      </c>
      <c r="U48" s="157">
        <f t="shared" si="37"/>
        <v>0.214285714285714</v>
      </c>
      <c r="V48" s="94">
        <f t="shared" si="38"/>
        <v>0.272337470917131</v>
      </c>
      <c r="W48" s="91">
        <v>35167</v>
      </c>
      <c r="X48" s="91">
        <v>231</v>
      </c>
      <c r="Y48" s="91">
        <v>33</v>
      </c>
      <c r="Z48" s="64">
        <v>223.57</v>
      </c>
      <c r="AA48" s="92">
        <v>636.94</v>
      </c>
      <c r="AB48" s="91">
        <v>0.97</v>
      </c>
      <c r="AC48" s="71">
        <f t="shared" si="39"/>
        <v>0.351006374226772</v>
      </c>
      <c r="AD48" s="72">
        <f t="shared" si="40"/>
        <v>0.00656865811698467</v>
      </c>
      <c r="AE48" s="159">
        <f t="shared" si="41"/>
        <v>0.142857142857143</v>
      </c>
      <c r="AF48" s="154">
        <f t="shared" si="42"/>
        <v>6.77484848484848</v>
      </c>
      <c r="AG48" s="160">
        <v>7</v>
      </c>
      <c r="AH48" s="162">
        <v>35</v>
      </c>
      <c r="AI48" s="163">
        <f>AG48*产品成本!$D$15+AH48*产品成本!$D$16</f>
        <v>216.901408450704</v>
      </c>
      <c r="AJ48" s="163">
        <f>AG48*产品成本!$E$15+AH48*产品成本!$E$16</f>
        <v>12.88</v>
      </c>
      <c r="AK48" s="163">
        <f>AG48*产品成本!$F$15+AH48*产品成本!$F$16</f>
        <v>14.28</v>
      </c>
      <c r="AL48" s="163">
        <f>AG48*产品成本!$G$15+AH48*产品成本!$G$16</f>
        <v>163.8</v>
      </c>
      <c r="AM48" s="163">
        <f t="shared" si="43"/>
        <v>123.1395</v>
      </c>
      <c r="AN48" s="164">
        <f t="shared" si="44"/>
        <v>531.000908450704</v>
      </c>
      <c r="AO48" s="194">
        <v>1</v>
      </c>
      <c r="AP48" s="166">
        <v>2</v>
      </c>
      <c r="AQ48" s="167">
        <f t="shared" si="45"/>
        <v>63.0853658536585</v>
      </c>
      <c r="AR48" s="163">
        <f>AO48*产品成本!$D$15+AP48*产品成本!$D$16</f>
        <v>14.9295774647887</v>
      </c>
      <c r="AS48" s="163">
        <f>AO48*产品成本!$E$15+AP48*产品成本!$E$16</f>
        <v>0.88</v>
      </c>
      <c r="AT48" s="163">
        <f>AO48*产品成本!$F$15+AP48*产品成本!$F$16</f>
        <v>1.02</v>
      </c>
      <c r="AU48" s="163"/>
      <c r="AV48" s="163">
        <f t="shared" si="46"/>
        <v>9.46280487804878</v>
      </c>
      <c r="AW48" s="163">
        <f t="shared" si="47"/>
        <v>-1.89256097560976</v>
      </c>
      <c r="AX48" s="164">
        <f t="shared" si="48"/>
        <v>24.3998213672278</v>
      </c>
      <c r="AY48" s="169">
        <f t="shared" si="55"/>
        <v>506.601087083477</v>
      </c>
      <c r="AZ48" s="169">
        <f t="shared" si="49"/>
        <v>820.93</v>
      </c>
      <c r="BA48" s="169">
        <f t="shared" si="50"/>
        <v>757.844634146341</v>
      </c>
      <c r="BB48" s="168">
        <f t="shared" si="51"/>
        <v>27.673547062865</v>
      </c>
      <c r="BC48" s="170">
        <f t="shared" si="56"/>
        <v>0.0365161219278636</v>
      </c>
      <c r="BE48" t="s">
        <v>215</v>
      </c>
    </row>
    <row r="49" ht="29.1" customHeight="1" spans="1:58">
      <c r="A49" s="61" t="s">
        <v>216</v>
      </c>
      <c r="B49" s="61" t="s">
        <v>217</v>
      </c>
      <c r="C49" s="90">
        <v>24</v>
      </c>
      <c r="D49" s="91">
        <v>24</v>
      </c>
      <c r="E49" s="64">
        <v>631.16</v>
      </c>
      <c r="F49" s="148">
        <v>2</v>
      </c>
      <c r="G49" s="148">
        <v>2</v>
      </c>
      <c r="H49" s="64">
        <v>47.18</v>
      </c>
      <c r="I49" s="64">
        <v>4.07</v>
      </c>
      <c r="J49" s="149">
        <v>1</v>
      </c>
      <c r="K49" s="150">
        <f t="shared" si="31"/>
        <v>0.0416666666666667</v>
      </c>
      <c r="L49" s="151">
        <v>15.44</v>
      </c>
      <c r="M49" s="152">
        <f t="shared" si="52"/>
        <v>-0.428571428571429</v>
      </c>
      <c r="N49" s="150">
        <f t="shared" si="53"/>
        <v>-0.428571428571429</v>
      </c>
      <c r="O49" s="150">
        <f t="shared" si="54"/>
        <v>-0.240097281417805</v>
      </c>
      <c r="P49" s="153">
        <f t="shared" si="32"/>
        <v>1</v>
      </c>
      <c r="Q49" s="154">
        <f t="shared" si="33"/>
        <v>26.2983333333333</v>
      </c>
      <c r="R49" s="187">
        <f t="shared" si="34"/>
        <v>26.2983333333333</v>
      </c>
      <c r="S49" s="155">
        <f t="shared" si="35"/>
        <v>3.42857142857143</v>
      </c>
      <c r="T49" s="193">
        <f t="shared" si="36"/>
        <v>-1</v>
      </c>
      <c r="U49" s="157">
        <f t="shared" si="37"/>
        <v>-0.0416666666666667</v>
      </c>
      <c r="V49" s="94">
        <f t="shared" si="38"/>
        <v>0.391698161348451</v>
      </c>
      <c r="W49" s="91">
        <v>42936</v>
      </c>
      <c r="X49" s="91">
        <v>257</v>
      </c>
      <c r="Y49" s="91">
        <v>25</v>
      </c>
      <c r="Z49" s="64">
        <v>245.63</v>
      </c>
      <c r="AA49" s="92">
        <v>635.57</v>
      </c>
      <c r="AB49" s="91">
        <v>0.96</v>
      </c>
      <c r="AC49" s="71">
        <f t="shared" si="39"/>
        <v>0.386471985776547</v>
      </c>
      <c r="AD49" s="72">
        <f t="shared" si="40"/>
        <v>0.00598565306502702</v>
      </c>
      <c r="AE49" s="159">
        <f t="shared" si="41"/>
        <v>0.0972762645914397</v>
      </c>
      <c r="AF49" s="154">
        <f t="shared" si="42"/>
        <v>9.8252</v>
      </c>
      <c r="AG49" s="160">
        <v>2</v>
      </c>
      <c r="AH49" s="162">
        <v>22</v>
      </c>
      <c r="AI49" s="163">
        <f>AG49*产品成本!$D$15+AH49*产品成本!$D$16</f>
        <v>126.197183098592</v>
      </c>
      <c r="AJ49" s="163">
        <f>AG49*产品成本!$E$15+AH49*产品成本!$E$16</f>
        <v>7.52</v>
      </c>
      <c r="AK49" s="163">
        <f>AG49*产品成本!$F$15+AH49*产品成本!$F$16</f>
        <v>8.16</v>
      </c>
      <c r="AL49" s="163">
        <f>AG49*产品成本!$G$15+AH49*产品成本!$G$16</f>
        <v>93.6</v>
      </c>
      <c r="AM49" s="163">
        <f t="shared" si="43"/>
        <v>94.0635</v>
      </c>
      <c r="AN49" s="164">
        <f t="shared" si="44"/>
        <v>329.540683098592</v>
      </c>
      <c r="AO49" s="194">
        <v>0</v>
      </c>
      <c r="AP49" s="166">
        <v>1</v>
      </c>
      <c r="AQ49" s="167">
        <f t="shared" si="45"/>
        <v>18.8292682926829</v>
      </c>
      <c r="AR49" s="163">
        <f>AO49*产品成本!$D$15+AP49*产品成本!$D$16</f>
        <v>5.35211267605634</v>
      </c>
      <c r="AS49" s="163">
        <f>AO49*产品成本!$E$15+AP49*产品成本!$E$16</f>
        <v>0.32</v>
      </c>
      <c r="AT49" s="163">
        <f>AO49*产品成本!$F$15+AP49*产品成本!$F$16</f>
        <v>0.34</v>
      </c>
      <c r="AU49" s="163"/>
      <c r="AV49" s="163">
        <f t="shared" si="46"/>
        <v>2.82439024390244</v>
      </c>
      <c r="AW49" s="163">
        <f t="shared" si="47"/>
        <v>-0.564878048780488</v>
      </c>
      <c r="AX49" s="164">
        <f t="shared" si="48"/>
        <v>8.27162487117829</v>
      </c>
      <c r="AY49" s="169">
        <f t="shared" si="55"/>
        <v>321.269058227413</v>
      </c>
      <c r="AZ49" s="169">
        <f t="shared" si="49"/>
        <v>627.09</v>
      </c>
      <c r="BA49" s="169">
        <f t="shared" si="50"/>
        <v>608.260731707317</v>
      </c>
      <c r="BB49" s="168">
        <f t="shared" si="51"/>
        <v>41.3616734799036</v>
      </c>
      <c r="BC49" s="170">
        <f t="shared" si="56"/>
        <v>0.0679999074801463</v>
      </c>
      <c r="BE49" t="s">
        <v>293</v>
      </c>
    </row>
    <row r="50" ht="29.1" customHeight="1" spans="1:58">
      <c r="A50" s="61" t="s">
        <v>219</v>
      </c>
      <c r="B50" s="61" t="s">
        <v>220</v>
      </c>
      <c r="C50" s="90">
        <v>20</v>
      </c>
      <c r="D50" s="91">
        <v>20</v>
      </c>
      <c r="E50" s="64">
        <v>555.04</v>
      </c>
      <c r="F50" s="148">
        <v>3</v>
      </c>
      <c r="G50" s="148">
        <v>3</v>
      </c>
      <c r="H50" s="64">
        <v>80.73</v>
      </c>
      <c r="I50" s="64">
        <v>8.07</v>
      </c>
      <c r="J50" s="149">
        <v>2</v>
      </c>
      <c r="K50" s="150">
        <f t="shared" si="31"/>
        <v>0.1</v>
      </c>
      <c r="L50" s="151">
        <v>32.98</v>
      </c>
      <c r="M50" s="152">
        <f t="shared" si="52"/>
        <v>-0.166666666666667</v>
      </c>
      <c r="N50" s="150">
        <f t="shared" si="53"/>
        <v>-0.166666666666667</v>
      </c>
      <c r="O50" s="150">
        <f t="shared" si="54"/>
        <v>-0.120603333544585</v>
      </c>
      <c r="P50" s="153">
        <f t="shared" si="32"/>
        <v>1</v>
      </c>
      <c r="Q50" s="154">
        <f t="shared" si="33"/>
        <v>27.752</v>
      </c>
      <c r="R50" s="187">
        <f t="shared" si="34"/>
        <v>27.752</v>
      </c>
      <c r="S50" s="155">
        <f t="shared" si="35"/>
        <v>2.85714285714286</v>
      </c>
      <c r="T50" s="193">
        <f t="shared" si="36"/>
        <v>10</v>
      </c>
      <c r="U50" s="157">
        <f t="shared" si="37"/>
        <v>0.5</v>
      </c>
      <c r="V50" s="94">
        <f t="shared" si="38"/>
        <v>0.340951057644843</v>
      </c>
      <c r="W50" s="91">
        <v>31813</v>
      </c>
      <c r="X50" s="91">
        <v>192</v>
      </c>
      <c r="Y50" s="91">
        <v>10</v>
      </c>
      <c r="Z50" s="64">
        <v>186.49</v>
      </c>
      <c r="AA50" s="92">
        <v>283.1</v>
      </c>
      <c r="AB50" s="91">
        <v>0.97</v>
      </c>
      <c r="AC50" s="71">
        <f t="shared" si="39"/>
        <v>0.658742493818439</v>
      </c>
      <c r="AD50" s="72">
        <f t="shared" si="40"/>
        <v>0.00603526860088643</v>
      </c>
      <c r="AE50" s="159">
        <f t="shared" si="41"/>
        <v>0.0520833333333333</v>
      </c>
      <c r="AF50" s="154">
        <f t="shared" si="42"/>
        <v>18.649</v>
      </c>
      <c r="AG50" s="160">
        <v>5</v>
      </c>
      <c r="AH50" s="162">
        <v>15</v>
      </c>
      <c r="AI50" s="163">
        <f>AG50*产品成本!$D$15+AH50*产品成本!$D$16</f>
        <v>101.408450704225</v>
      </c>
      <c r="AJ50" s="163">
        <f>AG50*产品成本!$E$15+AH50*产品成本!$E$16</f>
        <v>6</v>
      </c>
      <c r="AK50" s="163">
        <f>AG50*产品成本!$F$15+AH50*产品成本!$F$16</f>
        <v>6.8</v>
      </c>
      <c r="AL50" s="163">
        <f>AG50*产品成本!$G$15+AH50*产品成本!$G$16</f>
        <v>78</v>
      </c>
      <c r="AM50" s="163">
        <f t="shared" si="43"/>
        <v>82.0455</v>
      </c>
      <c r="AN50" s="164">
        <f t="shared" si="44"/>
        <v>274.253950704225</v>
      </c>
      <c r="AO50" s="194">
        <v>1</v>
      </c>
      <c r="AP50" s="166">
        <v>1</v>
      </c>
      <c r="AQ50" s="167">
        <f t="shared" si="45"/>
        <v>40.219512195122</v>
      </c>
      <c r="AR50" s="163">
        <f>AO50*产品成本!$D$15+AP50*产品成本!$D$16</f>
        <v>9.5774647887324</v>
      </c>
      <c r="AS50" s="163">
        <f>AO50*产品成本!$E$15+AP50*产品成本!$E$16</f>
        <v>0.56</v>
      </c>
      <c r="AT50" s="163">
        <f>AO50*产品成本!$F$15+AP50*产品成本!$F$16</f>
        <v>0.68</v>
      </c>
      <c r="AU50" s="163"/>
      <c r="AV50" s="163">
        <f t="shared" si="46"/>
        <v>6.03292682926829</v>
      </c>
      <c r="AW50" s="163">
        <f t="shared" si="47"/>
        <v>-1.20658536585366</v>
      </c>
      <c r="AX50" s="164">
        <f t="shared" si="48"/>
        <v>15.643806252147</v>
      </c>
      <c r="AY50" s="169">
        <f t="shared" si="55"/>
        <v>258.610144452078</v>
      </c>
      <c r="AZ50" s="169">
        <f t="shared" si="49"/>
        <v>546.97</v>
      </c>
      <c r="BA50" s="169">
        <f t="shared" si="50"/>
        <v>506.750487804878</v>
      </c>
      <c r="BB50" s="168">
        <f t="shared" si="51"/>
        <v>61.6503433527996</v>
      </c>
      <c r="BC50" s="170">
        <f t="shared" si="56"/>
        <v>0.121658182550261</v>
      </c>
    </row>
    <row r="51" ht="29.1" customHeight="1" spans="1:58">
      <c r="A51" s="61" t="s">
        <v>221</v>
      </c>
      <c r="B51" s="61" t="s">
        <v>222</v>
      </c>
      <c r="C51" s="90">
        <v>29</v>
      </c>
      <c r="D51" s="91">
        <v>28</v>
      </c>
      <c r="E51" s="64">
        <v>762.74</v>
      </c>
      <c r="F51" s="148">
        <v>21</v>
      </c>
      <c r="G51" s="148">
        <v>20</v>
      </c>
      <c r="H51" s="64">
        <v>554.52</v>
      </c>
      <c r="I51" s="64">
        <v>56.79</v>
      </c>
      <c r="J51" s="149">
        <v>3</v>
      </c>
      <c r="K51" s="150">
        <f t="shared" si="31"/>
        <v>0.103448275862069</v>
      </c>
      <c r="L51" s="151">
        <v>63.33</v>
      </c>
      <c r="M51" s="152">
        <f t="shared" si="52"/>
        <v>0.45</v>
      </c>
      <c r="N51" s="150">
        <f t="shared" si="53"/>
        <v>0.4</v>
      </c>
      <c r="O51" s="150">
        <f t="shared" si="54"/>
        <v>0.374207264341309</v>
      </c>
      <c r="P51" s="153">
        <f t="shared" si="32"/>
        <v>1.03571428571429</v>
      </c>
      <c r="Q51" s="154">
        <f t="shared" si="33"/>
        <v>27.2407142857143</v>
      </c>
      <c r="R51" s="187">
        <f t="shared" si="34"/>
        <v>26.3013793103448</v>
      </c>
      <c r="S51" s="155">
        <f t="shared" si="35"/>
        <v>4.14285714285714</v>
      </c>
      <c r="T51" s="193">
        <f t="shared" si="36"/>
        <v>19</v>
      </c>
      <c r="U51" s="157">
        <f t="shared" si="37"/>
        <v>0.678571428571429</v>
      </c>
      <c r="V51" s="94">
        <f t="shared" si="38"/>
        <v>0.195155464268008</v>
      </c>
      <c r="W51" s="91">
        <v>24990</v>
      </c>
      <c r="X51" s="91">
        <v>145</v>
      </c>
      <c r="Y51" s="91">
        <v>9</v>
      </c>
      <c r="Z51" s="64">
        <v>137.77</v>
      </c>
      <c r="AA51" s="92">
        <v>237.77</v>
      </c>
      <c r="AB51" s="91">
        <v>0.95</v>
      </c>
      <c r="AC51" s="71">
        <f t="shared" si="39"/>
        <v>0.579425495226479</v>
      </c>
      <c r="AD51" s="72">
        <f t="shared" si="40"/>
        <v>0.00580232092837135</v>
      </c>
      <c r="AE51" s="159">
        <f t="shared" si="41"/>
        <v>0.0620689655172414</v>
      </c>
      <c r="AF51" s="154">
        <f t="shared" si="42"/>
        <v>15.3077777777778</v>
      </c>
      <c r="AG51" s="160">
        <v>5</v>
      </c>
      <c r="AH51" s="162">
        <v>24</v>
      </c>
      <c r="AI51" s="163">
        <f>AG51*产品成本!$D$15+AH51*产品成本!$D$16</f>
        <v>149.577464788732</v>
      </c>
      <c r="AJ51" s="163">
        <f>AG51*产品成本!$E$15+AH51*产品成本!$E$16</f>
        <v>8.88</v>
      </c>
      <c r="AK51" s="163">
        <f>AG51*产品成本!$F$15+AH51*产品成本!$F$16</f>
        <v>9.86</v>
      </c>
      <c r="AL51" s="163">
        <f>AG51*产品成本!$G$15+AH51*产品成本!$G$16</f>
        <v>113.1</v>
      </c>
      <c r="AM51" s="163">
        <f t="shared" si="43"/>
        <v>105.8925</v>
      </c>
      <c r="AN51" s="164">
        <f t="shared" si="44"/>
        <v>387.309964788732</v>
      </c>
      <c r="AO51" s="194">
        <v>0</v>
      </c>
      <c r="AP51" s="166">
        <v>3</v>
      </c>
      <c r="AQ51" s="167">
        <f t="shared" si="45"/>
        <v>77.2317073170732</v>
      </c>
      <c r="AR51" s="163">
        <f>AO51*产品成本!$D$15+AP51*产品成本!$D$16</f>
        <v>16.056338028169</v>
      </c>
      <c r="AS51" s="163">
        <f>AO51*产品成本!$E$15+AP51*产品成本!$E$16</f>
        <v>0.96</v>
      </c>
      <c r="AT51" s="163">
        <f>AO51*产品成本!$F$15+AP51*产品成本!$F$16</f>
        <v>1.02</v>
      </c>
      <c r="AU51" s="163"/>
      <c r="AV51" s="163">
        <f t="shared" si="46"/>
        <v>11.584756097561</v>
      </c>
      <c r="AW51" s="163">
        <f t="shared" si="47"/>
        <v>-2.31695121951219</v>
      </c>
      <c r="AX51" s="164">
        <f t="shared" si="48"/>
        <v>27.3041429062178</v>
      </c>
      <c r="AY51" s="169">
        <f t="shared" si="55"/>
        <v>360.005821882515</v>
      </c>
      <c r="AZ51" s="169">
        <f t="shared" si="49"/>
        <v>705.95</v>
      </c>
      <c r="BA51" s="169">
        <f t="shared" si="50"/>
        <v>628.718292682927</v>
      </c>
      <c r="BB51" s="168">
        <f t="shared" si="51"/>
        <v>130.942470800412</v>
      </c>
      <c r="BC51" s="170">
        <f t="shared" si="56"/>
        <v>0.208268905683724</v>
      </c>
    </row>
    <row r="52" ht="29.1" customHeight="1" spans="1:58">
      <c r="A52" s="61" t="s">
        <v>223</v>
      </c>
      <c r="B52" s="61" t="s">
        <v>224</v>
      </c>
      <c r="C52" s="90">
        <v>10</v>
      </c>
      <c r="D52" s="91">
        <v>10</v>
      </c>
      <c r="E52" s="64">
        <v>262.04</v>
      </c>
      <c r="F52" s="148">
        <v>6</v>
      </c>
      <c r="G52" s="148">
        <v>6</v>
      </c>
      <c r="H52" s="64">
        <v>157.93</v>
      </c>
      <c r="I52" s="64">
        <v>17.14</v>
      </c>
      <c r="J52" s="149">
        <v>0</v>
      </c>
      <c r="K52" s="150">
        <f t="shared" si="31"/>
        <v>0</v>
      </c>
      <c r="L52" s="151">
        <v>0</v>
      </c>
      <c r="M52" s="152">
        <f t="shared" si="52"/>
        <v>-0.655172413793103</v>
      </c>
      <c r="N52" s="150">
        <f t="shared" si="53"/>
        <v>-0.642857142857143</v>
      </c>
      <c r="O52" s="150">
        <f t="shared" si="54"/>
        <v>-0.656449117654771</v>
      </c>
      <c r="P52" s="153">
        <f t="shared" si="32"/>
        <v>1</v>
      </c>
      <c r="Q52" s="154">
        <f t="shared" si="33"/>
        <v>26.204</v>
      </c>
      <c r="R52" s="187">
        <f t="shared" si="34"/>
        <v>26.204</v>
      </c>
      <c r="S52" s="155">
        <f t="shared" si="35"/>
        <v>1.42857142857143</v>
      </c>
      <c r="T52" s="193">
        <f t="shared" si="36"/>
        <v>5</v>
      </c>
      <c r="U52" s="157">
        <f t="shared" si="37"/>
        <v>0.5</v>
      </c>
      <c r="V52" s="94">
        <f t="shared" si="38"/>
        <v>0.653654552878726</v>
      </c>
      <c r="W52" s="91">
        <v>20267</v>
      </c>
      <c r="X52" s="91">
        <v>164</v>
      </c>
      <c r="Y52" s="91">
        <v>5</v>
      </c>
      <c r="Z52" s="64">
        <v>160.08</v>
      </c>
      <c r="AA52" s="92">
        <v>122.79</v>
      </c>
      <c r="AB52" s="91">
        <v>0.98</v>
      </c>
      <c r="AC52" s="71">
        <f t="shared" si="39"/>
        <v>1.30368922550696</v>
      </c>
      <c r="AD52" s="72">
        <f t="shared" si="40"/>
        <v>0.00809197217151034</v>
      </c>
      <c r="AE52" s="159">
        <f t="shared" si="41"/>
        <v>0.0304878048780488</v>
      </c>
      <c r="AF52" s="154">
        <f t="shared" si="42"/>
        <v>32.016</v>
      </c>
      <c r="AG52" s="160">
        <v>2</v>
      </c>
      <c r="AH52" s="162">
        <v>8</v>
      </c>
      <c r="AI52" s="163">
        <f>AG52*产品成本!$D$15+AH52*产品成本!$D$16</f>
        <v>51.2676056338028</v>
      </c>
      <c r="AJ52" s="163">
        <f>AG52*产品成本!$E$15+AH52*产品成本!$E$16</f>
        <v>3.04</v>
      </c>
      <c r="AK52" s="163">
        <f>AG52*产品成本!$F$15+AH52*产品成本!$F$16</f>
        <v>3.4</v>
      </c>
      <c r="AL52" s="163">
        <f>AG52*产品成本!$G$15+AH52*产品成本!$G$16</f>
        <v>39</v>
      </c>
      <c r="AM52" s="163">
        <f t="shared" si="43"/>
        <v>36.735</v>
      </c>
      <c r="AN52" s="164">
        <f t="shared" si="44"/>
        <v>133.442605633803</v>
      </c>
      <c r="AO52" s="194">
        <v>0</v>
      </c>
      <c r="AP52" s="166">
        <v>0</v>
      </c>
      <c r="AQ52" s="167">
        <f t="shared" si="45"/>
        <v>0</v>
      </c>
      <c r="AR52" s="163">
        <f>AO52*产品成本!$D$15+AP52*产品成本!$D$16</f>
        <v>0</v>
      </c>
      <c r="AS52" s="163">
        <f>AO52*产品成本!$E$15+AP52*产品成本!$E$16</f>
        <v>0</v>
      </c>
      <c r="AT52" s="163">
        <f>AO52*产品成本!$F$15+AP52*产品成本!$F$16</f>
        <v>0</v>
      </c>
      <c r="AU52" s="163"/>
      <c r="AV52" s="163">
        <f t="shared" si="46"/>
        <v>0</v>
      </c>
      <c r="AW52" s="163">
        <f t="shared" si="47"/>
        <v>0</v>
      </c>
      <c r="AX52" s="164">
        <f t="shared" si="48"/>
        <v>0</v>
      </c>
      <c r="AY52" s="169">
        <f t="shared" si="55"/>
        <v>133.442605633803</v>
      </c>
      <c r="AZ52" s="169">
        <f t="shared" si="49"/>
        <v>244.9</v>
      </c>
      <c r="BA52" s="169">
        <f t="shared" si="50"/>
        <v>244.9</v>
      </c>
      <c r="BB52" s="168">
        <f t="shared" si="51"/>
        <v>-48.6226056338028</v>
      </c>
      <c r="BC52" s="170">
        <f t="shared" si="56"/>
        <v>-0.198540651832596</v>
      </c>
      <c r="BE52" t="s">
        <v>225</v>
      </c>
    </row>
    <row r="53" ht="29.1" customHeight="1" spans="1:58">
      <c r="A53" s="79" t="s">
        <v>226</v>
      </c>
      <c r="B53" s="80" t="s">
        <v>227</v>
      </c>
      <c r="C53" s="90">
        <v>26</v>
      </c>
      <c r="D53" s="91">
        <v>26</v>
      </c>
      <c r="E53" s="64">
        <v>724.96</v>
      </c>
      <c r="F53" s="148">
        <v>12</v>
      </c>
      <c r="G53" s="148">
        <v>12</v>
      </c>
      <c r="H53" s="64">
        <v>338.32</v>
      </c>
      <c r="I53" s="64">
        <v>33.83</v>
      </c>
      <c r="J53" s="149">
        <v>4</v>
      </c>
      <c r="K53" s="150">
        <f t="shared" si="31"/>
        <v>0.153846153846154</v>
      </c>
      <c r="L53" s="151">
        <v>85.57</v>
      </c>
      <c r="M53" s="152">
        <f t="shared" si="52"/>
        <v>1.6</v>
      </c>
      <c r="N53" s="150">
        <f t="shared" si="53"/>
        <v>1.6</v>
      </c>
      <c r="O53" s="150">
        <f t="shared" si="54"/>
        <v>1.76660051900473</v>
      </c>
      <c r="P53" s="153">
        <f t="shared" si="32"/>
        <v>1</v>
      </c>
      <c r="Q53" s="154">
        <f t="shared" si="33"/>
        <v>27.8830769230769</v>
      </c>
      <c r="R53" s="187">
        <f t="shared" si="34"/>
        <v>27.8830769230769</v>
      </c>
      <c r="S53" s="155">
        <f t="shared" si="35"/>
        <v>3.71428571428571</v>
      </c>
      <c r="T53" s="193">
        <f t="shared" si="36"/>
        <v>9</v>
      </c>
      <c r="U53" s="157">
        <f t="shared" si="37"/>
        <v>0.346153846153846</v>
      </c>
      <c r="V53" s="94">
        <f t="shared" si="38"/>
        <v>0.284490616815939</v>
      </c>
      <c r="W53" s="91">
        <v>36030</v>
      </c>
      <c r="X53" s="91">
        <v>201</v>
      </c>
      <c r="Y53" s="91">
        <v>17</v>
      </c>
      <c r="Z53" s="64">
        <v>196.62</v>
      </c>
      <c r="AA53" s="92">
        <v>410.69</v>
      </c>
      <c r="AB53" s="91">
        <v>0.98</v>
      </c>
      <c r="AC53" s="71">
        <f t="shared" si="39"/>
        <v>0.478755265528744</v>
      </c>
      <c r="AD53" s="72">
        <f t="shared" si="40"/>
        <v>0.00557868442964196</v>
      </c>
      <c r="AE53" s="159">
        <f t="shared" si="41"/>
        <v>0.0845771144278607</v>
      </c>
      <c r="AF53" s="154">
        <f t="shared" si="42"/>
        <v>11.5658823529412</v>
      </c>
      <c r="AG53" s="160">
        <v>4</v>
      </c>
      <c r="AH53" s="162">
        <v>22</v>
      </c>
      <c r="AI53" s="163">
        <f>AG53*产品成本!$D$15+AH53*产品成本!$D$16</f>
        <v>134.647887323944</v>
      </c>
      <c r="AJ53" s="163">
        <f>AG53*产品成本!$E$15+AH53*产品成本!$E$16</f>
        <v>8</v>
      </c>
      <c r="AK53" s="163">
        <f>AG53*产品成本!$F$15+AH53*产品成本!$F$16</f>
        <v>8.84</v>
      </c>
      <c r="AL53" s="163">
        <f>AG53*产品成本!$G$15+AH53*产品成本!$G$16</f>
        <v>101.4</v>
      </c>
      <c r="AM53" s="163">
        <f t="shared" si="43"/>
        <v>103.6695</v>
      </c>
      <c r="AN53" s="164">
        <f t="shared" si="44"/>
        <v>356.557387323944</v>
      </c>
      <c r="AO53" s="194">
        <v>1</v>
      </c>
      <c r="AP53" s="166">
        <v>3</v>
      </c>
      <c r="AQ53" s="167">
        <f t="shared" si="45"/>
        <v>104.353658536585</v>
      </c>
      <c r="AR53" s="163">
        <f>AO53*产品成本!$D$15+AP53*产品成本!$D$16</f>
        <v>20.2816901408451</v>
      </c>
      <c r="AS53" s="163">
        <f>AO53*产品成本!$E$15+AP53*产品成本!$E$16</f>
        <v>1.2</v>
      </c>
      <c r="AT53" s="163">
        <f>AO53*产品成本!$F$15+AP53*产品成本!$F$16</f>
        <v>1.36</v>
      </c>
      <c r="AU53" s="163"/>
      <c r="AV53" s="163">
        <f t="shared" si="46"/>
        <v>15.6530487804878</v>
      </c>
      <c r="AW53" s="163">
        <f t="shared" si="47"/>
        <v>-3.13060975609756</v>
      </c>
      <c r="AX53" s="164">
        <f t="shared" si="48"/>
        <v>35.3641291652353</v>
      </c>
      <c r="AY53" s="169">
        <f t="shared" si="55"/>
        <v>321.193258158708</v>
      </c>
      <c r="AZ53" s="169">
        <f t="shared" si="49"/>
        <v>691.13</v>
      </c>
      <c r="BA53" s="169">
        <f t="shared" si="50"/>
        <v>586.776341463415</v>
      </c>
      <c r="BB53" s="168">
        <f t="shared" si="51"/>
        <v>68.9630833047062</v>
      </c>
      <c r="BC53" s="170">
        <f t="shared" si="56"/>
        <v>0.11752873868894</v>
      </c>
    </row>
    <row r="54" ht="29.1" customHeight="1" spans="1:58">
      <c r="A54" s="61" t="s">
        <v>228</v>
      </c>
      <c r="B54" s="81" t="s">
        <v>229</v>
      </c>
      <c r="C54" s="90">
        <v>29</v>
      </c>
      <c r="D54" s="91">
        <v>29</v>
      </c>
      <c r="E54" s="64">
        <v>755.59</v>
      </c>
      <c r="F54" s="148">
        <v>18</v>
      </c>
      <c r="G54" s="148">
        <v>18</v>
      </c>
      <c r="H54" s="64">
        <v>465.78</v>
      </c>
      <c r="I54" s="64">
        <v>47.76</v>
      </c>
      <c r="J54" s="149">
        <v>2</v>
      </c>
      <c r="K54" s="150">
        <f t="shared" si="31"/>
        <v>0.0689655172413793</v>
      </c>
      <c r="L54" s="151">
        <v>39.53</v>
      </c>
      <c r="M54" s="152">
        <f t="shared" si="52"/>
        <v>0.115384615384615</v>
      </c>
      <c r="N54" s="150">
        <f t="shared" si="53"/>
        <v>0.115384615384615</v>
      </c>
      <c r="O54" s="150">
        <f t="shared" si="54"/>
        <v>0.0422506069300375</v>
      </c>
      <c r="P54" s="153">
        <f t="shared" si="32"/>
        <v>1</v>
      </c>
      <c r="Q54" s="154">
        <f t="shared" si="33"/>
        <v>26.0548275862069</v>
      </c>
      <c r="R54" s="187">
        <f t="shared" si="34"/>
        <v>26.0548275862069</v>
      </c>
      <c r="S54" s="155">
        <f t="shared" si="35"/>
        <v>4.14285714285714</v>
      </c>
      <c r="T54" s="193">
        <f t="shared" si="36"/>
        <v>15</v>
      </c>
      <c r="U54" s="157">
        <f t="shared" si="37"/>
        <v>0.517241379310345</v>
      </c>
      <c r="V54" s="94">
        <f t="shared" si="38"/>
        <v>0.29018267098032</v>
      </c>
      <c r="W54" s="91">
        <v>36589</v>
      </c>
      <c r="X54" s="91">
        <v>211</v>
      </c>
      <c r="Y54" s="91">
        <v>14</v>
      </c>
      <c r="Z54" s="64">
        <v>205.4</v>
      </c>
      <c r="AA54" s="92">
        <v>353.58</v>
      </c>
      <c r="AB54" s="91">
        <v>0.97</v>
      </c>
      <c r="AC54" s="71">
        <f t="shared" si="39"/>
        <v>0.58091521013632</v>
      </c>
      <c r="AD54" s="72">
        <f t="shared" si="40"/>
        <v>0.00576676050179016</v>
      </c>
      <c r="AE54" s="159">
        <f t="shared" si="41"/>
        <v>0.0663507109004739</v>
      </c>
      <c r="AF54" s="154">
        <f t="shared" si="42"/>
        <v>14.6714285714286</v>
      </c>
      <c r="AG54" s="160">
        <v>8</v>
      </c>
      <c r="AH54" s="162">
        <v>21</v>
      </c>
      <c r="AI54" s="163">
        <f>AG54*产品成本!$D$15+AH54*产品成本!$D$16</f>
        <v>146.197183098592</v>
      </c>
      <c r="AJ54" s="163">
        <f>AG54*产品成本!$E$15+AH54*产品成本!$E$16</f>
        <v>8.64</v>
      </c>
      <c r="AK54" s="163">
        <f>AG54*产品成本!$F$15+AH54*产品成本!$F$16</f>
        <v>9.86</v>
      </c>
      <c r="AL54" s="163">
        <f>AG54*产品成本!$G$15+AH54*产品成本!$G$16</f>
        <v>113.1</v>
      </c>
      <c r="AM54" s="163">
        <f t="shared" si="43"/>
        <v>106.1745</v>
      </c>
      <c r="AN54" s="164">
        <f t="shared" si="44"/>
        <v>383.971683098592</v>
      </c>
      <c r="AO54" s="194">
        <v>1</v>
      </c>
      <c r="AP54" s="166">
        <v>1</v>
      </c>
      <c r="AQ54" s="167">
        <f t="shared" si="45"/>
        <v>48.2073170731707</v>
      </c>
      <c r="AR54" s="163">
        <f>AO54*产品成本!$D$15+AP54*产品成本!$D$16</f>
        <v>9.5774647887324</v>
      </c>
      <c r="AS54" s="163">
        <f>AO54*产品成本!$E$15+AP54*产品成本!$E$16</f>
        <v>0.56</v>
      </c>
      <c r="AT54" s="163">
        <f>AO54*产品成本!$F$15+AP54*产品成本!$F$16</f>
        <v>0.68</v>
      </c>
      <c r="AU54" s="163"/>
      <c r="AV54" s="163">
        <f t="shared" si="46"/>
        <v>7.23109756097561</v>
      </c>
      <c r="AW54" s="163">
        <f t="shared" si="47"/>
        <v>-1.44621951219512</v>
      </c>
      <c r="AX54" s="164">
        <f t="shared" si="48"/>
        <v>16.6023428375129</v>
      </c>
      <c r="AY54" s="169">
        <f t="shared" si="55"/>
        <v>367.369340261079</v>
      </c>
      <c r="AZ54" s="169">
        <f t="shared" si="49"/>
        <v>707.83</v>
      </c>
      <c r="BA54" s="169">
        <f t="shared" si="50"/>
        <v>659.622682926829</v>
      </c>
      <c r="BB54" s="168">
        <f t="shared" si="51"/>
        <v>86.8533426657505</v>
      </c>
      <c r="BC54" s="170">
        <f t="shared" si="56"/>
        <v>0.131671249206245</v>
      </c>
    </row>
    <row r="55" ht="29.1" customHeight="1" spans="1:58">
      <c r="A55" s="61" t="s">
        <v>230</v>
      </c>
      <c r="B55" s="81" t="s">
        <v>231</v>
      </c>
      <c r="C55" s="90">
        <v>25</v>
      </c>
      <c r="D55" s="91">
        <v>24</v>
      </c>
      <c r="E55" s="64">
        <v>644.85</v>
      </c>
      <c r="F55" s="148">
        <v>3</v>
      </c>
      <c r="G55" s="148">
        <v>2</v>
      </c>
      <c r="H55" s="64">
        <v>74.53</v>
      </c>
      <c r="I55" s="64">
        <v>11.18</v>
      </c>
      <c r="J55" s="149">
        <v>3</v>
      </c>
      <c r="K55" s="150">
        <f t="shared" si="31"/>
        <v>0.12</v>
      </c>
      <c r="L55" s="151">
        <v>34.44</v>
      </c>
      <c r="M55" s="152">
        <f t="shared" si="52"/>
        <v>-0.137931034482759</v>
      </c>
      <c r="N55" s="150">
        <f t="shared" si="53"/>
        <v>-0.172413793103448</v>
      </c>
      <c r="O55" s="150">
        <f t="shared" si="54"/>
        <v>-0.146560965603039</v>
      </c>
      <c r="P55" s="153">
        <f t="shared" si="32"/>
        <v>1.04166666666667</v>
      </c>
      <c r="Q55" s="154">
        <f t="shared" si="33"/>
        <v>26.86875</v>
      </c>
      <c r="R55" s="187">
        <f t="shared" si="34"/>
        <v>25.794</v>
      </c>
      <c r="S55" s="155">
        <f t="shared" si="35"/>
        <v>3.57142857142857</v>
      </c>
      <c r="T55" s="193">
        <f t="shared" si="36"/>
        <v>1</v>
      </c>
      <c r="U55" s="157">
        <f t="shared" si="37"/>
        <v>0.0416666666666667</v>
      </c>
      <c r="V55" s="94">
        <f t="shared" si="38"/>
        <v>0.344406394495558</v>
      </c>
      <c r="W55" s="91">
        <v>37422</v>
      </c>
      <c r="X55" s="91">
        <v>237</v>
      </c>
      <c r="Y55" s="91">
        <v>23</v>
      </c>
      <c r="Z55" s="64">
        <v>218.24</v>
      </c>
      <c r="AA55" s="92">
        <v>564.26</v>
      </c>
      <c r="AB55" s="91">
        <v>0.92</v>
      </c>
      <c r="AC55" s="71">
        <f t="shared" si="39"/>
        <v>0.386772055435438</v>
      </c>
      <c r="AD55" s="72">
        <f t="shared" si="40"/>
        <v>0.00633317299983967</v>
      </c>
      <c r="AE55" s="159">
        <f t="shared" si="41"/>
        <v>0.0970464135021097</v>
      </c>
      <c r="AF55" s="154">
        <f t="shared" si="42"/>
        <v>9.48869565217391</v>
      </c>
      <c r="AG55" s="160">
        <v>9</v>
      </c>
      <c r="AH55" s="162">
        <v>16</v>
      </c>
      <c r="AI55" s="163">
        <f>AG55*产品成本!$D$15+AH55*产品成本!$D$16</f>
        <v>123.661971830986</v>
      </c>
      <c r="AJ55" s="163">
        <f>AG55*产品成本!$E$15+AH55*产品成本!$E$16</f>
        <v>7.28</v>
      </c>
      <c r="AK55" s="163">
        <f>AG55*产品成本!$F$15+AH55*产品成本!$F$16</f>
        <v>8.5</v>
      </c>
      <c r="AL55" s="163">
        <f>AG55*产品成本!$G$15+AH55*产品成本!$G$16</f>
        <v>97.5</v>
      </c>
      <c r="AM55" s="163">
        <f t="shared" si="43"/>
        <v>95.0505</v>
      </c>
      <c r="AN55" s="164">
        <f t="shared" si="44"/>
        <v>331.992471830986</v>
      </c>
      <c r="AO55" s="194">
        <v>1</v>
      </c>
      <c r="AP55" s="166">
        <v>2</v>
      </c>
      <c r="AQ55" s="167">
        <f t="shared" si="45"/>
        <v>42</v>
      </c>
      <c r="AR55" s="163">
        <f>AO55*产品成本!$D$15+AP55*产品成本!$D$16</f>
        <v>14.9295774647887</v>
      </c>
      <c r="AS55" s="163">
        <f>AO55*产品成本!$E$15+AP55*产品成本!$E$16</f>
        <v>0.88</v>
      </c>
      <c r="AT55" s="163">
        <f>AO55*产品成本!$F$15+AP55*产品成本!$F$16</f>
        <v>1.02</v>
      </c>
      <c r="AU55" s="163"/>
      <c r="AV55" s="163">
        <f t="shared" si="46"/>
        <v>6.3</v>
      </c>
      <c r="AW55" s="163">
        <f t="shared" si="47"/>
        <v>-1.26</v>
      </c>
      <c r="AX55" s="164">
        <f t="shared" si="48"/>
        <v>21.8695774647887</v>
      </c>
      <c r="AY55" s="169">
        <f t="shared" si="55"/>
        <v>310.122894366197</v>
      </c>
      <c r="AZ55" s="169">
        <f t="shared" si="49"/>
        <v>633.67</v>
      </c>
      <c r="BA55" s="169">
        <f t="shared" si="50"/>
        <v>591.67</v>
      </c>
      <c r="BB55" s="168">
        <f t="shared" si="51"/>
        <v>63.3071056338028</v>
      </c>
      <c r="BC55" s="170">
        <f t="shared" si="56"/>
        <v>0.106997322213063</v>
      </c>
    </row>
    <row r="56" ht="29.1" customHeight="1" spans="1:58">
      <c r="A56" s="61" t="s">
        <v>232</v>
      </c>
      <c r="B56" s="81" t="s">
        <v>233</v>
      </c>
      <c r="C56" s="90">
        <v>15</v>
      </c>
      <c r="D56" s="91">
        <v>14</v>
      </c>
      <c r="E56" s="64">
        <v>397.45</v>
      </c>
      <c r="F56" s="148">
        <v>0</v>
      </c>
      <c r="G56" s="148">
        <v>0</v>
      </c>
      <c r="H56" s="64">
        <v>0</v>
      </c>
      <c r="I56" s="64">
        <v>0</v>
      </c>
      <c r="J56" s="149">
        <v>3</v>
      </c>
      <c r="K56" s="150">
        <f t="shared" si="31"/>
        <v>0.2</v>
      </c>
      <c r="L56" s="151">
        <v>65.95</v>
      </c>
      <c r="M56" s="152">
        <f t="shared" si="52"/>
        <v>-0.4</v>
      </c>
      <c r="N56" s="150">
        <f t="shared" si="53"/>
        <v>-0.416666666666667</v>
      </c>
      <c r="O56" s="150">
        <f t="shared" si="54"/>
        <v>-0.383655113592308</v>
      </c>
      <c r="P56" s="153">
        <f t="shared" si="32"/>
        <v>1.07142857142857</v>
      </c>
      <c r="Q56" s="154">
        <f t="shared" si="33"/>
        <v>28.3892857142857</v>
      </c>
      <c r="R56" s="187">
        <f t="shared" si="34"/>
        <v>26.4966666666667</v>
      </c>
      <c r="S56" s="155">
        <f t="shared" si="35"/>
        <v>2.14285714285714</v>
      </c>
      <c r="T56" s="193">
        <f t="shared" si="36"/>
        <v>5</v>
      </c>
      <c r="U56" s="157">
        <f t="shared" si="37"/>
        <v>0.357142857142857</v>
      </c>
      <c r="V56" s="94">
        <f t="shared" si="38"/>
        <v>0.471933576550509</v>
      </c>
      <c r="W56" s="91">
        <v>34385</v>
      </c>
      <c r="X56" s="91">
        <v>200</v>
      </c>
      <c r="Y56" s="91">
        <v>9</v>
      </c>
      <c r="Z56" s="64">
        <v>187.57</v>
      </c>
      <c r="AA56" s="92">
        <v>232.57</v>
      </c>
      <c r="AB56" s="91">
        <v>0.94</v>
      </c>
      <c r="AC56" s="71">
        <f t="shared" si="39"/>
        <v>0.806509867996732</v>
      </c>
      <c r="AD56" s="72">
        <f t="shared" si="40"/>
        <v>0.00581648974843682</v>
      </c>
      <c r="AE56" s="159">
        <f t="shared" si="41"/>
        <v>0.045</v>
      </c>
      <c r="AF56" s="154">
        <f t="shared" si="42"/>
        <v>20.8411111111111</v>
      </c>
      <c r="AG56" s="160">
        <v>2</v>
      </c>
      <c r="AH56" s="162">
        <v>13</v>
      </c>
      <c r="AI56" s="163">
        <f>AG56*产品成本!$D$15+AH56*产品成本!$D$16</f>
        <v>78.0281690140845</v>
      </c>
      <c r="AJ56" s="163">
        <f>AG56*产品成本!$E$15+AH56*产品成本!$E$16</f>
        <v>4.64</v>
      </c>
      <c r="AK56" s="163">
        <f>AG56*产品成本!$F$15+AH56*产品成本!$F$16</f>
        <v>5.1</v>
      </c>
      <c r="AL56" s="163">
        <f>AG56*产品成本!$G$15+AH56*产品成本!$G$16</f>
        <v>58.5</v>
      </c>
      <c r="AM56" s="163">
        <f t="shared" si="43"/>
        <v>59.6175</v>
      </c>
      <c r="AN56" s="164">
        <f t="shared" si="44"/>
        <v>205.885669014084</v>
      </c>
      <c r="AO56" s="194">
        <v>1</v>
      </c>
      <c r="AP56" s="166">
        <v>2</v>
      </c>
      <c r="AQ56" s="167">
        <f t="shared" si="45"/>
        <v>80.4268292682927</v>
      </c>
      <c r="AR56" s="163">
        <f>AO56*产品成本!$D$15+AP56*产品成本!$D$16</f>
        <v>14.9295774647887</v>
      </c>
      <c r="AS56" s="163">
        <f>AO56*产品成本!$E$15+AP56*产品成本!$E$16</f>
        <v>0.88</v>
      </c>
      <c r="AT56" s="163">
        <f>AO56*产品成本!$F$15+AP56*产品成本!$F$16</f>
        <v>1.02</v>
      </c>
      <c r="AU56" s="163"/>
      <c r="AV56" s="163">
        <f t="shared" si="46"/>
        <v>12.0640243902439</v>
      </c>
      <c r="AW56" s="163">
        <f t="shared" si="47"/>
        <v>-2.41280487804878</v>
      </c>
      <c r="AX56" s="164">
        <f t="shared" si="48"/>
        <v>26.4807969769839</v>
      </c>
      <c r="AY56" s="169">
        <f t="shared" si="55"/>
        <v>179.404872037101</v>
      </c>
      <c r="AZ56" s="169">
        <f t="shared" si="49"/>
        <v>397.45</v>
      </c>
      <c r="BA56" s="169">
        <f t="shared" si="50"/>
        <v>317.023170731707</v>
      </c>
      <c r="BB56" s="168">
        <f t="shared" si="51"/>
        <v>-49.9517013053933</v>
      </c>
      <c r="BC56" s="170">
        <f t="shared" si="56"/>
        <v>-0.157564827801394</v>
      </c>
    </row>
    <row r="57" ht="29.1" customHeight="1" spans="1:58">
      <c r="A57" s="61" t="s">
        <v>236</v>
      </c>
      <c r="B57" s="81" t="s">
        <v>237</v>
      </c>
      <c r="C57" s="90">
        <v>23</v>
      </c>
      <c r="D57" s="91">
        <v>23</v>
      </c>
      <c r="E57" s="64">
        <v>618.93</v>
      </c>
      <c r="F57" s="148">
        <v>0</v>
      </c>
      <c r="G57" s="148">
        <v>0</v>
      </c>
      <c r="H57" s="64">
        <v>0</v>
      </c>
      <c r="I57" s="64">
        <v>0</v>
      </c>
      <c r="J57" s="149">
        <v>2</v>
      </c>
      <c r="K57" s="150">
        <f t="shared" si="31"/>
        <v>0.0869565217391304</v>
      </c>
      <c r="L57" s="151">
        <v>38.76</v>
      </c>
      <c r="M57" s="152">
        <f t="shared" si="52"/>
        <v>0.533333333333333</v>
      </c>
      <c r="N57" s="150">
        <f t="shared" si="53"/>
        <v>0.642857142857143</v>
      </c>
      <c r="O57" s="150">
        <f t="shared" si="54"/>
        <v>0.557252484589256</v>
      </c>
      <c r="P57" s="153">
        <f t="shared" si="32"/>
        <v>1</v>
      </c>
      <c r="Q57" s="154">
        <f t="shared" si="33"/>
        <v>26.91</v>
      </c>
      <c r="R57" s="187">
        <f t="shared" si="34"/>
        <v>26.91</v>
      </c>
      <c r="S57" s="155">
        <f t="shared" si="35"/>
        <v>3.28571428571429</v>
      </c>
      <c r="T57" s="193">
        <f t="shared" si="36"/>
        <v>5</v>
      </c>
      <c r="U57" s="157">
        <f t="shared" si="37"/>
        <v>0.217391304347826</v>
      </c>
      <c r="V57" s="94">
        <f t="shared" si="38"/>
        <v>0.256248687250578</v>
      </c>
      <c r="W57" s="91">
        <v>36379</v>
      </c>
      <c r="X57" s="91">
        <v>158</v>
      </c>
      <c r="Y57" s="91">
        <v>18</v>
      </c>
      <c r="Z57" s="64">
        <v>158.6</v>
      </c>
      <c r="AA57" s="92">
        <v>440.06</v>
      </c>
      <c r="AB57" s="64">
        <v>1</v>
      </c>
      <c r="AC57" s="71">
        <f t="shared" si="39"/>
        <v>0.360405399263737</v>
      </c>
      <c r="AD57" s="72">
        <f t="shared" si="40"/>
        <v>0.0043431650127821</v>
      </c>
      <c r="AE57" s="159">
        <f t="shared" si="41"/>
        <v>0.113924050632911</v>
      </c>
      <c r="AF57" s="154">
        <f t="shared" si="42"/>
        <v>8.81111111111111</v>
      </c>
      <c r="AG57" s="160">
        <v>0</v>
      </c>
      <c r="AH57" s="162">
        <v>23</v>
      </c>
      <c r="AI57" s="163">
        <f>AG57*产品成本!$D$15+AH57*产品成本!$D$16</f>
        <v>123.098591549296</v>
      </c>
      <c r="AJ57" s="163">
        <f>AG57*产品成本!$E$15+AH57*产品成本!$E$16</f>
        <v>7.36</v>
      </c>
      <c r="AK57" s="163">
        <f>AG57*产品成本!$F$15+AH57*产品成本!$F$16</f>
        <v>7.82</v>
      </c>
      <c r="AL57" s="163">
        <f>AG57*产品成本!$G$15+AH57*产品成本!$G$16</f>
        <v>89.7</v>
      </c>
      <c r="AM57" s="163">
        <f t="shared" si="43"/>
        <v>92.8395</v>
      </c>
      <c r="AN57" s="164">
        <f t="shared" si="44"/>
        <v>320.818091549296</v>
      </c>
      <c r="AO57" s="194">
        <v>2</v>
      </c>
      <c r="AP57" s="166">
        <v>0</v>
      </c>
      <c r="AQ57" s="167">
        <f t="shared" si="45"/>
        <v>47.2682926829268</v>
      </c>
      <c r="AR57" s="163">
        <f>AO57*产品成本!$D$15+AP57*产品成本!$D$16</f>
        <v>8.45070422535212</v>
      </c>
      <c r="AS57" s="163">
        <f>AO57*产品成本!$E$15+AP57*产品成本!$E$16</f>
        <v>0.48</v>
      </c>
      <c r="AT57" s="163">
        <f>AO57*产品成本!$F$15+AP57*产品成本!$F$16</f>
        <v>0.68</v>
      </c>
      <c r="AU57" s="163"/>
      <c r="AV57" s="163">
        <f t="shared" si="46"/>
        <v>7.09024390243902</v>
      </c>
      <c r="AW57" s="163">
        <f t="shared" si="47"/>
        <v>-1.4180487804878</v>
      </c>
      <c r="AX57" s="164">
        <f t="shared" si="48"/>
        <v>15.2828993473033</v>
      </c>
      <c r="AY57" s="169">
        <f t="shared" si="55"/>
        <v>305.535192201992</v>
      </c>
      <c r="AZ57" s="169">
        <f t="shared" si="49"/>
        <v>618.93</v>
      </c>
      <c r="BA57" s="169">
        <f t="shared" si="50"/>
        <v>571.661707317073</v>
      </c>
      <c r="BB57" s="168">
        <f t="shared" si="51"/>
        <v>107.526515115081</v>
      </c>
      <c r="BC57" s="170">
        <f t="shared" si="56"/>
        <v>0.18809466112349</v>
      </c>
    </row>
    <row r="58" ht="29.1" customHeight="1" spans="1:58">
      <c r="A58" s="61" t="s">
        <v>240</v>
      </c>
      <c r="B58" s="81" t="s">
        <v>241</v>
      </c>
      <c r="C58" s="90">
        <v>17</v>
      </c>
      <c r="D58" s="91">
        <v>17</v>
      </c>
      <c r="E58" s="64">
        <v>448.17</v>
      </c>
      <c r="F58" s="148">
        <v>1</v>
      </c>
      <c r="G58" s="148">
        <v>1</v>
      </c>
      <c r="H58" s="64">
        <v>23.81</v>
      </c>
      <c r="I58" s="64">
        <v>2.39</v>
      </c>
      <c r="J58" s="149">
        <v>1</v>
      </c>
      <c r="K58" s="150">
        <f t="shared" si="31"/>
        <v>0.0588235294117647</v>
      </c>
      <c r="L58" s="151">
        <v>17.15</v>
      </c>
      <c r="M58" s="152">
        <f t="shared" si="52"/>
        <v>-0.260869565217391</v>
      </c>
      <c r="N58" s="150">
        <f t="shared" si="53"/>
        <v>-0.260869565217391</v>
      </c>
      <c r="O58" s="150">
        <f t="shared" si="54"/>
        <v>-0.27589549706752</v>
      </c>
      <c r="P58" s="153">
        <f t="shared" si="32"/>
        <v>1</v>
      </c>
      <c r="Q58" s="154">
        <f t="shared" si="33"/>
        <v>26.3629411764706</v>
      </c>
      <c r="R58" s="187">
        <f t="shared" si="34"/>
        <v>26.3629411764706</v>
      </c>
      <c r="S58" s="155">
        <f t="shared" si="35"/>
        <v>2.42857142857143</v>
      </c>
      <c r="T58" s="193">
        <f t="shared" si="36"/>
        <v>4</v>
      </c>
      <c r="U58" s="157">
        <f t="shared" si="37"/>
        <v>0.235294117647059</v>
      </c>
      <c r="V58" s="94">
        <f t="shared" si="38"/>
        <v>0.499932702229799</v>
      </c>
      <c r="W58" s="91">
        <v>43353</v>
      </c>
      <c r="X58" s="91">
        <v>215</v>
      </c>
      <c r="Y58" s="91">
        <v>13</v>
      </c>
      <c r="Z58" s="64">
        <v>222.86</v>
      </c>
      <c r="AA58" s="92">
        <v>312.87</v>
      </c>
      <c r="AB58" s="64">
        <v>1.04</v>
      </c>
      <c r="AC58" s="71">
        <f t="shared" si="39"/>
        <v>0.712308626586122</v>
      </c>
      <c r="AD58" s="72">
        <f t="shared" si="40"/>
        <v>0.00495928770788642</v>
      </c>
      <c r="AE58" s="159">
        <f t="shared" si="41"/>
        <v>0.0604651162790698</v>
      </c>
      <c r="AF58" s="154">
        <f t="shared" si="42"/>
        <v>17.1430769230769</v>
      </c>
      <c r="AG58" s="160">
        <v>3</v>
      </c>
      <c r="AH58" s="162">
        <v>14</v>
      </c>
      <c r="AI58" s="163">
        <f>AG58*产品成本!$D$15+AH58*产品成本!$D$16</f>
        <v>87.6056338028169</v>
      </c>
      <c r="AJ58" s="163">
        <f>AG58*产品成本!$E$15+AH58*产品成本!$E$16</f>
        <v>5.2</v>
      </c>
      <c r="AK58" s="163">
        <f>AG58*产品成本!$F$15+AH58*产品成本!$F$16</f>
        <v>5.78</v>
      </c>
      <c r="AL58" s="163">
        <f>AG58*产品成本!$G$15+AH58*产品成本!$G$16</f>
        <v>66.3</v>
      </c>
      <c r="AM58" s="163">
        <f t="shared" si="43"/>
        <v>66.867</v>
      </c>
      <c r="AN58" s="164">
        <f t="shared" si="44"/>
        <v>231.752633802817</v>
      </c>
      <c r="AO58" s="194">
        <v>0</v>
      </c>
      <c r="AP58" s="166">
        <v>1</v>
      </c>
      <c r="AQ58" s="167">
        <f t="shared" si="45"/>
        <v>20.9146341463415</v>
      </c>
      <c r="AR58" s="163">
        <f>AO58*产品成本!$D$15+AP58*产品成本!$D$16</f>
        <v>5.35211267605634</v>
      </c>
      <c r="AS58" s="163">
        <f>AO58*产品成本!$E$15+AP58*产品成本!$E$16</f>
        <v>0.32</v>
      </c>
      <c r="AT58" s="163">
        <f>AO58*产品成本!$F$15+AP58*产品成本!$F$16</f>
        <v>0.34</v>
      </c>
      <c r="AU58" s="163"/>
      <c r="AV58" s="163">
        <f t="shared" si="46"/>
        <v>3.13719512195122</v>
      </c>
      <c r="AW58" s="163">
        <f t="shared" si="47"/>
        <v>-0.627439024390244</v>
      </c>
      <c r="AX58" s="164">
        <f t="shared" si="48"/>
        <v>8.52186877361732</v>
      </c>
      <c r="AY58" s="169">
        <f t="shared" si="55"/>
        <v>223.2307650292</v>
      </c>
      <c r="AZ58" s="169">
        <f t="shared" si="49"/>
        <v>445.78</v>
      </c>
      <c r="BA58" s="169">
        <f t="shared" si="50"/>
        <v>424.865365853659</v>
      </c>
      <c r="BB58" s="168">
        <f t="shared" si="51"/>
        <v>-21.2253991755411</v>
      </c>
      <c r="BC58" s="170">
        <f t="shared" si="56"/>
        <v>-0.0499579416949981</v>
      </c>
    </row>
    <row r="59" ht="29.1" customHeight="1" spans="1:58">
      <c r="A59" s="61" t="s">
        <v>244</v>
      </c>
      <c r="B59" s="81" t="s">
        <v>245</v>
      </c>
      <c r="C59" s="90">
        <v>27</v>
      </c>
      <c r="D59" s="91">
        <v>27</v>
      </c>
      <c r="E59" s="64">
        <v>717.26</v>
      </c>
      <c r="F59" s="148">
        <v>6</v>
      </c>
      <c r="G59" s="148">
        <v>6</v>
      </c>
      <c r="H59" s="64">
        <v>155.26</v>
      </c>
      <c r="I59" s="64">
        <v>16.73</v>
      </c>
      <c r="J59" s="149">
        <v>0</v>
      </c>
      <c r="K59" s="150">
        <f t="shared" si="31"/>
        <v>0</v>
      </c>
      <c r="L59" s="151">
        <v>0</v>
      </c>
      <c r="M59" s="152">
        <f t="shared" si="52"/>
        <v>0.588235294117647</v>
      </c>
      <c r="N59" s="150">
        <f t="shared" si="53"/>
        <v>0.588235294117647</v>
      </c>
      <c r="O59" s="150">
        <f t="shared" si="54"/>
        <v>0.600419483678069</v>
      </c>
      <c r="P59" s="153">
        <f t="shared" si="32"/>
        <v>1</v>
      </c>
      <c r="Q59" s="154">
        <f t="shared" si="33"/>
        <v>26.5651851851852</v>
      </c>
      <c r="R59" s="187">
        <f t="shared" si="34"/>
        <v>26.5651851851852</v>
      </c>
      <c r="S59" s="155">
        <f t="shared" si="35"/>
        <v>3.85714285714286</v>
      </c>
      <c r="T59" s="193">
        <f t="shared" si="36"/>
        <v>4</v>
      </c>
      <c r="U59" s="157">
        <f t="shared" si="37"/>
        <v>0.148148148148148</v>
      </c>
      <c r="V59" s="94">
        <f t="shared" si="38"/>
        <v>0.33915749503947</v>
      </c>
      <c r="W59" s="91">
        <v>46892</v>
      </c>
      <c r="X59" s="91">
        <v>237</v>
      </c>
      <c r="Y59" s="91">
        <v>23</v>
      </c>
      <c r="Z59" s="64">
        <v>237.59</v>
      </c>
      <c r="AA59" s="92">
        <v>580.32</v>
      </c>
      <c r="AB59" s="64">
        <v>1</v>
      </c>
      <c r="AC59" s="71">
        <f t="shared" si="39"/>
        <v>0.409412048524952</v>
      </c>
      <c r="AD59" s="72">
        <f t="shared" si="40"/>
        <v>0.00505416702209332</v>
      </c>
      <c r="AE59" s="159">
        <f t="shared" si="41"/>
        <v>0.0970464135021097</v>
      </c>
      <c r="AF59" s="154">
        <f t="shared" si="42"/>
        <v>10.33</v>
      </c>
      <c r="AG59" s="160">
        <v>3</v>
      </c>
      <c r="AH59" s="162">
        <v>24</v>
      </c>
      <c r="AI59" s="163">
        <f>AG59*产品成本!$D$15+AH59*产品成本!$D$16</f>
        <v>141.12676056338</v>
      </c>
      <c r="AJ59" s="163">
        <f>AG59*产品成本!$E$15+AH59*产品成本!$E$16</f>
        <v>8.4</v>
      </c>
      <c r="AK59" s="163">
        <f>AG59*产品成本!$F$15+AH59*产品成本!$F$16</f>
        <v>9.18</v>
      </c>
      <c r="AL59" s="163">
        <f>AG59*产品成本!$G$15+AH59*产品成本!$G$16</f>
        <v>105.3</v>
      </c>
      <c r="AM59" s="163">
        <f t="shared" si="43"/>
        <v>105.0795</v>
      </c>
      <c r="AN59" s="164">
        <f t="shared" si="44"/>
        <v>369.08626056338</v>
      </c>
      <c r="AO59" s="194">
        <v>0</v>
      </c>
      <c r="AP59" s="166">
        <v>0</v>
      </c>
      <c r="AQ59" s="167">
        <f t="shared" si="45"/>
        <v>0</v>
      </c>
      <c r="AR59" s="163">
        <f>AO59*产品成本!$D$15+AP59*产品成本!$D$16</f>
        <v>0</v>
      </c>
      <c r="AS59" s="163">
        <f>AO59*产品成本!$E$15+AP59*产品成本!$E$16</f>
        <v>0</v>
      </c>
      <c r="AT59" s="163">
        <f>AO59*产品成本!$F$15+AP59*产品成本!$F$16</f>
        <v>0</v>
      </c>
      <c r="AU59" s="163"/>
      <c r="AV59" s="163">
        <f t="shared" si="46"/>
        <v>0</v>
      </c>
      <c r="AW59" s="163">
        <f t="shared" si="47"/>
        <v>0</v>
      </c>
      <c r="AX59" s="164">
        <f t="shared" si="48"/>
        <v>0</v>
      </c>
      <c r="AY59" s="169">
        <f t="shared" si="55"/>
        <v>369.08626056338</v>
      </c>
      <c r="AZ59" s="169">
        <f t="shared" si="49"/>
        <v>700.53</v>
      </c>
      <c r="BA59" s="169">
        <f t="shared" si="50"/>
        <v>700.53</v>
      </c>
      <c r="BB59" s="168">
        <f t="shared" si="51"/>
        <v>93.8537394366196</v>
      </c>
      <c r="BC59" s="170">
        <f t="shared" si="56"/>
        <v>0.133975332157966</v>
      </c>
    </row>
    <row r="60" ht="29.1" customHeight="1" spans="1:58">
      <c r="A60" s="61" t="s">
        <v>247</v>
      </c>
      <c r="B60" s="81" t="s">
        <v>248</v>
      </c>
      <c r="C60" s="90">
        <v>35</v>
      </c>
      <c r="D60" s="91">
        <v>33</v>
      </c>
      <c r="E60" s="64">
        <v>926.35</v>
      </c>
      <c r="F60" s="148">
        <v>2</v>
      </c>
      <c r="G60" s="148">
        <v>2</v>
      </c>
      <c r="H60" s="64">
        <v>53.82</v>
      </c>
      <c r="I60" s="64">
        <v>5.38</v>
      </c>
      <c r="J60" s="149">
        <v>2</v>
      </c>
      <c r="K60" s="150">
        <f t="shared" si="31"/>
        <v>0.0571428571428571</v>
      </c>
      <c r="L60" s="151">
        <v>44.63</v>
      </c>
      <c r="M60" s="152">
        <f t="shared" si="52"/>
        <v>0.296296296296296</v>
      </c>
      <c r="N60" s="150">
        <f t="shared" si="53"/>
        <v>0.222222222222222</v>
      </c>
      <c r="O60" s="150">
        <f t="shared" si="54"/>
        <v>0.291512143434738</v>
      </c>
      <c r="P60" s="153">
        <f t="shared" si="32"/>
        <v>1.06060606060606</v>
      </c>
      <c r="Q60" s="154">
        <f t="shared" si="33"/>
        <v>28.0712121212121</v>
      </c>
      <c r="R60" s="187">
        <f t="shared" si="34"/>
        <v>26.4671428571429</v>
      </c>
      <c r="S60" s="155">
        <f t="shared" si="35"/>
        <v>5</v>
      </c>
      <c r="T60" s="193">
        <f t="shared" si="36"/>
        <v>0</v>
      </c>
      <c r="U60" s="157">
        <f t="shared" si="37"/>
        <v>0</v>
      </c>
      <c r="V60" s="94">
        <f t="shared" si="38"/>
        <v>0.290888954037591</v>
      </c>
      <c r="W60" s="91">
        <v>45785</v>
      </c>
      <c r="X60" s="91">
        <v>273</v>
      </c>
      <c r="Y60" s="91">
        <v>33</v>
      </c>
      <c r="Z60" s="64">
        <v>267.9</v>
      </c>
      <c r="AA60" s="92">
        <v>882.72</v>
      </c>
      <c r="AB60" s="64">
        <v>0.98</v>
      </c>
      <c r="AC60" s="71">
        <f t="shared" si="39"/>
        <v>0.303493746601414</v>
      </c>
      <c r="AD60" s="72">
        <f t="shared" si="40"/>
        <v>0.0059626515234247</v>
      </c>
      <c r="AE60" s="159">
        <f t="shared" si="41"/>
        <v>0.120879120879121</v>
      </c>
      <c r="AF60" s="154">
        <f t="shared" si="42"/>
        <v>8.11818181818182</v>
      </c>
      <c r="AG60" s="160">
        <v>5</v>
      </c>
      <c r="AH60" s="162">
        <v>30</v>
      </c>
      <c r="AI60" s="163">
        <f>AG60*产品成本!$D$15+AH60*产品成本!$D$16</f>
        <v>181.69014084507</v>
      </c>
      <c r="AJ60" s="163">
        <f>AG60*产品成本!$E$15+AH60*产品成本!$E$16</f>
        <v>10.8</v>
      </c>
      <c r="AK60" s="163">
        <f>AG60*产品成本!$F$15+AH60*产品成本!$F$16</f>
        <v>11.9</v>
      </c>
      <c r="AL60" s="163">
        <f>AG60*产品成本!$G$15+AH60*产品成本!$G$16</f>
        <v>136.5</v>
      </c>
      <c r="AM60" s="163">
        <f t="shared" si="43"/>
        <v>138.1455</v>
      </c>
      <c r="AN60" s="164">
        <f t="shared" si="44"/>
        <v>479.03564084507</v>
      </c>
      <c r="AO60" s="194">
        <v>1</v>
      </c>
      <c r="AP60" s="166">
        <v>1</v>
      </c>
      <c r="AQ60" s="167">
        <f t="shared" si="45"/>
        <v>54.4268292682927</v>
      </c>
      <c r="AR60" s="163">
        <f>AO60*产品成本!$D$15+AP60*产品成本!$D$16</f>
        <v>9.5774647887324</v>
      </c>
      <c r="AS60" s="163">
        <f>AO60*产品成本!$E$15+AP60*产品成本!$E$16</f>
        <v>0.56</v>
      </c>
      <c r="AT60" s="163">
        <f>AO60*产品成本!$F$15+AP60*产品成本!$F$16</f>
        <v>0.68</v>
      </c>
      <c r="AU60" s="163"/>
      <c r="AV60" s="163">
        <f t="shared" si="46"/>
        <v>8.1640243902439</v>
      </c>
      <c r="AW60" s="163">
        <f t="shared" si="47"/>
        <v>-1.63280487804878</v>
      </c>
      <c r="AX60" s="164">
        <f t="shared" si="48"/>
        <v>17.3486843009275</v>
      </c>
      <c r="AY60" s="169">
        <f t="shared" si="55"/>
        <v>461.686956544143</v>
      </c>
      <c r="AZ60" s="169">
        <f t="shared" si="49"/>
        <v>920.97</v>
      </c>
      <c r="BA60" s="169">
        <f t="shared" si="50"/>
        <v>866.543170731707</v>
      </c>
      <c r="BB60" s="168">
        <f t="shared" si="51"/>
        <v>136.956214187564</v>
      </c>
      <c r="BC60" s="170">
        <f t="shared" si="56"/>
        <v>0.158048922215749</v>
      </c>
    </row>
    <row r="61" ht="29.1" customHeight="1" spans="1:58">
      <c r="A61" s="61" t="s">
        <v>250</v>
      </c>
      <c r="B61" s="81" t="s">
        <v>251</v>
      </c>
      <c r="C61" s="90">
        <v>27</v>
      </c>
      <c r="D61" s="91">
        <v>27</v>
      </c>
      <c r="E61" s="64">
        <v>741.97</v>
      </c>
      <c r="F61" s="148">
        <v>2</v>
      </c>
      <c r="G61" s="148">
        <v>2</v>
      </c>
      <c r="H61" s="64">
        <v>56.9</v>
      </c>
      <c r="I61" s="64">
        <v>6.03</v>
      </c>
      <c r="J61" s="149">
        <v>2</v>
      </c>
      <c r="K61" s="150">
        <f t="shared" si="31"/>
        <v>0.0740740740740741</v>
      </c>
      <c r="L61" s="151">
        <v>41.08</v>
      </c>
      <c r="M61" s="152">
        <f t="shared" si="52"/>
        <v>-0.228571428571429</v>
      </c>
      <c r="N61" s="150">
        <f t="shared" si="53"/>
        <v>-0.181818181818182</v>
      </c>
      <c r="O61" s="150">
        <f t="shared" si="54"/>
        <v>-0.199039240028067</v>
      </c>
      <c r="P61" s="153">
        <f t="shared" si="32"/>
        <v>1</v>
      </c>
      <c r="Q61" s="154">
        <f t="shared" si="33"/>
        <v>27.4803703703704</v>
      </c>
      <c r="R61" s="187">
        <f t="shared" si="34"/>
        <v>27.4803703703704</v>
      </c>
      <c r="S61" s="155">
        <f t="shared" si="35"/>
        <v>3.85714285714286</v>
      </c>
      <c r="T61" s="193">
        <f t="shared" si="36"/>
        <v>4</v>
      </c>
      <c r="U61" s="157">
        <f t="shared" si="37"/>
        <v>0.148148148148148</v>
      </c>
      <c r="V61" s="94">
        <f t="shared" si="38"/>
        <v>0.356455689322499</v>
      </c>
      <c r="W61" s="91">
        <v>45223</v>
      </c>
      <c r="X61" s="91">
        <v>258</v>
      </c>
      <c r="Y61" s="91">
        <v>23</v>
      </c>
      <c r="Z61" s="64">
        <v>262.33</v>
      </c>
      <c r="AA61" s="92">
        <v>607.28</v>
      </c>
      <c r="AB61" s="64">
        <v>1.02</v>
      </c>
      <c r="AC61" s="71">
        <f t="shared" si="39"/>
        <v>0.431975365564484</v>
      </c>
      <c r="AD61" s="72">
        <f t="shared" si="40"/>
        <v>0.00570506158370741</v>
      </c>
      <c r="AE61" s="159">
        <f t="shared" si="41"/>
        <v>0.0891472868217054</v>
      </c>
      <c r="AF61" s="154">
        <f t="shared" si="42"/>
        <v>11.405652173913</v>
      </c>
      <c r="AG61" s="160">
        <v>6</v>
      </c>
      <c r="AH61" s="162">
        <v>21</v>
      </c>
      <c r="AI61" s="163">
        <f>AG61*产品成本!$D$15+AH61*产品成本!$D$16</f>
        <v>137.746478873239</v>
      </c>
      <c r="AJ61" s="163">
        <f>AG61*产品成本!$E$15+AH61*产品成本!$E$16</f>
        <v>8.16</v>
      </c>
      <c r="AK61" s="163">
        <f>AG61*产品成本!$F$15+AH61*产品成本!$F$16</f>
        <v>9.18</v>
      </c>
      <c r="AL61" s="163">
        <f>AG61*产品成本!$G$15+AH61*产品成本!$G$16</f>
        <v>105.3</v>
      </c>
      <c r="AM61" s="163">
        <f t="shared" si="43"/>
        <v>110.391</v>
      </c>
      <c r="AN61" s="164">
        <f t="shared" si="44"/>
        <v>370.777478873239</v>
      </c>
      <c r="AO61" s="194">
        <v>1</v>
      </c>
      <c r="AP61" s="166">
        <v>1</v>
      </c>
      <c r="AQ61" s="167">
        <f t="shared" si="45"/>
        <v>50.0975609756098</v>
      </c>
      <c r="AR61" s="163">
        <f>AO61*产品成本!$D$15+AP61*产品成本!$D$16</f>
        <v>9.5774647887324</v>
      </c>
      <c r="AS61" s="163">
        <f>AO61*产品成本!$E$15+AP61*产品成本!$E$16</f>
        <v>0.56</v>
      </c>
      <c r="AT61" s="163">
        <f>AO61*产品成本!$F$15+AP61*产品成本!$F$16</f>
        <v>0.68</v>
      </c>
      <c r="AU61" s="163"/>
      <c r="AV61" s="163">
        <f t="shared" si="46"/>
        <v>7.51463414634146</v>
      </c>
      <c r="AW61" s="163">
        <f t="shared" si="47"/>
        <v>-1.50292682926829</v>
      </c>
      <c r="AX61" s="164">
        <f t="shared" si="48"/>
        <v>16.8291721058056</v>
      </c>
      <c r="AY61" s="169">
        <f t="shared" si="55"/>
        <v>353.948306767434</v>
      </c>
      <c r="AZ61" s="169">
        <f t="shared" si="49"/>
        <v>735.94</v>
      </c>
      <c r="BA61" s="169">
        <f t="shared" si="50"/>
        <v>685.84243902439</v>
      </c>
      <c r="BB61" s="168">
        <f t="shared" si="51"/>
        <v>69.5641322569564</v>
      </c>
      <c r="BC61" s="170">
        <f t="shared" si="56"/>
        <v>0.101428736833363</v>
      </c>
    </row>
    <row r="62" ht="29.1" customHeight="1" spans="1:58">
      <c r="A62" s="61" t="s">
        <v>254</v>
      </c>
      <c r="B62" s="81" t="s">
        <v>255</v>
      </c>
      <c r="C62" s="90">
        <v>31</v>
      </c>
      <c r="D62" s="91">
        <v>31</v>
      </c>
      <c r="E62" s="64">
        <v>870.37</v>
      </c>
      <c r="F62" s="148">
        <v>0</v>
      </c>
      <c r="G62" s="148">
        <v>0</v>
      </c>
      <c r="H62" s="64">
        <v>0</v>
      </c>
      <c r="I62" s="64">
        <v>0</v>
      </c>
      <c r="J62" s="149">
        <v>4</v>
      </c>
      <c r="K62" s="150">
        <f t="shared" si="31"/>
        <v>0.129032258064516</v>
      </c>
      <c r="L62" s="151">
        <v>93.88</v>
      </c>
      <c r="M62" s="152">
        <f t="shared" si="52"/>
        <v>0.148148148148148</v>
      </c>
      <c r="N62" s="150">
        <f t="shared" si="53"/>
        <v>0.148148148148148</v>
      </c>
      <c r="O62" s="150">
        <f t="shared" si="54"/>
        <v>0.173052818847123</v>
      </c>
      <c r="P62" s="153">
        <f t="shared" si="32"/>
        <v>1</v>
      </c>
      <c r="Q62" s="154">
        <f t="shared" si="33"/>
        <v>28.0764516129032</v>
      </c>
      <c r="R62" s="187">
        <f t="shared" si="34"/>
        <v>28.0764516129032</v>
      </c>
      <c r="S62" s="155">
        <f t="shared" si="35"/>
        <v>4.42857142857143</v>
      </c>
      <c r="T62" s="193">
        <f t="shared" si="36"/>
        <v>7</v>
      </c>
      <c r="U62" s="157">
        <f t="shared" si="37"/>
        <v>0.225806451612903</v>
      </c>
      <c r="V62" s="94">
        <f t="shared" si="38"/>
        <v>0.351861851856107</v>
      </c>
      <c r="W62" s="91">
        <v>58473</v>
      </c>
      <c r="X62" s="91">
        <v>304</v>
      </c>
      <c r="Y62" s="91">
        <v>24</v>
      </c>
      <c r="Z62" s="64">
        <v>306.25</v>
      </c>
      <c r="AA62" s="92">
        <v>690.14</v>
      </c>
      <c r="AB62" s="64">
        <v>1.01</v>
      </c>
      <c r="AC62" s="71">
        <f t="shared" si="39"/>
        <v>0.443750543368012</v>
      </c>
      <c r="AD62" s="72">
        <f t="shared" si="40"/>
        <v>0.00519898072614711</v>
      </c>
      <c r="AE62" s="159">
        <f t="shared" si="41"/>
        <v>0.0789473684210526</v>
      </c>
      <c r="AF62" s="154">
        <f t="shared" si="42"/>
        <v>12.7604166666667</v>
      </c>
      <c r="AG62" s="160">
        <v>6</v>
      </c>
      <c r="AH62" s="162">
        <v>25</v>
      </c>
      <c r="AI62" s="163">
        <f>AG62*产品成本!$D$15+AH62*产品成本!$D$16</f>
        <v>159.154929577465</v>
      </c>
      <c r="AJ62" s="163">
        <f>AG62*产品成本!$E$15+AH62*产品成本!$E$16</f>
        <v>9.44</v>
      </c>
      <c r="AK62" s="163">
        <f>AG62*产品成本!$F$15+AH62*产品成本!$F$16</f>
        <v>10.54</v>
      </c>
      <c r="AL62" s="163">
        <f>AG62*产品成本!$G$15+AH62*产品成本!$G$16</f>
        <v>120.9</v>
      </c>
      <c r="AM62" s="163">
        <f t="shared" si="43"/>
        <v>130.5555</v>
      </c>
      <c r="AN62" s="164">
        <f t="shared" si="44"/>
        <v>430.590429577465</v>
      </c>
      <c r="AO62" s="194">
        <v>0</v>
      </c>
      <c r="AP62" s="166">
        <v>4</v>
      </c>
      <c r="AQ62" s="167">
        <f t="shared" si="45"/>
        <v>114.487804878049</v>
      </c>
      <c r="AR62" s="163">
        <f>AO62*产品成本!$D$15+AP62*产品成本!$D$16</f>
        <v>21.4084507042254</v>
      </c>
      <c r="AS62" s="163">
        <f>AO62*产品成本!$E$15+AP62*产品成本!$E$16</f>
        <v>1.28</v>
      </c>
      <c r="AT62" s="163">
        <f>AO62*产品成本!$F$15+AP62*产品成本!$F$16</f>
        <v>1.36</v>
      </c>
      <c r="AU62" s="163"/>
      <c r="AV62" s="163">
        <f t="shared" si="46"/>
        <v>17.1731707317073</v>
      </c>
      <c r="AW62" s="163">
        <f t="shared" si="47"/>
        <v>-3.43463414634146</v>
      </c>
      <c r="AX62" s="164">
        <f t="shared" si="48"/>
        <v>37.7869872895912</v>
      </c>
      <c r="AY62" s="169">
        <f t="shared" si="55"/>
        <v>392.803442287874</v>
      </c>
      <c r="AZ62" s="169">
        <f t="shared" si="49"/>
        <v>870.37</v>
      </c>
      <c r="BA62" s="169">
        <f t="shared" si="50"/>
        <v>755.882195121951</v>
      </c>
      <c r="BB62" s="168">
        <f t="shared" si="51"/>
        <v>56.8287528340776</v>
      </c>
      <c r="BC62" s="170">
        <f t="shared" si="56"/>
        <v>0.0751820233375242</v>
      </c>
      <c r="BD62" s="191"/>
      <c r="BE62" s="191" t="s">
        <v>378</v>
      </c>
      <c r="BF62" s="191"/>
    </row>
    <row r="63" ht="29.1" customHeight="1" spans="1:58">
      <c r="A63" s="61" t="s">
        <v>258</v>
      </c>
      <c r="B63" s="81" t="s">
        <v>259</v>
      </c>
      <c r="C63" s="90">
        <v>28</v>
      </c>
      <c r="D63" s="91">
        <v>28</v>
      </c>
      <c r="E63" s="64">
        <v>744.18</v>
      </c>
      <c r="F63" s="148">
        <v>7</v>
      </c>
      <c r="G63" s="148">
        <v>7</v>
      </c>
      <c r="H63" s="64">
        <v>185.27</v>
      </c>
      <c r="I63" s="64">
        <v>26.47</v>
      </c>
      <c r="J63" s="149">
        <v>5</v>
      </c>
      <c r="K63" s="150">
        <f t="shared" ref="K63" si="57">J63/C63</f>
        <v>0.178571428571429</v>
      </c>
      <c r="L63" s="151">
        <v>124.49</v>
      </c>
      <c r="M63" s="152">
        <f t="shared" ref="M63" si="58">(C63-C62)/C62</f>
        <v>-0.0967741935483871</v>
      </c>
      <c r="N63" s="150">
        <f t="shared" ref="N63" si="59">(D63-D62)/D62</f>
        <v>-0.0967741935483871</v>
      </c>
      <c r="O63" s="150">
        <f t="shared" ref="O63" si="60">(E63-E62)/E62</f>
        <v>-0.144984317014603</v>
      </c>
      <c r="P63" s="153">
        <f t="shared" ref="P63" si="61">C63/D63</f>
        <v>1</v>
      </c>
      <c r="Q63" s="154">
        <f t="shared" ref="Q63" si="62">E63/D63</f>
        <v>26.5778571428571</v>
      </c>
      <c r="R63" s="187">
        <f t="shared" ref="R63" si="63">E63/C63</f>
        <v>26.5778571428571</v>
      </c>
      <c r="S63" s="155">
        <f t="shared" ref="S63" si="64">C63/7</f>
        <v>4</v>
      </c>
      <c r="T63" s="193">
        <f t="shared" ref="T63" si="65">D63-Y63</f>
        <v>9</v>
      </c>
      <c r="U63" s="157">
        <f t="shared" ref="U63" si="66">T63/D63</f>
        <v>0.321428571428571</v>
      </c>
      <c r="V63" s="94">
        <f t="shared" ref="V63" si="67">Z63/(E63-I63)</f>
        <v>0.377018572961224</v>
      </c>
      <c r="W63" s="91">
        <v>50412</v>
      </c>
      <c r="X63" s="91">
        <v>273</v>
      </c>
      <c r="Y63" s="91">
        <v>19</v>
      </c>
      <c r="Z63" s="64">
        <v>270.59</v>
      </c>
      <c r="AA63" s="92">
        <v>553.45</v>
      </c>
      <c r="AB63" s="64">
        <v>0.99</v>
      </c>
      <c r="AC63" s="71">
        <f t="shared" ref="AC63" si="68">Z63/AA63</f>
        <v>0.488914987803776</v>
      </c>
      <c r="AD63" s="72">
        <f t="shared" ref="AD63" si="69">X63/W63</f>
        <v>0.00541537729112116</v>
      </c>
      <c r="AE63" s="159">
        <f t="shared" ref="AE63" si="70">Y63/X63</f>
        <v>0.0695970695970696</v>
      </c>
      <c r="AF63" s="154">
        <f t="shared" ref="AF63" si="71">Z63/Y63</f>
        <v>14.2415789473684</v>
      </c>
      <c r="AG63" s="160">
        <v>3</v>
      </c>
      <c r="AH63" s="162">
        <v>25</v>
      </c>
      <c r="AI63" s="163">
        <f>AG63*产品成本!$D$15+AH63*产品成本!$D$16</f>
        <v>146.478873239437</v>
      </c>
      <c r="AJ63" s="163">
        <f>AG63*产品成本!$E$15+AH63*产品成本!$E$16</f>
        <v>8.72</v>
      </c>
      <c r="AK63" s="163">
        <f>AG63*产品成本!$F$15+AH63*产品成本!$F$16</f>
        <v>9.52</v>
      </c>
      <c r="AL63" s="163">
        <f>AG63*产品成本!$G$15+AH63*产品成本!$G$16</f>
        <v>109.2</v>
      </c>
      <c r="AM63" s="163">
        <f t="shared" ref="AM63" si="72">(E63-I63)*0.15</f>
        <v>107.6565</v>
      </c>
      <c r="AN63" s="164">
        <f t="shared" ref="AN63" si="73">SUM(AI63:AM63)</f>
        <v>381.575373239437</v>
      </c>
      <c r="AO63" s="194">
        <v>2</v>
      </c>
      <c r="AP63" s="166">
        <v>3</v>
      </c>
      <c r="AQ63" s="167">
        <f t="shared" ref="AQ63" si="74">L63/(1-0.15-0.15*0.2)</f>
        <v>151.817073170732</v>
      </c>
      <c r="AR63" s="163">
        <f>AO63*产品成本!$D$15+AP63*产品成本!$D$16</f>
        <v>24.5070422535211</v>
      </c>
      <c r="AS63" s="163">
        <f>AO63*产品成本!$E$15+AP63*产品成本!$E$16</f>
        <v>1.44</v>
      </c>
      <c r="AT63" s="163">
        <f>AO63*产品成本!$F$15+AP63*产品成本!$F$16</f>
        <v>1.7</v>
      </c>
      <c r="AU63" s="163"/>
      <c r="AV63" s="163">
        <f t="shared" ref="AV63" si="75">AQ63*0.15</f>
        <v>22.7725609756098</v>
      </c>
      <c r="AW63" s="163">
        <f t="shared" ref="AW63" si="76">-AV63*0.2</f>
        <v>-4.55451219512195</v>
      </c>
      <c r="AX63" s="164">
        <f t="shared" ref="AX63" si="77">SUM(AR63:AW63)</f>
        <v>45.8650910340089</v>
      </c>
      <c r="AY63" s="169">
        <f t="shared" ref="AY63" si="78">AN63-AX63</f>
        <v>335.710282205428</v>
      </c>
      <c r="AZ63" s="169">
        <f t="shared" ref="AZ63" si="79">E63-I63</f>
        <v>717.71</v>
      </c>
      <c r="BA63" s="169">
        <f t="shared" ref="BA63" si="80">E63-AQ63-I63</f>
        <v>565.892926829268</v>
      </c>
      <c r="BB63" s="168">
        <f t="shared" ref="BB63" si="81">BA63-AY63-Z63</f>
        <v>-40.4073553761596</v>
      </c>
      <c r="BC63" s="170">
        <f t="shared" ref="BC63" si="82">BB63/BA63</f>
        <v>-0.0714045952165623</v>
      </c>
      <c r="BD63" s="191"/>
      <c r="BE63" s="191" t="s">
        <v>378</v>
      </c>
      <c r="BF63" s="191"/>
    </row>
    <row r="64" ht="29.1" customHeight="1" spans="1:58">
      <c r="A64" s="61" t="s">
        <v>262</v>
      </c>
      <c r="B64" s="81" t="s">
        <v>263</v>
      </c>
      <c r="C64" s="90">
        <v>32</v>
      </c>
      <c r="D64" s="91">
        <v>32</v>
      </c>
      <c r="E64" s="64">
        <v>830.12</v>
      </c>
      <c r="F64" s="148">
        <v>22</v>
      </c>
      <c r="G64" s="148">
        <v>22</v>
      </c>
      <c r="H64" s="64">
        <v>570.32</v>
      </c>
      <c r="I64" s="64">
        <v>25.92</v>
      </c>
      <c r="J64" s="149">
        <v>3</v>
      </c>
      <c r="K64" s="150">
        <f t="shared" ref="K64" si="83">J64/C64</f>
        <v>0.09375</v>
      </c>
      <c r="L64" s="151">
        <v>68.68</v>
      </c>
      <c r="M64" s="152">
        <f t="shared" ref="M64" si="84">(C64-C63)/C63</f>
        <v>0.142857142857143</v>
      </c>
      <c r="N64" s="150">
        <f t="shared" ref="N64" si="85">(D64-D63)/D63</f>
        <v>0.142857142857143</v>
      </c>
      <c r="O64" s="150">
        <f t="shared" ref="O64" si="86">(E64-E63)/E63</f>
        <v>0.115482813297858</v>
      </c>
      <c r="P64" s="153">
        <f t="shared" ref="P64" si="87">C64/D64</f>
        <v>1</v>
      </c>
      <c r="Q64" s="154">
        <f t="shared" ref="Q64" si="88">E64/D64</f>
        <v>25.94125</v>
      </c>
      <c r="R64" s="187">
        <f t="shared" ref="R64" si="89">E64/C64</f>
        <v>25.94125</v>
      </c>
      <c r="S64" s="155">
        <f t="shared" ref="S64" si="90">C64/7</f>
        <v>4.57142857142857</v>
      </c>
      <c r="T64" s="193">
        <f t="shared" ref="T64" si="91">D64-Y64</f>
        <v>4</v>
      </c>
      <c r="U64" s="157">
        <f t="shared" ref="U64" si="92">T64/D64</f>
        <v>0.125</v>
      </c>
      <c r="V64" s="94">
        <f t="shared" ref="V64" si="93">Z64/(E64-I64)</f>
        <v>0.359661775677692</v>
      </c>
      <c r="W64" s="91">
        <v>49334</v>
      </c>
      <c r="X64" s="91">
        <v>286</v>
      </c>
      <c r="Y64" s="91">
        <v>28</v>
      </c>
      <c r="Z64" s="64">
        <v>289.24</v>
      </c>
      <c r="AA64" s="92">
        <v>744.27</v>
      </c>
      <c r="AB64" s="64">
        <v>1.01</v>
      </c>
      <c r="AC64" s="71">
        <f t="shared" ref="AC64" si="94">Z64/AA64</f>
        <v>0.388622408534537</v>
      </c>
      <c r="AD64" s="72">
        <f t="shared" ref="AD64" si="95">X64/W64</f>
        <v>0.00579721895650059</v>
      </c>
      <c r="AE64" s="159">
        <f t="shared" ref="AE64" si="96">Y64/X64</f>
        <v>0.0979020979020979</v>
      </c>
      <c r="AF64" s="154">
        <f t="shared" ref="AF64" si="97">Z64/Y64</f>
        <v>10.33</v>
      </c>
      <c r="AG64" s="160">
        <v>10</v>
      </c>
      <c r="AH64" s="162">
        <v>22</v>
      </c>
      <c r="AI64" s="163">
        <f>AG64*产品成本!$D$15+AH64*产品成本!$D$16</f>
        <v>160</v>
      </c>
      <c r="AJ64" s="163">
        <f>AG64*产品成本!$E$15+AH64*产品成本!$E$16</f>
        <v>9.44</v>
      </c>
      <c r="AK64" s="163">
        <f>AG64*产品成本!$F$15+AH64*产品成本!$F$16</f>
        <v>10.88</v>
      </c>
      <c r="AL64" s="163">
        <f>AG64*产品成本!$G$15+AH64*产品成本!$G$16</f>
        <v>124.8</v>
      </c>
      <c r="AM64" s="163">
        <f t="shared" ref="AM64" si="98">(E64-I64)*0.15</f>
        <v>120.63</v>
      </c>
      <c r="AN64" s="164">
        <f t="shared" ref="AN64" si="99">SUM(AI64:AM64)</f>
        <v>425.75</v>
      </c>
      <c r="AO64" s="194">
        <v>0</v>
      </c>
      <c r="AP64" s="166">
        <v>3</v>
      </c>
      <c r="AQ64" s="167">
        <f t="shared" ref="AQ64" si="100">L64/(1-0.15-0.15*0.2)</f>
        <v>83.7560975609756</v>
      </c>
      <c r="AR64" s="163">
        <f>AO64*产品成本!$D$15+AP64*产品成本!$D$16</f>
        <v>16.056338028169</v>
      </c>
      <c r="AS64" s="163">
        <f>AO64*产品成本!$E$15+AP64*产品成本!$E$16</f>
        <v>0.96</v>
      </c>
      <c r="AT64" s="163">
        <f>AO64*产品成本!$F$15+AP64*产品成本!$F$16</f>
        <v>1.02</v>
      </c>
      <c r="AU64" s="163"/>
      <c r="AV64" s="163">
        <f t="shared" ref="AV64" si="101">AQ64*0.15</f>
        <v>12.5634146341463</v>
      </c>
      <c r="AW64" s="163">
        <f t="shared" ref="AW64" si="102">-AV64*0.2</f>
        <v>-2.51268292682927</v>
      </c>
      <c r="AX64" s="164">
        <f t="shared" ref="AX64" si="103">SUM(AR64:AW64)</f>
        <v>28.0870697354861</v>
      </c>
      <c r="AY64" s="169">
        <f t="shared" ref="AY64" si="104">AN64-AX64</f>
        <v>397.662930264514</v>
      </c>
      <c r="AZ64" s="169">
        <f t="shared" ref="AZ64" si="105">E64-I64</f>
        <v>804.2</v>
      </c>
      <c r="BA64" s="169">
        <f t="shared" ref="BA64" si="106">E64-AQ64-I64</f>
        <v>720.443902439024</v>
      </c>
      <c r="BB64" s="168">
        <f t="shared" ref="BB64" si="107">BA64-AY64-Z64</f>
        <v>33.5409721745104</v>
      </c>
      <c r="BC64" s="170">
        <f t="shared" ref="BC64" si="108">BB64/BA64</f>
        <v>0.0465559803628836</v>
      </c>
      <c r="BD64" s="191"/>
      <c r="BE64" s="191" t="s">
        <v>378</v>
      </c>
      <c r="BF64" s="191"/>
    </row>
    <row r="65" ht="29.1" customHeight="1" spans="1:58">
      <c r="A65" s="61" t="s">
        <v>266</v>
      </c>
      <c r="B65" s="81" t="s">
        <v>267</v>
      </c>
      <c r="C65" s="90">
        <v>30</v>
      </c>
      <c r="D65" s="91">
        <v>29</v>
      </c>
      <c r="E65" s="64">
        <v>794.9</v>
      </c>
      <c r="F65" s="148">
        <v>23</v>
      </c>
      <c r="G65" s="148">
        <v>22</v>
      </c>
      <c r="H65" s="64">
        <v>609.63</v>
      </c>
      <c r="I65" s="64">
        <v>26.51</v>
      </c>
      <c r="J65" s="149">
        <v>3</v>
      </c>
      <c r="K65" s="150">
        <f t="shared" ref="K65" si="109">J65/C65</f>
        <v>0.1</v>
      </c>
      <c r="L65" s="151">
        <v>61.5</v>
      </c>
      <c r="M65" s="152">
        <f t="shared" ref="M65" si="110">(C65-C64)/C64</f>
        <v>-0.0625</v>
      </c>
      <c r="N65" s="150">
        <f t="shared" ref="N65" si="111">(D65-D64)/D64</f>
        <v>-0.09375</v>
      </c>
      <c r="O65" s="150">
        <f t="shared" ref="O65" si="112">(E65-E64)/E64</f>
        <v>-0.0424276008287959</v>
      </c>
      <c r="P65" s="153">
        <f t="shared" ref="P65" si="113">C65/D65</f>
        <v>1.03448275862069</v>
      </c>
      <c r="Q65" s="154">
        <f t="shared" ref="Q65" si="114">E65/D65</f>
        <v>27.4103448275862</v>
      </c>
      <c r="R65" s="187">
        <f t="shared" ref="R65" si="115">E65/C65</f>
        <v>26.4966666666667</v>
      </c>
      <c r="S65" s="155">
        <f t="shared" ref="S65" si="116">C65/7</f>
        <v>4.28571428571429</v>
      </c>
      <c r="T65" s="193">
        <f t="shared" ref="T65" si="117">D65-Y65</f>
        <v>1</v>
      </c>
      <c r="U65" s="157">
        <f t="shared" ref="U65" si="118">T65/D65</f>
        <v>0.0344827586206897</v>
      </c>
      <c r="V65" s="94">
        <f t="shared" ref="V65" si="119">Z65/(E65-I65)</f>
        <v>0.379026275719361</v>
      </c>
      <c r="W65" s="91">
        <v>45965</v>
      </c>
      <c r="X65" s="91">
        <v>307</v>
      </c>
      <c r="Y65" s="91">
        <v>28</v>
      </c>
      <c r="Z65" s="64">
        <v>291.24</v>
      </c>
      <c r="AA65" s="92">
        <v>778.34</v>
      </c>
      <c r="AB65" s="64">
        <v>0.95</v>
      </c>
      <c r="AC65" s="71">
        <f t="shared" ref="AC65" si="120">Z65/AA65</f>
        <v>0.374180949199579</v>
      </c>
      <c r="AD65" s="72">
        <f t="shared" ref="AD65" si="121">X65/W65</f>
        <v>0.00667899488741434</v>
      </c>
      <c r="AE65" s="159">
        <f t="shared" ref="AE65" si="122">Y65/X65</f>
        <v>0.0912052117263844</v>
      </c>
      <c r="AF65" s="154">
        <f t="shared" ref="AF65" si="123">Z65/Y65</f>
        <v>10.4014285714286</v>
      </c>
      <c r="AG65" s="160">
        <v>4</v>
      </c>
      <c r="AH65" s="162">
        <v>26</v>
      </c>
      <c r="AI65" s="163">
        <f>AG65*产品成本!$D$15+AH65*产品成本!$D$16</f>
        <v>156.056338028169</v>
      </c>
      <c r="AJ65" s="163">
        <f>AG65*产品成本!$E$15+AH65*产品成本!$E$16</f>
        <v>9.28</v>
      </c>
      <c r="AK65" s="163">
        <f>AG65*产品成本!$F$15+AH65*产品成本!$F$16</f>
        <v>10.2</v>
      </c>
      <c r="AL65" s="163">
        <f>AG65*产品成本!$G$15+AH65*产品成本!$G$16</f>
        <v>117</v>
      </c>
      <c r="AM65" s="163">
        <f t="shared" ref="AM65" si="124">(E65-I65)*0.15</f>
        <v>115.2585</v>
      </c>
      <c r="AN65" s="164">
        <f t="shared" ref="AN65" si="125">SUM(AI65:AM65)</f>
        <v>407.794838028169</v>
      </c>
      <c r="AO65" s="194">
        <v>1</v>
      </c>
      <c r="AP65" s="166">
        <v>2</v>
      </c>
      <c r="AQ65" s="167">
        <f t="shared" ref="AQ65" si="126">L65/(1-0.15-0.15*0.2)</f>
        <v>75</v>
      </c>
      <c r="AR65" s="163">
        <f>AO65*产品成本!$D$15+AP65*产品成本!$D$16</f>
        <v>14.9295774647887</v>
      </c>
      <c r="AS65" s="163">
        <f>AO65*产品成本!$E$15+AP65*产品成本!$E$16</f>
        <v>0.88</v>
      </c>
      <c r="AT65" s="163">
        <f>AO65*产品成本!$F$15+AP65*产品成本!$F$16</f>
        <v>1.02</v>
      </c>
      <c r="AU65" s="163"/>
      <c r="AV65" s="163">
        <f t="shared" ref="AV65" si="127">AQ65*0.15</f>
        <v>11.25</v>
      </c>
      <c r="AW65" s="163">
        <f t="shared" ref="AW65" si="128">-AV65*0.2</f>
        <v>-2.25</v>
      </c>
      <c r="AX65" s="164">
        <f t="shared" ref="AX65" si="129">SUM(AR65:AW65)</f>
        <v>25.8295774647887</v>
      </c>
      <c r="AY65" s="169">
        <f t="shared" ref="AY65" si="130">AN65-AX65</f>
        <v>381.96526056338</v>
      </c>
      <c r="AZ65" s="169">
        <f t="shared" ref="AZ65" si="131">E65-I65</f>
        <v>768.39</v>
      </c>
      <c r="BA65" s="169">
        <f t="shared" ref="BA65" si="132">E65-AQ65-I65</f>
        <v>693.39</v>
      </c>
      <c r="BB65" s="168">
        <f t="shared" ref="BB65" si="133">BA65-AY65-Z65</f>
        <v>20.1847394366197</v>
      </c>
      <c r="BC65" s="170">
        <f t="shared" ref="BC65" si="134">BB65/BA65</f>
        <v>0.0291102257555195</v>
      </c>
      <c r="BD65" s="191" t="s">
        <v>379</v>
      </c>
      <c r="BE65" s="191" t="s">
        <v>378</v>
      </c>
      <c r="BF65" s="191" t="s">
        <v>380</v>
      </c>
    </row>
    <row r="66" ht="29.1" customHeight="1" spans="1:58">
      <c r="A66" s="174" t="s">
        <v>270</v>
      </c>
      <c r="B66" s="175"/>
      <c r="C66" s="175">
        <f>SUBTOTAL(109,表3_3914[销量])</f>
        <v>1561</v>
      </c>
      <c r="D66" s="175">
        <f>SUBTOTAL(109,表3_3914[订单量])</f>
        <v>1541</v>
      </c>
      <c r="E66" s="175">
        <f>SUBTOTAL(109,表3_3914[销售额])</f>
        <v>39975.3</v>
      </c>
      <c r="F66" s="175">
        <f>SUBTOTAL(109,表3_3914[促销销量])</f>
        <v>204</v>
      </c>
      <c r="G66" s="175">
        <f>SUBTOTAL(109,表3_3914[促销订单量])</f>
        <v>201</v>
      </c>
      <c r="H66" s="175">
        <f>SUBTOTAL(109,表3_3914[促销销售额])</f>
        <v>5179.44</v>
      </c>
      <c r="I66" s="175">
        <f>SUBTOTAL(109,表3_3914[促销折扣])</f>
        <v>557.94</v>
      </c>
      <c r="J66" s="175">
        <f>SUBTOTAL(109,表3_3914[退款量])</f>
        <v>142</v>
      </c>
      <c r="K66" s="176">
        <f t="shared" si="31"/>
        <v>0.0909673286354901</v>
      </c>
      <c r="L66" s="177">
        <f>SUBTOTAL(109,表3_3914[退款金额])</f>
        <v>3070.01</v>
      </c>
      <c r="M66" s="175"/>
      <c r="N66" s="175"/>
      <c r="O66" s="175"/>
      <c r="P66" s="178">
        <f>SUBTOTAL(101,表3_3914[客单
销量])</f>
        <v>1.01101999531904</v>
      </c>
      <c r="Q66" s="178">
        <f>SUBTOTAL(101,表3_3914[客单
价格($)])</f>
        <v>26.1223682942506</v>
      </c>
      <c r="R66" s="178">
        <f>SUBTOTAL(101,表3_3914[销售
均价($)])</f>
        <v>25.8323762649314</v>
      </c>
      <c r="S66" s="178">
        <f>SUBTOTAL(101,表3_3914[日均
销量])</f>
        <v>3.59677419354839</v>
      </c>
      <c r="T66" s="179">
        <f>SUBTOTAL(109,表3_3914[自然
订单])</f>
        <v>412</v>
      </c>
      <c r="U66" s="180">
        <f t="shared" si="37"/>
        <v>0.267358857884491</v>
      </c>
      <c r="V66" s="176">
        <f>SUBTOTAL(101,表3_3914[TAcos
(%)])</f>
        <v>0.354595510812565</v>
      </c>
      <c r="W66" s="175">
        <f>SUBTOTAL(109,表3_3914[展示])</f>
        <v>2165311</v>
      </c>
      <c r="X66" s="175">
        <f>SUBTOTAL(109,表3_3914[点击])</f>
        <v>13536</v>
      </c>
      <c r="Y66" s="175">
        <f>SUBTOTAL(109,表3_3914[广告订单量])</f>
        <v>1129</v>
      </c>
      <c r="Z66" s="175">
        <f>SUBTOTAL(109,表3_3914[广告花费])</f>
        <v>12960.25</v>
      </c>
      <c r="AA66" s="175">
        <f>SUBTOTAL(109,表3_3914[广告销售额])</f>
        <v>28853.94</v>
      </c>
      <c r="AB66" s="175">
        <f>SUBTOTAL(101,表3_3914[CPC])</f>
        <v>0.929193548387097</v>
      </c>
      <c r="AC66" s="176">
        <f t="shared" si="39"/>
        <v>0.449167427394664</v>
      </c>
      <c r="AD66" s="176">
        <f t="shared" ref="AD66:AF66" si="135">X66/W66</f>
        <v>0.00625129600320693</v>
      </c>
      <c r="AE66" s="176">
        <f t="shared" si="135"/>
        <v>0.0834072104018913</v>
      </c>
      <c r="AF66" s="178">
        <f t="shared" si="135"/>
        <v>11.479406554473</v>
      </c>
      <c r="AG66" s="175">
        <f>SUBTOTAL(109,表3_3914[3FT])</f>
        <v>241</v>
      </c>
      <c r="AH66" s="175">
        <f>SUBTOTAL(109,表3_3914[6FT])</f>
        <v>1318</v>
      </c>
      <c r="AI66" s="177">
        <f>SUBTOTAL(109,表3_3914[产品成本])</f>
        <v>8072.39436619719</v>
      </c>
      <c r="AJ66" s="177">
        <f>SUBTOTAL(109,表3_3914[头程])</f>
        <v>479.6</v>
      </c>
      <c r="AK66" s="177">
        <f>SUBTOTAL(109,表3_3914[入仓费])</f>
        <v>530.06</v>
      </c>
      <c r="AL66" s="177">
        <f>SUBTOTAL(109,表3_3914[FBA物流])</f>
        <v>6080.1</v>
      </c>
      <c r="AM66" s="177">
        <f>SUBTOTAL(109,表3_3914[佣金])</f>
        <v>5912.604</v>
      </c>
      <c r="AN66" s="177">
        <f>SUBTOTAL(109,表3_3914[成本小结])</f>
        <v>21074.7583661972</v>
      </c>
      <c r="AO66" s="182">
        <f>SUBTOTAL(109,表3_3914[退款3FT])</f>
        <v>33</v>
      </c>
      <c r="AP66" s="182">
        <f>SUBTOTAL(109,表3_3914[退款6FT])</f>
        <v>110</v>
      </c>
      <c r="AQ66" s="177">
        <f>SUBTOTAL(109,表3_3914[退款
销售金额])</f>
        <v>3743.91463414634</v>
      </c>
      <c r="AR66" s="177">
        <f>SUBTOTAL(109,表3_3914[退款
产品成本])</f>
        <v>728.169014084507</v>
      </c>
      <c r="AS66" s="177">
        <f>SUBTOTAL(109,表3_3914[退款头程])</f>
        <v>43.12</v>
      </c>
      <c r="AT66" s="177">
        <f>SUBTOTAL(109,表3_3914[退款
入仓费])</f>
        <v>48.62</v>
      </c>
      <c r="AU66" s="177">
        <f>SUBTOTAL(109,表3_3914[退款
FBA物流])</f>
        <v>0</v>
      </c>
      <c r="AV66" s="177">
        <f>SUBTOTAL(109,表3_3914[退款佣金])</f>
        <v>561.587195121951</v>
      </c>
      <c r="AW66" s="177">
        <f>SUBTOTAL(109,表3_3914[退款
管理费用
佣金的20%])</f>
        <v>-112.31743902439</v>
      </c>
      <c r="AX66" s="177">
        <f>SUBTOTAL(109,表3_3914[退款
成本小结])</f>
        <v>1269.17877018207</v>
      </c>
      <c r="AY66" s="177">
        <f>SUBTOTAL(109,表3_3914[净成本])</f>
        <v>19805.5795960151</v>
      </c>
      <c r="AZ66" s="177">
        <f>SUBTOTAL(109,表3_3914[净销售额])</f>
        <v>39417.36</v>
      </c>
      <c r="BA66" s="177">
        <f>SUBTOTAL(109,表3_3914[净销售额
(-退款金额)])</f>
        <v>35673.4453658537</v>
      </c>
      <c r="BB66" s="177">
        <f>SUBTOTAL(109,表3_3914[毛利])</f>
        <v>2907.61576983854</v>
      </c>
      <c r="BC66" s="176">
        <f>SUBTOTAL(101,表3_3914[毛利率])</f>
        <v>0.0423499746944359</v>
      </c>
      <c r="BE66" t="s">
        <v>381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M4:O6" evalError="1"/>
    <ignoredError sqref="AY11:AY20 AY4:AY7 BC4:BC7 BC11:BC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884029663991"/>
  </sheetPr>
  <dimension ref="A1:BE57"/>
  <sheetViews>
    <sheetView workbookViewId="0">
      <pane xSplit="12" ySplit="3" topLeftCell="AW46" activePane="bottomRight" state="frozen"/>
      <selection/>
      <selection pane="topRight"/>
      <selection pane="bottomLeft"/>
      <selection pane="bottomRight" activeCell="AW52" sqref="AW52"/>
    </sheetView>
  </sheetViews>
  <sheetFormatPr defaultColWidth="9" defaultRowHeight="13.5" customHeight="1" zero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  <col min="57" max="57" width="17.125" customWidth="1"/>
  </cols>
  <sheetData>
    <row r="1" ht="29.1" customHeight="1" spans="1:57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2"/>
      <c r="AO1" s="113" t="s">
        <v>4</v>
      </c>
      <c r="AP1" s="115"/>
      <c r="AQ1" s="115"/>
      <c r="AR1" s="115"/>
      <c r="AS1" s="115"/>
      <c r="AT1" s="115"/>
      <c r="AU1" s="115"/>
      <c r="AV1" s="115"/>
      <c r="AW1" s="115"/>
      <c r="AX1" s="115"/>
      <c r="AY1" s="116" t="s">
        <v>5</v>
      </c>
      <c r="AZ1" s="117"/>
      <c r="BA1" s="117"/>
      <c r="BB1" s="117"/>
      <c r="BC1" s="117"/>
    </row>
    <row r="2" ht="12.95" customHeight="1" spans="1:57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4"/>
      <c r="AI2" s="125" t="s">
        <v>7</v>
      </c>
      <c r="AJ2" s="125"/>
      <c r="AK2" s="125"/>
      <c r="AL2" s="125"/>
      <c r="AM2" s="125"/>
      <c r="AN2" s="125"/>
      <c r="AO2" s="126" t="s">
        <v>6</v>
      </c>
      <c r="AP2" s="128"/>
      <c r="AQ2" s="129" t="s">
        <v>7</v>
      </c>
      <c r="AR2" s="129"/>
      <c r="AS2" s="129"/>
      <c r="AT2" s="129"/>
      <c r="AU2" s="129"/>
      <c r="AV2" s="129"/>
      <c r="AW2" s="129"/>
      <c r="AX2" s="129"/>
      <c r="AY2" s="116"/>
      <c r="AZ2" s="117"/>
      <c r="BA2" s="117"/>
      <c r="BB2" s="117"/>
      <c r="BC2" s="117"/>
    </row>
    <row r="3" ht="29.1" customHeight="1" spans="1:57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83" t="s">
        <v>382</v>
      </c>
      <c r="AH3" s="184" t="s">
        <v>383</v>
      </c>
      <c r="AI3" s="139" t="s">
        <v>43</v>
      </c>
      <c r="AJ3" s="139" t="s">
        <v>44</v>
      </c>
      <c r="AK3" s="139" t="s">
        <v>45</v>
      </c>
      <c r="AL3" s="139" t="s">
        <v>46</v>
      </c>
      <c r="AM3" s="139" t="s">
        <v>47</v>
      </c>
      <c r="AN3" s="140" t="s">
        <v>48</v>
      </c>
      <c r="AO3" s="185" t="s">
        <v>384</v>
      </c>
      <c r="AP3" s="186" t="s">
        <v>385</v>
      </c>
      <c r="AQ3" s="144" t="s">
        <v>52</v>
      </c>
      <c r="AR3" s="144" t="s">
        <v>53</v>
      </c>
      <c r="AS3" s="144" t="s">
        <v>54</v>
      </c>
      <c r="AT3" s="144" t="s">
        <v>55</v>
      </c>
      <c r="AU3" s="144" t="s">
        <v>56</v>
      </c>
      <c r="AV3" s="145" t="s">
        <v>57</v>
      </c>
      <c r="AW3" s="144" t="s">
        <v>58</v>
      </c>
      <c r="AX3" s="144" t="s">
        <v>59</v>
      </c>
      <c r="AY3" s="146" t="s">
        <v>60</v>
      </c>
      <c r="AZ3" s="146" t="s">
        <v>61</v>
      </c>
      <c r="BA3" s="146" t="s">
        <v>62</v>
      </c>
      <c r="BB3" s="147" t="s">
        <v>63</v>
      </c>
      <c r="BC3" s="147" t="s">
        <v>64</v>
      </c>
      <c r="BD3" s="1" t="s">
        <v>66</v>
      </c>
      <c r="BE3" t="s">
        <v>280</v>
      </c>
    </row>
    <row r="4" ht="29.1" customHeight="1" spans="1:57">
      <c r="A4" s="61" t="s">
        <v>128</v>
      </c>
      <c r="B4" s="89" t="s">
        <v>129</v>
      </c>
      <c r="C4" s="90">
        <v>1</v>
      </c>
      <c r="D4" s="91">
        <v>1</v>
      </c>
      <c r="E4" s="64">
        <v>25.89</v>
      </c>
      <c r="F4" s="148"/>
      <c r="G4" s="148"/>
      <c r="H4" s="64"/>
      <c r="I4" s="64"/>
      <c r="J4" s="149">
        <v>0</v>
      </c>
      <c r="K4" s="150">
        <f t="shared" ref="K4:K35" si="0"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 t="shared" ref="P4:P35" si="1">C4/D4</f>
        <v>1</v>
      </c>
      <c r="Q4" s="154">
        <f t="shared" ref="Q4:Q35" si="2">E4/D4</f>
        <v>25.89</v>
      </c>
      <c r="R4" s="187">
        <f t="shared" ref="R4:R35" si="3">E4/C4</f>
        <v>25.89</v>
      </c>
      <c r="S4" s="155">
        <f t="shared" ref="S4:S29" si="4">C4/7</f>
        <v>0.142857142857143</v>
      </c>
      <c r="T4" s="156">
        <f t="shared" ref="T4:T12" si="5">D4-Y4</f>
        <v>-2</v>
      </c>
      <c r="U4" s="157">
        <f t="shared" ref="U4:U35" si="6">T4/D4</f>
        <v>-2</v>
      </c>
      <c r="V4" s="94">
        <f t="shared" ref="V4:V35" si="7">Z4/(E4-I4)</f>
        <v>0.886442641946698</v>
      </c>
      <c r="W4" s="91">
        <v>3623</v>
      </c>
      <c r="X4" s="91">
        <v>23</v>
      </c>
      <c r="Y4" s="91">
        <v>3</v>
      </c>
      <c r="Z4" s="64">
        <v>22.95</v>
      </c>
      <c r="AA4" s="92">
        <v>67.47</v>
      </c>
      <c r="AB4" s="91">
        <v>1</v>
      </c>
      <c r="AC4" s="71">
        <f t="shared" ref="AC4:AC35" si="8">Z4/AA4</f>
        <v>0.340151178301467</v>
      </c>
      <c r="AD4" s="72">
        <f t="shared" ref="AD4:AD35" si="9">X4/W4</f>
        <v>0.00634833011316588</v>
      </c>
      <c r="AE4" s="159">
        <f t="shared" ref="AE4:AE35" si="10">Y4/X4</f>
        <v>0.130434782608696</v>
      </c>
      <c r="AF4" s="154">
        <f t="shared" ref="AF4:AF35" si="11">Z4/Y4</f>
        <v>7.65</v>
      </c>
      <c r="AG4" s="160">
        <v>1</v>
      </c>
      <c r="AH4" s="162"/>
      <c r="AI4" s="163">
        <f>AG4*产品成本!$D$17+AH4*产品成本!$D$18</f>
        <v>5.63</v>
      </c>
      <c r="AJ4" s="163">
        <f>AG4*产品成本!$E$17+AH4*产品成本!$E$18</f>
        <v>0.32</v>
      </c>
      <c r="AK4" s="163">
        <f>AG4*产品成本!$F$17+AH4*产品成本!$F$18</f>
        <v>0.34</v>
      </c>
      <c r="AL4" s="163">
        <f>AG4*产品成本!$G$17+AH4*产品成本!$G$18</f>
        <v>3.9</v>
      </c>
      <c r="AM4" s="163">
        <f t="shared" ref="AM4:AM35" si="12">(E4-I4)*0.15</f>
        <v>3.8835</v>
      </c>
      <c r="AN4" s="164">
        <f t="shared" ref="AN4:AN35" si="13">SUM(AI4:AM4)</f>
        <v>14.0735</v>
      </c>
      <c r="AO4" s="165">
        <v>0</v>
      </c>
      <c r="AP4" s="166"/>
      <c r="AQ4" s="188">
        <f>AO4*产品成本!$D$17+AP4*产品成本!$D$18</f>
        <v>0</v>
      </c>
      <c r="AR4" s="189">
        <f>AO4*产品成本!$E$17+AP4*产品成本!$E$18</f>
        <v>0</v>
      </c>
      <c r="AS4" s="189">
        <f>AO4*产品成本!$F$17+AP4*产品成本!$F$18</f>
        <v>0</v>
      </c>
      <c r="AT4" s="189">
        <f>AO4*产品成本!$G$17+AP4*产品成本!$G$18</f>
        <v>0</v>
      </c>
      <c r="AU4" s="189"/>
      <c r="AV4" s="189">
        <f t="shared" ref="AV4:AV35" si="14">AQ4*0.15</f>
        <v>0</v>
      </c>
      <c r="AW4" s="189">
        <f t="shared" ref="AW4:AW35" si="15">-AV4*0.2</f>
        <v>0</v>
      </c>
      <c r="AX4" s="164">
        <f t="shared" ref="AX4:AX29" si="16">SUM(AR4:AW4)</f>
        <v>0</v>
      </c>
      <c r="AY4" s="169">
        <f t="shared" ref="AY4:AY29" si="17">AN4-AX4</f>
        <v>14.0735</v>
      </c>
      <c r="AZ4" s="169">
        <f t="shared" ref="AZ4:AZ35" si="18">E4-I4</f>
        <v>25.89</v>
      </c>
      <c r="BA4" s="169">
        <f t="shared" ref="BA4:BA35" si="19">E4-AQ4-I4</f>
        <v>25.89</v>
      </c>
      <c r="BB4" s="168">
        <f t="shared" ref="BB4:BB12" si="20">BA4-AY4-Z4</f>
        <v>-11.1335</v>
      </c>
      <c r="BC4" s="170">
        <f t="shared" ref="BC4:BC12" si="21">BB4/BA4</f>
        <v>-0.430030899961375</v>
      </c>
    </row>
    <row r="5" ht="29.1" customHeight="1" spans="1:57">
      <c r="A5" s="61" t="s">
        <v>130</v>
      </c>
      <c r="B5" s="89" t="s">
        <v>131</v>
      </c>
      <c r="C5" s="90">
        <v>9</v>
      </c>
      <c r="D5" s="91">
        <v>9</v>
      </c>
      <c r="E5" s="64">
        <v>233.01</v>
      </c>
      <c r="F5" s="148"/>
      <c r="G5" s="148"/>
      <c r="H5" s="64"/>
      <c r="I5" s="64"/>
      <c r="J5" s="149">
        <v>0</v>
      </c>
      <c r="K5" s="150">
        <f t="shared" si="0"/>
        <v>0</v>
      </c>
      <c r="L5" s="151">
        <v>0</v>
      </c>
      <c r="M5" s="152">
        <f t="shared" ref="M5:M12" si="22">(C5-C4)/C4</f>
        <v>8</v>
      </c>
      <c r="N5" s="150">
        <f t="shared" ref="N5:N12" si="23">(D5-D4)/D4</f>
        <v>8</v>
      </c>
      <c r="O5" s="150">
        <f t="shared" ref="O5:O12" si="24">(E5-E4)/E4</f>
        <v>8</v>
      </c>
      <c r="P5" s="153">
        <f t="shared" si="1"/>
        <v>1</v>
      </c>
      <c r="Q5" s="154">
        <f t="shared" si="2"/>
        <v>25.89</v>
      </c>
      <c r="R5" s="187">
        <f t="shared" si="3"/>
        <v>25.89</v>
      </c>
      <c r="S5" s="155">
        <f t="shared" si="4"/>
        <v>1.28571428571429</v>
      </c>
      <c r="T5" s="156">
        <f t="shared" si="5"/>
        <v>1</v>
      </c>
      <c r="U5" s="157">
        <f t="shared" si="6"/>
        <v>0.111111111111111</v>
      </c>
      <c r="V5" s="94">
        <f t="shared" si="7"/>
        <v>0.903652203768079</v>
      </c>
      <c r="W5" s="91">
        <v>23992</v>
      </c>
      <c r="X5" s="91">
        <v>187</v>
      </c>
      <c r="Y5" s="91">
        <v>8</v>
      </c>
      <c r="Z5" s="64">
        <v>210.56</v>
      </c>
      <c r="AA5" s="92">
        <v>207.12</v>
      </c>
      <c r="AB5" s="91">
        <v>1.13</v>
      </c>
      <c r="AC5" s="71">
        <f t="shared" si="8"/>
        <v>1.01660872923909</v>
      </c>
      <c r="AD5" s="72">
        <f t="shared" si="9"/>
        <v>0.00779426475491831</v>
      </c>
      <c r="AE5" s="159">
        <f t="shared" si="10"/>
        <v>0.0427807486631016</v>
      </c>
      <c r="AF5" s="154">
        <f t="shared" si="11"/>
        <v>26.32</v>
      </c>
      <c r="AG5" s="160">
        <v>9</v>
      </c>
      <c r="AH5" s="162"/>
      <c r="AI5" s="163">
        <f>AG5*产品成本!$D$17+AH5*产品成本!$D$18</f>
        <v>50.67</v>
      </c>
      <c r="AJ5" s="163">
        <f>AG5*产品成本!$E$17+AH5*产品成本!$E$18</f>
        <v>2.88</v>
      </c>
      <c r="AK5" s="163">
        <f>AG5*产品成本!$F$17+AH5*产品成本!$F$18</f>
        <v>3.06</v>
      </c>
      <c r="AL5" s="163">
        <f>AG5*产品成本!$G$17+AH5*产品成本!$G$18</f>
        <v>35.1</v>
      </c>
      <c r="AM5" s="163">
        <f t="shared" si="12"/>
        <v>34.9515</v>
      </c>
      <c r="AN5" s="164">
        <f t="shared" si="13"/>
        <v>126.6615</v>
      </c>
      <c r="AO5" s="165">
        <v>0</v>
      </c>
      <c r="AP5" s="166"/>
      <c r="AQ5" s="188">
        <f>AO5*产品成本!$D$17+AP5*产品成本!$D$18</f>
        <v>0</v>
      </c>
      <c r="AR5" s="189">
        <f>AO5*产品成本!$E$17+AP5*产品成本!$E$18</f>
        <v>0</v>
      </c>
      <c r="AS5" s="189">
        <f>AO5*产品成本!$F$17+AP5*产品成本!$F$18</f>
        <v>0</v>
      </c>
      <c r="AT5" s="189">
        <f>AO5*产品成本!$G$17+AP5*产品成本!$G$18</f>
        <v>0</v>
      </c>
      <c r="AU5" s="189"/>
      <c r="AV5" s="189">
        <f t="shared" si="14"/>
        <v>0</v>
      </c>
      <c r="AW5" s="189">
        <f t="shared" si="15"/>
        <v>0</v>
      </c>
      <c r="AX5" s="164">
        <f t="shared" si="16"/>
        <v>0</v>
      </c>
      <c r="AY5" s="169">
        <f t="shared" si="17"/>
        <v>126.6615</v>
      </c>
      <c r="AZ5" s="169">
        <f t="shared" si="18"/>
        <v>233.01</v>
      </c>
      <c r="BA5" s="169">
        <f t="shared" si="19"/>
        <v>233.01</v>
      </c>
      <c r="BB5" s="168">
        <f t="shared" si="20"/>
        <v>-104.2115</v>
      </c>
      <c r="BC5" s="170">
        <f t="shared" si="21"/>
        <v>-0.447240461782756</v>
      </c>
    </row>
    <row r="6" ht="29.1" customHeight="1" spans="1:57">
      <c r="A6" s="61" t="s">
        <v>133</v>
      </c>
      <c r="B6" s="89" t="s">
        <v>134</v>
      </c>
      <c r="C6" s="90">
        <v>13</v>
      </c>
      <c r="D6" s="91">
        <v>13</v>
      </c>
      <c r="E6" s="64">
        <v>336.57</v>
      </c>
      <c r="F6" s="148"/>
      <c r="G6" s="148"/>
      <c r="H6" s="64"/>
      <c r="I6" s="64"/>
      <c r="J6" s="149">
        <v>0</v>
      </c>
      <c r="K6" s="150">
        <f t="shared" si="0"/>
        <v>0</v>
      </c>
      <c r="L6" s="151">
        <v>0</v>
      </c>
      <c r="M6" s="152">
        <f t="shared" si="22"/>
        <v>0.444444444444444</v>
      </c>
      <c r="N6" s="150">
        <f t="shared" si="23"/>
        <v>0.444444444444444</v>
      </c>
      <c r="O6" s="150">
        <f t="shared" si="24"/>
        <v>0.444444444444444</v>
      </c>
      <c r="P6" s="153">
        <f t="shared" si="1"/>
        <v>1</v>
      </c>
      <c r="Q6" s="154">
        <f t="shared" si="2"/>
        <v>25.89</v>
      </c>
      <c r="R6" s="187">
        <f t="shared" si="3"/>
        <v>25.89</v>
      </c>
      <c r="S6" s="155">
        <f t="shared" si="4"/>
        <v>1.85714285714286</v>
      </c>
      <c r="T6" s="156">
        <f t="shared" si="5"/>
        <v>9</v>
      </c>
      <c r="U6" s="157">
        <f t="shared" si="6"/>
        <v>0.692307692307692</v>
      </c>
      <c r="V6" s="94">
        <f t="shared" si="7"/>
        <v>0.24093056422141</v>
      </c>
      <c r="W6" s="91">
        <v>5571</v>
      </c>
      <c r="X6" s="91">
        <v>94</v>
      </c>
      <c r="Y6" s="91">
        <v>4</v>
      </c>
      <c r="Z6" s="64">
        <v>81.09</v>
      </c>
      <c r="AA6" s="92" t="s">
        <v>386</v>
      </c>
      <c r="AB6" s="91">
        <v>0.86</v>
      </c>
      <c r="AC6" s="71" t="e">
        <f t="shared" si="8"/>
        <v>#VALUE!</v>
      </c>
      <c r="AD6" s="72">
        <f t="shared" si="9"/>
        <v>0.0168730928020104</v>
      </c>
      <c r="AE6" s="159">
        <f t="shared" si="10"/>
        <v>0.0425531914893617</v>
      </c>
      <c r="AF6" s="154">
        <f t="shared" si="11"/>
        <v>20.2725</v>
      </c>
      <c r="AG6" s="160">
        <v>13</v>
      </c>
      <c r="AH6" s="162"/>
      <c r="AI6" s="163">
        <f>AG6*产品成本!$D$17+AH6*产品成本!$D$18</f>
        <v>73.19</v>
      </c>
      <c r="AJ6" s="163">
        <f>AG6*产品成本!$E$17+AH6*产品成本!$E$18</f>
        <v>4.16</v>
      </c>
      <c r="AK6" s="163">
        <f>AG6*产品成本!$F$17+AH6*产品成本!$F$18</f>
        <v>4.42</v>
      </c>
      <c r="AL6" s="163">
        <f>AG6*产品成本!$G$17+AH6*产品成本!$G$18</f>
        <v>50.7</v>
      </c>
      <c r="AM6" s="163">
        <f t="shared" si="12"/>
        <v>50.4855</v>
      </c>
      <c r="AN6" s="164">
        <f t="shared" si="13"/>
        <v>182.9555</v>
      </c>
      <c r="AO6" s="165">
        <v>0</v>
      </c>
      <c r="AP6" s="166"/>
      <c r="AQ6" s="188">
        <f>AO6*产品成本!$D$17+AP6*产品成本!$D$18</f>
        <v>0</v>
      </c>
      <c r="AR6" s="189">
        <f>AO6*产品成本!$E$17+AP6*产品成本!$E$18</f>
        <v>0</v>
      </c>
      <c r="AS6" s="189">
        <f>AO6*产品成本!$F$17+AP6*产品成本!$F$18</f>
        <v>0</v>
      </c>
      <c r="AT6" s="189">
        <f>AO6*产品成本!$G$17+AP6*产品成本!$G$18</f>
        <v>0</v>
      </c>
      <c r="AU6" s="189"/>
      <c r="AV6" s="189">
        <f t="shared" si="14"/>
        <v>0</v>
      </c>
      <c r="AW6" s="189">
        <f t="shared" si="15"/>
        <v>0</v>
      </c>
      <c r="AX6" s="164">
        <f t="shared" si="16"/>
        <v>0</v>
      </c>
      <c r="AY6" s="169">
        <f t="shared" si="17"/>
        <v>182.9555</v>
      </c>
      <c r="AZ6" s="169">
        <f t="shared" si="18"/>
        <v>336.57</v>
      </c>
      <c r="BA6" s="169">
        <f t="shared" si="19"/>
        <v>336.57</v>
      </c>
      <c r="BB6" s="168">
        <f t="shared" si="20"/>
        <v>72.5245</v>
      </c>
      <c r="BC6" s="170">
        <f t="shared" si="21"/>
        <v>0.215481177763912</v>
      </c>
    </row>
    <row r="7" ht="29.1" customHeight="1" spans="1:57">
      <c r="A7" s="61" t="s">
        <v>136</v>
      </c>
      <c r="B7" s="89" t="s">
        <v>137</v>
      </c>
      <c r="C7" s="90">
        <v>25</v>
      </c>
      <c r="D7" s="91">
        <v>23</v>
      </c>
      <c r="E7" s="64">
        <v>587.68</v>
      </c>
      <c r="F7" s="148"/>
      <c r="G7" s="148"/>
      <c r="H7" s="64"/>
      <c r="I7" s="64"/>
      <c r="J7" s="149">
        <v>0</v>
      </c>
      <c r="K7" s="150">
        <f t="shared" si="0"/>
        <v>0</v>
      </c>
      <c r="L7" s="151">
        <v>0</v>
      </c>
      <c r="M7" s="152">
        <f t="shared" si="22"/>
        <v>0.923076923076923</v>
      </c>
      <c r="N7" s="150">
        <f t="shared" si="23"/>
        <v>0.769230769230769</v>
      </c>
      <c r="O7" s="150">
        <f t="shared" si="24"/>
        <v>0.746085509700805</v>
      </c>
      <c r="P7" s="153">
        <f t="shared" si="1"/>
        <v>1.08695652173913</v>
      </c>
      <c r="Q7" s="154">
        <f t="shared" si="2"/>
        <v>25.5513043478261</v>
      </c>
      <c r="R7" s="187">
        <f t="shared" si="3"/>
        <v>23.5072</v>
      </c>
      <c r="S7" s="155">
        <f t="shared" si="4"/>
        <v>3.57142857142857</v>
      </c>
      <c r="T7" s="156">
        <f t="shared" si="5"/>
        <v>4</v>
      </c>
      <c r="U7" s="157">
        <f t="shared" si="6"/>
        <v>0.173913043478261</v>
      </c>
      <c r="V7" s="94">
        <f t="shared" si="7"/>
        <v>0.421930302205282</v>
      </c>
      <c r="W7" s="91">
        <v>13993</v>
      </c>
      <c r="X7" s="91">
        <v>268</v>
      </c>
      <c r="Y7" s="91">
        <v>19</v>
      </c>
      <c r="Z7" s="64">
        <v>247.96</v>
      </c>
      <c r="AA7" s="92">
        <v>494.48</v>
      </c>
      <c r="AB7" s="91">
        <v>0.93</v>
      </c>
      <c r="AC7" s="71">
        <f t="shared" si="8"/>
        <v>0.501456075068759</v>
      </c>
      <c r="AD7" s="72">
        <f t="shared" si="9"/>
        <v>0.0191524333595369</v>
      </c>
      <c r="AE7" s="159">
        <f t="shared" si="10"/>
        <v>0.0708955223880597</v>
      </c>
      <c r="AF7" s="154">
        <f t="shared" si="11"/>
        <v>13.0505263157895</v>
      </c>
      <c r="AG7" s="160">
        <v>25</v>
      </c>
      <c r="AH7" s="162"/>
      <c r="AI7" s="163">
        <f>AG7*产品成本!$D$17+AH7*产品成本!$D$18</f>
        <v>140.75</v>
      </c>
      <c r="AJ7" s="163">
        <f>AG7*产品成本!$E$17+AH7*产品成本!$E$18</f>
        <v>8</v>
      </c>
      <c r="AK7" s="163">
        <f>AG7*产品成本!$F$17+AH7*产品成本!$F$18</f>
        <v>8.5</v>
      </c>
      <c r="AL7" s="163">
        <f>AG7*产品成本!$G$17+AH7*产品成本!$G$18</f>
        <v>97.5</v>
      </c>
      <c r="AM7" s="163">
        <f t="shared" si="12"/>
        <v>88.152</v>
      </c>
      <c r="AN7" s="164">
        <f t="shared" si="13"/>
        <v>342.902</v>
      </c>
      <c r="AO7" s="165">
        <v>0</v>
      </c>
      <c r="AP7" s="166"/>
      <c r="AQ7" s="188">
        <f>AO7*产品成本!$D$17+AP7*产品成本!$D$18</f>
        <v>0</v>
      </c>
      <c r="AR7" s="189">
        <f>AO7*产品成本!$E$17+AP7*产品成本!$E$18</f>
        <v>0</v>
      </c>
      <c r="AS7" s="189">
        <f>AO7*产品成本!$F$17+AP7*产品成本!$F$18</f>
        <v>0</v>
      </c>
      <c r="AT7" s="189">
        <f>AO7*产品成本!$G$17+AP7*产品成本!$G$18</f>
        <v>0</v>
      </c>
      <c r="AU7" s="189"/>
      <c r="AV7" s="189">
        <f t="shared" si="14"/>
        <v>0</v>
      </c>
      <c r="AW7" s="189">
        <f t="shared" si="15"/>
        <v>0</v>
      </c>
      <c r="AX7" s="164">
        <f t="shared" si="16"/>
        <v>0</v>
      </c>
      <c r="AY7" s="169">
        <f t="shared" si="17"/>
        <v>342.902</v>
      </c>
      <c r="AZ7" s="169">
        <f t="shared" si="18"/>
        <v>587.68</v>
      </c>
      <c r="BA7" s="169">
        <f t="shared" si="19"/>
        <v>587.68</v>
      </c>
      <c r="BB7" s="168">
        <f t="shared" si="20"/>
        <v>-3.18200000000004</v>
      </c>
      <c r="BC7" s="170">
        <f t="shared" si="21"/>
        <v>-0.00541451129866602</v>
      </c>
      <c r="BD7" t="s">
        <v>387</v>
      </c>
      <c r="BE7" t="s">
        <v>91</v>
      </c>
    </row>
    <row r="8" ht="29.1" customHeight="1" spans="1:57">
      <c r="A8" s="61" t="s">
        <v>139</v>
      </c>
      <c r="B8" s="89" t="s">
        <v>140</v>
      </c>
      <c r="C8" s="90">
        <v>17</v>
      </c>
      <c r="D8" s="91">
        <v>17</v>
      </c>
      <c r="E8" s="64">
        <v>446.36</v>
      </c>
      <c r="F8" s="148"/>
      <c r="G8" s="148"/>
      <c r="H8" s="64"/>
      <c r="I8" s="64"/>
      <c r="J8" s="149">
        <v>2</v>
      </c>
      <c r="K8" s="150">
        <f t="shared" si="0"/>
        <v>0.117647058823529</v>
      </c>
      <c r="L8" s="151">
        <v>41</v>
      </c>
      <c r="M8" s="152">
        <f t="shared" si="22"/>
        <v>-0.32</v>
      </c>
      <c r="N8" s="150">
        <f t="shared" si="23"/>
        <v>-0.260869565217391</v>
      </c>
      <c r="O8" s="150">
        <f t="shared" si="24"/>
        <v>-0.240471004628369</v>
      </c>
      <c r="P8" s="153">
        <f t="shared" si="1"/>
        <v>1</v>
      </c>
      <c r="Q8" s="154">
        <f t="shared" si="2"/>
        <v>26.2564705882353</v>
      </c>
      <c r="R8" s="187">
        <f t="shared" si="3"/>
        <v>26.2564705882353</v>
      </c>
      <c r="S8" s="155">
        <f t="shared" si="4"/>
        <v>2.42857142857143</v>
      </c>
      <c r="T8" s="156">
        <f t="shared" si="5"/>
        <v>-3</v>
      </c>
      <c r="U8" s="157">
        <f t="shared" si="6"/>
        <v>-0.176470588235294</v>
      </c>
      <c r="V8" s="94">
        <f t="shared" si="7"/>
        <v>0.814499507124294</v>
      </c>
      <c r="W8" s="91">
        <v>14788</v>
      </c>
      <c r="X8" s="91">
        <v>386</v>
      </c>
      <c r="Y8" s="91">
        <v>20</v>
      </c>
      <c r="Z8" s="64">
        <v>363.56</v>
      </c>
      <c r="AA8" s="92">
        <v>535.22</v>
      </c>
      <c r="AB8" s="91">
        <v>0.94</v>
      </c>
      <c r="AC8" s="71">
        <f t="shared" si="8"/>
        <v>0.679272075034565</v>
      </c>
      <c r="AD8" s="72">
        <f t="shared" si="9"/>
        <v>0.0261022450635651</v>
      </c>
      <c r="AE8" s="159">
        <f t="shared" si="10"/>
        <v>0.0518134715025907</v>
      </c>
      <c r="AF8" s="154">
        <f t="shared" si="11"/>
        <v>18.178</v>
      </c>
      <c r="AG8" s="160">
        <v>17</v>
      </c>
      <c r="AH8" s="162"/>
      <c r="AI8" s="163">
        <f>AG8*产品成本!$D$17+AH8*产品成本!$D$18</f>
        <v>95.71</v>
      </c>
      <c r="AJ8" s="163">
        <f>AG8*产品成本!$E$17+AH8*产品成本!$E$18</f>
        <v>5.44</v>
      </c>
      <c r="AK8" s="163">
        <f>AG8*产品成本!$F$17+AH8*产品成本!$F$18</f>
        <v>5.78</v>
      </c>
      <c r="AL8" s="163">
        <f>AG8*产品成本!$G$17+AH8*产品成本!$G$18</f>
        <v>66.3</v>
      </c>
      <c r="AM8" s="163">
        <f t="shared" si="12"/>
        <v>66.954</v>
      </c>
      <c r="AN8" s="164">
        <f t="shared" si="13"/>
        <v>240.184</v>
      </c>
      <c r="AO8" s="165">
        <v>2</v>
      </c>
      <c r="AP8" s="166"/>
      <c r="AQ8" s="188">
        <f>AO8*产品成本!$D$17+AP8*产品成本!$D$18</f>
        <v>11.26</v>
      </c>
      <c r="AR8" s="189">
        <f>AO8*产品成本!$E$17+AP8*产品成本!$E$18</f>
        <v>0.64</v>
      </c>
      <c r="AS8" s="189">
        <f>AO8*产品成本!$F$17+AP8*产品成本!$F$18</f>
        <v>0.68</v>
      </c>
      <c r="AT8" s="189">
        <f>AO8*产品成本!$G$17+AP8*产品成本!$G$18</f>
        <v>7.8</v>
      </c>
      <c r="AU8" s="189"/>
      <c r="AV8" s="189">
        <f t="shared" si="14"/>
        <v>1.689</v>
      </c>
      <c r="AW8" s="189">
        <f t="shared" si="15"/>
        <v>-0.3378</v>
      </c>
      <c r="AX8" s="164">
        <f t="shared" si="16"/>
        <v>10.4712</v>
      </c>
      <c r="AY8" s="169">
        <f t="shared" si="17"/>
        <v>229.7128</v>
      </c>
      <c r="AZ8" s="169">
        <f t="shared" si="18"/>
        <v>446.36</v>
      </c>
      <c r="BA8" s="169">
        <f t="shared" si="19"/>
        <v>435.1</v>
      </c>
      <c r="BB8" s="168">
        <f t="shared" si="20"/>
        <v>-158.1728</v>
      </c>
      <c r="BC8" s="170">
        <f t="shared" si="21"/>
        <v>-0.363532061595035</v>
      </c>
      <c r="BD8" t="s">
        <v>388</v>
      </c>
      <c r="BE8" t="s">
        <v>94</v>
      </c>
    </row>
    <row r="9" ht="29.1" customHeight="1" spans="1:57">
      <c r="A9" s="61" t="s">
        <v>142</v>
      </c>
      <c r="B9" s="89" t="s">
        <v>143</v>
      </c>
      <c r="C9" s="90">
        <v>15</v>
      </c>
      <c r="D9" s="91">
        <v>14</v>
      </c>
      <c r="E9" s="64">
        <v>397.99</v>
      </c>
      <c r="F9" s="148"/>
      <c r="G9" s="148"/>
      <c r="H9" s="64"/>
      <c r="I9" s="64"/>
      <c r="J9" s="149">
        <v>3</v>
      </c>
      <c r="K9" s="150">
        <f t="shared" si="0"/>
        <v>0.2</v>
      </c>
      <c r="L9" s="151">
        <v>64.67</v>
      </c>
      <c r="M9" s="152">
        <f t="shared" si="22"/>
        <v>-0.117647058823529</v>
      </c>
      <c r="N9" s="150">
        <f t="shared" si="23"/>
        <v>-0.176470588235294</v>
      </c>
      <c r="O9" s="150">
        <f t="shared" si="24"/>
        <v>-0.108365444932342</v>
      </c>
      <c r="P9" s="153">
        <f t="shared" si="1"/>
        <v>1.07142857142857</v>
      </c>
      <c r="Q9" s="154">
        <f t="shared" si="2"/>
        <v>28.4278571428571</v>
      </c>
      <c r="R9" s="187">
        <f t="shared" si="3"/>
        <v>26.5326666666667</v>
      </c>
      <c r="S9" s="155">
        <f t="shared" si="4"/>
        <v>2.14285714285714</v>
      </c>
      <c r="T9" s="156">
        <f t="shared" si="5"/>
        <v>4</v>
      </c>
      <c r="U9" s="157">
        <f t="shared" si="6"/>
        <v>0.285714285714286</v>
      </c>
      <c r="V9" s="94">
        <f t="shared" si="7"/>
        <v>0.935149124349858</v>
      </c>
      <c r="W9" s="91">
        <v>21556</v>
      </c>
      <c r="X9" s="91">
        <v>421</v>
      </c>
      <c r="Y9" s="91">
        <v>10</v>
      </c>
      <c r="Z9" s="64">
        <v>372.18</v>
      </c>
      <c r="AA9" s="92">
        <v>293.11</v>
      </c>
      <c r="AB9" s="91">
        <v>0.89</v>
      </c>
      <c r="AC9" s="71">
        <f t="shared" si="8"/>
        <v>1.26976220531541</v>
      </c>
      <c r="AD9" s="72">
        <f t="shared" si="9"/>
        <v>0.0195305251438115</v>
      </c>
      <c r="AE9" s="159">
        <f t="shared" si="10"/>
        <v>0.0237529691211401</v>
      </c>
      <c r="AF9" s="154">
        <f t="shared" si="11"/>
        <v>37.218</v>
      </c>
      <c r="AG9" s="160">
        <v>15</v>
      </c>
      <c r="AH9" s="162"/>
      <c r="AI9" s="163">
        <f>AG9*产品成本!$D$17+AH9*产品成本!$D$18</f>
        <v>84.45</v>
      </c>
      <c r="AJ9" s="163">
        <f>AG9*产品成本!$E$17+AH9*产品成本!$E$18</f>
        <v>4.8</v>
      </c>
      <c r="AK9" s="163">
        <f>AG9*产品成本!$F$17+AH9*产品成本!$F$18</f>
        <v>5.1</v>
      </c>
      <c r="AL9" s="163">
        <f>AG9*产品成本!$G$17+AH9*产品成本!$G$18</f>
        <v>58.5</v>
      </c>
      <c r="AM9" s="163">
        <f t="shared" si="12"/>
        <v>59.6985</v>
      </c>
      <c r="AN9" s="164">
        <f t="shared" si="13"/>
        <v>212.5485</v>
      </c>
      <c r="AO9" s="165">
        <v>3</v>
      </c>
      <c r="AP9" s="166"/>
      <c r="AQ9" s="188">
        <f>AO9*产品成本!$D$17+AP9*产品成本!$D$18</f>
        <v>16.89</v>
      </c>
      <c r="AR9" s="189">
        <f>AO9*产品成本!$E$17+AP9*产品成本!$E$18</f>
        <v>0.96</v>
      </c>
      <c r="AS9" s="189">
        <f>AO9*产品成本!$F$17+AP9*产品成本!$F$18</f>
        <v>1.02</v>
      </c>
      <c r="AT9" s="189">
        <f>AO9*产品成本!$G$17+AP9*产品成本!$G$18</f>
        <v>11.7</v>
      </c>
      <c r="AU9" s="189"/>
      <c r="AV9" s="189">
        <f t="shared" si="14"/>
        <v>2.5335</v>
      </c>
      <c r="AW9" s="189">
        <f t="shared" si="15"/>
        <v>-0.5067</v>
      </c>
      <c r="AX9" s="164">
        <f t="shared" si="16"/>
        <v>15.7068</v>
      </c>
      <c r="AY9" s="169">
        <f t="shared" si="17"/>
        <v>196.8417</v>
      </c>
      <c r="AZ9" s="169">
        <f t="shared" si="18"/>
        <v>397.99</v>
      </c>
      <c r="BA9" s="169">
        <f t="shared" si="19"/>
        <v>381.1</v>
      </c>
      <c r="BB9" s="168">
        <f t="shared" si="20"/>
        <v>-187.9217</v>
      </c>
      <c r="BC9" s="170">
        <f t="shared" si="21"/>
        <v>-0.493103384938336</v>
      </c>
      <c r="BD9" t="s">
        <v>389</v>
      </c>
      <c r="BE9" t="s">
        <v>94</v>
      </c>
    </row>
    <row r="10" ht="29.1" customHeight="1" spans="1:57">
      <c r="A10" s="61" t="s">
        <v>144</v>
      </c>
      <c r="B10" s="89" t="s">
        <v>145</v>
      </c>
      <c r="C10" s="90">
        <v>24</v>
      </c>
      <c r="D10" s="91">
        <v>24</v>
      </c>
      <c r="E10" s="64">
        <f>645.36*0.9</f>
        <v>580.824</v>
      </c>
      <c r="F10" s="148"/>
      <c r="G10" s="148"/>
      <c r="H10" s="64"/>
      <c r="I10" s="64"/>
      <c r="J10" s="149">
        <v>2</v>
      </c>
      <c r="K10" s="150">
        <f t="shared" si="0"/>
        <v>0.0833333333333333</v>
      </c>
      <c r="L10" s="151">
        <v>47.34</v>
      </c>
      <c r="M10" s="152">
        <f t="shared" si="22"/>
        <v>0.6</v>
      </c>
      <c r="N10" s="150">
        <f t="shared" si="23"/>
        <v>0.714285714285714</v>
      </c>
      <c r="O10" s="150">
        <f t="shared" si="24"/>
        <v>0.459393452096787</v>
      </c>
      <c r="P10" s="153">
        <f t="shared" si="1"/>
        <v>1</v>
      </c>
      <c r="Q10" s="154">
        <f t="shared" si="2"/>
        <v>24.201</v>
      </c>
      <c r="R10" s="187">
        <f t="shared" si="3"/>
        <v>24.201</v>
      </c>
      <c r="S10" s="155">
        <f t="shared" si="4"/>
        <v>3.42857142857143</v>
      </c>
      <c r="T10" s="156">
        <f t="shared" si="5"/>
        <v>6</v>
      </c>
      <c r="U10" s="157">
        <f t="shared" si="6"/>
        <v>0.25</v>
      </c>
      <c r="V10" s="94">
        <f t="shared" si="7"/>
        <v>0.619154855859951</v>
      </c>
      <c r="W10" s="91">
        <v>25003</v>
      </c>
      <c r="X10" s="91">
        <v>432</v>
      </c>
      <c r="Y10" s="91">
        <v>18</v>
      </c>
      <c r="Z10" s="64">
        <v>359.62</v>
      </c>
      <c r="AA10" s="92">
        <v>484.02</v>
      </c>
      <c r="AB10" s="91">
        <v>0.83</v>
      </c>
      <c r="AC10" s="71">
        <f t="shared" si="8"/>
        <v>0.742985827031941</v>
      </c>
      <c r="AD10" s="72">
        <f t="shared" si="9"/>
        <v>0.0172779266488021</v>
      </c>
      <c r="AE10" s="159">
        <f t="shared" si="10"/>
        <v>0.0416666666666667</v>
      </c>
      <c r="AF10" s="154">
        <f t="shared" si="11"/>
        <v>19.9788888888889</v>
      </c>
      <c r="AG10" s="160">
        <v>24</v>
      </c>
      <c r="AH10" s="162"/>
      <c r="AI10" s="163">
        <f>AG10*产品成本!$D$17+AH10*产品成本!$D$18</f>
        <v>135.12</v>
      </c>
      <c r="AJ10" s="163">
        <f>AG10*产品成本!$E$17+AH10*产品成本!$E$18</f>
        <v>7.68</v>
      </c>
      <c r="AK10" s="163">
        <f>AG10*产品成本!$F$17+AH10*产品成本!$F$18</f>
        <v>8.16</v>
      </c>
      <c r="AL10" s="163">
        <f>AG10*产品成本!$G$17+AH10*产品成本!$G$18</f>
        <v>93.6</v>
      </c>
      <c r="AM10" s="163">
        <f t="shared" si="12"/>
        <v>87.1236</v>
      </c>
      <c r="AN10" s="164">
        <f t="shared" si="13"/>
        <v>331.6836</v>
      </c>
      <c r="AO10" s="165">
        <v>2</v>
      </c>
      <c r="AP10" s="166"/>
      <c r="AQ10" s="188">
        <f>AO10*产品成本!$D$17+AP10*产品成本!$D$18</f>
        <v>11.26</v>
      </c>
      <c r="AR10" s="189">
        <f>AO10*产品成本!$E$17+AP10*产品成本!$E$18</f>
        <v>0.64</v>
      </c>
      <c r="AS10" s="189">
        <f>AO10*产品成本!$F$17+AP10*产品成本!$F$18</f>
        <v>0.68</v>
      </c>
      <c r="AT10" s="189">
        <f>AO10*产品成本!$G$17+AP10*产品成本!$G$18</f>
        <v>7.8</v>
      </c>
      <c r="AU10" s="189"/>
      <c r="AV10" s="189">
        <f t="shared" si="14"/>
        <v>1.689</v>
      </c>
      <c r="AW10" s="189">
        <f t="shared" si="15"/>
        <v>-0.3378</v>
      </c>
      <c r="AX10" s="164">
        <f t="shared" si="16"/>
        <v>10.4712</v>
      </c>
      <c r="AY10" s="169">
        <f t="shared" si="17"/>
        <v>321.2124</v>
      </c>
      <c r="AZ10" s="169">
        <f t="shared" si="18"/>
        <v>580.824</v>
      </c>
      <c r="BA10" s="169">
        <f t="shared" si="19"/>
        <v>569.564</v>
      </c>
      <c r="BB10" s="168">
        <f t="shared" si="20"/>
        <v>-111.2684</v>
      </c>
      <c r="BC10" s="170">
        <f t="shared" si="21"/>
        <v>-0.195357150381695</v>
      </c>
      <c r="BD10" t="s">
        <v>390</v>
      </c>
      <c r="BE10" t="s">
        <v>391</v>
      </c>
    </row>
    <row r="11" ht="29.1" customHeight="1" spans="1:57">
      <c r="A11" s="61" t="s">
        <v>147</v>
      </c>
      <c r="B11" s="89" t="s">
        <v>148</v>
      </c>
      <c r="C11" s="90">
        <v>17</v>
      </c>
      <c r="D11" s="91">
        <v>17</v>
      </c>
      <c r="E11" s="64">
        <v>411.4</v>
      </c>
      <c r="F11" s="148"/>
      <c r="G11" s="148"/>
      <c r="H11" s="64"/>
      <c r="I11" s="64"/>
      <c r="J11" s="149">
        <v>1</v>
      </c>
      <c r="K11" s="150">
        <f t="shared" si="0"/>
        <v>0.0588235294117647</v>
      </c>
      <c r="L11" s="151">
        <v>23.67</v>
      </c>
      <c r="M11" s="152">
        <f t="shared" si="22"/>
        <v>-0.291666666666667</v>
      </c>
      <c r="N11" s="150">
        <f t="shared" si="23"/>
        <v>-0.291666666666667</v>
      </c>
      <c r="O11" s="150">
        <f t="shared" si="24"/>
        <v>-0.291695935429666</v>
      </c>
      <c r="P11" s="153">
        <f t="shared" si="1"/>
        <v>1</v>
      </c>
      <c r="Q11" s="154">
        <f t="shared" si="2"/>
        <v>24.2</v>
      </c>
      <c r="R11" s="187">
        <f t="shared" si="3"/>
        <v>24.2</v>
      </c>
      <c r="S11" s="155">
        <f t="shared" si="4"/>
        <v>2.42857142857143</v>
      </c>
      <c r="T11" s="156">
        <f t="shared" si="5"/>
        <v>4</v>
      </c>
      <c r="U11" s="157">
        <f t="shared" si="6"/>
        <v>0.235294117647059</v>
      </c>
      <c r="V11" s="94">
        <f t="shared" si="7"/>
        <v>1.17377248420029</v>
      </c>
      <c r="W11" s="91">
        <v>22037</v>
      </c>
      <c r="X11" s="91">
        <v>436</v>
      </c>
      <c r="Y11" s="91">
        <v>13</v>
      </c>
      <c r="Z11" s="64">
        <v>482.89</v>
      </c>
      <c r="AA11" s="92">
        <v>314.6</v>
      </c>
      <c r="AB11" s="91">
        <v>1.11</v>
      </c>
      <c r="AC11" s="71">
        <f t="shared" si="8"/>
        <v>1.53493324856961</v>
      </c>
      <c r="AD11" s="72">
        <f t="shared" si="9"/>
        <v>0.0197849072015247</v>
      </c>
      <c r="AE11" s="159">
        <f t="shared" si="10"/>
        <v>0.0298165137614679</v>
      </c>
      <c r="AF11" s="154">
        <f t="shared" si="11"/>
        <v>37.1453846153846</v>
      </c>
      <c r="AG11" s="160">
        <v>17</v>
      </c>
      <c r="AH11" s="162"/>
      <c r="AI11" s="163">
        <f>AG11*产品成本!$D$17+AH11*产品成本!$D$18</f>
        <v>95.71</v>
      </c>
      <c r="AJ11" s="163">
        <f>AG11*产品成本!$E$17+AH11*产品成本!$E$18</f>
        <v>5.44</v>
      </c>
      <c r="AK11" s="163">
        <f>AG11*产品成本!$F$17+AH11*产品成本!$F$18</f>
        <v>5.78</v>
      </c>
      <c r="AL11" s="163">
        <f>AG11*产品成本!$G$17+AH11*产品成本!$G$18</f>
        <v>66.3</v>
      </c>
      <c r="AM11" s="163">
        <f t="shared" si="12"/>
        <v>61.71</v>
      </c>
      <c r="AN11" s="164">
        <f t="shared" si="13"/>
        <v>234.94</v>
      </c>
      <c r="AO11" s="165">
        <v>1</v>
      </c>
      <c r="AP11" s="166"/>
      <c r="AQ11" s="188">
        <f>AO11*产品成本!$D$17+AP11*产品成本!$D$18</f>
        <v>5.63</v>
      </c>
      <c r="AR11" s="189">
        <f>AO11*产品成本!$E$17+AP11*产品成本!$E$18</f>
        <v>0.32</v>
      </c>
      <c r="AS11" s="189">
        <f>AO11*产品成本!$F$17+AP11*产品成本!$F$18</f>
        <v>0.34</v>
      </c>
      <c r="AT11" s="189">
        <f>AO11*产品成本!$G$17+AP11*产品成本!$G$18</f>
        <v>3.9</v>
      </c>
      <c r="AU11" s="189"/>
      <c r="AV11" s="189">
        <f t="shared" si="14"/>
        <v>0.8445</v>
      </c>
      <c r="AW11" s="189">
        <f t="shared" si="15"/>
        <v>-0.1689</v>
      </c>
      <c r="AX11" s="164">
        <f t="shared" si="16"/>
        <v>5.2356</v>
      </c>
      <c r="AY11" s="169">
        <f t="shared" si="17"/>
        <v>229.7044</v>
      </c>
      <c r="AZ11" s="169">
        <f t="shared" si="18"/>
        <v>411.4</v>
      </c>
      <c r="BA11" s="169">
        <f t="shared" si="19"/>
        <v>405.77</v>
      </c>
      <c r="BB11" s="168">
        <f t="shared" si="20"/>
        <v>-306.8244</v>
      </c>
      <c r="BC11" s="170">
        <f t="shared" si="21"/>
        <v>-0.756153485964955</v>
      </c>
      <c r="BD11" t="s">
        <v>392</v>
      </c>
    </row>
    <row r="12" ht="29.1" customHeight="1" spans="1:57">
      <c r="A12" s="61" t="s">
        <v>150</v>
      </c>
      <c r="B12" s="89" t="s">
        <v>151</v>
      </c>
      <c r="C12" s="90">
        <v>5</v>
      </c>
      <c r="D12" s="91">
        <v>5</v>
      </c>
      <c r="E12" s="64">
        <v>126.38</v>
      </c>
      <c r="F12" s="148"/>
      <c r="G12" s="148"/>
      <c r="H12" s="64"/>
      <c r="I12" s="64"/>
      <c r="J12" s="149">
        <v>8</v>
      </c>
      <c r="K12" s="150">
        <f t="shared" si="0"/>
        <v>1.6</v>
      </c>
      <c r="L12" s="151">
        <v>171.55</v>
      </c>
      <c r="M12" s="152">
        <f t="shared" si="22"/>
        <v>-0.705882352941177</v>
      </c>
      <c r="N12" s="150">
        <f t="shared" si="23"/>
        <v>-0.705882352941177</v>
      </c>
      <c r="O12" s="150">
        <f t="shared" si="24"/>
        <v>-0.69280505590666</v>
      </c>
      <c r="P12" s="153">
        <f t="shared" si="1"/>
        <v>1</v>
      </c>
      <c r="Q12" s="154">
        <f t="shared" si="2"/>
        <v>25.276</v>
      </c>
      <c r="R12" s="187">
        <f t="shared" si="3"/>
        <v>25.276</v>
      </c>
      <c r="S12" s="155">
        <f t="shared" si="4"/>
        <v>0.714285714285714</v>
      </c>
      <c r="T12" s="156">
        <f t="shared" si="5"/>
        <v>1</v>
      </c>
      <c r="U12" s="157">
        <f t="shared" si="6"/>
        <v>0.2</v>
      </c>
      <c r="V12" s="94">
        <f t="shared" si="7"/>
        <v>1.10444690615604</v>
      </c>
      <c r="W12" s="91">
        <v>8091</v>
      </c>
      <c r="X12" s="91">
        <v>135</v>
      </c>
      <c r="Y12" s="91">
        <v>4</v>
      </c>
      <c r="Z12" s="64">
        <v>139.58</v>
      </c>
      <c r="AA12" s="92">
        <v>104.87</v>
      </c>
      <c r="AB12" s="91">
        <v>1.03</v>
      </c>
      <c r="AC12" s="71">
        <f t="shared" si="8"/>
        <v>1.33098121483742</v>
      </c>
      <c r="AD12" s="72">
        <f t="shared" si="9"/>
        <v>0.0166852057842047</v>
      </c>
      <c r="AE12" s="159">
        <f t="shared" si="10"/>
        <v>0.0296296296296296</v>
      </c>
      <c r="AF12" s="154">
        <f t="shared" si="11"/>
        <v>34.895</v>
      </c>
      <c r="AG12" s="160">
        <v>5</v>
      </c>
      <c r="AH12" s="162"/>
      <c r="AI12" s="163">
        <f>AG12*产品成本!$D$17+AH12*产品成本!$D$18</f>
        <v>28.15</v>
      </c>
      <c r="AJ12" s="163">
        <f>AG12*产品成本!$E$17+AH12*产品成本!$E$18</f>
        <v>1.6</v>
      </c>
      <c r="AK12" s="163">
        <f>AG12*产品成本!$F$17+AH12*产品成本!$F$18</f>
        <v>1.7</v>
      </c>
      <c r="AL12" s="163">
        <f>AG12*产品成本!$G$17+AH12*产品成本!$G$18</f>
        <v>19.5</v>
      </c>
      <c r="AM12" s="163">
        <f t="shared" si="12"/>
        <v>18.957</v>
      </c>
      <c r="AN12" s="164">
        <f t="shared" si="13"/>
        <v>69.907</v>
      </c>
      <c r="AO12" s="165">
        <v>8</v>
      </c>
      <c r="AP12" s="166"/>
      <c r="AQ12" s="188">
        <f>AO12*产品成本!$D$17+AP12*产品成本!$D$18</f>
        <v>45.04</v>
      </c>
      <c r="AR12" s="189">
        <f>AO12*产品成本!$E$17+AP12*产品成本!$E$18</f>
        <v>2.56</v>
      </c>
      <c r="AS12" s="189">
        <f>AO12*产品成本!$F$17+AP12*产品成本!$F$18</f>
        <v>2.72</v>
      </c>
      <c r="AT12" s="189">
        <f>AO12*产品成本!$G$17+AP12*产品成本!$G$18</f>
        <v>31.2</v>
      </c>
      <c r="AU12" s="189"/>
      <c r="AV12" s="189">
        <f t="shared" si="14"/>
        <v>6.756</v>
      </c>
      <c r="AW12" s="189">
        <f t="shared" si="15"/>
        <v>-1.3512</v>
      </c>
      <c r="AX12" s="164">
        <f t="shared" si="16"/>
        <v>41.8848</v>
      </c>
      <c r="AY12" s="169">
        <f t="shared" si="17"/>
        <v>28.0222</v>
      </c>
      <c r="AZ12" s="169">
        <f t="shared" si="18"/>
        <v>126.38</v>
      </c>
      <c r="BA12" s="169">
        <f t="shared" si="19"/>
        <v>81.34</v>
      </c>
      <c r="BB12" s="168">
        <f t="shared" si="20"/>
        <v>-86.2622</v>
      </c>
      <c r="BC12" s="170">
        <f t="shared" si="21"/>
        <v>-1.06051389230391</v>
      </c>
      <c r="BD12" t="s">
        <v>393</v>
      </c>
    </row>
    <row r="13" ht="29.1" customHeight="1" spans="1:57">
      <c r="A13" s="61" t="s">
        <v>154</v>
      </c>
      <c r="B13" s="89" t="s">
        <v>155</v>
      </c>
      <c r="C13" s="90">
        <v>30</v>
      </c>
      <c r="D13" s="91">
        <v>30</v>
      </c>
      <c r="E13" s="64">
        <v>806.7</v>
      </c>
      <c r="F13" s="148"/>
      <c r="G13" s="148"/>
      <c r="H13" s="64"/>
      <c r="I13" s="64"/>
      <c r="J13" s="149">
        <v>1</v>
      </c>
      <c r="K13" s="150">
        <f t="shared" si="0"/>
        <v>0.0333333333333333</v>
      </c>
      <c r="L13" s="151">
        <v>20.27</v>
      </c>
      <c r="M13" s="152">
        <f t="shared" ref="M13:M29" si="25">(C13-C12)/C12</f>
        <v>5</v>
      </c>
      <c r="N13" s="150">
        <f t="shared" ref="N13:N29" si="26">(D13-D12)/D12</f>
        <v>5</v>
      </c>
      <c r="O13" s="150">
        <f t="shared" ref="O13:O29" si="27">(E13-E12)/E12</f>
        <v>5.38313024212692</v>
      </c>
      <c r="P13" s="153">
        <f t="shared" si="1"/>
        <v>1</v>
      </c>
      <c r="Q13" s="154">
        <f t="shared" si="2"/>
        <v>26.89</v>
      </c>
      <c r="R13" s="187">
        <f t="shared" si="3"/>
        <v>26.89</v>
      </c>
      <c r="S13" s="155">
        <f t="shared" si="4"/>
        <v>4.28571428571429</v>
      </c>
      <c r="T13" s="156">
        <f t="shared" ref="T13:T29" si="28">D13-Y13</f>
        <v>6</v>
      </c>
      <c r="U13" s="157">
        <f t="shared" si="6"/>
        <v>0.2</v>
      </c>
      <c r="V13" s="94">
        <f t="shared" si="7"/>
        <v>0.719424817156316</v>
      </c>
      <c r="W13" s="91">
        <v>23919</v>
      </c>
      <c r="X13" s="91">
        <v>569</v>
      </c>
      <c r="Y13" s="91">
        <v>24</v>
      </c>
      <c r="Z13" s="64">
        <v>580.36</v>
      </c>
      <c r="AA13" s="158">
        <v>633.46</v>
      </c>
      <c r="AB13" s="91">
        <v>1.03</v>
      </c>
      <c r="AC13" s="71">
        <f t="shared" si="8"/>
        <v>0.916174659804881</v>
      </c>
      <c r="AD13" s="72">
        <f t="shared" si="9"/>
        <v>0.0237886199255822</v>
      </c>
      <c r="AE13" s="159">
        <f t="shared" si="10"/>
        <v>0.0421792618629174</v>
      </c>
      <c r="AF13" s="154">
        <f t="shared" si="11"/>
        <v>24.1816666666667</v>
      </c>
      <c r="AG13" s="160">
        <v>30</v>
      </c>
      <c r="AH13" s="162"/>
      <c r="AI13" s="163">
        <f>AG13*产品成本!$D$17+AH13*产品成本!$D$18</f>
        <v>168.9</v>
      </c>
      <c r="AJ13" s="163">
        <f>AG13*产品成本!$E$17+AH13*产品成本!$E$18</f>
        <v>9.6</v>
      </c>
      <c r="AK13" s="163">
        <f>AG13*产品成本!$F$17+AH13*产品成本!$F$18</f>
        <v>10.2</v>
      </c>
      <c r="AL13" s="163">
        <f>AG13*产品成本!$G$17+AH13*产品成本!$G$18</f>
        <v>117</v>
      </c>
      <c r="AM13" s="163">
        <f t="shared" si="12"/>
        <v>121.005</v>
      </c>
      <c r="AN13" s="164">
        <f t="shared" si="13"/>
        <v>426.705</v>
      </c>
      <c r="AO13" s="165">
        <v>1</v>
      </c>
      <c r="AP13" s="166"/>
      <c r="AQ13" s="188">
        <f>AO13*产品成本!$D$17+AP13*产品成本!$D$18</f>
        <v>5.63</v>
      </c>
      <c r="AR13" s="189">
        <f>AO13*产品成本!$E$17+AP13*产品成本!$E$18</f>
        <v>0.32</v>
      </c>
      <c r="AS13" s="189">
        <f>AO13*产品成本!$F$17+AP13*产品成本!$F$18</f>
        <v>0.34</v>
      </c>
      <c r="AT13" s="189">
        <f>AO13*产品成本!$G$17+AP13*产品成本!$G$18</f>
        <v>3.9</v>
      </c>
      <c r="AU13" s="189"/>
      <c r="AV13" s="189">
        <f t="shared" si="14"/>
        <v>0.8445</v>
      </c>
      <c r="AW13" s="189">
        <f t="shared" si="15"/>
        <v>-0.1689</v>
      </c>
      <c r="AX13" s="164">
        <f t="shared" si="16"/>
        <v>5.2356</v>
      </c>
      <c r="AY13" s="169">
        <f t="shared" si="17"/>
        <v>421.4694</v>
      </c>
      <c r="AZ13" s="169">
        <f t="shared" si="18"/>
        <v>806.7</v>
      </c>
      <c r="BA13" s="169">
        <f t="shared" si="19"/>
        <v>801.07</v>
      </c>
      <c r="BB13" s="168">
        <f t="shared" ref="BB13:BB29" si="29">BA13-AY13-Z13</f>
        <v>-200.7594</v>
      </c>
      <c r="BC13" s="170">
        <f t="shared" ref="BC13:BC29" si="30">BB13/BA13</f>
        <v>-0.250614053703172</v>
      </c>
    </row>
    <row r="14" ht="29.1" customHeight="1" spans="1:57">
      <c r="A14" s="61" t="s">
        <v>156</v>
      </c>
      <c r="B14" s="89" t="s">
        <v>157</v>
      </c>
      <c r="C14" s="90">
        <v>34</v>
      </c>
      <c r="D14" s="91">
        <v>34</v>
      </c>
      <c r="E14" s="64">
        <v>813.26</v>
      </c>
      <c r="F14" s="148">
        <v>5</v>
      </c>
      <c r="G14" s="148">
        <v>5</v>
      </c>
      <c r="H14" s="64">
        <v>126.37</v>
      </c>
      <c r="I14" s="64">
        <v>9.96</v>
      </c>
      <c r="J14" s="149">
        <v>1</v>
      </c>
      <c r="K14" s="150">
        <f t="shared" si="0"/>
        <v>0.0294117647058824</v>
      </c>
      <c r="L14" s="151">
        <v>21.3</v>
      </c>
      <c r="M14" s="152">
        <f t="shared" si="25"/>
        <v>0.133333333333333</v>
      </c>
      <c r="N14" s="150">
        <f t="shared" si="26"/>
        <v>0.133333333333333</v>
      </c>
      <c r="O14" s="150">
        <f t="shared" si="27"/>
        <v>0.00813189537622406</v>
      </c>
      <c r="P14" s="153">
        <f t="shared" si="1"/>
        <v>1</v>
      </c>
      <c r="Q14" s="154">
        <f t="shared" si="2"/>
        <v>23.9194117647059</v>
      </c>
      <c r="R14" s="187">
        <f t="shared" si="3"/>
        <v>23.9194117647059</v>
      </c>
      <c r="S14" s="155">
        <f t="shared" si="4"/>
        <v>4.85714285714286</v>
      </c>
      <c r="T14" s="156">
        <f t="shared" si="28"/>
        <v>5</v>
      </c>
      <c r="U14" s="157">
        <f t="shared" si="6"/>
        <v>0.147058823529412</v>
      </c>
      <c r="V14" s="94">
        <f t="shared" si="7"/>
        <v>0.828320677206523</v>
      </c>
      <c r="W14" s="91">
        <v>30778</v>
      </c>
      <c r="X14" s="91">
        <v>645</v>
      </c>
      <c r="Y14" s="91">
        <v>29</v>
      </c>
      <c r="Z14" s="64">
        <v>665.39</v>
      </c>
      <c r="AA14" s="158">
        <v>688.29</v>
      </c>
      <c r="AB14" s="91">
        <v>1.03</v>
      </c>
      <c r="AC14" s="71">
        <f t="shared" si="8"/>
        <v>0.96672914033329</v>
      </c>
      <c r="AD14" s="72">
        <f t="shared" si="9"/>
        <v>0.0209565273896939</v>
      </c>
      <c r="AE14" s="159">
        <f t="shared" si="10"/>
        <v>0.0449612403100775</v>
      </c>
      <c r="AF14" s="154">
        <f t="shared" si="11"/>
        <v>22.9444827586207</v>
      </c>
      <c r="AG14" s="160">
        <v>34</v>
      </c>
      <c r="AH14" s="162"/>
      <c r="AI14" s="163">
        <f>AG14*产品成本!$D$17+AH14*产品成本!$D$18</f>
        <v>191.42</v>
      </c>
      <c r="AJ14" s="163">
        <f>AG14*产品成本!$E$17+AH14*产品成本!$E$18</f>
        <v>10.88</v>
      </c>
      <c r="AK14" s="163">
        <f>AG14*产品成本!$F$17+AH14*产品成本!$F$18</f>
        <v>11.56</v>
      </c>
      <c r="AL14" s="163">
        <f>AG14*产品成本!$G$17+AH14*产品成本!$G$18</f>
        <v>132.6</v>
      </c>
      <c r="AM14" s="163">
        <f t="shared" si="12"/>
        <v>120.495</v>
      </c>
      <c r="AN14" s="164">
        <f t="shared" si="13"/>
        <v>466.955</v>
      </c>
      <c r="AO14" s="165">
        <v>1</v>
      </c>
      <c r="AP14" s="166"/>
      <c r="AQ14" s="188">
        <f>AO14*产品成本!$D$17+AP14*产品成本!$D$18</f>
        <v>5.63</v>
      </c>
      <c r="AR14" s="189">
        <f>AO14*产品成本!$E$17+AP14*产品成本!$E$18</f>
        <v>0.32</v>
      </c>
      <c r="AS14" s="189">
        <f>AO14*产品成本!$F$17+AP14*产品成本!$F$18</f>
        <v>0.34</v>
      </c>
      <c r="AT14" s="189">
        <f>AO14*产品成本!$G$17+AP14*产品成本!$G$18</f>
        <v>3.9</v>
      </c>
      <c r="AU14" s="189"/>
      <c r="AV14" s="189">
        <f t="shared" si="14"/>
        <v>0.8445</v>
      </c>
      <c r="AW14" s="189">
        <f t="shared" si="15"/>
        <v>-0.1689</v>
      </c>
      <c r="AX14" s="164">
        <f t="shared" si="16"/>
        <v>5.2356</v>
      </c>
      <c r="AY14" s="169">
        <f t="shared" si="17"/>
        <v>461.7194</v>
      </c>
      <c r="AZ14" s="169">
        <f t="shared" si="18"/>
        <v>803.3</v>
      </c>
      <c r="BA14" s="169">
        <f t="shared" si="19"/>
        <v>797.67</v>
      </c>
      <c r="BB14" s="168">
        <f t="shared" si="29"/>
        <v>-329.4394</v>
      </c>
      <c r="BC14" s="170">
        <f t="shared" si="30"/>
        <v>-0.413002118670628</v>
      </c>
    </row>
    <row r="15" ht="29.1" customHeight="1" spans="1:57">
      <c r="A15" s="61" t="s">
        <v>158</v>
      </c>
      <c r="B15" s="89" t="s">
        <v>159</v>
      </c>
      <c r="C15" s="90">
        <v>22</v>
      </c>
      <c r="D15" s="91">
        <v>21</v>
      </c>
      <c r="E15" s="64">
        <v>586.18</v>
      </c>
      <c r="F15" s="148">
        <v>8</v>
      </c>
      <c r="G15" s="148">
        <v>7</v>
      </c>
      <c r="H15" s="64">
        <v>215.12</v>
      </c>
      <c r="I15" s="64">
        <v>13.45</v>
      </c>
      <c r="J15" s="149">
        <v>0</v>
      </c>
      <c r="K15" s="150">
        <f t="shared" si="0"/>
        <v>0</v>
      </c>
      <c r="L15" s="151">
        <v>0</v>
      </c>
      <c r="M15" s="152">
        <f t="shared" si="25"/>
        <v>-0.352941176470588</v>
      </c>
      <c r="N15" s="150">
        <f t="shared" si="26"/>
        <v>-0.382352941176471</v>
      </c>
      <c r="O15" s="150">
        <f t="shared" si="27"/>
        <v>-0.279221897056292</v>
      </c>
      <c r="P15" s="153">
        <f t="shared" si="1"/>
        <v>1.04761904761905</v>
      </c>
      <c r="Q15" s="154">
        <f t="shared" si="2"/>
        <v>27.9133333333333</v>
      </c>
      <c r="R15" s="187">
        <f t="shared" si="3"/>
        <v>26.6445454545455</v>
      </c>
      <c r="S15" s="155">
        <f t="shared" si="4"/>
        <v>3.14285714285714</v>
      </c>
      <c r="T15" s="156">
        <f t="shared" si="28"/>
        <v>14</v>
      </c>
      <c r="U15" s="157">
        <f t="shared" si="6"/>
        <v>0.666666666666667</v>
      </c>
      <c r="V15" s="94">
        <f t="shared" si="7"/>
        <v>0.279154226249716</v>
      </c>
      <c r="W15" s="91">
        <v>7341</v>
      </c>
      <c r="X15" s="91">
        <v>198</v>
      </c>
      <c r="Y15" s="91">
        <v>7</v>
      </c>
      <c r="Z15" s="64">
        <v>159.88</v>
      </c>
      <c r="AA15" s="158">
        <v>188.23</v>
      </c>
      <c r="AB15" s="91">
        <v>0.81</v>
      </c>
      <c r="AC15" s="71">
        <f t="shared" si="8"/>
        <v>0.84938638899219</v>
      </c>
      <c r="AD15" s="72">
        <f t="shared" si="9"/>
        <v>0.0269718022067838</v>
      </c>
      <c r="AE15" s="159">
        <f t="shared" si="10"/>
        <v>0.0353535353535354</v>
      </c>
      <c r="AF15" s="154">
        <f t="shared" si="11"/>
        <v>22.84</v>
      </c>
      <c r="AG15" s="160">
        <v>22</v>
      </c>
      <c r="AH15" s="162"/>
      <c r="AI15" s="163">
        <f>AG15*产品成本!$D$17+AH15*产品成本!$D$18</f>
        <v>123.86</v>
      </c>
      <c r="AJ15" s="163">
        <f>AG15*产品成本!$E$17+AH15*产品成本!$E$18</f>
        <v>7.04</v>
      </c>
      <c r="AK15" s="163">
        <f>AG15*产品成本!$F$17+AH15*产品成本!$F$18</f>
        <v>7.48</v>
      </c>
      <c r="AL15" s="163">
        <f>AG15*产品成本!$G$17+AH15*产品成本!$G$18</f>
        <v>85.8</v>
      </c>
      <c r="AM15" s="163">
        <f t="shared" si="12"/>
        <v>85.9095</v>
      </c>
      <c r="AN15" s="164">
        <f t="shared" si="13"/>
        <v>310.0895</v>
      </c>
      <c r="AO15" s="165">
        <v>0</v>
      </c>
      <c r="AP15" s="166"/>
      <c r="AQ15" s="188">
        <f>AO15*产品成本!$D$17+AP15*产品成本!$D$18</f>
        <v>0</v>
      </c>
      <c r="AR15" s="189">
        <f>AO15*产品成本!$E$17+AP15*产品成本!$E$18</f>
        <v>0</v>
      </c>
      <c r="AS15" s="189">
        <f>AO15*产品成本!$F$17+AP15*产品成本!$F$18</f>
        <v>0</v>
      </c>
      <c r="AT15" s="189">
        <f>AO15*产品成本!$G$17+AP15*产品成本!$G$18</f>
        <v>0</v>
      </c>
      <c r="AU15" s="189"/>
      <c r="AV15" s="189">
        <f t="shared" si="14"/>
        <v>0</v>
      </c>
      <c r="AW15" s="189">
        <f t="shared" si="15"/>
        <v>0</v>
      </c>
      <c r="AX15" s="164">
        <f t="shared" si="16"/>
        <v>0</v>
      </c>
      <c r="AY15" s="169">
        <f t="shared" si="17"/>
        <v>310.0895</v>
      </c>
      <c r="AZ15" s="169">
        <f t="shared" si="18"/>
        <v>572.73</v>
      </c>
      <c r="BA15" s="169">
        <f t="shared" si="19"/>
        <v>572.73</v>
      </c>
      <c r="BB15" s="168">
        <f t="shared" si="29"/>
        <v>102.7605</v>
      </c>
      <c r="BC15" s="170">
        <f t="shared" si="30"/>
        <v>0.179422240846472</v>
      </c>
    </row>
    <row r="16" ht="29.1" customHeight="1" spans="1:57">
      <c r="A16" s="61" t="s">
        <v>160</v>
      </c>
      <c r="B16" s="89" t="s">
        <v>161</v>
      </c>
      <c r="C16" s="90">
        <v>8</v>
      </c>
      <c r="D16" s="91">
        <v>8</v>
      </c>
      <c r="E16" s="64">
        <v>209.72</v>
      </c>
      <c r="F16" s="148">
        <v>0</v>
      </c>
      <c r="G16" s="148">
        <v>0</v>
      </c>
      <c r="H16" s="64">
        <v>0</v>
      </c>
      <c r="I16" s="64">
        <v>0</v>
      </c>
      <c r="J16" s="149">
        <v>1</v>
      </c>
      <c r="K16" s="150">
        <f t="shared" si="0"/>
        <v>0.125</v>
      </c>
      <c r="L16" s="151">
        <v>23.67</v>
      </c>
      <c r="M16" s="152">
        <f t="shared" si="25"/>
        <v>-0.636363636363636</v>
      </c>
      <c r="N16" s="150">
        <f t="shared" si="26"/>
        <v>-0.619047619047619</v>
      </c>
      <c r="O16" s="150">
        <f t="shared" si="27"/>
        <v>-0.642225937425364</v>
      </c>
      <c r="P16" s="153">
        <f t="shared" si="1"/>
        <v>1</v>
      </c>
      <c r="Q16" s="154">
        <f t="shared" si="2"/>
        <v>26.215</v>
      </c>
      <c r="R16" s="187">
        <f t="shared" si="3"/>
        <v>26.215</v>
      </c>
      <c r="S16" s="155">
        <f t="shared" si="4"/>
        <v>1.14285714285714</v>
      </c>
      <c r="T16" s="156">
        <f t="shared" si="28"/>
        <v>6</v>
      </c>
      <c r="U16" s="157">
        <f t="shared" si="6"/>
        <v>0.75</v>
      </c>
      <c r="V16" s="94">
        <f t="shared" si="7"/>
        <v>0.273555216479115</v>
      </c>
      <c r="W16" s="91">
        <v>3852</v>
      </c>
      <c r="X16" s="91">
        <v>71</v>
      </c>
      <c r="Y16" s="91">
        <v>2</v>
      </c>
      <c r="Z16" s="64">
        <v>57.37</v>
      </c>
      <c r="AA16" s="158">
        <v>53.78</v>
      </c>
      <c r="AB16" s="91">
        <v>0.81</v>
      </c>
      <c r="AC16" s="71">
        <f t="shared" si="8"/>
        <v>1.0667534399405</v>
      </c>
      <c r="AD16" s="72">
        <f t="shared" si="9"/>
        <v>0.0184319833852544</v>
      </c>
      <c r="AE16" s="159">
        <f t="shared" si="10"/>
        <v>0.028169014084507</v>
      </c>
      <c r="AF16" s="154">
        <f t="shared" si="11"/>
        <v>28.685</v>
      </c>
      <c r="AG16" s="160">
        <v>8</v>
      </c>
      <c r="AH16" s="162"/>
      <c r="AI16" s="163">
        <f>AG16*产品成本!$D$17+AH16*产品成本!$D$18</f>
        <v>45.04</v>
      </c>
      <c r="AJ16" s="163">
        <f>AG16*产品成本!$E$17+AH16*产品成本!$E$18</f>
        <v>2.56</v>
      </c>
      <c r="AK16" s="163">
        <f>AG16*产品成本!$F$17+AH16*产品成本!$F$18</f>
        <v>2.72</v>
      </c>
      <c r="AL16" s="163">
        <f>AG16*产品成本!$G$17+AH16*产品成本!$G$18</f>
        <v>31.2</v>
      </c>
      <c r="AM16" s="163">
        <f t="shared" si="12"/>
        <v>31.458</v>
      </c>
      <c r="AN16" s="164">
        <f t="shared" si="13"/>
        <v>112.978</v>
      </c>
      <c r="AO16" s="165">
        <v>1</v>
      </c>
      <c r="AP16" s="166"/>
      <c r="AQ16" s="188">
        <f>AO16*产品成本!$D$17+AP16*产品成本!$D$18</f>
        <v>5.63</v>
      </c>
      <c r="AR16" s="189">
        <f>AO16*产品成本!$E$17+AP16*产品成本!$E$18</f>
        <v>0.32</v>
      </c>
      <c r="AS16" s="189">
        <f>AO16*产品成本!$F$17+AP16*产品成本!$F$18</f>
        <v>0.34</v>
      </c>
      <c r="AT16" s="189">
        <f>AO16*产品成本!$G$17+AP16*产品成本!$G$18</f>
        <v>3.9</v>
      </c>
      <c r="AU16" s="189"/>
      <c r="AV16" s="189">
        <f t="shared" si="14"/>
        <v>0.8445</v>
      </c>
      <c r="AW16" s="189">
        <f t="shared" si="15"/>
        <v>-0.1689</v>
      </c>
      <c r="AX16" s="164">
        <f t="shared" si="16"/>
        <v>5.2356</v>
      </c>
      <c r="AY16" s="169">
        <f t="shared" si="17"/>
        <v>107.7424</v>
      </c>
      <c r="AZ16" s="169">
        <f t="shared" si="18"/>
        <v>209.72</v>
      </c>
      <c r="BA16" s="169">
        <f t="shared" si="19"/>
        <v>204.09</v>
      </c>
      <c r="BB16" s="168">
        <f t="shared" si="29"/>
        <v>38.9776</v>
      </c>
      <c r="BC16" s="170">
        <f t="shared" si="30"/>
        <v>0.190982409721202</v>
      </c>
    </row>
    <row r="17" ht="29.1" customHeight="1" spans="1:56">
      <c r="A17" s="61" t="s">
        <v>162</v>
      </c>
      <c r="B17" s="89" t="s">
        <v>163</v>
      </c>
      <c r="C17" s="90">
        <v>10</v>
      </c>
      <c r="D17" s="91">
        <v>10</v>
      </c>
      <c r="E17" s="64">
        <v>268.9</v>
      </c>
      <c r="F17" s="148">
        <v>1</v>
      </c>
      <c r="G17" s="148">
        <v>1</v>
      </c>
      <c r="H17" s="64">
        <v>26.89</v>
      </c>
      <c r="I17" s="64">
        <v>2.69</v>
      </c>
      <c r="J17" s="149">
        <v>3</v>
      </c>
      <c r="K17" s="150">
        <f t="shared" si="0"/>
        <v>0.3</v>
      </c>
      <c r="L17" s="151">
        <v>67.71</v>
      </c>
      <c r="M17" s="152">
        <f t="shared" si="25"/>
        <v>0.25</v>
      </c>
      <c r="N17" s="150">
        <f t="shared" si="26"/>
        <v>0.25</v>
      </c>
      <c r="O17" s="150">
        <f t="shared" si="27"/>
        <v>0.282185771504864</v>
      </c>
      <c r="P17" s="153">
        <f t="shared" si="1"/>
        <v>1</v>
      </c>
      <c r="Q17" s="154">
        <f t="shared" si="2"/>
        <v>26.89</v>
      </c>
      <c r="R17" s="187">
        <f t="shared" si="3"/>
        <v>26.89</v>
      </c>
      <c r="S17" s="155">
        <f t="shared" si="4"/>
        <v>1.42857142857143</v>
      </c>
      <c r="T17" s="156">
        <f t="shared" si="28"/>
        <v>3</v>
      </c>
      <c r="U17" s="157">
        <f t="shared" si="6"/>
        <v>0.3</v>
      </c>
      <c r="V17" s="94">
        <f t="shared" si="7"/>
        <v>0.362420645355171</v>
      </c>
      <c r="W17" s="91">
        <v>4447</v>
      </c>
      <c r="X17" s="91">
        <v>120</v>
      </c>
      <c r="Y17" s="91">
        <v>7</v>
      </c>
      <c r="Z17" s="64">
        <v>96.48</v>
      </c>
      <c r="AA17" s="158">
        <v>188.23</v>
      </c>
      <c r="AB17" s="91">
        <v>0.8</v>
      </c>
      <c r="AC17" s="71">
        <f t="shared" si="8"/>
        <v>0.512564415874197</v>
      </c>
      <c r="AD17" s="72">
        <f t="shared" si="9"/>
        <v>0.026984483921745</v>
      </c>
      <c r="AE17" s="159">
        <f t="shared" si="10"/>
        <v>0.0583333333333333</v>
      </c>
      <c r="AF17" s="154">
        <f t="shared" si="11"/>
        <v>13.7828571428571</v>
      </c>
      <c r="AG17" s="160">
        <v>10</v>
      </c>
      <c r="AH17" s="162"/>
      <c r="AI17" s="163">
        <f>AG17*产品成本!$D$17+AH17*产品成本!$D$18</f>
        <v>56.3</v>
      </c>
      <c r="AJ17" s="163">
        <f>AG17*产品成本!$E$17+AH17*产品成本!$E$18</f>
        <v>3.2</v>
      </c>
      <c r="AK17" s="163">
        <f>AG17*产品成本!$F$17+AH17*产品成本!$F$18</f>
        <v>3.4</v>
      </c>
      <c r="AL17" s="163">
        <f>AG17*产品成本!$G$17+AH17*产品成本!$G$18</f>
        <v>39</v>
      </c>
      <c r="AM17" s="163">
        <f t="shared" si="12"/>
        <v>39.9315</v>
      </c>
      <c r="AN17" s="164">
        <f t="shared" si="13"/>
        <v>141.8315</v>
      </c>
      <c r="AO17" s="165">
        <v>3</v>
      </c>
      <c r="AP17" s="166"/>
      <c r="AQ17" s="188">
        <f>AO17*产品成本!$D$17+AP17*产品成本!$D$18</f>
        <v>16.89</v>
      </c>
      <c r="AR17" s="189">
        <f>AO17*产品成本!$E$17+AP17*产品成本!$E$18</f>
        <v>0.96</v>
      </c>
      <c r="AS17" s="189">
        <f>AO17*产品成本!$F$17+AP17*产品成本!$F$18</f>
        <v>1.02</v>
      </c>
      <c r="AT17" s="189">
        <f>AO17*产品成本!$G$17+AP17*产品成本!$G$18</f>
        <v>11.7</v>
      </c>
      <c r="AU17" s="189"/>
      <c r="AV17" s="189">
        <f t="shared" si="14"/>
        <v>2.5335</v>
      </c>
      <c r="AW17" s="189">
        <f t="shared" si="15"/>
        <v>-0.5067</v>
      </c>
      <c r="AX17" s="164">
        <f t="shared" si="16"/>
        <v>15.7068</v>
      </c>
      <c r="AY17" s="169">
        <f t="shared" si="17"/>
        <v>126.1247</v>
      </c>
      <c r="AZ17" s="169">
        <f t="shared" si="18"/>
        <v>266.21</v>
      </c>
      <c r="BA17" s="169">
        <f t="shared" si="19"/>
        <v>249.32</v>
      </c>
      <c r="BB17" s="168">
        <f t="shared" si="29"/>
        <v>26.7153</v>
      </c>
      <c r="BC17" s="170">
        <f t="shared" si="30"/>
        <v>0.107152655222204</v>
      </c>
    </row>
    <row r="18" ht="29.1" customHeight="1" spans="1:56">
      <c r="A18" s="61" t="s">
        <v>165</v>
      </c>
      <c r="B18" s="61" t="s">
        <v>166</v>
      </c>
      <c r="C18" s="90">
        <v>43</v>
      </c>
      <c r="D18" s="91">
        <v>42</v>
      </c>
      <c r="E18" s="64">
        <v>891.61</v>
      </c>
      <c r="F18" s="148">
        <v>0</v>
      </c>
      <c r="G18" s="148">
        <v>0</v>
      </c>
      <c r="H18" s="64">
        <v>0</v>
      </c>
      <c r="I18" s="64">
        <v>0</v>
      </c>
      <c r="J18" s="149">
        <v>2</v>
      </c>
      <c r="K18" s="150">
        <f t="shared" si="0"/>
        <v>0.0465116279069767</v>
      </c>
      <c r="L18" s="151">
        <v>37.76</v>
      </c>
      <c r="M18" s="152">
        <f t="shared" si="25"/>
        <v>3.3</v>
      </c>
      <c r="N18" s="150">
        <f t="shared" si="26"/>
        <v>3.2</v>
      </c>
      <c r="O18" s="150">
        <f t="shared" si="27"/>
        <v>2.31576794347341</v>
      </c>
      <c r="P18" s="153">
        <f t="shared" si="1"/>
        <v>1.02380952380952</v>
      </c>
      <c r="Q18" s="154">
        <f t="shared" si="2"/>
        <v>21.2288095238095</v>
      </c>
      <c r="R18" s="187">
        <f t="shared" si="3"/>
        <v>20.7351162790698</v>
      </c>
      <c r="S18" s="155">
        <f t="shared" si="4"/>
        <v>6.14285714285714</v>
      </c>
      <c r="T18" s="156">
        <f t="shared" si="28"/>
        <v>11</v>
      </c>
      <c r="U18" s="157">
        <f t="shared" si="6"/>
        <v>0.261904761904762</v>
      </c>
      <c r="V18" s="94">
        <f t="shared" si="7"/>
        <v>0.439216697883604</v>
      </c>
      <c r="W18" s="91">
        <v>22491</v>
      </c>
      <c r="X18" s="91">
        <v>426</v>
      </c>
      <c r="Y18" s="91">
        <v>31</v>
      </c>
      <c r="Z18" s="64">
        <v>391.61</v>
      </c>
      <c r="AA18" s="158">
        <v>662.8</v>
      </c>
      <c r="AB18" s="91">
        <v>0.92</v>
      </c>
      <c r="AC18" s="71">
        <f t="shared" si="8"/>
        <v>0.590841882920942</v>
      </c>
      <c r="AD18" s="72">
        <f t="shared" si="9"/>
        <v>0.0189409096972122</v>
      </c>
      <c r="AE18" s="159">
        <f t="shared" si="10"/>
        <v>0.0727699530516432</v>
      </c>
      <c r="AF18" s="154">
        <f t="shared" si="11"/>
        <v>12.6325806451613</v>
      </c>
      <c r="AG18" s="160">
        <v>43</v>
      </c>
      <c r="AH18" s="162"/>
      <c r="AI18" s="163">
        <f>AG18*产品成本!$D$17+AH18*产品成本!$D$18</f>
        <v>242.09</v>
      </c>
      <c r="AJ18" s="163">
        <f>AG18*产品成本!$E$17+AH18*产品成本!$E$18</f>
        <v>13.76</v>
      </c>
      <c r="AK18" s="163">
        <f>AG18*产品成本!$F$17+AH18*产品成本!$F$18</f>
        <v>14.62</v>
      </c>
      <c r="AL18" s="163">
        <f>AG18*产品成本!$G$17+AH18*产品成本!$G$18</f>
        <v>167.7</v>
      </c>
      <c r="AM18" s="163">
        <f t="shared" si="12"/>
        <v>133.7415</v>
      </c>
      <c r="AN18" s="164">
        <f t="shared" si="13"/>
        <v>571.9115</v>
      </c>
      <c r="AO18" s="165">
        <v>2</v>
      </c>
      <c r="AP18" s="166"/>
      <c r="AQ18" s="188">
        <f>AO18*产品成本!$D$17+AP18*产品成本!$D$18</f>
        <v>11.26</v>
      </c>
      <c r="AR18" s="189">
        <f>AO18*产品成本!$E$17+AP18*产品成本!$E$18</f>
        <v>0.64</v>
      </c>
      <c r="AS18" s="189">
        <f>AO18*产品成本!$F$17+AP18*产品成本!$F$18</f>
        <v>0.68</v>
      </c>
      <c r="AT18" s="189">
        <f>AO18*产品成本!$G$17+AP18*产品成本!$G$18</f>
        <v>7.8</v>
      </c>
      <c r="AU18" s="189"/>
      <c r="AV18" s="189">
        <f t="shared" si="14"/>
        <v>1.689</v>
      </c>
      <c r="AW18" s="189">
        <f t="shared" si="15"/>
        <v>-0.3378</v>
      </c>
      <c r="AX18" s="164">
        <f t="shared" si="16"/>
        <v>10.4712</v>
      </c>
      <c r="AY18" s="169">
        <f t="shared" si="17"/>
        <v>561.4403</v>
      </c>
      <c r="AZ18" s="169">
        <f t="shared" si="18"/>
        <v>891.61</v>
      </c>
      <c r="BA18" s="169">
        <f t="shared" si="19"/>
        <v>880.35</v>
      </c>
      <c r="BB18" s="168">
        <f t="shared" si="29"/>
        <v>-72.7003</v>
      </c>
      <c r="BC18" s="170">
        <f t="shared" si="30"/>
        <v>-0.0825811325041176</v>
      </c>
    </row>
    <row r="19" ht="29.1" customHeight="1" spans="1:56">
      <c r="A19" s="61" t="s">
        <v>167</v>
      </c>
      <c r="B19" s="61" t="s">
        <v>168</v>
      </c>
      <c r="C19" s="90">
        <v>52</v>
      </c>
      <c r="D19" s="91">
        <v>51</v>
      </c>
      <c r="E19" s="64">
        <v>1141.15</v>
      </c>
      <c r="F19" s="148">
        <v>0</v>
      </c>
      <c r="G19" s="148">
        <v>0</v>
      </c>
      <c r="H19" s="64">
        <v>0</v>
      </c>
      <c r="I19" s="64">
        <v>0</v>
      </c>
      <c r="J19" s="149">
        <v>3</v>
      </c>
      <c r="K19" s="150">
        <f t="shared" si="0"/>
        <v>0.0576923076923077</v>
      </c>
      <c r="L19" s="151">
        <v>56.69</v>
      </c>
      <c r="M19" s="152">
        <f t="shared" si="25"/>
        <v>0.209302325581395</v>
      </c>
      <c r="N19" s="150">
        <f t="shared" si="26"/>
        <v>0.214285714285714</v>
      </c>
      <c r="O19" s="150">
        <f t="shared" si="27"/>
        <v>0.279875730420251</v>
      </c>
      <c r="P19" s="153">
        <f t="shared" si="1"/>
        <v>1.01960784313725</v>
      </c>
      <c r="Q19" s="154">
        <f t="shared" si="2"/>
        <v>22.3754901960784</v>
      </c>
      <c r="R19" s="187">
        <f t="shared" si="3"/>
        <v>21.9451923076923</v>
      </c>
      <c r="S19" s="155">
        <f t="shared" si="4"/>
        <v>7.42857142857143</v>
      </c>
      <c r="T19" s="156">
        <f t="shared" si="28"/>
        <v>6</v>
      </c>
      <c r="U19" s="157">
        <f t="shared" si="6"/>
        <v>0.117647058823529</v>
      </c>
      <c r="V19" s="94">
        <f t="shared" si="7"/>
        <v>0.548446742321342</v>
      </c>
      <c r="W19" s="91">
        <v>36970</v>
      </c>
      <c r="X19" s="91">
        <v>694</v>
      </c>
      <c r="Y19" s="91">
        <v>45</v>
      </c>
      <c r="Z19" s="64">
        <v>625.86</v>
      </c>
      <c r="AA19" s="158">
        <v>1038.59</v>
      </c>
      <c r="AB19" s="91">
        <v>0.9</v>
      </c>
      <c r="AC19" s="71">
        <f t="shared" si="8"/>
        <v>0.602605455473286</v>
      </c>
      <c r="AD19" s="72">
        <f t="shared" si="9"/>
        <v>0.0187719772788748</v>
      </c>
      <c r="AE19" s="159">
        <f t="shared" si="10"/>
        <v>0.0648414985590778</v>
      </c>
      <c r="AF19" s="154">
        <f t="shared" si="11"/>
        <v>13.908</v>
      </c>
      <c r="AG19" s="160">
        <v>53</v>
      </c>
      <c r="AH19" s="162"/>
      <c r="AI19" s="163">
        <f>AG19*产品成本!$D$17+AH19*产品成本!$D$18</f>
        <v>298.39</v>
      </c>
      <c r="AJ19" s="163">
        <f>AG19*产品成本!$E$17+AH19*产品成本!$E$18</f>
        <v>16.96</v>
      </c>
      <c r="AK19" s="163">
        <f>AG19*产品成本!$F$17+AH19*产品成本!$F$18</f>
        <v>18.02</v>
      </c>
      <c r="AL19" s="163">
        <f>AG19*产品成本!$G$17+AH19*产品成本!$G$18</f>
        <v>206.7</v>
      </c>
      <c r="AM19" s="163">
        <f t="shared" si="12"/>
        <v>171.1725</v>
      </c>
      <c r="AN19" s="164">
        <f t="shared" si="13"/>
        <v>711.2425</v>
      </c>
      <c r="AO19" s="165">
        <v>3</v>
      </c>
      <c r="AP19" s="166"/>
      <c r="AQ19" s="188">
        <f>AO19*产品成本!$D$17+AP19*产品成本!$D$18</f>
        <v>16.89</v>
      </c>
      <c r="AR19" s="189">
        <f>AO19*产品成本!$E$17+AP19*产品成本!$E$18</f>
        <v>0.96</v>
      </c>
      <c r="AS19" s="189">
        <f>AO19*产品成本!$F$17+AP19*产品成本!$F$18</f>
        <v>1.02</v>
      </c>
      <c r="AT19" s="189">
        <f>AO19*产品成本!$G$17+AP19*产品成本!$G$18</f>
        <v>11.7</v>
      </c>
      <c r="AU19" s="189"/>
      <c r="AV19" s="189">
        <f t="shared" si="14"/>
        <v>2.5335</v>
      </c>
      <c r="AW19" s="189">
        <f t="shared" si="15"/>
        <v>-0.5067</v>
      </c>
      <c r="AX19" s="164">
        <f t="shared" si="16"/>
        <v>15.7068</v>
      </c>
      <c r="AY19" s="169">
        <f t="shared" si="17"/>
        <v>695.5357</v>
      </c>
      <c r="AZ19" s="169">
        <f t="shared" si="18"/>
        <v>1141.15</v>
      </c>
      <c r="BA19" s="169">
        <f t="shared" si="19"/>
        <v>1124.26</v>
      </c>
      <c r="BB19" s="168">
        <f t="shared" si="29"/>
        <v>-197.1357</v>
      </c>
      <c r="BC19" s="170">
        <f t="shared" si="30"/>
        <v>-0.175347072741181</v>
      </c>
    </row>
    <row r="20" ht="29.1" customHeight="1" spans="1:56">
      <c r="A20" s="61" t="s">
        <v>169</v>
      </c>
      <c r="B20" s="61" t="s">
        <v>170</v>
      </c>
      <c r="C20" s="90">
        <v>36</v>
      </c>
      <c r="D20" s="91">
        <v>34</v>
      </c>
      <c r="E20" s="64">
        <v>899.53</v>
      </c>
      <c r="F20" s="148">
        <v>2</v>
      </c>
      <c r="G20" s="148">
        <v>2</v>
      </c>
      <c r="H20" s="64">
        <v>45.72</v>
      </c>
      <c r="I20" s="64">
        <v>4.58</v>
      </c>
      <c r="J20" s="149">
        <v>5</v>
      </c>
      <c r="K20" s="150">
        <f t="shared" si="0"/>
        <v>0.138888888888889</v>
      </c>
      <c r="L20" s="151">
        <v>113.61</v>
      </c>
      <c r="M20" s="152">
        <f t="shared" si="25"/>
        <v>-0.307692307692308</v>
      </c>
      <c r="N20" s="150">
        <f t="shared" si="26"/>
        <v>-0.333333333333333</v>
      </c>
      <c r="O20" s="150">
        <f t="shared" si="27"/>
        <v>-0.211733777329887</v>
      </c>
      <c r="P20" s="153">
        <f t="shared" si="1"/>
        <v>1.05882352941176</v>
      </c>
      <c r="Q20" s="154">
        <f t="shared" si="2"/>
        <v>26.4567647058824</v>
      </c>
      <c r="R20" s="187">
        <f t="shared" si="3"/>
        <v>24.9869444444444</v>
      </c>
      <c r="S20" s="155">
        <f t="shared" si="4"/>
        <v>5.14285714285714</v>
      </c>
      <c r="T20" s="156">
        <f t="shared" si="28"/>
        <v>6</v>
      </c>
      <c r="U20" s="157">
        <f t="shared" si="6"/>
        <v>0.176470588235294</v>
      </c>
      <c r="V20" s="94">
        <f t="shared" si="7"/>
        <v>0.587317727247332</v>
      </c>
      <c r="W20" s="91">
        <v>40483</v>
      </c>
      <c r="X20" s="91">
        <v>615</v>
      </c>
      <c r="Y20" s="91">
        <v>28</v>
      </c>
      <c r="Z20" s="64">
        <v>525.62</v>
      </c>
      <c r="AA20" s="158">
        <v>725.42</v>
      </c>
      <c r="AB20" s="91">
        <v>0.85</v>
      </c>
      <c r="AC20" s="71">
        <f t="shared" si="8"/>
        <v>0.724573350610681</v>
      </c>
      <c r="AD20" s="72">
        <f t="shared" si="9"/>
        <v>0.0151915618901761</v>
      </c>
      <c r="AE20" s="159">
        <f t="shared" si="10"/>
        <v>0.0455284552845528</v>
      </c>
      <c r="AF20" s="154">
        <f t="shared" si="11"/>
        <v>18.7721428571429</v>
      </c>
      <c r="AG20" s="160">
        <v>36</v>
      </c>
      <c r="AH20" s="162"/>
      <c r="AI20" s="163">
        <f>AG20*产品成本!$D$17+AH20*产品成本!$D$18</f>
        <v>202.68</v>
      </c>
      <c r="AJ20" s="163">
        <f>AG20*产品成本!$E$17+AH20*产品成本!$E$18</f>
        <v>11.52</v>
      </c>
      <c r="AK20" s="163">
        <f>AG20*产品成本!$F$17+AH20*产品成本!$F$18</f>
        <v>12.24</v>
      </c>
      <c r="AL20" s="163">
        <f>AG20*产品成本!$G$17+AH20*产品成本!$G$18</f>
        <v>140.4</v>
      </c>
      <c r="AM20" s="163">
        <f t="shared" si="12"/>
        <v>134.2425</v>
      </c>
      <c r="AN20" s="164">
        <f t="shared" si="13"/>
        <v>501.0825</v>
      </c>
      <c r="AO20" s="165">
        <v>5</v>
      </c>
      <c r="AP20" s="166"/>
      <c r="AQ20" s="188">
        <f>AO20*产品成本!$D$17+AP20*产品成本!$D$18</f>
        <v>28.15</v>
      </c>
      <c r="AR20" s="189">
        <f>AO20*产品成本!$E$17+AP20*产品成本!$E$18</f>
        <v>1.6</v>
      </c>
      <c r="AS20" s="189">
        <f>AO20*产品成本!$F$17+AP20*产品成本!$F$18</f>
        <v>1.7</v>
      </c>
      <c r="AT20" s="189">
        <f>AO20*产品成本!$G$17+AP20*产品成本!$G$18</f>
        <v>19.5</v>
      </c>
      <c r="AU20" s="189"/>
      <c r="AV20" s="189">
        <f t="shared" si="14"/>
        <v>4.2225</v>
      </c>
      <c r="AW20" s="189">
        <f t="shared" si="15"/>
        <v>-0.8445</v>
      </c>
      <c r="AX20" s="164">
        <f t="shared" si="16"/>
        <v>26.178</v>
      </c>
      <c r="AY20" s="169">
        <f t="shared" si="17"/>
        <v>474.9045</v>
      </c>
      <c r="AZ20" s="169">
        <f t="shared" si="18"/>
        <v>894.95</v>
      </c>
      <c r="BA20" s="169">
        <f t="shared" si="19"/>
        <v>866.8</v>
      </c>
      <c r="BB20" s="168">
        <f t="shared" si="29"/>
        <v>-133.7245</v>
      </c>
      <c r="BC20" s="170">
        <f t="shared" si="30"/>
        <v>-0.154273765574527</v>
      </c>
    </row>
    <row r="21" ht="29.1" customHeight="1" spans="1:56">
      <c r="A21" s="61" t="s">
        <v>172</v>
      </c>
      <c r="B21" s="61" t="s">
        <v>173</v>
      </c>
      <c r="C21" s="90">
        <v>28</v>
      </c>
      <c r="D21" s="91">
        <v>28</v>
      </c>
      <c r="E21" s="64">
        <v>640.08</v>
      </c>
      <c r="F21" s="148">
        <v>0</v>
      </c>
      <c r="G21" s="148">
        <v>0</v>
      </c>
      <c r="H21" s="64">
        <v>0</v>
      </c>
      <c r="I21" s="64">
        <v>0</v>
      </c>
      <c r="J21" s="149">
        <v>2</v>
      </c>
      <c r="K21" s="150">
        <f t="shared" si="0"/>
        <v>0.0714285714285714</v>
      </c>
      <c r="L21" s="151">
        <v>43.79</v>
      </c>
      <c r="M21" s="152">
        <f t="shared" si="25"/>
        <v>-0.222222222222222</v>
      </c>
      <c r="N21" s="150">
        <f t="shared" si="26"/>
        <v>-0.176470588235294</v>
      </c>
      <c r="O21" s="150">
        <f t="shared" si="27"/>
        <v>-0.28842840149856</v>
      </c>
      <c r="P21" s="153">
        <f t="shared" si="1"/>
        <v>1</v>
      </c>
      <c r="Q21" s="154">
        <f t="shared" si="2"/>
        <v>22.86</v>
      </c>
      <c r="R21" s="187">
        <f t="shared" si="3"/>
        <v>22.86</v>
      </c>
      <c r="S21" s="155">
        <f t="shared" si="4"/>
        <v>4</v>
      </c>
      <c r="T21" s="156">
        <f t="shared" si="28"/>
        <v>5</v>
      </c>
      <c r="U21" s="157">
        <f t="shared" si="6"/>
        <v>0.178571428571429</v>
      </c>
      <c r="V21" s="94">
        <f t="shared" si="7"/>
        <v>0.736720409948756</v>
      </c>
      <c r="W21" s="91">
        <v>27854</v>
      </c>
      <c r="X21" s="91">
        <v>548</v>
      </c>
      <c r="Y21" s="91">
        <v>23</v>
      </c>
      <c r="Z21" s="64">
        <v>471.56</v>
      </c>
      <c r="AA21" s="158">
        <v>529.84</v>
      </c>
      <c r="AB21" s="91">
        <v>0.86</v>
      </c>
      <c r="AC21" s="71">
        <f t="shared" si="8"/>
        <v>0.890004529669334</v>
      </c>
      <c r="AD21" s="72">
        <f t="shared" si="9"/>
        <v>0.0196740145042005</v>
      </c>
      <c r="AE21" s="159">
        <f t="shared" si="10"/>
        <v>0.041970802919708</v>
      </c>
      <c r="AF21" s="154">
        <f t="shared" si="11"/>
        <v>20.5026086956522</v>
      </c>
      <c r="AG21" s="160">
        <v>28</v>
      </c>
      <c r="AH21" s="162"/>
      <c r="AI21" s="163">
        <f>AG21*产品成本!$D$17+AH21*产品成本!$D$18</f>
        <v>157.64</v>
      </c>
      <c r="AJ21" s="163">
        <f>AG21*产品成本!$E$17+AH21*产品成本!$E$18</f>
        <v>8.96</v>
      </c>
      <c r="AK21" s="163">
        <f>AG21*产品成本!$F$17+AH21*产品成本!$F$18</f>
        <v>9.52</v>
      </c>
      <c r="AL21" s="163">
        <f>AG21*产品成本!$G$17+AH21*产品成本!$G$18</f>
        <v>109.2</v>
      </c>
      <c r="AM21" s="163">
        <f t="shared" si="12"/>
        <v>96.012</v>
      </c>
      <c r="AN21" s="164">
        <f t="shared" si="13"/>
        <v>381.332</v>
      </c>
      <c r="AO21" s="165">
        <v>2</v>
      </c>
      <c r="AP21" s="166"/>
      <c r="AQ21" s="188">
        <f>AO21*产品成本!$D$17+AP21*产品成本!$D$18</f>
        <v>11.26</v>
      </c>
      <c r="AR21" s="189">
        <f>AO21*产品成本!$E$17+AP21*产品成本!$E$18</f>
        <v>0.64</v>
      </c>
      <c r="AS21" s="189">
        <f>AO21*产品成本!$F$17+AP21*产品成本!$F$18</f>
        <v>0.68</v>
      </c>
      <c r="AT21" s="189">
        <f>AO21*产品成本!$G$17+AP21*产品成本!$G$18</f>
        <v>7.8</v>
      </c>
      <c r="AU21" s="189"/>
      <c r="AV21" s="189">
        <f t="shared" si="14"/>
        <v>1.689</v>
      </c>
      <c r="AW21" s="189">
        <f t="shared" si="15"/>
        <v>-0.3378</v>
      </c>
      <c r="AX21" s="164">
        <f t="shared" si="16"/>
        <v>10.4712</v>
      </c>
      <c r="AY21" s="169">
        <f t="shared" si="17"/>
        <v>370.8608</v>
      </c>
      <c r="AZ21" s="169">
        <f t="shared" si="18"/>
        <v>640.08</v>
      </c>
      <c r="BA21" s="169">
        <f t="shared" si="19"/>
        <v>628.82</v>
      </c>
      <c r="BB21" s="168">
        <f t="shared" si="29"/>
        <v>-213.6008</v>
      </c>
      <c r="BC21" s="170">
        <f t="shared" si="30"/>
        <v>-0.33968512451894</v>
      </c>
    </row>
    <row r="22" ht="29.1" customHeight="1" spans="1:56">
      <c r="A22" s="61" t="s">
        <v>175</v>
      </c>
      <c r="B22" s="61" t="s">
        <v>176</v>
      </c>
      <c r="C22" s="90">
        <v>27</v>
      </c>
      <c r="D22" s="91">
        <v>26</v>
      </c>
      <c r="E22" s="64">
        <v>720.63</v>
      </c>
      <c r="F22" s="148">
        <v>5</v>
      </c>
      <c r="G22" s="148">
        <v>5</v>
      </c>
      <c r="H22" s="64">
        <v>134.45</v>
      </c>
      <c r="I22" s="64">
        <v>13.45</v>
      </c>
      <c r="J22" s="149">
        <v>4</v>
      </c>
      <c r="K22" s="150">
        <f t="shared" si="0"/>
        <v>0.148148148148148</v>
      </c>
      <c r="L22" s="151">
        <v>74.8</v>
      </c>
      <c r="M22" s="152">
        <f t="shared" si="25"/>
        <v>-0.0357142857142857</v>
      </c>
      <c r="N22" s="150">
        <f t="shared" si="26"/>
        <v>-0.0714285714285714</v>
      </c>
      <c r="O22" s="150">
        <f t="shared" si="27"/>
        <v>0.125843644544432</v>
      </c>
      <c r="P22" s="153">
        <f t="shared" si="1"/>
        <v>1.03846153846154</v>
      </c>
      <c r="Q22" s="154">
        <f t="shared" si="2"/>
        <v>27.7165384615385</v>
      </c>
      <c r="R22" s="187">
        <f t="shared" si="3"/>
        <v>26.69</v>
      </c>
      <c r="S22" s="155">
        <f t="shared" si="4"/>
        <v>3.85714285714286</v>
      </c>
      <c r="T22" s="156">
        <f t="shared" si="28"/>
        <v>10</v>
      </c>
      <c r="U22" s="157">
        <f t="shared" si="6"/>
        <v>0.384615384615385</v>
      </c>
      <c r="V22" s="94">
        <f t="shared" si="7"/>
        <v>0.574577900958738</v>
      </c>
      <c r="W22" s="91">
        <v>32749</v>
      </c>
      <c r="X22" s="91">
        <v>555</v>
      </c>
      <c r="Y22" s="91">
        <v>16</v>
      </c>
      <c r="Z22" s="64">
        <v>406.33</v>
      </c>
      <c r="AA22" s="158">
        <v>424.44</v>
      </c>
      <c r="AB22" s="91">
        <v>0.73</v>
      </c>
      <c r="AC22" s="71">
        <f t="shared" si="8"/>
        <v>0.95733201394779</v>
      </c>
      <c r="AD22" s="72">
        <f t="shared" si="9"/>
        <v>0.0169470823536597</v>
      </c>
      <c r="AE22" s="159">
        <f t="shared" si="10"/>
        <v>0.0288288288288288</v>
      </c>
      <c r="AF22" s="154">
        <f t="shared" si="11"/>
        <v>25.395625</v>
      </c>
      <c r="AG22" s="160">
        <v>27</v>
      </c>
      <c r="AH22" s="162"/>
      <c r="AI22" s="163">
        <f>AG22*产品成本!$D$17+AH22*产品成本!$D$18</f>
        <v>152.01</v>
      </c>
      <c r="AJ22" s="163">
        <f>AG22*产品成本!$E$17+AH22*产品成本!$E$18</f>
        <v>8.64</v>
      </c>
      <c r="AK22" s="163">
        <f>AG22*产品成本!$F$17+AH22*产品成本!$F$18</f>
        <v>9.18</v>
      </c>
      <c r="AL22" s="163">
        <f>AG22*产品成本!$G$17+AH22*产品成本!$G$18</f>
        <v>105.3</v>
      </c>
      <c r="AM22" s="163">
        <f t="shared" si="12"/>
        <v>106.077</v>
      </c>
      <c r="AN22" s="164">
        <f t="shared" si="13"/>
        <v>381.207</v>
      </c>
      <c r="AO22" s="165">
        <v>4</v>
      </c>
      <c r="AP22" s="166"/>
      <c r="AQ22" s="188">
        <f>AO22*产品成本!$D$17+AP22*产品成本!$D$18</f>
        <v>22.52</v>
      </c>
      <c r="AR22" s="189">
        <f>AO22*产品成本!$E$17+AP22*产品成本!$E$18</f>
        <v>1.28</v>
      </c>
      <c r="AS22" s="189">
        <f>AO22*产品成本!$F$17+AP22*产品成本!$F$18</f>
        <v>1.36</v>
      </c>
      <c r="AT22" s="189">
        <f>AO22*产品成本!$G$17+AP22*产品成本!$G$18</f>
        <v>15.6</v>
      </c>
      <c r="AU22" s="189"/>
      <c r="AV22" s="189">
        <f t="shared" si="14"/>
        <v>3.378</v>
      </c>
      <c r="AW22" s="189">
        <f t="shared" si="15"/>
        <v>-0.6756</v>
      </c>
      <c r="AX22" s="164">
        <f t="shared" si="16"/>
        <v>20.9424</v>
      </c>
      <c r="AY22" s="169">
        <f t="shared" si="17"/>
        <v>360.2646</v>
      </c>
      <c r="AZ22" s="169">
        <f t="shared" si="18"/>
        <v>707.18</v>
      </c>
      <c r="BA22" s="169">
        <f t="shared" si="19"/>
        <v>684.66</v>
      </c>
      <c r="BB22" s="168">
        <f t="shared" si="29"/>
        <v>-81.9346</v>
      </c>
      <c r="BC22" s="170">
        <f t="shared" si="30"/>
        <v>-0.119671953962551</v>
      </c>
    </row>
    <row r="23" ht="29.1" customHeight="1" spans="1:56">
      <c r="A23" s="61" t="s">
        <v>177</v>
      </c>
      <c r="B23" s="61" t="s">
        <v>178</v>
      </c>
      <c r="C23" s="90">
        <v>23</v>
      </c>
      <c r="D23" s="91">
        <v>23</v>
      </c>
      <c r="E23" s="64">
        <v>529.59</v>
      </c>
      <c r="F23" s="148">
        <v>0</v>
      </c>
      <c r="G23" s="148">
        <v>0</v>
      </c>
      <c r="H23" s="64">
        <v>0</v>
      </c>
      <c r="I23" s="64">
        <v>0</v>
      </c>
      <c r="J23" s="149">
        <v>3</v>
      </c>
      <c r="K23" s="150">
        <f t="shared" si="0"/>
        <v>0.130434782608696</v>
      </c>
      <c r="L23" s="151">
        <v>67.46</v>
      </c>
      <c r="M23" s="152">
        <f t="shared" si="25"/>
        <v>-0.148148148148148</v>
      </c>
      <c r="N23" s="150">
        <f t="shared" si="26"/>
        <v>-0.115384615384615</v>
      </c>
      <c r="O23" s="150">
        <f t="shared" si="27"/>
        <v>-0.265101369634903</v>
      </c>
      <c r="P23" s="153">
        <f t="shared" si="1"/>
        <v>1</v>
      </c>
      <c r="Q23" s="154">
        <f t="shared" si="2"/>
        <v>23.025652173913</v>
      </c>
      <c r="R23" s="187">
        <f t="shared" si="3"/>
        <v>23.025652173913</v>
      </c>
      <c r="S23" s="155">
        <f t="shared" si="4"/>
        <v>3.28571428571429</v>
      </c>
      <c r="T23" s="156">
        <f t="shared" si="28"/>
        <v>7</v>
      </c>
      <c r="U23" s="157">
        <f t="shared" si="6"/>
        <v>0.304347826086957</v>
      </c>
      <c r="V23" s="94">
        <f t="shared" si="7"/>
        <v>0.36207254668706</v>
      </c>
      <c r="W23" s="91">
        <v>16030</v>
      </c>
      <c r="X23" s="91">
        <v>284</v>
      </c>
      <c r="Y23" s="91">
        <v>16</v>
      </c>
      <c r="Z23" s="64">
        <v>191.75</v>
      </c>
      <c r="AA23" s="158">
        <v>373.76</v>
      </c>
      <c r="AB23" s="91">
        <v>0.68</v>
      </c>
      <c r="AC23" s="71">
        <f t="shared" si="8"/>
        <v>0.513029751712329</v>
      </c>
      <c r="AD23" s="72">
        <f t="shared" si="9"/>
        <v>0.0177167810355583</v>
      </c>
      <c r="AE23" s="159">
        <f t="shared" si="10"/>
        <v>0.0563380281690141</v>
      </c>
      <c r="AF23" s="154">
        <f t="shared" si="11"/>
        <v>11.984375</v>
      </c>
      <c r="AG23" s="160">
        <v>23</v>
      </c>
      <c r="AH23" s="162"/>
      <c r="AI23" s="163">
        <f>AG23*产品成本!$D$17+AH23*产品成本!$D$18</f>
        <v>129.49</v>
      </c>
      <c r="AJ23" s="163">
        <f>AG23*产品成本!$E$17+AH23*产品成本!$E$18</f>
        <v>7.36</v>
      </c>
      <c r="AK23" s="163">
        <f>AG23*产品成本!$F$17+AH23*产品成本!$F$18</f>
        <v>7.82</v>
      </c>
      <c r="AL23" s="163">
        <f>AG23*产品成本!$G$17+AH23*产品成本!$G$18</f>
        <v>89.7</v>
      </c>
      <c r="AM23" s="163">
        <f t="shared" si="12"/>
        <v>79.4385</v>
      </c>
      <c r="AN23" s="164">
        <f t="shared" si="13"/>
        <v>313.8085</v>
      </c>
      <c r="AO23" s="165">
        <v>3</v>
      </c>
      <c r="AP23" s="166"/>
      <c r="AQ23" s="188">
        <f>AO23*产品成本!$D$17+AP23*产品成本!$D$18</f>
        <v>16.89</v>
      </c>
      <c r="AR23" s="189">
        <f>AO23*产品成本!$E$17+AP23*产品成本!$E$18</f>
        <v>0.96</v>
      </c>
      <c r="AS23" s="189">
        <f>AO23*产品成本!$F$17+AP23*产品成本!$F$18</f>
        <v>1.02</v>
      </c>
      <c r="AT23" s="189">
        <f>AO23*产品成本!$G$17+AP23*产品成本!$G$18</f>
        <v>11.7</v>
      </c>
      <c r="AU23" s="189"/>
      <c r="AV23" s="189">
        <f t="shared" si="14"/>
        <v>2.5335</v>
      </c>
      <c r="AW23" s="189">
        <f t="shared" si="15"/>
        <v>-0.5067</v>
      </c>
      <c r="AX23" s="164">
        <f t="shared" si="16"/>
        <v>15.7068</v>
      </c>
      <c r="AY23" s="169">
        <f t="shared" si="17"/>
        <v>298.1017</v>
      </c>
      <c r="AZ23" s="169">
        <f t="shared" si="18"/>
        <v>529.59</v>
      </c>
      <c r="BA23" s="169">
        <f t="shared" si="19"/>
        <v>512.7</v>
      </c>
      <c r="BB23" s="168">
        <f t="shared" si="29"/>
        <v>22.8483000000001</v>
      </c>
      <c r="BC23" s="170">
        <f t="shared" si="30"/>
        <v>0.0445646576945583</v>
      </c>
    </row>
    <row r="24" ht="29.1" customHeight="1" spans="1:56">
      <c r="A24" s="61" t="s">
        <v>179</v>
      </c>
      <c r="B24" s="61" t="s">
        <v>180</v>
      </c>
      <c r="C24" s="90">
        <v>28</v>
      </c>
      <c r="D24" s="91">
        <v>28</v>
      </c>
      <c r="E24" s="64">
        <v>639.8</v>
      </c>
      <c r="F24" s="148">
        <v>1</v>
      </c>
      <c r="G24" s="148">
        <v>1</v>
      </c>
      <c r="H24" s="64">
        <v>22.85</v>
      </c>
      <c r="I24" s="64">
        <v>22.85</v>
      </c>
      <c r="J24" s="149">
        <v>8</v>
      </c>
      <c r="K24" s="150">
        <f t="shared" si="0"/>
        <v>0.285714285714286</v>
      </c>
      <c r="L24" s="151">
        <v>168.49</v>
      </c>
      <c r="M24" s="152">
        <f t="shared" si="25"/>
        <v>0.217391304347826</v>
      </c>
      <c r="N24" s="150">
        <f t="shared" si="26"/>
        <v>0.217391304347826</v>
      </c>
      <c r="O24" s="150">
        <f t="shared" si="27"/>
        <v>0.208104382635624</v>
      </c>
      <c r="P24" s="153">
        <f t="shared" si="1"/>
        <v>1</v>
      </c>
      <c r="Q24" s="154">
        <f t="shared" si="2"/>
        <v>22.85</v>
      </c>
      <c r="R24" s="187">
        <f t="shared" si="3"/>
        <v>22.85</v>
      </c>
      <c r="S24" s="155">
        <f t="shared" si="4"/>
        <v>4</v>
      </c>
      <c r="T24" s="156">
        <f t="shared" si="28"/>
        <v>8</v>
      </c>
      <c r="U24" s="157">
        <f t="shared" si="6"/>
        <v>0.285714285714286</v>
      </c>
      <c r="V24" s="94">
        <f t="shared" si="7"/>
        <v>0.37912310560013</v>
      </c>
      <c r="W24" s="91">
        <v>18360</v>
      </c>
      <c r="X24" s="91">
        <v>356</v>
      </c>
      <c r="Y24" s="91">
        <v>20</v>
      </c>
      <c r="Z24" s="64">
        <v>233.9</v>
      </c>
      <c r="AA24" s="158">
        <v>458.18</v>
      </c>
      <c r="AB24" s="91">
        <v>0.66</v>
      </c>
      <c r="AC24" s="71">
        <f t="shared" si="8"/>
        <v>0.510498057531974</v>
      </c>
      <c r="AD24" s="72">
        <f t="shared" si="9"/>
        <v>0.0193899782135076</v>
      </c>
      <c r="AE24" s="159">
        <f t="shared" si="10"/>
        <v>0.0561797752808989</v>
      </c>
      <c r="AF24" s="154">
        <f t="shared" si="11"/>
        <v>11.695</v>
      </c>
      <c r="AG24" s="160">
        <v>28</v>
      </c>
      <c r="AH24" s="162"/>
      <c r="AI24" s="163">
        <f>AG24*产品成本!$D$17+AH24*产品成本!$D$18</f>
        <v>157.64</v>
      </c>
      <c r="AJ24" s="163">
        <f>AG24*产品成本!$E$17+AH24*产品成本!$E$18</f>
        <v>8.96</v>
      </c>
      <c r="AK24" s="163">
        <f>AG24*产品成本!$F$17+AH24*产品成本!$F$18</f>
        <v>9.52</v>
      </c>
      <c r="AL24" s="163">
        <f>AG24*产品成本!$G$17+AH24*产品成本!$G$18</f>
        <v>109.2</v>
      </c>
      <c r="AM24" s="163">
        <f t="shared" si="12"/>
        <v>92.5425</v>
      </c>
      <c r="AN24" s="164">
        <f t="shared" si="13"/>
        <v>377.8625</v>
      </c>
      <c r="AO24" s="165">
        <v>8</v>
      </c>
      <c r="AP24" s="166"/>
      <c r="AQ24" s="188">
        <f>AO24*产品成本!$D$17+AP24*产品成本!$D$18</f>
        <v>45.04</v>
      </c>
      <c r="AR24" s="189">
        <f>AO24*产品成本!$E$17+AP24*产品成本!$E$18</f>
        <v>2.56</v>
      </c>
      <c r="AS24" s="189">
        <f>AO24*产品成本!$F$17+AP24*产品成本!$F$18</f>
        <v>2.72</v>
      </c>
      <c r="AT24" s="189">
        <f>AO24*产品成本!$G$17+AP24*产品成本!$G$18</f>
        <v>31.2</v>
      </c>
      <c r="AU24" s="189"/>
      <c r="AV24" s="189">
        <f t="shared" si="14"/>
        <v>6.756</v>
      </c>
      <c r="AW24" s="189">
        <f t="shared" si="15"/>
        <v>-1.3512</v>
      </c>
      <c r="AX24" s="164">
        <f t="shared" si="16"/>
        <v>41.8848</v>
      </c>
      <c r="AY24" s="169">
        <f t="shared" si="17"/>
        <v>335.9777</v>
      </c>
      <c r="AZ24" s="169">
        <f t="shared" si="18"/>
        <v>616.95</v>
      </c>
      <c r="BA24" s="169">
        <f t="shared" si="19"/>
        <v>571.91</v>
      </c>
      <c r="BB24" s="168">
        <f t="shared" si="29"/>
        <v>2.03229999999999</v>
      </c>
      <c r="BC24" s="170">
        <f t="shared" si="30"/>
        <v>0.00355353115000611</v>
      </c>
    </row>
    <row r="25" ht="29.1" customHeight="1" spans="1:56">
      <c r="A25" s="61" t="s">
        <v>181</v>
      </c>
      <c r="B25" s="61" t="s">
        <v>182</v>
      </c>
      <c r="C25" s="90">
        <v>31</v>
      </c>
      <c r="D25" s="91">
        <v>30</v>
      </c>
      <c r="E25" s="64">
        <v>708.35</v>
      </c>
      <c r="F25" s="148">
        <v>5</v>
      </c>
      <c r="G25" s="148">
        <v>4</v>
      </c>
      <c r="H25" s="64">
        <v>114.25</v>
      </c>
      <c r="I25" s="64">
        <v>22.85</v>
      </c>
      <c r="J25" s="149">
        <v>2</v>
      </c>
      <c r="K25" s="150">
        <f t="shared" si="0"/>
        <v>0.0645161290322581</v>
      </c>
      <c r="L25" s="151">
        <v>43.78</v>
      </c>
      <c r="M25" s="152">
        <f t="shared" si="25"/>
        <v>0.107142857142857</v>
      </c>
      <c r="N25" s="150">
        <f t="shared" si="26"/>
        <v>0.0714285714285714</v>
      </c>
      <c r="O25" s="150">
        <f t="shared" si="27"/>
        <v>0.107142857142857</v>
      </c>
      <c r="P25" s="153">
        <f t="shared" si="1"/>
        <v>1.03333333333333</v>
      </c>
      <c r="Q25" s="154">
        <f t="shared" si="2"/>
        <v>23.6116666666667</v>
      </c>
      <c r="R25" s="187">
        <f t="shared" si="3"/>
        <v>22.85</v>
      </c>
      <c r="S25" s="155">
        <f t="shared" si="4"/>
        <v>4.42857142857143</v>
      </c>
      <c r="T25" s="156">
        <f t="shared" si="28"/>
        <v>7</v>
      </c>
      <c r="U25" s="157">
        <f t="shared" si="6"/>
        <v>0.233333333333333</v>
      </c>
      <c r="V25" s="94">
        <f t="shared" si="7"/>
        <v>0.358249452954048</v>
      </c>
      <c r="W25" s="91">
        <v>18025</v>
      </c>
      <c r="X25" s="91">
        <v>373</v>
      </c>
      <c r="Y25" s="91">
        <v>23</v>
      </c>
      <c r="Z25" s="64">
        <v>245.58</v>
      </c>
      <c r="AA25" s="158">
        <v>531.85</v>
      </c>
      <c r="AB25" s="91">
        <v>0.66</v>
      </c>
      <c r="AC25" s="71">
        <f t="shared" si="8"/>
        <v>0.461746733101438</v>
      </c>
      <c r="AD25" s="72">
        <f t="shared" si="9"/>
        <v>0.0206934812760055</v>
      </c>
      <c r="AE25" s="159">
        <f t="shared" si="10"/>
        <v>0.0616621983914209</v>
      </c>
      <c r="AF25" s="154">
        <f t="shared" si="11"/>
        <v>10.6773913043478</v>
      </c>
      <c r="AG25" s="160">
        <v>31</v>
      </c>
      <c r="AH25" s="162"/>
      <c r="AI25" s="163">
        <f>AG25*产品成本!$D$17+AH25*产品成本!$D$18</f>
        <v>174.53</v>
      </c>
      <c r="AJ25" s="163">
        <f>AG25*产品成本!$E$17+AH25*产品成本!$E$18</f>
        <v>9.92</v>
      </c>
      <c r="AK25" s="163">
        <f>AG25*产品成本!$F$17+AH25*产品成本!$F$18</f>
        <v>10.54</v>
      </c>
      <c r="AL25" s="163">
        <f>AG25*产品成本!$G$17+AH25*产品成本!$G$18</f>
        <v>120.9</v>
      </c>
      <c r="AM25" s="163">
        <f t="shared" si="12"/>
        <v>102.825</v>
      </c>
      <c r="AN25" s="164">
        <f t="shared" si="13"/>
        <v>418.715</v>
      </c>
      <c r="AO25" s="165">
        <v>2</v>
      </c>
      <c r="AP25" s="166"/>
      <c r="AQ25" s="188">
        <f>AO25*产品成本!$D$17+AP25*产品成本!$D$18</f>
        <v>11.26</v>
      </c>
      <c r="AR25" s="189">
        <f>AO25*产品成本!$E$17+AP25*产品成本!$E$18</f>
        <v>0.64</v>
      </c>
      <c r="AS25" s="189">
        <f>AO25*产品成本!$F$17+AP25*产品成本!$F$18</f>
        <v>0.68</v>
      </c>
      <c r="AT25" s="189">
        <f>AO25*产品成本!$G$17+AP25*产品成本!$G$18</f>
        <v>7.8</v>
      </c>
      <c r="AU25" s="189"/>
      <c r="AV25" s="189">
        <f t="shared" si="14"/>
        <v>1.689</v>
      </c>
      <c r="AW25" s="189">
        <f t="shared" si="15"/>
        <v>-0.3378</v>
      </c>
      <c r="AX25" s="164">
        <f t="shared" si="16"/>
        <v>10.4712</v>
      </c>
      <c r="AY25" s="169">
        <f t="shared" si="17"/>
        <v>408.2438</v>
      </c>
      <c r="AZ25" s="169">
        <f t="shared" si="18"/>
        <v>685.5</v>
      </c>
      <c r="BA25" s="169">
        <f t="shared" si="19"/>
        <v>674.24</v>
      </c>
      <c r="BB25" s="168">
        <f t="shared" si="29"/>
        <v>20.4162</v>
      </c>
      <c r="BC25" s="170">
        <f t="shared" si="30"/>
        <v>0.030280315614618</v>
      </c>
    </row>
    <row r="26" ht="29.1" customHeight="1" spans="1:56">
      <c r="A26" s="61" t="s">
        <v>183</v>
      </c>
      <c r="B26" s="61" t="s">
        <v>184</v>
      </c>
      <c r="C26" s="90">
        <v>35</v>
      </c>
      <c r="D26" s="91">
        <v>35</v>
      </c>
      <c r="E26" s="64">
        <v>796.81</v>
      </c>
      <c r="F26" s="148">
        <v>0</v>
      </c>
      <c r="G26" s="148">
        <v>0</v>
      </c>
      <c r="H26" s="64">
        <v>0</v>
      </c>
      <c r="I26" s="64">
        <v>0</v>
      </c>
      <c r="J26" s="149">
        <v>5</v>
      </c>
      <c r="K26" s="150">
        <f t="shared" si="0"/>
        <v>0.142857142857143</v>
      </c>
      <c r="L26" s="151">
        <v>102.08</v>
      </c>
      <c r="M26" s="152">
        <f t="shared" si="25"/>
        <v>0.129032258064516</v>
      </c>
      <c r="N26" s="150">
        <f t="shared" si="26"/>
        <v>0.166666666666667</v>
      </c>
      <c r="O26" s="150">
        <f t="shared" si="27"/>
        <v>0.124881767487824</v>
      </c>
      <c r="P26" s="153">
        <f t="shared" si="1"/>
        <v>1</v>
      </c>
      <c r="Q26" s="154">
        <f t="shared" si="2"/>
        <v>22.766</v>
      </c>
      <c r="R26" s="187">
        <f t="shared" si="3"/>
        <v>22.766</v>
      </c>
      <c r="S26" s="155">
        <f t="shared" si="4"/>
        <v>5</v>
      </c>
      <c r="T26" s="156">
        <f t="shared" si="28"/>
        <v>17</v>
      </c>
      <c r="U26" s="157">
        <f t="shared" si="6"/>
        <v>0.485714285714286</v>
      </c>
      <c r="V26" s="94">
        <f t="shared" si="7"/>
        <v>0.269712980509783</v>
      </c>
      <c r="W26" s="91">
        <v>19249</v>
      </c>
      <c r="X26" s="91">
        <v>339</v>
      </c>
      <c r="Y26" s="91">
        <v>18</v>
      </c>
      <c r="Z26" s="64">
        <v>214.91</v>
      </c>
      <c r="AA26" s="158">
        <v>413.34</v>
      </c>
      <c r="AB26" s="91">
        <v>0.63</v>
      </c>
      <c r="AC26" s="71">
        <f t="shared" si="8"/>
        <v>0.519935162336091</v>
      </c>
      <c r="AD26" s="72">
        <f t="shared" si="9"/>
        <v>0.0176113044833498</v>
      </c>
      <c r="AE26" s="159">
        <f t="shared" si="10"/>
        <v>0.0530973451327434</v>
      </c>
      <c r="AF26" s="154">
        <f t="shared" si="11"/>
        <v>11.9394444444444</v>
      </c>
      <c r="AG26" s="160">
        <v>35</v>
      </c>
      <c r="AH26" s="162"/>
      <c r="AI26" s="163">
        <f>AG26*产品成本!$D$17+AH26*产品成本!$D$18</f>
        <v>197.05</v>
      </c>
      <c r="AJ26" s="163">
        <f>AG26*产品成本!$E$17+AH26*产品成本!$E$18</f>
        <v>11.2</v>
      </c>
      <c r="AK26" s="163">
        <f>AG26*产品成本!$F$17+AH26*产品成本!$F$18</f>
        <v>11.9</v>
      </c>
      <c r="AL26" s="163">
        <f>AG26*产品成本!$G$17+AH26*产品成本!$G$18</f>
        <v>136.5</v>
      </c>
      <c r="AM26" s="163">
        <f t="shared" si="12"/>
        <v>119.5215</v>
      </c>
      <c r="AN26" s="164">
        <f t="shared" si="13"/>
        <v>476.1715</v>
      </c>
      <c r="AO26" s="165">
        <v>5</v>
      </c>
      <c r="AP26" s="166"/>
      <c r="AQ26" s="188">
        <f>AO26*产品成本!$D$17+AP26*产品成本!$D$18</f>
        <v>28.15</v>
      </c>
      <c r="AR26" s="189">
        <f>AO26*产品成本!$E$17+AP26*产品成本!$E$18</f>
        <v>1.6</v>
      </c>
      <c r="AS26" s="189">
        <f>AO26*产品成本!$F$17+AP26*产品成本!$F$18</f>
        <v>1.7</v>
      </c>
      <c r="AT26" s="189">
        <f>AO26*产品成本!$G$17+AP26*产品成本!$G$18</f>
        <v>19.5</v>
      </c>
      <c r="AU26" s="189"/>
      <c r="AV26" s="189">
        <f t="shared" si="14"/>
        <v>4.2225</v>
      </c>
      <c r="AW26" s="189">
        <f t="shared" si="15"/>
        <v>-0.8445</v>
      </c>
      <c r="AX26" s="164">
        <f t="shared" si="16"/>
        <v>26.178</v>
      </c>
      <c r="AY26" s="169">
        <f t="shared" si="17"/>
        <v>449.9935</v>
      </c>
      <c r="AZ26" s="169">
        <f t="shared" si="18"/>
        <v>796.81</v>
      </c>
      <c r="BA26" s="169">
        <f t="shared" si="19"/>
        <v>768.66</v>
      </c>
      <c r="BB26" s="168">
        <f t="shared" si="29"/>
        <v>103.7565</v>
      </c>
      <c r="BC26" s="170">
        <f t="shared" si="30"/>
        <v>0.134983607837015</v>
      </c>
    </row>
    <row r="27" ht="29.1" customHeight="1" spans="1:56">
      <c r="A27" s="61" t="s">
        <v>185</v>
      </c>
      <c r="B27" s="61" t="s">
        <v>186</v>
      </c>
      <c r="C27" s="90">
        <v>39</v>
      </c>
      <c r="D27" s="91">
        <v>37</v>
      </c>
      <c r="E27" s="64">
        <v>891.15</v>
      </c>
      <c r="F27" s="148">
        <v>5</v>
      </c>
      <c r="G27" s="148">
        <v>3</v>
      </c>
      <c r="H27" s="64">
        <v>114.25</v>
      </c>
      <c r="I27" s="64">
        <v>22.85</v>
      </c>
      <c r="J27" s="190">
        <v>12</v>
      </c>
      <c r="K27" s="150">
        <f t="shared" si="0"/>
        <v>0.307692307692308</v>
      </c>
      <c r="L27" s="151">
        <v>237.31</v>
      </c>
      <c r="M27" s="152">
        <f t="shared" si="25"/>
        <v>0.114285714285714</v>
      </c>
      <c r="N27" s="150">
        <f t="shared" si="26"/>
        <v>0.0571428571428571</v>
      </c>
      <c r="O27" s="150">
        <f t="shared" si="27"/>
        <v>0.118397108470024</v>
      </c>
      <c r="P27" s="153">
        <f t="shared" si="1"/>
        <v>1.05405405405405</v>
      </c>
      <c r="Q27" s="154">
        <f t="shared" si="2"/>
        <v>24.0851351351351</v>
      </c>
      <c r="R27" s="187">
        <f t="shared" si="3"/>
        <v>22.85</v>
      </c>
      <c r="S27" s="155">
        <f t="shared" si="4"/>
        <v>5.57142857142857</v>
      </c>
      <c r="T27" s="156">
        <f t="shared" si="28"/>
        <v>13</v>
      </c>
      <c r="U27" s="157">
        <f t="shared" si="6"/>
        <v>0.351351351351351</v>
      </c>
      <c r="V27" s="94">
        <f t="shared" si="7"/>
        <v>0.24279626857077</v>
      </c>
      <c r="W27" s="91">
        <v>14860</v>
      </c>
      <c r="X27" s="91">
        <v>326</v>
      </c>
      <c r="Y27" s="91">
        <v>24</v>
      </c>
      <c r="Z27" s="64">
        <v>210.82</v>
      </c>
      <c r="AA27" s="158">
        <v>593.24</v>
      </c>
      <c r="AB27" s="91">
        <v>0.65</v>
      </c>
      <c r="AC27" s="71">
        <f t="shared" si="8"/>
        <v>0.355370507720316</v>
      </c>
      <c r="AD27" s="72">
        <f t="shared" si="9"/>
        <v>0.0219380888290713</v>
      </c>
      <c r="AE27" s="159">
        <f t="shared" si="10"/>
        <v>0.0736196319018405</v>
      </c>
      <c r="AF27" s="154">
        <f t="shared" si="11"/>
        <v>8.78416666666667</v>
      </c>
      <c r="AG27" s="160">
        <v>39</v>
      </c>
      <c r="AH27" s="162"/>
      <c r="AI27" s="163">
        <f>AG27*产品成本!$D$17+AH27*产品成本!$D$18</f>
        <v>219.57</v>
      </c>
      <c r="AJ27" s="163">
        <f>AG27*产品成本!$E$17+AH27*产品成本!$E$18</f>
        <v>12.48</v>
      </c>
      <c r="AK27" s="163">
        <f>AG27*产品成本!$F$17+AH27*产品成本!$F$18</f>
        <v>13.26</v>
      </c>
      <c r="AL27" s="163">
        <f>AG27*产品成本!$G$17+AH27*产品成本!$G$18</f>
        <v>152.1</v>
      </c>
      <c r="AM27" s="163">
        <f t="shared" si="12"/>
        <v>130.245</v>
      </c>
      <c r="AN27" s="164">
        <f t="shared" si="13"/>
        <v>527.655</v>
      </c>
      <c r="AO27" s="165">
        <v>12</v>
      </c>
      <c r="AP27" s="166"/>
      <c r="AQ27" s="188">
        <f>AO27*产品成本!$D$17+AP27*产品成本!$D$18</f>
        <v>67.56</v>
      </c>
      <c r="AR27" s="189">
        <f>AO27*产品成本!$E$17+AP27*产品成本!$E$18</f>
        <v>3.84</v>
      </c>
      <c r="AS27" s="189">
        <f>AO27*产品成本!$F$17+AP27*产品成本!$F$18</f>
        <v>4.08</v>
      </c>
      <c r="AT27" s="189">
        <f>AO27*产品成本!$G$17+AP27*产品成本!$G$18</f>
        <v>46.8</v>
      </c>
      <c r="AU27" s="189"/>
      <c r="AV27" s="189">
        <f t="shared" si="14"/>
        <v>10.134</v>
      </c>
      <c r="AW27" s="189">
        <f t="shared" si="15"/>
        <v>-2.0268</v>
      </c>
      <c r="AX27" s="164">
        <f t="shared" si="16"/>
        <v>62.8272</v>
      </c>
      <c r="AY27" s="169">
        <f t="shared" si="17"/>
        <v>464.8278</v>
      </c>
      <c r="AZ27" s="169">
        <f t="shared" si="18"/>
        <v>868.3</v>
      </c>
      <c r="BA27" s="169">
        <f t="shared" si="19"/>
        <v>800.74</v>
      </c>
      <c r="BB27" s="168">
        <f t="shared" si="29"/>
        <v>125.0922</v>
      </c>
      <c r="BC27" s="170">
        <f t="shared" si="30"/>
        <v>0.156220745810126</v>
      </c>
    </row>
    <row r="28" ht="29.1" customHeight="1" spans="1:56">
      <c r="A28" s="61" t="s">
        <v>187</v>
      </c>
      <c r="B28" s="61" t="s">
        <v>188</v>
      </c>
      <c r="C28" s="90">
        <v>28</v>
      </c>
      <c r="D28" s="91">
        <v>28</v>
      </c>
      <c r="E28" s="64">
        <v>639.8</v>
      </c>
      <c r="F28" s="148">
        <v>1</v>
      </c>
      <c r="G28" s="148">
        <v>1</v>
      </c>
      <c r="H28" s="64">
        <v>22.85</v>
      </c>
      <c r="I28" s="64">
        <v>22.85</v>
      </c>
      <c r="J28" s="190">
        <v>2</v>
      </c>
      <c r="K28" s="150">
        <f t="shared" si="0"/>
        <v>0.0714285714285714</v>
      </c>
      <c r="L28" s="151">
        <v>40.22</v>
      </c>
      <c r="M28" s="152">
        <f t="shared" si="25"/>
        <v>-0.282051282051282</v>
      </c>
      <c r="N28" s="150">
        <f t="shared" si="26"/>
        <v>-0.243243243243243</v>
      </c>
      <c r="O28" s="150">
        <f t="shared" si="27"/>
        <v>-0.282051282051282</v>
      </c>
      <c r="P28" s="153">
        <f t="shared" si="1"/>
        <v>1</v>
      </c>
      <c r="Q28" s="154">
        <f t="shared" si="2"/>
        <v>22.85</v>
      </c>
      <c r="R28" s="187">
        <f t="shared" si="3"/>
        <v>22.85</v>
      </c>
      <c r="S28" s="155">
        <f t="shared" si="4"/>
        <v>4</v>
      </c>
      <c r="T28" s="156">
        <f t="shared" si="28"/>
        <v>12</v>
      </c>
      <c r="U28" s="157">
        <f t="shared" si="6"/>
        <v>0.428571428571429</v>
      </c>
      <c r="V28" s="94">
        <f t="shared" si="7"/>
        <v>0.295550692924872</v>
      </c>
      <c r="W28" s="91">
        <v>14641</v>
      </c>
      <c r="X28" s="91">
        <v>257</v>
      </c>
      <c r="Y28" s="91">
        <v>16</v>
      </c>
      <c r="Z28" s="64">
        <v>182.34</v>
      </c>
      <c r="AA28" s="158">
        <v>364.9</v>
      </c>
      <c r="AB28" s="91">
        <v>0.71</v>
      </c>
      <c r="AC28" s="71">
        <f t="shared" si="8"/>
        <v>0.499698547547273</v>
      </c>
      <c r="AD28" s="72">
        <f t="shared" si="9"/>
        <v>0.0175534458028823</v>
      </c>
      <c r="AE28" s="159">
        <f t="shared" si="10"/>
        <v>0.0622568093385214</v>
      </c>
      <c r="AF28" s="154">
        <f t="shared" si="11"/>
        <v>11.39625</v>
      </c>
      <c r="AG28" s="160">
        <v>28</v>
      </c>
      <c r="AH28" s="162"/>
      <c r="AI28" s="163">
        <f>AG28*产品成本!$D$17+AH28*产品成本!$D$18</f>
        <v>157.64</v>
      </c>
      <c r="AJ28" s="163">
        <f>AG28*产品成本!$E$17+AH28*产品成本!$E$18</f>
        <v>8.96</v>
      </c>
      <c r="AK28" s="163">
        <f>AG28*产品成本!$F$17+AH28*产品成本!$F$18</f>
        <v>9.52</v>
      </c>
      <c r="AL28" s="163">
        <f>AG28*产品成本!$G$17+AH28*产品成本!$G$18</f>
        <v>109.2</v>
      </c>
      <c r="AM28" s="163">
        <f t="shared" si="12"/>
        <v>92.5425</v>
      </c>
      <c r="AN28" s="164">
        <f t="shared" si="13"/>
        <v>377.8625</v>
      </c>
      <c r="AO28" s="165">
        <v>2</v>
      </c>
      <c r="AP28" s="166"/>
      <c r="AQ28" s="188">
        <f>AO28*产品成本!$D$17+AP28*产品成本!$D$18</f>
        <v>11.26</v>
      </c>
      <c r="AR28" s="189">
        <f>AO28*产品成本!$E$17+AP28*产品成本!$E$18</f>
        <v>0.64</v>
      </c>
      <c r="AS28" s="189">
        <f>AO28*产品成本!$F$17+AP28*产品成本!$F$18</f>
        <v>0.68</v>
      </c>
      <c r="AT28" s="189">
        <f>AO28*产品成本!$G$17+AP28*产品成本!$G$18</f>
        <v>7.8</v>
      </c>
      <c r="AU28" s="189"/>
      <c r="AV28" s="189">
        <f t="shared" si="14"/>
        <v>1.689</v>
      </c>
      <c r="AW28" s="189">
        <f t="shared" si="15"/>
        <v>-0.3378</v>
      </c>
      <c r="AX28" s="164">
        <f t="shared" si="16"/>
        <v>10.4712</v>
      </c>
      <c r="AY28" s="169">
        <f t="shared" si="17"/>
        <v>367.3913</v>
      </c>
      <c r="AZ28" s="169">
        <f t="shared" si="18"/>
        <v>616.95</v>
      </c>
      <c r="BA28" s="169">
        <f t="shared" si="19"/>
        <v>605.69</v>
      </c>
      <c r="BB28" s="168">
        <f t="shared" si="29"/>
        <v>55.9587</v>
      </c>
      <c r="BC28" s="170">
        <f t="shared" si="30"/>
        <v>0.0923883504763163</v>
      </c>
    </row>
    <row r="29" ht="29.1" customHeight="1" spans="1:56">
      <c r="A29" s="61" t="s">
        <v>189</v>
      </c>
      <c r="B29" s="61" t="s">
        <v>190</v>
      </c>
      <c r="C29" s="90">
        <v>27</v>
      </c>
      <c r="D29" s="91">
        <v>26</v>
      </c>
      <c r="E29" s="64">
        <v>616.95</v>
      </c>
      <c r="F29" s="148">
        <v>10</v>
      </c>
      <c r="G29" s="148">
        <v>9</v>
      </c>
      <c r="H29" s="64">
        <v>228.5</v>
      </c>
      <c r="I29" s="64">
        <v>22.85</v>
      </c>
      <c r="J29" s="190">
        <v>6</v>
      </c>
      <c r="K29" s="150">
        <f t="shared" si="0"/>
        <v>0.222222222222222</v>
      </c>
      <c r="L29" s="151">
        <v>106.23</v>
      </c>
      <c r="M29" s="152">
        <f t="shared" si="25"/>
        <v>-0.0357142857142857</v>
      </c>
      <c r="N29" s="150">
        <f t="shared" si="26"/>
        <v>-0.0714285714285714</v>
      </c>
      <c r="O29" s="150">
        <f t="shared" si="27"/>
        <v>-0.0357142857142856</v>
      </c>
      <c r="P29" s="153">
        <f t="shared" si="1"/>
        <v>1.03846153846154</v>
      </c>
      <c r="Q29" s="154">
        <f t="shared" si="2"/>
        <v>23.7288461538462</v>
      </c>
      <c r="R29" s="187">
        <f t="shared" si="3"/>
        <v>22.85</v>
      </c>
      <c r="S29" s="155">
        <f t="shared" si="4"/>
        <v>3.85714285714286</v>
      </c>
      <c r="T29" s="156">
        <f t="shared" si="28"/>
        <v>5</v>
      </c>
      <c r="U29" s="157">
        <f t="shared" si="6"/>
        <v>0.192307692307692</v>
      </c>
      <c r="V29" s="94">
        <f t="shared" si="7"/>
        <v>0.385440161588958</v>
      </c>
      <c r="W29" s="91">
        <v>19525</v>
      </c>
      <c r="X29" s="91">
        <v>324</v>
      </c>
      <c r="Y29" s="91">
        <v>21</v>
      </c>
      <c r="Z29" s="64">
        <v>228.99</v>
      </c>
      <c r="AA29" s="158">
        <v>478.1</v>
      </c>
      <c r="AB29" s="91">
        <v>0.71</v>
      </c>
      <c r="AC29" s="71">
        <f t="shared" si="8"/>
        <v>0.478958376908597</v>
      </c>
      <c r="AD29" s="72">
        <f t="shared" si="9"/>
        <v>0.0165941101152369</v>
      </c>
      <c r="AE29" s="159">
        <f t="shared" si="10"/>
        <v>0.0648148148148148</v>
      </c>
      <c r="AF29" s="154">
        <f t="shared" si="11"/>
        <v>10.9042857142857</v>
      </c>
      <c r="AG29" s="160">
        <v>27</v>
      </c>
      <c r="AH29" s="162"/>
      <c r="AI29" s="163">
        <f>AG29*产品成本!$D$17+AH29*产品成本!$D$18</f>
        <v>152.01</v>
      </c>
      <c r="AJ29" s="163">
        <f>AG29*产品成本!$E$17+AH29*产品成本!$E$18</f>
        <v>8.64</v>
      </c>
      <c r="AK29" s="163">
        <f>AG29*产品成本!$F$17+AH29*产品成本!$F$18</f>
        <v>9.18</v>
      </c>
      <c r="AL29" s="163">
        <f>AG29*产品成本!$G$17+AH29*产品成本!$G$18</f>
        <v>105.3</v>
      </c>
      <c r="AM29" s="163">
        <f t="shared" si="12"/>
        <v>89.115</v>
      </c>
      <c r="AN29" s="164">
        <f t="shared" si="13"/>
        <v>364.245</v>
      </c>
      <c r="AO29" s="165">
        <v>6</v>
      </c>
      <c r="AP29" s="166"/>
      <c r="AQ29" s="188">
        <f>AO29*产品成本!$D$17+AP29*产品成本!$D$18</f>
        <v>33.78</v>
      </c>
      <c r="AR29" s="189">
        <f>AO29*产品成本!$E$17+AP29*产品成本!$E$18</f>
        <v>1.92</v>
      </c>
      <c r="AS29" s="189">
        <f>AO29*产品成本!$F$17+AP29*产品成本!$F$18</f>
        <v>2.04</v>
      </c>
      <c r="AT29" s="189">
        <f>AO29*产品成本!$G$17+AP29*产品成本!$G$18</f>
        <v>23.4</v>
      </c>
      <c r="AU29" s="189"/>
      <c r="AV29" s="189">
        <f t="shared" si="14"/>
        <v>5.067</v>
      </c>
      <c r="AW29" s="189">
        <f t="shared" si="15"/>
        <v>-1.0134</v>
      </c>
      <c r="AX29" s="164">
        <f t="shared" si="16"/>
        <v>31.4136</v>
      </c>
      <c r="AY29" s="169">
        <f t="shared" si="17"/>
        <v>332.8314</v>
      </c>
      <c r="AZ29" s="169">
        <f t="shared" si="18"/>
        <v>594.1</v>
      </c>
      <c r="BA29" s="169">
        <f t="shared" si="19"/>
        <v>560.32</v>
      </c>
      <c r="BB29" s="168">
        <f t="shared" si="29"/>
        <v>-1.50139999999999</v>
      </c>
      <c r="BC29" s="170">
        <f t="shared" si="30"/>
        <v>-0.00267954026270701</v>
      </c>
    </row>
    <row r="30" ht="29.1" customHeight="1" spans="1:56">
      <c r="A30" s="61" t="s">
        <v>191</v>
      </c>
      <c r="B30" s="61" t="s">
        <v>192</v>
      </c>
      <c r="C30" s="90">
        <v>17</v>
      </c>
      <c r="D30" s="91">
        <v>17</v>
      </c>
      <c r="E30" s="64">
        <v>388.45</v>
      </c>
      <c r="F30" s="148">
        <v>1</v>
      </c>
      <c r="G30" s="148">
        <v>1</v>
      </c>
      <c r="H30" s="64">
        <v>22.85</v>
      </c>
      <c r="I30" s="64">
        <v>2.29</v>
      </c>
      <c r="J30" s="190">
        <v>4</v>
      </c>
      <c r="K30" s="150">
        <f t="shared" si="0"/>
        <v>0.235294117647059</v>
      </c>
      <c r="L30" s="151">
        <v>79.43</v>
      </c>
      <c r="M30" s="152">
        <f t="shared" ref="M30:M53" si="31">(C30-C29)/C29</f>
        <v>-0.37037037037037</v>
      </c>
      <c r="N30" s="150">
        <f t="shared" ref="N30:N53" si="32">(D30-D29)/D29</f>
        <v>-0.346153846153846</v>
      </c>
      <c r="O30" s="150">
        <f t="shared" ref="O30:O53" si="33">(E30-E29)/E29</f>
        <v>-0.37037037037037</v>
      </c>
      <c r="P30" s="153">
        <f t="shared" si="1"/>
        <v>1</v>
      </c>
      <c r="Q30" s="154">
        <f t="shared" si="2"/>
        <v>22.85</v>
      </c>
      <c r="R30" s="187">
        <f t="shared" si="3"/>
        <v>22.85</v>
      </c>
      <c r="S30" s="155">
        <f t="shared" ref="S30:S53" si="34">C30/7</f>
        <v>2.42857142857143</v>
      </c>
      <c r="T30" s="156">
        <f t="shared" ref="T30:T53" si="35">D30-Y30</f>
        <v>5</v>
      </c>
      <c r="U30" s="157">
        <f t="shared" si="6"/>
        <v>0.294117647058824</v>
      </c>
      <c r="V30" s="94">
        <f t="shared" si="7"/>
        <v>0.520898073337477</v>
      </c>
      <c r="W30" s="91">
        <v>14590</v>
      </c>
      <c r="X30" s="91">
        <v>286</v>
      </c>
      <c r="Y30" s="91">
        <v>12</v>
      </c>
      <c r="Z30" s="64">
        <v>201.15</v>
      </c>
      <c r="AA30" s="158">
        <v>267.34</v>
      </c>
      <c r="AB30" s="91">
        <v>0.7</v>
      </c>
      <c r="AC30" s="71">
        <f t="shared" si="8"/>
        <v>0.752412658038453</v>
      </c>
      <c r="AD30" s="72">
        <f t="shared" si="9"/>
        <v>0.0196024674434544</v>
      </c>
      <c r="AE30" s="159">
        <f t="shared" si="10"/>
        <v>0.041958041958042</v>
      </c>
      <c r="AF30" s="154">
        <f t="shared" si="11"/>
        <v>16.7625</v>
      </c>
      <c r="AG30" s="160">
        <v>17</v>
      </c>
      <c r="AH30" s="162"/>
      <c r="AI30" s="163">
        <f>AG30*产品成本!$D$17+AH30*产品成本!$D$18</f>
        <v>95.71</v>
      </c>
      <c r="AJ30" s="163">
        <f>AG30*产品成本!$E$17+AH30*产品成本!$E$18</f>
        <v>5.44</v>
      </c>
      <c r="AK30" s="163">
        <f>AG30*产品成本!$F$17+AH30*产品成本!$F$18</f>
        <v>5.78</v>
      </c>
      <c r="AL30" s="163">
        <f>AG30*产品成本!$G$17+AH30*产品成本!$G$18</f>
        <v>66.3</v>
      </c>
      <c r="AM30" s="163">
        <f t="shared" si="12"/>
        <v>57.924</v>
      </c>
      <c r="AN30" s="164">
        <f t="shared" si="13"/>
        <v>231.154</v>
      </c>
      <c r="AO30" s="165">
        <v>4</v>
      </c>
      <c r="AP30" s="166"/>
      <c r="AQ30" s="188">
        <f>AO30*产品成本!$D$17+AP30*产品成本!$D$18</f>
        <v>22.52</v>
      </c>
      <c r="AR30" s="189">
        <f>AO30*产品成本!$E$17+AP30*产品成本!$E$18</f>
        <v>1.28</v>
      </c>
      <c r="AS30" s="189">
        <f>AO30*产品成本!$F$17+AP30*产品成本!$F$18</f>
        <v>1.36</v>
      </c>
      <c r="AT30" s="189">
        <f>AO30*产品成本!$G$17+AP30*产品成本!$G$18</f>
        <v>15.6</v>
      </c>
      <c r="AU30" s="189"/>
      <c r="AV30" s="189">
        <f t="shared" si="14"/>
        <v>3.378</v>
      </c>
      <c r="AW30" s="189">
        <f t="shared" si="15"/>
        <v>-0.6756</v>
      </c>
      <c r="AX30" s="164">
        <f t="shared" ref="AX30:AX53" si="36">SUM(AR30:AW30)</f>
        <v>20.9424</v>
      </c>
      <c r="AY30" s="169">
        <f t="shared" ref="AY30:AY53" si="37">AN30-AX30</f>
        <v>210.2116</v>
      </c>
      <c r="AZ30" s="169">
        <f t="shared" si="18"/>
        <v>386.16</v>
      </c>
      <c r="BA30" s="169">
        <f t="shared" si="19"/>
        <v>363.64</v>
      </c>
      <c r="BB30" s="168">
        <f t="shared" ref="BB30:BB53" si="38">BA30-AY30-Z30</f>
        <v>-47.7216</v>
      </c>
      <c r="BC30" s="170">
        <f t="shared" ref="BC30:BC53" si="39">BB30/BA30</f>
        <v>-0.131233087669123</v>
      </c>
    </row>
    <row r="31" ht="29.1" customHeight="1" spans="1:56">
      <c r="A31" s="61" t="s">
        <v>193</v>
      </c>
      <c r="B31" s="61" t="s">
        <v>194</v>
      </c>
      <c r="C31" s="90">
        <v>25</v>
      </c>
      <c r="D31" s="91">
        <v>25</v>
      </c>
      <c r="E31" s="64">
        <v>637.28</v>
      </c>
      <c r="F31" s="148">
        <v>2</v>
      </c>
      <c r="G31" s="148">
        <v>2</v>
      </c>
      <c r="H31" s="64">
        <v>53.78</v>
      </c>
      <c r="I31" s="64">
        <v>5.37</v>
      </c>
      <c r="J31" s="190">
        <v>4</v>
      </c>
      <c r="K31" s="150">
        <f t="shared" si="0"/>
        <v>0.16</v>
      </c>
      <c r="L31" s="151">
        <v>73.44</v>
      </c>
      <c r="M31" s="152">
        <f t="shared" si="31"/>
        <v>0.470588235294118</v>
      </c>
      <c r="N31" s="150">
        <f t="shared" si="32"/>
        <v>0.470588235294118</v>
      </c>
      <c r="O31" s="150">
        <f t="shared" si="33"/>
        <v>0.640571502123825</v>
      </c>
      <c r="P31" s="153">
        <f t="shared" si="1"/>
        <v>1</v>
      </c>
      <c r="Q31" s="154">
        <f t="shared" si="2"/>
        <v>25.4912</v>
      </c>
      <c r="R31" s="187">
        <f t="shared" si="3"/>
        <v>25.4912</v>
      </c>
      <c r="S31" s="155">
        <f t="shared" si="34"/>
        <v>3.57142857142857</v>
      </c>
      <c r="T31" s="156">
        <f t="shared" si="35"/>
        <v>3</v>
      </c>
      <c r="U31" s="157">
        <f t="shared" si="6"/>
        <v>0.12</v>
      </c>
      <c r="V31" s="94">
        <f t="shared" si="7"/>
        <v>0.302384833283221</v>
      </c>
      <c r="W31" s="91">
        <v>14836</v>
      </c>
      <c r="X31" s="91">
        <v>283</v>
      </c>
      <c r="Y31" s="91">
        <v>22</v>
      </c>
      <c r="Z31" s="64">
        <v>191.08</v>
      </c>
      <c r="AA31" s="158">
        <v>554.86</v>
      </c>
      <c r="AB31" s="91">
        <v>0.68</v>
      </c>
      <c r="AC31" s="71">
        <f t="shared" si="8"/>
        <v>0.344375157697437</v>
      </c>
      <c r="AD31" s="72">
        <f t="shared" si="9"/>
        <v>0.0190752224319224</v>
      </c>
      <c r="AE31" s="159">
        <f t="shared" si="10"/>
        <v>0.0777385159010601</v>
      </c>
      <c r="AF31" s="154">
        <f t="shared" si="11"/>
        <v>8.68545454545455</v>
      </c>
      <c r="AG31" s="160">
        <v>25</v>
      </c>
      <c r="AH31" s="162">
        <v>0</v>
      </c>
      <c r="AI31" s="163">
        <f>AG31*产品成本!$D$17+AH31*产品成本!$D$18</f>
        <v>140.75</v>
      </c>
      <c r="AJ31" s="163">
        <f>AG31*产品成本!$E$17+AH31*产品成本!$E$18</f>
        <v>8</v>
      </c>
      <c r="AK31" s="163">
        <f>AG31*产品成本!$F$17+AH31*产品成本!$F$18</f>
        <v>8.5</v>
      </c>
      <c r="AL31" s="163">
        <f>AG31*产品成本!$G$17+AH31*产品成本!$G$18</f>
        <v>97.5</v>
      </c>
      <c r="AM31" s="163">
        <f t="shared" si="12"/>
        <v>94.7865</v>
      </c>
      <c r="AN31" s="164">
        <f t="shared" si="13"/>
        <v>349.5365</v>
      </c>
      <c r="AO31" s="165">
        <v>4</v>
      </c>
      <c r="AP31" s="166">
        <v>0</v>
      </c>
      <c r="AQ31" s="188">
        <f>AO31*产品成本!$D$17+AP31*产品成本!$D$18</f>
        <v>22.52</v>
      </c>
      <c r="AR31" s="189">
        <f>AO31*产品成本!$E$17+AP31*产品成本!$E$18</f>
        <v>1.28</v>
      </c>
      <c r="AS31" s="189">
        <f>AO31*产品成本!$F$17+AP31*产品成本!$F$18</f>
        <v>1.36</v>
      </c>
      <c r="AT31" s="189">
        <f>AO31*产品成本!$G$17+AP31*产品成本!$G$18</f>
        <v>15.6</v>
      </c>
      <c r="AU31" s="189"/>
      <c r="AV31" s="189">
        <f t="shared" si="14"/>
        <v>3.378</v>
      </c>
      <c r="AW31" s="189">
        <f t="shared" si="15"/>
        <v>-0.6756</v>
      </c>
      <c r="AX31" s="164">
        <f t="shared" si="36"/>
        <v>20.9424</v>
      </c>
      <c r="AY31" s="169">
        <f t="shared" si="37"/>
        <v>328.5941</v>
      </c>
      <c r="AZ31" s="169">
        <f t="shared" si="18"/>
        <v>631.91</v>
      </c>
      <c r="BA31" s="169">
        <f t="shared" si="19"/>
        <v>609.39</v>
      </c>
      <c r="BB31" s="168">
        <f t="shared" si="38"/>
        <v>89.7159</v>
      </c>
      <c r="BC31" s="170">
        <f t="shared" si="39"/>
        <v>0.147222468370009</v>
      </c>
    </row>
    <row r="32" ht="29.1" customHeight="1" spans="1:56">
      <c r="A32" s="61" t="s">
        <v>195</v>
      </c>
      <c r="B32" s="61" t="s">
        <v>196</v>
      </c>
      <c r="C32" s="90">
        <v>25</v>
      </c>
      <c r="D32" s="91">
        <v>24</v>
      </c>
      <c r="E32" s="64">
        <v>541.71</v>
      </c>
      <c r="F32" s="148">
        <v>4</v>
      </c>
      <c r="G32" s="148">
        <v>4</v>
      </c>
      <c r="H32" s="64">
        <v>97.56</v>
      </c>
      <c r="I32" s="64">
        <v>9.76</v>
      </c>
      <c r="J32" s="190">
        <v>4</v>
      </c>
      <c r="K32" s="150">
        <f t="shared" si="0"/>
        <v>0.16</v>
      </c>
      <c r="L32" s="151">
        <v>76.42</v>
      </c>
      <c r="M32" s="152">
        <f t="shared" si="31"/>
        <v>0</v>
      </c>
      <c r="N32" s="150">
        <f t="shared" si="32"/>
        <v>-0.04</v>
      </c>
      <c r="O32" s="150">
        <f t="shared" si="33"/>
        <v>-0.149965478282701</v>
      </c>
      <c r="P32" s="153">
        <f t="shared" si="1"/>
        <v>1.04166666666667</v>
      </c>
      <c r="Q32" s="154">
        <f t="shared" si="2"/>
        <v>22.57125</v>
      </c>
      <c r="R32" s="187">
        <f t="shared" si="3"/>
        <v>21.6684</v>
      </c>
      <c r="S32" s="155">
        <f t="shared" si="34"/>
        <v>3.57142857142857</v>
      </c>
      <c r="T32" s="156">
        <f t="shared" si="35"/>
        <v>12</v>
      </c>
      <c r="U32" s="157">
        <f t="shared" si="6"/>
        <v>0.5</v>
      </c>
      <c r="V32" s="94">
        <f t="shared" si="7"/>
        <v>0.36463953379077</v>
      </c>
      <c r="W32" s="91">
        <v>18576</v>
      </c>
      <c r="X32" s="91">
        <v>282</v>
      </c>
      <c r="Y32" s="91">
        <v>12</v>
      </c>
      <c r="Z32" s="64">
        <v>193.97</v>
      </c>
      <c r="AA32" s="158">
        <v>262.74</v>
      </c>
      <c r="AB32" s="91">
        <v>0.69</v>
      </c>
      <c r="AC32" s="71">
        <f t="shared" si="8"/>
        <v>0.738258354266575</v>
      </c>
      <c r="AD32" s="72">
        <f t="shared" si="9"/>
        <v>0.0151808785529716</v>
      </c>
      <c r="AE32" s="159">
        <f t="shared" si="10"/>
        <v>0.0425531914893617</v>
      </c>
      <c r="AF32" s="154">
        <f t="shared" si="11"/>
        <v>16.1641666666667</v>
      </c>
      <c r="AG32" s="160">
        <v>23</v>
      </c>
      <c r="AH32" s="162">
        <v>2</v>
      </c>
      <c r="AI32" s="163">
        <f>AG32*产品成本!$D$17+AH32*产品成本!$D$18</f>
        <v>134.6656</v>
      </c>
      <c r="AJ32" s="163">
        <f>AG32*产品成本!$E$17+AH32*产品成本!$E$18</f>
        <v>8.08895774647887</v>
      </c>
      <c r="AK32" s="163">
        <f>AG32*产品成本!$F$17+AH32*产品成本!$F$18</f>
        <v>8.5</v>
      </c>
      <c r="AL32" s="163">
        <f>AG32*产品成本!$G$17+AH32*产品成本!$G$18</f>
        <v>97.5</v>
      </c>
      <c r="AM32" s="163">
        <f t="shared" si="12"/>
        <v>79.7925</v>
      </c>
      <c r="AN32" s="164">
        <f t="shared" si="13"/>
        <v>328.547057746479</v>
      </c>
      <c r="AO32" s="165">
        <v>4</v>
      </c>
      <c r="AP32" s="166">
        <v>0</v>
      </c>
      <c r="AQ32" s="188">
        <f>AO32*产品成本!$D$17+AP32*产品成本!$D$18</f>
        <v>22.52</v>
      </c>
      <c r="AR32" s="189">
        <f>AO32*产品成本!$E$17+AP32*产品成本!$E$18</f>
        <v>1.28</v>
      </c>
      <c r="AS32" s="189">
        <f>AO32*产品成本!$F$17+AP32*产品成本!$F$18</f>
        <v>1.36</v>
      </c>
      <c r="AT32" s="189">
        <f>AO32*产品成本!$G$17+AP32*产品成本!$G$18</f>
        <v>15.6</v>
      </c>
      <c r="AU32" s="189"/>
      <c r="AV32" s="189">
        <f t="shared" si="14"/>
        <v>3.378</v>
      </c>
      <c r="AW32" s="189">
        <f t="shared" si="15"/>
        <v>-0.6756</v>
      </c>
      <c r="AX32" s="164">
        <f t="shared" si="36"/>
        <v>20.9424</v>
      </c>
      <c r="AY32" s="169">
        <f t="shared" si="37"/>
        <v>307.604657746479</v>
      </c>
      <c r="AZ32" s="169">
        <f t="shared" si="18"/>
        <v>531.95</v>
      </c>
      <c r="BA32" s="169">
        <f t="shared" si="19"/>
        <v>509.43</v>
      </c>
      <c r="BB32" s="168">
        <f t="shared" si="38"/>
        <v>7.85534225352117</v>
      </c>
      <c r="BC32" s="170">
        <f t="shared" si="39"/>
        <v>0.0154198658373499</v>
      </c>
      <c r="BD32" t="s">
        <v>197</v>
      </c>
    </row>
    <row r="33" ht="29.1" customHeight="1" spans="1:56">
      <c r="A33" s="61" t="s">
        <v>198</v>
      </c>
      <c r="B33" s="61" t="s">
        <v>199</v>
      </c>
      <c r="C33" s="90">
        <v>7</v>
      </c>
      <c r="D33" s="91">
        <v>7</v>
      </c>
      <c r="E33" s="64">
        <v>173.23</v>
      </c>
      <c r="F33" s="148">
        <v>3</v>
      </c>
      <c r="G33" s="148">
        <v>3</v>
      </c>
      <c r="H33" s="64">
        <v>75.67</v>
      </c>
      <c r="I33" s="64">
        <v>9.99</v>
      </c>
      <c r="J33" s="190">
        <v>4</v>
      </c>
      <c r="K33" s="150">
        <f t="shared" si="0"/>
        <v>0.571428571428571</v>
      </c>
      <c r="L33" s="151">
        <v>87.1</v>
      </c>
      <c r="M33" s="152">
        <f t="shared" si="31"/>
        <v>-0.72</v>
      </c>
      <c r="N33" s="150">
        <f t="shared" si="32"/>
        <v>-0.708333333333333</v>
      </c>
      <c r="O33" s="150">
        <f t="shared" si="33"/>
        <v>-0.680216351922615</v>
      </c>
      <c r="P33" s="153">
        <f t="shared" si="1"/>
        <v>1</v>
      </c>
      <c r="Q33" s="154">
        <f t="shared" si="2"/>
        <v>24.7471428571429</v>
      </c>
      <c r="R33" s="187">
        <f t="shared" si="3"/>
        <v>24.7471428571429</v>
      </c>
      <c r="S33" s="155">
        <f t="shared" si="34"/>
        <v>1</v>
      </c>
      <c r="T33" s="156">
        <f t="shared" si="35"/>
        <v>2</v>
      </c>
      <c r="U33" s="157">
        <f t="shared" si="6"/>
        <v>0.285714285714286</v>
      </c>
      <c r="V33" s="94">
        <f t="shared" si="7"/>
        <v>0.825777995589317</v>
      </c>
      <c r="W33" s="91">
        <v>14341</v>
      </c>
      <c r="X33" s="91">
        <v>189</v>
      </c>
      <c r="Y33" s="91">
        <v>5</v>
      </c>
      <c r="Z33" s="64">
        <v>134.8</v>
      </c>
      <c r="AA33" s="158">
        <v>125.84</v>
      </c>
      <c r="AB33" s="91">
        <v>0.71</v>
      </c>
      <c r="AC33" s="71">
        <f t="shared" si="8"/>
        <v>1.07120152574698</v>
      </c>
      <c r="AD33" s="72">
        <f t="shared" si="9"/>
        <v>0.0131789972805244</v>
      </c>
      <c r="AE33" s="159">
        <f t="shared" si="10"/>
        <v>0.0264550264550265</v>
      </c>
      <c r="AF33" s="154">
        <f t="shared" si="11"/>
        <v>26.96</v>
      </c>
      <c r="AG33" s="160">
        <v>4</v>
      </c>
      <c r="AH33" s="162">
        <v>3</v>
      </c>
      <c r="AI33" s="163">
        <f>AG33*产品成本!$D$17+AH33*产品成本!$D$18</f>
        <v>30.2834</v>
      </c>
      <c r="AJ33" s="163">
        <f>AG33*产品成本!$E$17+AH33*产品成本!$E$18</f>
        <v>2.37343661971831</v>
      </c>
      <c r="AK33" s="163">
        <f>AG33*产品成本!$F$17+AH33*产品成本!$F$18</f>
        <v>2.38</v>
      </c>
      <c r="AL33" s="163">
        <f>AG33*产品成本!$G$17+AH33*产品成本!$G$18</f>
        <v>27.3</v>
      </c>
      <c r="AM33" s="163">
        <f t="shared" si="12"/>
        <v>24.486</v>
      </c>
      <c r="AN33" s="164">
        <f t="shared" si="13"/>
        <v>86.8228366197183</v>
      </c>
      <c r="AO33" s="165">
        <v>4</v>
      </c>
      <c r="AP33" s="166">
        <v>0</v>
      </c>
      <c r="AQ33" s="188">
        <f>AO33*产品成本!$D$17+AP33*产品成本!$D$18</f>
        <v>22.52</v>
      </c>
      <c r="AR33" s="189">
        <f>AO33*产品成本!$E$17+AP33*产品成本!$E$18</f>
        <v>1.28</v>
      </c>
      <c r="AS33" s="189">
        <f>AO33*产品成本!$F$17+AP33*产品成本!$F$18</f>
        <v>1.36</v>
      </c>
      <c r="AT33" s="189">
        <f>AO33*产品成本!$G$17+AP33*产品成本!$G$18</f>
        <v>15.6</v>
      </c>
      <c r="AU33" s="189"/>
      <c r="AV33" s="189">
        <f t="shared" si="14"/>
        <v>3.378</v>
      </c>
      <c r="AW33" s="189">
        <f t="shared" si="15"/>
        <v>-0.6756</v>
      </c>
      <c r="AX33" s="164">
        <f t="shared" si="36"/>
        <v>20.9424</v>
      </c>
      <c r="AY33" s="169">
        <f t="shared" si="37"/>
        <v>65.8804366197183</v>
      </c>
      <c r="AZ33" s="169">
        <f t="shared" si="18"/>
        <v>163.24</v>
      </c>
      <c r="BA33" s="169">
        <f t="shared" si="19"/>
        <v>140.72</v>
      </c>
      <c r="BB33" s="168">
        <f t="shared" si="38"/>
        <v>-59.9604366197184</v>
      </c>
      <c r="BC33" s="170">
        <f t="shared" si="39"/>
        <v>-0.426097474557407</v>
      </c>
      <c r="BD33" t="s">
        <v>394</v>
      </c>
    </row>
    <row r="34" ht="29.1" customHeight="1" spans="1:56">
      <c r="A34" s="61" t="s">
        <v>200</v>
      </c>
      <c r="B34" s="61" t="s">
        <v>201</v>
      </c>
      <c r="C34" s="90">
        <v>21</v>
      </c>
      <c r="D34" s="91">
        <v>21</v>
      </c>
      <c r="E34" s="64">
        <v>434.69</v>
      </c>
      <c r="F34" s="148">
        <v>6</v>
      </c>
      <c r="G34" s="148">
        <v>6</v>
      </c>
      <c r="H34" s="64">
        <v>114.84</v>
      </c>
      <c r="I34" s="64">
        <v>12.7</v>
      </c>
      <c r="J34" s="190">
        <v>4</v>
      </c>
      <c r="K34" s="150">
        <f t="shared" si="0"/>
        <v>0.19047619047619</v>
      </c>
      <c r="L34" s="151">
        <v>75.9</v>
      </c>
      <c r="M34" s="152">
        <f t="shared" si="31"/>
        <v>2</v>
      </c>
      <c r="N34" s="150">
        <f t="shared" si="32"/>
        <v>2</v>
      </c>
      <c r="O34" s="150">
        <f t="shared" si="33"/>
        <v>1.50932286555447</v>
      </c>
      <c r="P34" s="153">
        <f t="shared" si="1"/>
        <v>1</v>
      </c>
      <c r="Q34" s="154">
        <f t="shared" si="2"/>
        <v>20.6995238095238</v>
      </c>
      <c r="R34" s="187">
        <f t="shared" si="3"/>
        <v>20.6995238095238</v>
      </c>
      <c r="S34" s="155">
        <f t="shared" si="34"/>
        <v>3</v>
      </c>
      <c r="T34" s="156">
        <f t="shared" si="35"/>
        <v>9</v>
      </c>
      <c r="U34" s="157">
        <f t="shared" si="6"/>
        <v>0.428571428571429</v>
      </c>
      <c r="V34" s="94">
        <f t="shared" si="7"/>
        <v>0.561506196829309</v>
      </c>
      <c r="W34" s="91">
        <v>23004</v>
      </c>
      <c r="X34" s="91">
        <v>329</v>
      </c>
      <c r="Y34" s="91">
        <v>12</v>
      </c>
      <c r="Z34" s="64">
        <v>236.95</v>
      </c>
      <c r="AA34" s="158">
        <v>244.98</v>
      </c>
      <c r="AB34" s="91">
        <v>0.72</v>
      </c>
      <c r="AC34" s="71">
        <f t="shared" si="8"/>
        <v>0.967221814025635</v>
      </c>
      <c r="AD34" s="72">
        <f t="shared" si="9"/>
        <v>0.014301860545992</v>
      </c>
      <c r="AE34" s="159">
        <f t="shared" si="10"/>
        <v>0.0364741641337386</v>
      </c>
      <c r="AF34" s="154">
        <f t="shared" si="11"/>
        <v>19.7458333333333</v>
      </c>
      <c r="AG34" s="160">
        <v>12</v>
      </c>
      <c r="AH34" s="162">
        <v>9</v>
      </c>
      <c r="AI34" s="163">
        <f>AG34*产品成本!$D$17+AH34*产品成本!$D$18</f>
        <v>90.8502</v>
      </c>
      <c r="AJ34" s="163">
        <f>AG34*产品成本!$E$17+AH34*产品成本!$E$18</f>
        <v>7.12030985915493</v>
      </c>
      <c r="AK34" s="163">
        <f>AG34*产品成本!$F$17+AH34*产品成本!$F$18</f>
        <v>7.14</v>
      </c>
      <c r="AL34" s="163">
        <f>AG34*产品成本!$G$17+AH34*产品成本!$G$18</f>
        <v>81.9</v>
      </c>
      <c r="AM34" s="163">
        <f t="shared" si="12"/>
        <v>63.2985</v>
      </c>
      <c r="AN34" s="164">
        <f t="shared" si="13"/>
        <v>250.309009859155</v>
      </c>
      <c r="AO34" s="165">
        <v>3</v>
      </c>
      <c r="AP34" s="166">
        <v>1</v>
      </c>
      <c r="AQ34" s="188">
        <f>AO34*产品成本!$D$17+AP34*产品成本!$D$18</f>
        <v>19.4778</v>
      </c>
      <c r="AR34" s="189">
        <f>AO34*产品成本!$E$17+AP34*产品成本!$E$18</f>
        <v>1.32447887323944</v>
      </c>
      <c r="AS34" s="189">
        <f>AO34*产品成本!$F$17+AP34*产品成本!$F$18</f>
        <v>1.36</v>
      </c>
      <c r="AT34" s="189">
        <f>AO34*产品成本!$G$17+AP34*产品成本!$G$18</f>
        <v>15.6</v>
      </c>
      <c r="AU34" s="189"/>
      <c r="AV34" s="189">
        <f t="shared" si="14"/>
        <v>2.92167</v>
      </c>
      <c r="AW34" s="189">
        <f t="shared" si="15"/>
        <v>-0.584334</v>
      </c>
      <c r="AX34" s="164">
        <f t="shared" si="36"/>
        <v>20.6218148732394</v>
      </c>
      <c r="AY34" s="169">
        <f t="shared" si="37"/>
        <v>229.687194985915</v>
      </c>
      <c r="AZ34" s="169">
        <f t="shared" si="18"/>
        <v>421.99</v>
      </c>
      <c r="BA34" s="169">
        <f t="shared" si="19"/>
        <v>402.5122</v>
      </c>
      <c r="BB34" s="168">
        <f t="shared" si="38"/>
        <v>-64.1249949859155</v>
      </c>
      <c r="BC34" s="170">
        <f t="shared" si="39"/>
        <v>-0.159311928895361</v>
      </c>
    </row>
    <row r="35" ht="29.1" customHeight="1" spans="1:56">
      <c r="A35" s="61" t="s">
        <v>202</v>
      </c>
      <c r="B35" s="61" t="s">
        <v>203</v>
      </c>
      <c r="C35" s="90">
        <v>22</v>
      </c>
      <c r="D35" s="91">
        <v>22</v>
      </c>
      <c r="E35" s="64">
        <v>448.38</v>
      </c>
      <c r="F35" s="148">
        <v>3</v>
      </c>
      <c r="G35" s="148">
        <v>3</v>
      </c>
      <c r="H35" s="64">
        <v>75.27</v>
      </c>
      <c r="I35" s="64">
        <v>8.74</v>
      </c>
      <c r="J35" s="190">
        <v>2</v>
      </c>
      <c r="K35" s="150">
        <f t="shared" si="0"/>
        <v>0.0909090909090909</v>
      </c>
      <c r="L35" s="151">
        <v>41.4</v>
      </c>
      <c r="M35" s="152">
        <f t="shared" si="31"/>
        <v>0.0476190476190476</v>
      </c>
      <c r="N35" s="150">
        <f t="shared" si="32"/>
        <v>0.0476190476190476</v>
      </c>
      <c r="O35" s="150">
        <f t="shared" si="33"/>
        <v>0.031493708159838</v>
      </c>
      <c r="P35" s="153">
        <f t="shared" si="1"/>
        <v>1</v>
      </c>
      <c r="Q35" s="154">
        <f t="shared" si="2"/>
        <v>20.3809090909091</v>
      </c>
      <c r="R35" s="187">
        <f t="shared" si="3"/>
        <v>20.3809090909091</v>
      </c>
      <c r="S35" s="155">
        <f t="shared" si="34"/>
        <v>3.14285714285714</v>
      </c>
      <c r="T35" s="156">
        <f t="shared" si="35"/>
        <v>5</v>
      </c>
      <c r="U35" s="157">
        <f t="shared" si="6"/>
        <v>0.227272727272727</v>
      </c>
      <c r="V35" s="94">
        <f t="shared" si="7"/>
        <v>0.689132017104904</v>
      </c>
      <c r="W35" s="91">
        <v>28160</v>
      </c>
      <c r="X35" s="91">
        <v>393</v>
      </c>
      <c r="Y35" s="91">
        <v>17</v>
      </c>
      <c r="Z35" s="64">
        <v>302.97</v>
      </c>
      <c r="AA35" s="158">
        <v>351.09</v>
      </c>
      <c r="AB35" s="91">
        <v>0.77</v>
      </c>
      <c r="AC35" s="71">
        <f t="shared" si="8"/>
        <v>0.862941126206956</v>
      </c>
      <c r="AD35" s="72">
        <f t="shared" si="9"/>
        <v>0.0139559659090909</v>
      </c>
      <c r="AE35" s="159">
        <f t="shared" si="10"/>
        <v>0.0432569974554707</v>
      </c>
      <c r="AF35" s="154">
        <f t="shared" si="11"/>
        <v>17.8217647058824</v>
      </c>
      <c r="AG35" s="160">
        <v>11</v>
      </c>
      <c r="AH35" s="162">
        <v>11</v>
      </c>
      <c r="AI35" s="163">
        <f>AG35*产品成本!$D$17+AH35*产品成本!$D$18</f>
        <v>90.3958</v>
      </c>
      <c r="AJ35" s="163">
        <f>AG35*产品成本!$E$17+AH35*产品成本!$E$18</f>
        <v>7.52926760563381</v>
      </c>
      <c r="AK35" s="163">
        <f>AG35*产品成本!$F$17+AH35*产品成本!$F$18</f>
        <v>7.48</v>
      </c>
      <c r="AL35" s="163">
        <f>AG35*产品成本!$G$17+AH35*产品成本!$G$18</f>
        <v>85.8</v>
      </c>
      <c r="AM35" s="163">
        <f t="shared" si="12"/>
        <v>65.946</v>
      </c>
      <c r="AN35" s="164">
        <f t="shared" si="13"/>
        <v>257.151067605634</v>
      </c>
      <c r="AO35" s="165">
        <v>2</v>
      </c>
      <c r="AP35" s="166">
        <v>0</v>
      </c>
      <c r="AQ35" s="188">
        <f>AO35*产品成本!$D$17+AP35*产品成本!$D$18</f>
        <v>11.26</v>
      </c>
      <c r="AR35" s="189">
        <f>AO35*产品成本!$E$17+AP35*产品成本!$E$18</f>
        <v>0.64</v>
      </c>
      <c r="AS35" s="189">
        <f>AO35*产品成本!$F$17+AP35*产品成本!$F$18</f>
        <v>0.68</v>
      </c>
      <c r="AT35" s="189">
        <f>AO35*产品成本!$G$17+AP35*产品成本!$G$18</f>
        <v>7.8</v>
      </c>
      <c r="AU35" s="189"/>
      <c r="AV35" s="189">
        <f t="shared" si="14"/>
        <v>1.689</v>
      </c>
      <c r="AW35" s="189">
        <f t="shared" si="15"/>
        <v>-0.3378</v>
      </c>
      <c r="AX35" s="164">
        <f t="shared" si="36"/>
        <v>10.4712</v>
      </c>
      <c r="AY35" s="169">
        <f t="shared" si="37"/>
        <v>246.679867605634</v>
      </c>
      <c r="AZ35" s="169">
        <f t="shared" si="18"/>
        <v>439.64</v>
      </c>
      <c r="BA35" s="169">
        <f t="shared" si="19"/>
        <v>428.38</v>
      </c>
      <c r="BB35" s="168">
        <f t="shared" si="38"/>
        <v>-121.269867605634</v>
      </c>
      <c r="BC35" s="170">
        <f t="shared" si="39"/>
        <v>-0.283089471043545</v>
      </c>
      <c r="BD35" t="s">
        <v>395</v>
      </c>
    </row>
    <row r="36" ht="29.1" customHeight="1" spans="1:56">
      <c r="A36" s="61" t="s">
        <v>205</v>
      </c>
      <c r="B36" s="61" t="s">
        <v>206</v>
      </c>
      <c r="C36" s="90">
        <v>27</v>
      </c>
      <c r="D36" s="91">
        <v>27</v>
      </c>
      <c r="E36" s="64">
        <v>638.63</v>
      </c>
      <c r="F36" s="148">
        <v>10</v>
      </c>
      <c r="G36" s="148">
        <v>10</v>
      </c>
      <c r="H36" s="64">
        <v>200</v>
      </c>
      <c r="I36" s="64">
        <v>21.61</v>
      </c>
      <c r="J36" s="190">
        <v>4</v>
      </c>
      <c r="K36" s="150">
        <f t="shared" ref="K36:K57" si="40">J36/C36</f>
        <v>0.148148148148148</v>
      </c>
      <c r="L36" s="151">
        <v>80.21</v>
      </c>
      <c r="M36" s="152">
        <f t="shared" si="31"/>
        <v>0.227272727272727</v>
      </c>
      <c r="N36" s="150">
        <f t="shared" si="32"/>
        <v>0.227272727272727</v>
      </c>
      <c r="O36" s="150">
        <f t="shared" si="33"/>
        <v>0.424305276774165</v>
      </c>
      <c r="P36" s="153">
        <f t="shared" ref="P36:P53" si="41">C36/D36</f>
        <v>1</v>
      </c>
      <c r="Q36" s="154">
        <f t="shared" ref="Q36:Q53" si="42">E36/D36</f>
        <v>23.652962962963</v>
      </c>
      <c r="R36" s="187">
        <f t="shared" ref="R36:R53" si="43">E36/C36</f>
        <v>23.652962962963</v>
      </c>
      <c r="S36" s="155">
        <f t="shared" si="34"/>
        <v>3.85714285714286</v>
      </c>
      <c r="T36" s="156">
        <f t="shared" si="35"/>
        <v>14</v>
      </c>
      <c r="U36" s="157">
        <f t="shared" ref="U36:U57" si="44">T36/D36</f>
        <v>0.518518518518518</v>
      </c>
      <c r="V36" s="94">
        <f t="shared" ref="V36:V53" si="45">Z36/(E36-I36)</f>
        <v>0.425885708729053</v>
      </c>
      <c r="W36" s="91">
        <v>24031</v>
      </c>
      <c r="X36" s="91">
        <v>347</v>
      </c>
      <c r="Y36" s="91">
        <v>13</v>
      </c>
      <c r="Z36" s="64">
        <v>262.78</v>
      </c>
      <c r="AA36" s="158">
        <v>298.17</v>
      </c>
      <c r="AB36" s="91">
        <v>0.76</v>
      </c>
      <c r="AC36" s="71">
        <f t="shared" ref="AC36:AC57" si="46">Z36/AA36</f>
        <v>0.881309320186471</v>
      </c>
      <c r="AD36" s="72">
        <f t="shared" ref="AD36:AD53" si="47">X36/W36</f>
        <v>0.0144396820773168</v>
      </c>
      <c r="AE36" s="159">
        <f t="shared" ref="AE36:AE53" si="48">Y36/X36</f>
        <v>0.037463976945245</v>
      </c>
      <c r="AF36" s="154">
        <f t="shared" ref="AF36:AF53" si="49">Z36/Y36</f>
        <v>20.2138461538462</v>
      </c>
      <c r="AG36" s="160">
        <v>16</v>
      </c>
      <c r="AH36" s="162">
        <v>11</v>
      </c>
      <c r="AI36" s="163">
        <f>AG36*产品成本!$D$17+AH36*产品成本!$D$18</f>
        <v>118.5458</v>
      </c>
      <c r="AJ36" s="163">
        <f>AG36*产品成本!$E$17+AH36*产品成本!$E$18</f>
        <v>9.12926760563381</v>
      </c>
      <c r="AK36" s="163">
        <f>AG36*产品成本!$F$17+AH36*产品成本!$F$18</f>
        <v>9.18</v>
      </c>
      <c r="AL36" s="163">
        <f>AG36*产品成本!$G$17+AH36*产品成本!$G$18</f>
        <v>105.3</v>
      </c>
      <c r="AM36" s="163">
        <f t="shared" ref="AM36:AM53" si="50">(E36-I36)*0.15</f>
        <v>92.553</v>
      </c>
      <c r="AN36" s="164">
        <f t="shared" ref="AN36:AN53" si="51">SUM(AI36:AM36)</f>
        <v>334.708067605634</v>
      </c>
      <c r="AO36" s="165">
        <v>3</v>
      </c>
      <c r="AP36" s="166">
        <v>1</v>
      </c>
      <c r="AQ36" s="188">
        <f>AO36*产品成本!$D$17+AP36*产品成本!$D$18</f>
        <v>19.4778</v>
      </c>
      <c r="AR36" s="189">
        <f>AO36*产品成本!$E$17+AP36*产品成本!$E$18</f>
        <v>1.32447887323944</v>
      </c>
      <c r="AS36" s="189">
        <f>AO36*产品成本!$F$17+AP36*产品成本!$F$18</f>
        <v>1.36</v>
      </c>
      <c r="AT36" s="189">
        <f>AO36*产品成本!$G$17+AP36*产品成本!$G$18</f>
        <v>15.6</v>
      </c>
      <c r="AU36" s="189"/>
      <c r="AV36" s="189">
        <f t="shared" ref="AV36:AV53" si="52">AQ36*0.15</f>
        <v>2.92167</v>
      </c>
      <c r="AW36" s="189">
        <f t="shared" ref="AW36:AW53" si="53">-AV36*0.2</f>
        <v>-0.584334</v>
      </c>
      <c r="AX36" s="164">
        <f t="shared" si="36"/>
        <v>20.6218148732394</v>
      </c>
      <c r="AY36" s="169">
        <f t="shared" si="37"/>
        <v>314.086252732394</v>
      </c>
      <c r="AZ36" s="169">
        <f t="shared" ref="AZ36:AZ53" si="54">E36-I36</f>
        <v>617.02</v>
      </c>
      <c r="BA36" s="169">
        <f t="shared" ref="BA36:BA53" si="55">E36-AQ36-I36</f>
        <v>597.5422</v>
      </c>
      <c r="BB36" s="168">
        <f t="shared" si="38"/>
        <v>20.6759472676056</v>
      </c>
      <c r="BC36" s="170">
        <f t="shared" si="39"/>
        <v>0.0346016520132062</v>
      </c>
    </row>
    <row r="37" ht="29.1" customHeight="1" spans="1:56">
      <c r="A37" s="61" t="s">
        <v>208</v>
      </c>
      <c r="B37" s="61" t="s">
        <v>209</v>
      </c>
      <c r="C37" s="90">
        <v>22</v>
      </c>
      <c r="D37" s="91">
        <v>22</v>
      </c>
      <c r="E37" s="64">
        <v>492.68</v>
      </c>
      <c r="F37" s="148">
        <v>10</v>
      </c>
      <c r="G37" s="148">
        <v>10</v>
      </c>
      <c r="H37" s="64">
        <v>218.5</v>
      </c>
      <c r="I37" s="64">
        <v>25.94</v>
      </c>
      <c r="J37" s="190">
        <v>5</v>
      </c>
      <c r="K37" s="150">
        <f t="shared" si="40"/>
        <v>0.227272727272727</v>
      </c>
      <c r="L37" s="151">
        <v>90.88</v>
      </c>
      <c r="M37" s="152">
        <f t="shared" si="31"/>
        <v>-0.185185185185185</v>
      </c>
      <c r="N37" s="150">
        <f t="shared" si="32"/>
        <v>-0.185185185185185</v>
      </c>
      <c r="O37" s="150">
        <f t="shared" si="33"/>
        <v>-0.228536085057075</v>
      </c>
      <c r="P37" s="153">
        <f t="shared" si="41"/>
        <v>1</v>
      </c>
      <c r="Q37" s="154">
        <f t="shared" si="42"/>
        <v>22.3945454545455</v>
      </c>
      <c r="R37" s="187">
        <f t="shared" si="43"/>
        <v>22.3945454545455</v>
      </c>
      <c r="S37" s="155">
        <f t="shared" si="34"/>
        <v>3.14285714285714</v>
      </c>
      <c r="T37" s="156">
        <f t="shared" si="35"/>
        <v>8</v>
      </c>
      <c r="U37" s="157">
        <f t="shared" si="44"/>
        <v>0.363636363636364</v>
      </c>
      <c r="V37" s="94">
        <f t="shared" si="45"/>
        <v>0.512105240605048</v>
      </c>
      <c r="W37" s="91">
        <v>22463</v>
      </c>
      <c r="X37" s="91">
        <v>316</v>
      </c>
      <c r="Y37" s="91">
        <v>14</v>
      </c>
      <c r="Z37" s="64">
        <v>239.02</v>
      </c>
      <c r="AA37" s="158">
        <v>322.44</v>
      </c>
      <c r="AB37" s="91">
        <v>0.76</v>
      </c>
      <c r="AC37" s="71">
        <f t="shared" si="46"/>
        <v>0.741285200347351</v>
      </c>
      <c r="AD37" s="72">
        <f t="shared" si="47"/>
        <v>0.0140675777945956</v>
      </c>
      <c r="AE37" s="159">
        <f t="shared" si="48"/>
        <v>0.0443037974683544</v>
      </c>
      <c r="AF37" s="154">
        <f t="shared" si="49"/>
        <v>17.0728571428571</v>
      </c>
      <c r="AG37" s="160">
        <v>12</v>
      </c>
      <c r="AH37" s="162">
        <v>10</v>
      </c>
      <c r="AI37" s="163">
        <f>AG37*产品成本!$D$17+AH37*产品成本!$D$18</f>
        <v>93.438</v>
      </c>
      <c r="AJ37" s="163">
        <f>AG37*产品成本!$E$17+AH37*产品成本!$E$18</f>
        <v>7.48478873239437</v>
      </c>
      <c r="AK37" s="163">
        <f>AG37*产品成本!$F$17+AH37*产品成本!$F$18</f>
        <v>7.48</v>
      </c>
      <c r="AL37" s="163">
        <f>AG37*产品成本!$G$17+AH37*产品成本!$G$18</f>
        <v>85.8</v>
      </c>
      <c r="AM37" s="163">
        <f t="shared" si="50"/>
        <v>70.011</v>
      </c>
      <c r="AN37" s="164">
        <f t="shared" si="51"/>
        <v>264.213788732394</v>
      </c>
      <c r="AO37" s="165">
        <v>3</v>
      </c>
      <c r="AP37" s="166">
        <v>2</v>
      </c>
      <c r="AQ37" s="188">
        <f>AO37*产品成本!$D$17+AP37*产品成本!$D$18</f>
        <v>22.0656</v>
      </c>
      <c r="AR37" s="189">
        <f>AO37*产品成本!$E$17+AP37*产品成本!$E$18</f>
        <v>1.68895774647887</v>
      </c>
      <c r="AS37" s="189">
        <f>AO37*产品成本!$F$17+AP37*产品成本!$F$18</f>
        <v>1.7</v>
      </c>
      <c r="AT37" s="189">
        <f>AO37*产品成本!$G$17+AP37*产品成本!$G$18</f>
        <v>19.5</v>
      </c>
      <c r="AU37" s="189"/>
      <c r="AV37" s="189">
        <f t="shared" si="52"/>
        <v>3.30984</v>
      </c>
      <c r="AW37" s="189">
        <f t="shared" si="53"/>
        <v>-0.661968</v>
      </c>
      <c r="AX37" s="164">
        <f t="shared" si="36"/>
        <v>25.5368297464789</v>
      </c>
      <c r="AY37" s="169">
        <f t="shared" si="37"/>
        <v>238.676958985916</v>
      </c>
      <c r="AZ37" s="169">
        <f t="shared" si="54"/>
        <v>466.74</v>
      </c>
      <c r="BA37" s="169">
        <f t="shared" si="55"/>
        <v>444.6744</v>
      </c>
      <c r="BB37" s="168">
        <f t="shared" si="38"/>
        <v>-33.0225589859155</v>
      </c>
      <c r="BC37" s="170">
        <f t="shared" si="39"/>
        <v>-0.0742623343864984</v>
      </c>
    </row>
    <row r="38" ht="29.1" customHeight="1" spans="1:56">
      <c r="A38" s="61" t="s">
        <v>210</v>
      </c>
      <c r="B38" s="61" t="s">
        <v>211</v>
      </c>
      <c r="C38" s="90">
        <v>17</v>
      </c>
      <c r="D38" s="91">
        <v>17</v>
      </c>
      <c r="E38" s="64">
        <v>319.33</v>
      </c>
      <c r="F38" s="148">
        <v>8</v>
      </c>
      <c r="G38" s="148">
        <v>8</v>
      </c>
      <c r="H38" s="64">
        <v>142.18</v>
      </c>
      <c r="I38" s="64">
        <v>16.9</v>
      </c>
      <c r="J38" s="190">
        <v>4</v>
      </c>
      <c r="K38" s="150">
        <f t="shared" si="40"/>
        <v>0.235294117647059</v>
      </c>
      <c r="L38" s="151">
        <v>92.31</v>
      </c>
      <c r="M38" s="152">
        <f t="shared" si="31"/>
        <v>-0.227272727272727</v>
      </c>
      <c r="N38" s="150">
        <f t="shared" si="32"/>
        <v>-0.227272727272727</v>
      </c>
      <c r="O38" s="150">
        <f t="shared" si="33"/>
        <v>-0.351851100105545</v>
      </c>
      <c r="P38" s="153">
        <f t="shared" si="41"/>
        <v>1</v>
      </c>
      <c r="Q38" s="154">
        <f t="shared" si="42"/>
        <v>18.7841176470588</v>
      </c>
      <c r="R38" s="187">
        <f t="shared" si="43"/>
        <v>18.7841176470588</v>
      </c>
      <c r="S38" s="155">
        <f t="shared" si="34"/>
        <v>2.42857142857143</v>
      </c>
      <c r="T38" s="156">
        <f t="shared" si="35"/>
        <v>12</v>
      </c>
      <c r="U38" s="157">
        <f t="shared" si="44"/>
        <v>0.705882352941177</v>
      </c>
      <c r="V38" s="94">
        <f t="shared" si="45"/>
        <v>0.408392024600734</v>
      </c>
      <c r="W38" s="91">
        <v>12980</v>
      </c>
      <c r="X38" s="91">
        <v>176</v>
      </c>
      <c r="Y38" s="91">
        <v>5</v>
      </c>
      <c r="Z38" s="64">
        <v>123.51</v>
      </c>
      <c r="AA38" s="158">
        <v>75.47</v>
      </c>
      <c r="AB38" s="91">
        <v>0.7</v>
      </c>
      <c r="AC38" s="71">
        <f t="shared" si="46"/>
        <v>1.63654432224725</v>
      </c>
      <c r="AD38" s="72">
        <f t="shared" si="47"/>
        <v>0.0135593220338983</v>
      </c>
      <c r="AE38" s="159">
        <f t="shared" si="48"/>
        <v>0.0284090909090909</v>
      </c>
      <c r="AF38" s="154">
        <f t="shared" si="49"/>
        <v>24.702</v>
      </c>
      <c r="AG38" s="160">
        <v>11</v>
      </c>
      <c r="AH38" s="162">
        <v>6</v>
      </c>
      <c r="AI38" s="163">
        <f>AG38*产品成本!$D$17+AH38*产品成本!$D$18</f>
        <v>77.4568</v>
      </c>
      <c r="AJ38" s="163">
        <f>AG38*产品成本!$E$17+AH38*产品成本!$E$18</f>
        <v>5.70687323943662</v>
      </c>
      <c r="AK38" s="163">
        <f>AG38*产品成本!$F$17+AH38*产品成本!$F$18</f>
        <v>5.78</v>
      </c>
      <c r="AL38" s="163">
        <f>AG38*产品成本!$G$17+AH38*产品成本!$G$18</f>
        <v>66.3</v>
      </c>
      <c r="AM38" s="163">
        <f t="shared" si="50"/>
        <v>45.3645</v>
      </c>
      <c r="AN38" s="164">
        <f t="shared" si="51"/>
        <v>200.608173239437</v>
      </c>
      <c r="AO38" s="165">
        <v>4</v>
      </c>
      <c r="AP38" s="166">
        <v>0</v>
      </c>
      <c r="AQ38" s="188">
        <f>AO38*产品成本!$D$17+AP38*产品成本!$D$18</f>
        <v>22.52</v>
      </c>
      <c r="AR38" s="189">
        <f>AO38*产品成本!$E$17+AP38*产品成本!$E$18</f>
        <v>1.28</v>
      </c>
      <c r="AS38" s="189">
        <f>AO38*产品成本!$F$17+AP38*产品成本!$F$18</f>
        <v>1.36</v>
      </c>
      <c r="AT38" s="189">
        <f>AO38*产品成本!$G$17+AP38*产品成本!$G$18</f>
        <v>15.6</v>
      </c>
      <c r="AU38" s="189"/>
      <c r="AV38" s="189">
        <f t="shared" si="52"/>
        <v>3.378</v>
      </c>
      <c r="AW38" s="189">
        <f t="shared" si="53"/>
        <v>-0.6756</v>
      </c>
      <c r="AX38" s="164">
        <f t="shared" si="36"/>
        <v>20.9424</v>
      </c>
      <c r="AY38" s="169">
        <f t="shared" si="37"/>
        <v>179.665773239437</v>
      </c>
      <c r="AZ38" s="169">
        <f t="shared" si="54"/>
        <v>302.43</v>
      </c>
      <c r="BA38" s="169">
        <f t="shared" si="55"/>
        <v>279.91</v>
      </c>
      <c r="BB38" s="168">
        <f t="shared" si="38"/>
        <v>-23.2657732394366</v>
      </c>
      <c r="BC38" s="170">
        <f t="shared" si="39"/>
        <v>-0.083118764029283</v>
      </c>
      <c r="BD38" t="s">
        <v>292</v>
      </c>
    </row>
    <row r="39" ht="29.1" customHeight="1" spans="1:56">
      <c r="A39" s="61" t="s">
        <v>213</v>
      </c>
      <c r="B39" s="61" t="s">
        <v>214</v>
      </c>
      <c r="C39" s="90">
        <v>22</v>
      </c>
      <c r="D39" s="91">
        <v>22</v>
      </c>
      <c r="E39" s="64">
        <v>383.41</v>
      </c>
      <c r="F39" s="148">
        <v>3</v>
      </c>
      <c r="G39" s="148">
        <v>3</v>
      </c>
      <c r="H39" s="64">
        <v>39.75</v>
      </c>
      <c r="I39" s="64">
        <v>3.95</v>
      </c>
      <c r="J39" s="190">
        <v>1</v>
      </c>
      <c r="K39" s="150">
        <f t="shared" si="40"/>
        <v>0.0454545454545455</v>
      </c>
      <c r="L39" s="151">
        <v>13.54</v>
      </c>
      <c r="M39" s="152">
        <f t="shared" si="31"/>
        <v>0.294117647058824</v>
      </c>
      <c r="N39" s="150">
        <f t="shared" si="32"/>
        <v>0.294117647058824</v>
      </c>
      <c r="O39" s="150">
        <f t="shared" si="33"/>
        <v>0.200670153133123</v>
      </c>
      <c r="P39" s="153">
        <f t="shared" si="41"/>
        <v>1</v>
      </c>
      <c r="Q39" s="154">
        <f t="shared" si="42"/>
        <v>17.4277272727273</v>
      </c>
      <c r="R39" s="187">
        <f t="shared" si="43"/>
        <v>17.4277272727273</v>
      </c>
      <c r="S39" s="155">
        <f t="shared" si="34"/>
        <v>3.14285714285714</v>
      </c>
      <c r="T39" s="156">
        <f t="shared" si="35"/>
        <v>3</v>
      </c>
      <c r="U39" s="157">
        <f t="shared" si="44"/>
        <v>0.136363636363636</v>
      </c>
      <c r="V39" s="94">
        <f t="shared" si="45"/>
        <v>0.401465240078006</v>
      </c>
      <c r="W39" s="91">
        <v>19968</v>
      </c>
      <c r="X39" s="91">
        <v>221</v>
      </c>
      <c r="Y39" s="91">
        <v>19</v>
      </c>
      <c r="Z39" s="64">
        <v>152.34</v>
      </c>
      <c r="AA39" s="158">
        <v>331.58</v>
      </c>
      <c r="AB39" s="91">
        <v>0.69</v>
      </c>
      <c r="AC39" s="71">
        <f t="shared" si="46"/>
        <v>0.45943663670909</v>
      </c>
      <c r="AD39" s="72">
        <f t="shared" si="47"/>
        <v>0.0110677083333333</v>
      </c>
      <c r="AE39" s="159">
        <f t="shared" si="48"/>
        <v>0.085972850678733</v>
      </c>
      <c r="AF39" s="154">
        <f t="shared" si="49"/>
        <v>8.01789473684211</v>
      </c>
      <c r="AG39" s="160">
        <v>12</v>
      </c>
      <c r="AH39" s="162">
        <v>10</v>
      </c>
      <c r="AI39" s="163">
        <f>AG39*产品成本!$D$17+AH39*产品成本!$D$18</f>
        <v>93.438</v>
      </c>
      <c r="AJ39" s="163">
        <f>AG39*产品成本!$E$17+AH39*产品成本!$E$18</f>
        <v>7.48478873239437</v>
      </c>
      <c r="AK39" s="163">
        <f>AG39*产品成本!$F$17+AH39*产品成本!$F$18</f>
        <v>7.48</v>
      </c>
      <c r="AL39" s="163">
        <f>AG39*产品成本!$G$17+AH39*产品成本!$G$18</f>
        <v>85.8</v>
      </c>
      <c r="AM39" s="163">
        <f t="shared" si="50"/>
        <v>56.919</v>
      </c>
      <c r="AN39" s="164">
        <f t="shared" si="51"/>
        <v>251.121788732394</v>
      </c>
      <c r="AO39" s="165">
        <v>0</v>
      </c>
      <c r="AP39" s="166">
        <v>1</v>
      </c>
      <c r="AQ39" s="188">
        <f>AO39*产品成本!$D$17+AP39*产品成本!$D$18</f>
        <v>2.5878</v>
      </c>
      <c r="AR39" s="189">
        <f>AO39*产品成本!$E$17+AP39*产品成本!$E$18</f>
        <v>0.364478873239437</v>
      </c>
      <c r="AS39" s="189">
        <f>AO39*产品成本!$F$17+AP39*产品成本!$F$18</f>
        <v>0.34</v>
      </c>
      <c r="AT39" s="189">
        <f>AO39*产品成本!$G$17+AP39*产品成本!$G$18</f>
        <v>3.9</v>
      </c>
      <c r="AU39" s="189"/>
      <c r="AV39" s="189">
        <f t="shared" si="52"/>
        <v>0.38817</v>
      </c>
      <c r="AW39" s="189">
        <f t="shared" si="53"/>
        <v>-0.077634</v>
      </c>
      <c r="AX39" s="164">
        <f t="shared" si="36"/>
        <v>4.91501487323944</v>
      </c>
      <c r="AY39" s="169">
        <f t="shared" si="37"/>
        <v>246.206773859155</v>
      </c>
      <c r="AZ39" s="169">
        <f t="shared" si="54"/>
        <v>379.46</v>
      </c>
      <c r="BA39" s="169">
        <f t="shared" si="55"/>
        <v>376.8722</v>
      </c>
      <c r="BB39" s="168">
        <f t="shared" si="38"/>
        <v>-21.6745738591549</v>
      </c>
      <c r="BC39" s="170">
        <f t="shared" si="39"/>
        <v>-0.0575117343734956</v>
      </c>
      <c r="BD39" t="s">
        <v>215</v>
      </c>
    </row>
    <row r="40" ht="29.1" customHeight="1" spans="1:56">
      <c r="A40" s="61" t="s">
        <v>216</v>
      </c>
      <c r="B40" s="61" t="s">
        <v>217</v>
      </c>
      <c r="C40" s="90">
        <v>10</v>
      </c>
      <c r="D40" s="91">
        <v>10</v>
      </c>
      <c r="E40" s="64">
        <v>178.26</v>
      </c>
      <c r="F40" s="148">
        <v>2</v>
      </c>
      <c r="G40" s="148">
        <v>2</v>
      </c>
      <c r="H40" s="64">
        <v>37.21</v>
      </c>
      <c r="I40" s="64">
        <v>3.94</v>
      </c>
      <c r="J40" s="190">
        <v>4</v>
      </c>
      <c r="K40" s="150">
        <f t="shared" si="40"/>
        <v>0.4</v>
      </c>
      <c r="L40" s="151">
        <v>68.22</v>
      </c>
      <c r="M40" s="152">
        <f t="shared" si="31"/>
        <v>-0.545454545454545</v>
      </c>
      <c r="N40" s="150">
        <f t="shared" si="32"/>
        <v>-0.545454545454545</v>
      </c>
      <c r="O40" s="150">
        <f t="shared" si="33"/>
        <v>-0.535066899663546</v>
      </c>
      <c r="P40" s="153">
        <f t="shared" si="41"/>
        <v>1</v>
      </c>
      <c r="Q40" s="154">
        <f t="shared" si="42"/>
        <v>17.826</v>
      </c>
      <c r="R40" s="187">
        <f t="shared" si="43"/>
        <v>17.826</v>
      </c>
      <c r="S40" s="155">
        <f t="shared" si="34"/>
        <v>1.42857142857143</v>
      </c>
      <c r="T40" s="156">
        <f t="shared" si="35"/>
        <v>1</v>
      </c>
      <c r="U40" s="157">
        <f t="shared" si="44"/>
        <v>0.1</v>
      </c>
      <c r="V40" s="94">
        <f t="shared" si="45"/>
        <v>0.61427260211106</v>
      </c>
      <c r="W40" s="91">
        <v>19681</v>
      </c>
      <c r="X40" s="91">
        <v>156</v>
      </c>
      <c r="Y40" s="91">
        <v>9</v>
      </c>
      <c r="Z40" s="64">
        <v>107.08</v>
      </c>
      <c r="AA40" s="158">
        <v>162.62</v>
      </c>
      <c r="AB40" s="91">
        <v>0.69</v>
      </c>
      <c r="AC40" s="71">
        <f t="shared" si="46"/>
        <v>0.658467593161973</v>
      </c>
      <c r="AD40" s="72">
        <f t="shared" si="47"/>
        <v>0.00792642650271836</v>
      </c>
      <c r="AE40" s="159">
        <f t="shared" si="48"/>
        <v>0.0576923076923077</v>
      </c>
      <c r="AF40" s="154">
        <f t="shared" si="49"/>
        <v>11.8977777777778</v>
      </c>
      <c r="AG40" s="160">
        <v>2</v>
      </c>
      <c r="AH40" s="162">
        <v>8</v>
      </c>
      <c r="AI40" s="163">
        <f>AG40*产品成本!$D$17+AH40*产品成本!$D$18</f>
        <v>31.9624</v>
      </c>
      <c r="AJ40" s="163">
        <f>AG40*产品成本!$E$17+AH40*产品成本!$E$18</f>
        <v>3.5558309859155</v>
      </c>
      <c r="AK40" s="163">
        <f>AG40*产品成本!$F$17+AH40*产品成本!$F$18</f>
        <v>3.4</v>
      </c>
      <c r="AL40" s="163">
        <f>AG40*产品成本!$G$17+AH40*产品成本!$G$18</f>
        <v>39</v>
      </c>
      <c r="AM40" s="163">
        <f t="shared" si="50"/>
        <v>26.148</v>
      </c>
      <c r="AN40" s="164">
        <f t="shared" si="51"/>
        <v>104.066230985915</v>
      </c>
      <c r="AO40" s="165">
        <v>3</v>
      </c>
      <c r="AP40" s="166">
        <v>1</v>
      </c>
      <c r="AQ40" s="188">
        <f>AO40*产品成本!$D$17+AP40*产品成本!$D$18</f>
        <v>19.4778</v>
      </c>
      <c r="AR40" s="189">
        <f>AO40*产品成本!$E$17+AP40*产品成本!$E$18</f>
        <v>1.32447887323944</v>
      </c>
      <c r="AS40" s="189">
        <f>AO40*产品成本!$F$17+AP40*产品成本!$F$18</f>
        <v>1.36</v>
      </c>
      <c r="AT40" s="189">
        <f>AO40*产品成本!$G$17+AP40*产品成本!$G$18</f>
        <v>15.6</v>
      </c>
      <c r="AU40" s="189"/>
      <c r="AV40" s="189">
        <f t="shared" si="52"/>
        <v>2.92167</v>
      </c>
      <c r="AW40" s="189">
        <f t="shared" si="53"/>
        <v>-0.584334</v>
      </c>
      <c r="AX40" s="164">
        <f t="shared" si="36"/>
        <v>20.6218148732394</v>
      </c>
      <c r="AY40" s="169">
        <f t="shared" si="37"/>
        <v>83.4444161126761</v>
      </c>
      <c r="AZ40" s="169">
        <f t="shared" si="54"/>
        <v>174.32</v>
      </c>
      <c r="BA40" s="169">
        <f t="shared" si="55"/>
        <v>154.8422</v>
      </c>
      <c r="BB40" s="168">
        <f t="shared" si="38"/>
        <v>-35.6822161126761</v>
      </c>
      <c r="BC40" s="170">
        <f t="shared" si="39"/>
        <v>-0.23044245117078</v>
      </c>
      <c r="BD40" t="s">
        <v>293</v>
      </c>
    </row>
    <row r="41" ht="29.1" customHeight="1" spans="1:56">
      <c r="A41" s="61" t="s">
        <v>219</v>
      </c>
      <c r="B41" s="61" t="s">
        <v>220</v>
      </c>
      <c r="C41" s="90">
        <v>7</v>
      </c>
      <c r="D41" s="91">
        <v>7</v>
      </c>
      <c r="E41" s="64">
        <v>176.61</v>
      </c>
      <c r="F41" s="148">
        <v>2</v>
      </c>
      <c r="G41" s="148">
        <v>2</v>
      </c>
      <c r="H41" s="64">
        <v>48.78</v>
      </c>
      <c r="I41" s="64">
        <v>5.1</v>
      </c>
      <c r="J41" s="190">
        <v>3</v>
      </c>
      <c r="K41" s="150">
        <f t="shared" si="40"/>
        <v>0.428571428571429</v>
      </c>
      <c r="L41" s="151">
        <v>62.76</v>
      </c>
      <c r="M41" s="152">
        <f t="shared" si="31"/>
        <v>-0.3</v>
      </c>
      <c r="N41" s="150">
        <f t="shared" si="32"/>
        <v>-0.3</v>
      </c>
      <c r="O41" s="150">
        <f t="shared" si="33"/>
        <v>-0.00925614271289116</v>
      </c>
      <c r="P41" s="153">
        <f t="shared" si="41"/>
        <v>1</v>
      </c>
      <c r="Q41" s="154">
        <f t="shared" si="42"/>
        <v>25.23</v>
      </c>
      <c r="R41" s="187">
        <f t="shared" si="43"/>
        <v>25.23</v>
      </c>
      <c r="S41" s="155">
        <f t="shared" si="34"/>
        <v>1</v>
      </c>
      <c r="T41" s="156">
        <f t="shared" si="35"/>
        <v>2</v>
      </c>
      <c r="U41" s="157">
        <f t="shared" si="44"/>
        <v>0.285714285714286</v>
      </c>
      <c r="V41" s="94">
        <f t="shared" si="45"/>
        <v>0.242842982916448</v>
      </c>
      <c r="W41" s="91">
        <v>6404</v>
      </c>
      <c r="X41" s="91">
        <v>61</v>
      </c>
      <c r="Y41" s="91">
        <v>5</v>
      </c>
      <c r="Z41" s="64">
        <v>41.65</v>
      </c>
      <c r="AA41" s="158">
        <v>122.83</v>
      </c>
      <c r="AB41" s="91">
        <v>0.68</v>
      </c>
      <c r="AC41" s="71">
        <f t="shared" si="46"/>
        <v>0.339086542375641</v>
      </c>
      <c r="AD41" s="72">
        <f t="shared" si="47"/>
        <v>0.00952529668956902</v>
      </c>
      <c r="AE41" s="159">
        <f t="shared" si="48"/>
        <v>0.0819672131147541</v>
      </c>
      <c r="AF41" s="154">
        <f t="shared" si="49"/>
        <v>8.33</v>
      </c>
      <c r="AG41" s="160">
        <v>5</v>
      </c>
      <c r="AH41" s="162">
        <v>2</v>
      </c>
      <c r="AI41" s="163">
        <f>AG41*产品成本!$D$17+AH41*产品成本!$D$18</f>
        <v>33.3256</v>
      </c>
      <c r="AJ41" s="163">
        <f>AG41*产品成本!$E$17+AH41*产品成本!$E$18</f>
        <v>2.32895774647887</v>
      </c>
      <c r="AK41" s="163">
        <f>AG41*产品成本!$F$17+AH41*产品成本!$F$18</f>
        <v>2.38</v>
      </c>
      <c r="AL41" s="163">
        <f>AG41*产品成本!$G$17+AH41*产品成本!$G$18</f>
        <v>27.3</v>
      </c>
      <c r="AM41" s="163">
        <f t="shared" si="50"/>
        <v>25.7265</v>
      </c>
      <c r="AN41" s="164">
        <f t="shared" si="51"/>
        <v>91.0610577464789</v>
      </c>
      <c r="AO41" s="165">
        <v>1</v>
      </c>
      <c r="AP41" s="166">
        <v>1</v>
      </c>
      <c r="AQ41" s="188">
        <f>AO41*产品成本!$D$17+AP41*产品成本!$D$18</f>
        <v>8.2178</v>
      </c>
      <c r="AR41" s="189">
        <f>AO41*产品成本!$E$17+AP41*产品成本!$E$18</f>
        <v>0.684478873239437</v>
      </c>
      <c r="AS41" s="189">
        <f>AO41*产品成本!$F$17+AP41*产品成本!$F$18</f>
        <v>0.68</v>
      </c>
      <c r="AT41" s="189">
        <f>AO41*产品成本!$G$17+AP41*产品成本!$G$18</f>
        <v>7.8</v>
      </c>
      <c r="AU41" s="189"/>
      <c r="AV41" s="189">
        <f t="shared" si="52"/>
        <v>1.23267</v>
      </c>
      <c r="AW41" s="189">
        <f t="shared" si="53"/>
        <v>-0.246534</v>
      </c>
      <c r="AX41" s="164">
        <f t="shared" si="36"/>
        <v>10.1506148732394</v>
      </c>
      <c r="AY41" s="169">
        <f t="shared" si="37"/>
        <v>80.9104428732394</v>
      </c>
      <c r="AZ41" s="169">
        <f t="shared" si="54"/>
        <v>171.51</v>
      </c>
      <c r="BA41" s="169">
        <f t="shared" si="55"/>
        <v>163.2922</v>
      </c>
      <c r="BB41" s="168">
        <f t="shared" si="38"/>
        <v>40.7317571267606</v>
      </c>
      <c r="BC41" s="170">
        <f t="shared" si="39"/>
        <v>0.249440923245327</v>
      </c>
    </row>
    <row r="42" ht="29.1" customHeight="1" spans="1:56">
      <c r="A42" s="61" t="s">
        <v>221</v>
      </c>
      <c r="B42" s="61" t="s">
        <v>222</v>
      </c>
      <c r="C42" s="90">
        <v>9</v>
      </c>
      <c r="D42" s="91">
        <v>9</v>
      </c>
      <c r="E42" s="64">
        <v>195.25</v>
      </c>
      <c r="F42" s="148">
        <v>5</v>
      </c>
      <c r="G42" s="148">
        <v>5</v>
      </c>
      <c r="H42" s="64">
        <v>102.96</v>
      </c>
      <c r="I42" s="64">
        <v>11.09</v>
      </c>
      <c r="J42" s="190">
        <v>3</v>
      </c>
      <c r="K42" s="150">
        <f t="shared" si="40"/>
        <v>0.333333333333333</v>
      </c>
      <c r="L42" s="151">
        <v>53.16</v>
      </c>
      <c r="M42" s="152">
        <f t="shared" si="31"/>
        <v>0.285714285714286</v>
      </c>
      <c r="N42" s="150">
        <f t="shared" si="32"/>
        <v>0.285714285714286</v>
      </c>
      <c r="O42" s="150">
        <f t="shared" si="33"/>
        <v>0.105543287469566</v>
      </c>
      <c r="P42" s="153">
        <f t="shared" si="41"/>
        <v>1</v>
      </c>
      <c r="Q42" s="154">
        <f t="shared" si="42"/>
        <v>21.6944444444444</v>
      </c>
      <c r="R42" s="187">
        <f t="shared" si="43"/>
        <v>21.6944444444444</v>
      </c>
      <c r="S42" s="155">
        <f t="shared" si="34"/>
        <v>1.28571428571429</v>
      </c>
      <c r="T42" s="156">
        <f t="shared" si="35"/>
        <v>6</v>
      </c>
      <c r="U42" s="157">
        <f t="shared" si="44"/>
        <v>0.666666666666667</v>
      </c>
      <c r="V42" s="94">
        <f t="shared" si="45"/>
        <v>0.269493918331885</v>
      </c>
      <c r="W42" s="91">
        <v>7112</v>
      </c>
      <c r="X42" s="91">
        <v>73</v>
      </c>
      <c r="Y42" s="91">
        <v>3</v>
      </c>
      <c r="Z42" s="64">
        <v>49.63</v>
      </c>
      <c r="AA42" s="158">
        <v>57.27</v>
      </c>
      <c r="AB42" s="91">
        <v>0.68</v>
      </c>
      <c r="AC42" s="71">
        <f t="shared" si="46"/>
        <v>0.866596822070892</v>
      </c>
      <c r="AD42" s="72">
        <f t="shared" si="47"/>
        <v>0.0102643419572553</v>
      </c>
      <c r="AE42" s="159">
        <f t="shared" si="48"/>
        <v>0.0410958904109589</v>
      </c>
      <c r="AF42" s="154">
        <f t="shared" si="49"/>
        <v>16.5433333333333</v>
      </c>
      <c r="AG42" s="160">
        <v>4</v>
      </c>
      <c r="AH42" s="162">
        <v>5</v>
      </c>
      <c r="AI42" s="163">
        <f>AG42*产品成本!$D$17+AH42*产品成本!$D$18</f>
        <v>35.459</v>
      </c>
      <c r="AJ42" s="163">
        <f>AG42*产品成本!$E$17+AH42*产品成本!$E$18</f>
        <v>3.10239436619718</v>
      </c>
      <c r="AK42" s="163">
        <f>AG42*产品成本!$F$17+AH42*产品成本!$F$18</f>
        <v>3.06</v>
      </c>
      <c r="AL42" s="163">
        <f>AG42*产品成本!$G$17+AH42*产品成本!$G$18</f>
        <v>35.1</v>
      </c>
      <c r="AM42" s="163">
        <f t="shared" si="50"/>
        <v>27.624</v>
      </c>
      <c r="AN42" s="164">
        <f t="shared" si="51"/>
        <v>104.345394366197</v>
      </c>
      <c r="AO42" s="165">
        <v>2</v>
      </c>
      <c r="AP42" s="166">
        <v>1</v>
      </c>
      <c r="AQ42" s="188">
        <f>AO42*产品成本!$D$17+AP42*产品成本!$D$18</f>
        <v>13.8478</v>
      </c>
      <c r="AR42" s="189">
        <f>AO42*产品成本!$E$17+AP42*产品成本!$E$18</f>
        <v>1.00447887323944</v>
      </c>
      <c r="AS42" s="189">
        <f>AO42*产品成本!$F$17+AP42*产品成本!$F$18</f>
        <v>1.02</v>
      </c>
      <c r="AT42" s="189">
        <f>AO42*产品成本!$G$17+AP42*产品成本!$G$18</f>
        <v>11.7</v>
      </c>
      <c r="AU42" s="189"/>
      <c r="AV42" s="189">
        <f t="shared" si="52"/>
        <v>2.07717</v>
      </c>
      <c r="AW42" s="189">
        <f t="shared" si="53"/>
        <v>-0.415434</v>
      </c>
      <c r="AX42" s="164">
        <f t="shared" si="36"/>
        <v>15.3862148732394</v>
      </c>
      <c r="AY42" s="169">
        <f t="shared" si="37"/>
        <v>88.9591794929577</v>
      </c>
      <c r="AZ42" s="169">
        <f t="shared" si="54"/>
        <v>184.16</v>
      </c>
      <c r="BA42" s="169">
        <f t="shared" si="55"/>
        <v>170.3122</v>
      </c>
      <c r="BB42" s="168">
        <f t="shared" si="38"/>
        <v>31.7230205070422</v>
      </c>
      <c r="BC42" s="170">
        <f t="shared" si="39"/>
        <v>0.186263934744794</v>
      </c>
    </row>
    <row r="43" ht="29.1" customHeight="1" spans="1:56">
      <c r="A43" s="61" t="s">
        <v>223</v>
      </c>
      <c r="B43" s="61" t="s">
        <v>224</v>
      </c>
      <c r="C43" s="90">
        <v>11</v>
      </c>
      <c r="D43" s="91">
        <v>11</v>
      </c>
      <c r="E43" s="64">
        <v>248.16</v>
      </c>
      <c r="F43" s="148">
        <v>7</v>
      </c>
      <c r="G43" s="148">
        <v>7</v>
      </c>
      <c r="H43" s="64">
        <v>151.36</v>
      </c>
      <c r="I43" s="64">
        <v>19.57</v>
      </c>
      <c r="J43" s="190">
        <v>7</v>
      </c>
      <c r="K43" s="150">
        <f t="shared" si="40"/>
        <v>0.636363636363636</v>
      </c>
      <c r="L43" s="151">
        <v>120.58</v>
      </c>
      <c r="M43" s="152">
        <f t="shared" si="31"/>
        <v>0.222222222222222</v>
      </c>
      <c r="N43" s="150">
        <f t="shared" si="32"/>
        <v>0.222222222222222</v>
      </c>
      <c r="O43" s="150">
        <f t="shared" si="33"/>
        <v>0.270985915492958</v>
      </c>
      <c r="P43" s="153">
        <f t="shared" si="41"/>
        <v>1</v>
      </c>
      <c r="Q43" s="154">
        <f t="shared" si="42"/>
        <v>22.56</v>
      </c>
      <c r="R43" s="187">
        <f t="shared" si="43"/>
        <v>22.56</v>
      </c>
      <c r="S43" s="155">
        <f t="shared" si="34"/>
        <v>1.57142857142857</v>
      </c>
      <c r="T43" s="156">
        <f t="shared" si="35"/>
        <v>5</v>
      </c>
      <c r="U43" s="157">
        <f t="shared" si="44"/>
        <v>0.454545454545455</v>
      </c>
      <c r="V43" s="94">
        <f t="shared" si="45"/>
        <v>0.27127170917363</v>
      </c>
      <c r="W43" s="91">
        <v>6307</v>
      </c>
      <c r="X43" s="91">
        <v>93</v>
      </c>
      <c r="Y43" s="91">
        <v>6</v>
      </c>
      <c r="Z43" s="64">
        <v>62.01</v>
      </c>
      <c r="AA43" s="158">
        <v>143.3</v>
      </c>
      <c r="AB43" s="91">
        <v>0.67</v>
      </c>
      <c r="AC43" s="71">
        <f t="shared" si="46"/>
        <v>0.432728541521284</v>
      </c>
      <c r="AD43" s="72">
        <f t="shared" si="47"/>
        <v>0.0147455208498494</v>
      </c>
      <c r="AE43" s="159">
        <f t="shared" si="48"/>
        <v>0.0645161290322581</v>
      </c>
      <c r="AF43" s="154">
        <f t="shared" si="49"/>
        <v>10.335</v>
      </c>
      <c r="AG43" s="160">
        <v>7</v>
      </c>
      <c r="AH43" s="162">
        <v>4</v>
      </c>
      <c r="AI43" s="163">
        <f>AG43*产品成本!$D$17+AH43*产品成本!$D$18</f>
        <v>49.7612</v>
      </c>
      <c r="AJ43" s="163">
        <f>AG43*产品成本!$E$17+AH43*产品成本!$E$18</f>
        <v>3.69791549295775</v>
      </c>
      <c r="AK43" s="163">
        <f>AG43*产品成本!$F$17+AH43*产品成本!$F$18</f>
        <v>3.74</v>
      </c>
      <c r="AL43" s="163">
        <f>AG43*产品成本!$G$17+AH43*产品成本!$G$18</f>
        <v>42.9</v>
      </c>
      <c r="AM43" s="163">
        <f t="shared" si="50"/>
        <v>34.2885</v>
      </c>
      <c r="AN43" s="164">
        <f t="shared" si="51"/>
        <v>134.387615492958</v>
      </c>
      <c r="AO43" s="165">
        <v>3</v>
      </c>
      <c r="AP43" s="166">
        <v>4</v>
      </c>
      <c r="AQ43" s="188">
        <f>AO43*产品成本!$D$17+AP43*产品成本!$D$18</f>
        <v>27.2412</v>
      </c>
      <c r="AR43" s="189">
        <f>AO43*产品成本!$E$17+AP43*产品成本!$E$18</f>
        <v>2.41791549295775</v>
      </c>
      <c r="AS43" s="189">
        <f>AO43*产品成本!$F$17+AP43*产品成本!$F$18</f>
        <v>2.38</v>
      </c>
      <c r="AT43" s="189">
        <f>AO43*产品成本!$G$17+AP43*产品成本!$G$18</f>
        <v>27.3</v>
      </c>
      <c r="AU43" s="189"/>
      <c r="AV43" s="189">
        <f t="shared" si="52"/>
        <v>4.08618</v>
      </c>
      <c r="AW43" s="189">
        <f t="shared" si="53"/>
        <v>-0.817236</v>
      </c>
      <c r="AX43" s="164">
        <f t="shared" si="36"/>
        <v>35.3668594929577</v>
      </c>
      <c r="AY43" s="169">
        <f t="shared" si="37"/>
        <v>99.020756</v>
      </c>
      <c r="AZ43" s="169">
        <f t="shared" si="54"/>
        <v>228.59</v>
      </c>
      <c r="BA43" s="169">
        <f t="shared" si="55"/>
        <v>201.3488</v>
      </c>
      <c r="BB43" s="168">
        <f t="shared" si="38"/>
        <v>40.318044</v>
      </c>
      <c r="BC43" s="170">
        <f t="shared" si="39"/>
        <v>0.200239802770118</v>
      </c>
      <c r="BD43" t="s">
        <v>225</v>
      </c>
    </row>
    <row r="44" ht="29.1" customHeight="1" spans="1:56">
      <c r="A44" s="79" t="s">
        <v>226</v>
      </c>
      <c r="B44" s="80" t="s">
        <v>227</v>
      </c>
      <c r="C44" s="90">
        <v>14</v>
      </c>
      <c r="D44" s="91">
        <v>14</v>
      </c>
      <c r="E44" s="64">
        <v>300.79</v>
      </c>
      <c r="F44" s="148">
        <v>5</v>
      </c>
      <c r="G44" s="148">
        <v>100.65</v>
      </c>
      <c r="H44" s="64">
        <v>11.09</v>
      </c>
      <c r="I44" s="64">
        <v>0</v>
      </c>
      <c r="J44" s="190">
        <v>0</v>
      </c>
      <c r="K44" s="150">
        <f t="shared" si="40"/>
        <v>0</v>
      </c>
      <c r="L44" s="151">
        <v>0</v>
      </c>
      <c r="M44" s="152">
        <f t="shared" si="31"/>
        <v>0.272727272727273</v>
      </c>
      <c r="N44" s="150">
        <f t="shared" si="32"/>
        <v>0.272727272727273</v>
      </c>
      <c r="O44" s="150">
        <f t="shared" si="33"/>
        <v>0.212080915538362</v>
      </c>
      <c r="P44" s="153">
        <f t="shared" si="41"/>
        <v>1</v>
      </c>
      <c r="Q44" s="154">
        <f t="shared" si="42"/>
        <v>21.485</v>
      </c>
      <c r="R44" s="187">
        <f t="shared" si="43"/>
        <v>21.485</v>
      </c>
      <c r="S44" s="155">
        <f t="shared" si="34"/>
        <v>2</v>
      </c>
      <c r="T44" s="156">
        <f t="shared" si="35"/>
        <v>4</v>
      </c>
      <c r="U44" s="157">
        <f t="shared" si="44"/>
        <v>0.285714285714286</v>
      </c>
      <c r="V44" s="94">
        <f t="shared" si="45"/>
        <v>0.303799993350843</v>
      </c>
      <c r="W44" s="91">
        <v>10011</v>
      </c>
      <c r="X44" s="91">
        <v>144</v>
      </c>
      <c r="Y44" s="91">
        <v>10</v>
      </c>
      <c r="Z44" s="64">
        <v>91.38</v>
      </c>
      <c r="AA44" s="158">
        <v>211.46</v>
      </c>
      <c r="AB44" s="91">
        <v>0.63</v>
      </c>
      <c r="AC44" s="71">
        <f t="shared" si="46"/>
        <v>0.432138465903717</v>
      </c>
      <c r="AD44" s="72">
        <f t="shared" si="47"/>
        <v>0.0143841774048547</v>
      </c>
      <c r="AE44" s="159">
        <f t="shared" si="48"/>
        <v>0.0694444444444444</v>
      </c>
      <c r="AF44" s="154">
        <f t="shared" si="49"/>
        <v>9.138</v>
      </c>
      <c r="AG44" s="160">
        <v>4</v>
      </c>
      <c r="AH44" s="162">
        <v>10</v>
      </c>
      <c r="AI44" s="163">
        <f>AG44*产品成本!$D$17+AH44*产品成本!$D$18</f>
        <v>48.398</v>
      </c>
      <c r="AJ44" s="163">
        <f>AG44*产品成本!$E$17+AH44*产品成本!$E$18</f>
        <v>4.92478873239437</v>
      </c>
      <c r="AK44" s="163">
        <f>AG44*产品成本!$F$17+AH44*产品成本!$F$18</f>
        <v>4.76</v>
      </c>
      <c r="AL44" s="163">
        <f>AG44*产品成本!$G$17+AH44*产品成本!$G$18</f>
        <v>54.6</v>
      </c>
      <c r="AM44" s="163">
        <f t="shared" si="50"/>
        <v>45.1185</v>
      </c>
      <c r="AN44" s="164">
        <f t="shared" si="51"/>
        <v>157.801288732394</v>
      </c>
      <c r="AO44" s="165">
        <v>0</v>
      </c>
      <c r="AP44" s="166">
        <v>0</v>
      </c>
      <c r="AQ44" s="188">
        <f>AO44*产品成本!$D$17+AP44*产品成本!$D$18</f>
        <v>0</v>
      </c>
      <c r="AR44" s="189">
        <f>AO44*产品成本!$E$17+AP44*产品成本!$E$18</f>
        <v>0</v>
      </c>
      <c r="AS44" s="189">
        <f>AO44*产品成本!$F$17+AP44*产品成本!$F$18</f>
        <v>0</v>
      </c>
      <c r="AT44" s="189">
        <f>AO44*产品成本!$G$17+AP44*产品成本!$G$18</f>
        <v>0</v>
      </c>
      <c r="AU44" s="189"/>
      <c r="AV44" s="189">
        <f t="shared" si="52"/>
        <v>0</v>
      </c>
      <c r="AW44" s="189">
        <f t="shared" si="53"/>
        <v>0</v>
      </c>
      <c r="AX44" s="164">
        <f t="shared" si="36"/>
        <v>0</v>
      </c>
      <c r="AY44" s="169">
        <f t="shared" si="37"/>
        <v>157.801288732394</v>
      </c>
      <c r="AZ44" s="169">
        <f t="shared" si="54"/>
        <v>300.79</v>
      </c>
      <c r="BA44" s="169">
        <f t="shared" si="55"/>
        <v>300.79</v>
      </c>
      <c r="BB44" s="168">
        <f t="shared" si="38"/>
        <v>51.6087112676057</v>
      </c>
      <c r="BC44" s="170">
        <f t="shared" si="39"/>
        <v>0.171577217552464</v>
      </c>
    </row>
    <row r="45" ht="29.1" customHeight="1" spans="1:56">
      <c r="A45" s="61" t="s">
        <v>228</v>
      </c>
      <c r="B45" s="81" t="s">
        <v>229</v>
      </c>
      <c r="C45" s="90">
        <v>17</v>
      </c>
      <c r="D45" s="91">
        <v>17</v>
      </c>
      <c r="E45" s="64">
        <v>388.85</v>
      </c>
      <c r="F45" s="148">
        <v>1</v>
      </c>
      <c r="G45" s="148">
        <v>1</v>
      </c>
      <c r="H45" s="64">
        <v>19.69</v>
      </c>
      <c r="I45" s="64">
        <v>1.97</v>
      </c>
      <c r="J45" s="190">
        <v>2</v>
      </c>
      <c r="K45" s="150">
        <f t="shared" si="40"/>
        <v>0.117647058823529</v>
      </c>
      <c r="L45" s="151">
        <v>38.63</v>
      </c>
      <c r="M45" s="152">
        <f t="shared" si="31"/>
        <v>0.214285714285714</v>
      </c>
      <c r="N45" s="150">
        <f t="shared" si="32"/>
        <v>0.214285714285714</v>
      </c>
      <c r="O45" s="150">
        <f t="shared" si="33"/>
        <v>0.292762392366767</v>
      </c>
      <c r="P45" s="153">
        <f t="shared" si="41"/>
        <v>1</v>
      </c>
      <c r="Q45" s="154">
        <f t="shared" si="42"/>
        <v>22.8735294117647</v>
      </c>
      <c r="R45" s="187">
        <f t="shared" si="43"/>
        <v>22.8735294117647</v>
      </c>
      <c r="S45" s="155">
        <f t="shared" si="34"/>
        <v>2.42857142857143</v>
      </c>
      <c r="T45" s="156">
        <f t="shared" si="35"/>
        <v>-2</v>
      </c>
      <c r="U45" s="157">
        <f t="shared" si="44"/>
        <v>-0.117647058823529</v>
      </c>
      <c r="V45" s="94">
        <f t="shared" si="45"/>
        <v>0.382237386269644</v>
      </c>
      <c r="W45" s="91">
        <v>11926</v>
      </c>
      <c r="X45" s="91">
        <v>232</v>
      </c>
      <c r="Y45" s="91">
        <v>19</v>
      </c>
      <c r="Z45" s="64">
        <v>147.88</v>
      </c>
      <c r="AA45" s="158">
        <v>437.36</v>
      </c>
      <c r="AB45" s="91">
        <v>0.64</v>
      </c>
      <c r="AC45" s="71">
        <f t="shared" si="46"/>
        <v>0.338119626852021</v>
      </c>
      <c r="AD45" s="72">
        <f t="shared" si="47"/>
        <v>0.0194532953211471</v>
      </c>
      <c r="AE45" s="159">
        <f t="shared" si="48"/>
        <v>0.0818965517241379</v>
      </c>
      <c r="AF45" s="154">
        <f t="shared" si="49"/>
        <v>7.78315789473684</v>
      </c>
      <c r="AG45" s="160">
        <v>12</v>
      </c>
      <c r="AH45" s="162">
        <v>5</v>
      </c>
      <c r="AI45" s="163">
        <f>AG45*产品成本!$D$17+AH45*产品成本!$D$18</f>
        <v>80.499</v>
      </c>
      <c r="AJ45" s="163">
        <f>AG45*产品成本!$E$17+AH45*产品成本!$E$18</f>
        <v>5.66239436619719</v>
      </c>
      <c r="AK45" s="163">
        <f>AG45*产品成本!$F$17+AH45*产品成本!$F$18</f>
        <v>5.78</v>
      </c>
      <c r="AL45" s="163">
        <f>AG45*产品成本!$G$17+AH45*产品成本!$G$18</f>
        <v>66.3</v>
      </c>
      <c r="AM45" s="163">
        <f t="shared" si="50"/>
        <v>58.032</v>
      </c>
      <c r="AN45" s="164">
        <f t="shared" si="51"/>
        <v>216.273394366197</v>
      </c>
      <c r="AO45" s="165">
        <v>1</v>
      </c>
      <c r="AP45" s="166">
        <v>1</v>
      </c>
      <c r="AQ45" s="188">
        <f>AO45*产品成本!$D$17+AP45*产品成本!$D$18</f>
        <v>8.2178</v>
      </c>
      <c r="AR45" s="189">
        <f>AO45*产品成本!$E$17+AP45*产品成本!$E$18</f>
        <v>0.684478873239437</v>
      </c>
      <c r="AS45" s="189">
        <f>AO45*产品成本!$F$17+AP45*产品成本!$F$18</f>
        <v>0.68</v>
      </c>
      <c r="AT45" s="189">
        <f>AO45*产品成本!$G$17+AP45*产品成本!$G$18</f>
        <v>7.8</v>
      </c>
      <c r="AU45" s="189"/>
      <c r="AV45" s="189">
        <f t="shared" si="52"/>
        <v>1.23267</v>
      </c>
      <c r="AW45" s="189">
        <f t="shared" si="53"/>
        <v>-0.246534</v>
      </c>
      <c r="AX45" s="164">
        <f t="shared" si="36"/>
        <v>10.1506148732394</v>
      </c>
      <c r="AY45" s="169">
        <f t="shared" si="37"/>
        <v>206.122779492958</v>
      </c>
      <c r="AZ45" s="169">
        <f t="shared" si="54"/>
        <v>386.88</v>
      </c>
      <c r="BA45" s="169">
        <f t="shared" si="55"/>
        <v>378.6622</v>
      </c>
      <c r="BB45" s="168">
        <f t="shared" si="38"/>
        <v>24.6594205070423</v>
      </c>
      <c r="BC45" s="170">
        <f t="shared" si="39"/>
        <v>0.0651224772555651</v>
      </c>
    </row>
    <row r="46" ht="29.1" customHeight="1" spans="1:56">
      <c r="A46" s="61" t="s">
        <v>230</v>
      </c>
      <c r="B46" s="81" t="s">
        <v>231</v>
      </c>
      <c r="C46" s="90">
        <v>23</v>
      </c>
      <c r="D46" s="91">
        <v>23</v>
      </c>
      <c r="E46" s="64">
        <v>516.01</v>
      </c>
      <c r="F46" s="148">
        <v>0</v>
      </c>
      <c r="G46" s="148">
        <v>0</v>
      </c>
      <c r="H46" s="64">
        <v>0</v>
      </c>
      <c r="I46" s="64">
        <v>0</v>
      </c>
      <c r="J46" s="190">
        <v>2</v>
      </c>
      <c r="K46" s="150">
        <f t="shared" si="40"/>
        <v>0.0869565217391304</v>
      </c>
      <c r="L46" s="151">
        <v>33.52</v>
      </c>
      <c r="M46" s="152">
        <f t="shared" si="31"/>
        <v>0.352941176470588</v>
      </c>
      <c r="N46" s="150">
        <f t="shared" si="32"/>
        <v>0.352941176470588</v>
      </c>
      <c r="O46" s="150">
        <f t="shared" si="33"/>
        <v>0.327015558698727</v>
      </c>
      <c r="P46" s="153">
        <f t="shared" si="41"/>
        <v>1</v>
      </c>
      <c r="Q46" s="154">
        <f t="shared" si="42"/>
        <v>22.4352173913043</v>
      </c>
      <c r="R46" s="187">
        <f t="shared" si="43"/>
        <v>22.4352173913043</v>
      </c>
      <c r="S46" s="155">
        <f t="shared" si="34"/>
        <v>3.28571428571429</v>
      </c>
      <c r="T46" s="156">
        <f t="shared" si="35"/>
        <v>7</v>
      </c>
      <c r="U46" s="157">
        <f t="shared" si="44"/>
        <v>0.304347826086957</v>
      </c>
      <c r="V46" s="94">
        <f t="shared" si="45"/>
        <v>0.321272843549544</v>
      </c>
      <c r="W46" s="91">
        <v>13119</v>
      </c>
      <c r="X46" s="91">
        <v>262</v>
      </c>
      <c r="Y46" s="91">
        <v>16</v>
      </c>
      <c r="Z46" s="64">
        <v>165.78</v>
      </c>
      <c r="AA46" s="158">
        <v>351.07</v>
      </c>
      <c r="AB46" s="91">
        <v>0.63</v>
      </c>
      <c r="AC46" s="71">
        <f t="shared" si="46"/>
        <v>0.47221351867149</v>
      </c>
      <c r="AD46" s="72">
        <f t="shared" si="47"/>
        <v>0.0199710343776202</v>
      </c>
      <c r="AE46" s="159">
        <f t="shared" si="48"/>
        <v>0.0610687022900763</v>
      </c>
      <c r="AF46" s="154">
        <f t="shared" si="49"/>
        <v>10.36125</v>
      </c>
      <c r="AG46" s="160">
        <v>14</v>
      </c>
      <c r="AH46" s="162">
        <v>9</v>
      </c>
      <c r="AI46" s="163">
        <f>AG46*产品成本!$D$17+AH46*产品成本!$D$18</f>
        <v>102.1102</v>
      </c>
      <c r="AJ46" s="163">
        <f>AG46*产品成本!$E$17+AH46*产品成本!$E$18</f>
        <v>7.76030985915493</v>
      </c>
      <c r="AK46" s="163">
        <f>AG46*产品成本!$F$17+AH46*产品成本!$F$18</f>
        <v>7.82</v>
      </c>
      <c r="AL46" s="163">
        <f>AG46*产品成本!$G$17+AH46*产品成本!$G$18</f>
        <v>89.7</v>
      </c>
      <c r="AM46" s="163">
        <f t="shared" si="50"/>
        <v>77.4015</v>
      </c>
      <c r="AN46" s="164">
        <f t="shared" si="51"/>
        <v>284.792009859155</v>
      </c>
      <c r="AO46" s="165">
        <v>1</v>
      </c>
      <c r="AP46" s="166">
        <v>1</v>
      </c>
      <c r="AQ46" s="188">
        <f>AO46*产品成本!$D$17+AP46*产品成本!$D$18</f>
        <v>8.2178</v>
      </c>
      <c r="AR46" s="189">
        <f>AO46*产品成本!$E$17+AP46*产品成本!$E$18</f>
        <v>0.684478873239437</v>
      </c>
      <c r="AS46" s="189">
        <f>AO46*产品成本!$F$17+AP46*产品成本!$F$18</f>
        <v>0.68</v>
      </c>
      <c r="AT46" s="189">
        <f>AO46*产品成本!$G$17+AP46*产品成本!$G$18</f>
        <v>7.8</v>
      </c>
      <c r="AU46" s="189"/>
      <c r="AV46" s="189">
        <f t="shared" si="52"/>
        <v>1.23267</v>
      </c>
      <c r="AW46" s="189">
        <f t="shared" si="53"/>
        <v>-0.246534</v>
      </c>
      <c r="AX46" s="164">
        <f t="shared" si="36"/>
        <v>10.1506148732394</v>
      </c>
      <c r="AY46" s="169">
        <f t="shared" si="37"/>
        <v>274.641394985915</v>
      </c>
      <c r="AZ46" s="169">
        <f t="shared" si="54"/>
        <v>516.01</v>
      </c>
      <c r="BA46" s="169">
        <f t="shared" si="55"/>
        <v>507.7922</v>
      </c>
      <c r="BB46" s="168">
        <f t="shared" si="38"/>
        <v>67.3708050140845</v>
      </c>
      <c r="BC46" s="170">
        <f t="shared" si="39"/>
        <v>0.132673965874396</v>
      </c>
    </row>
    <row r="47" ht="29.1" customHeight="1" spans="1:56">
      <c r="A47" s="61" t="s">
        <v>232</v>
      </c>
      <c r="B47" s="81" t="s">
        <v>233</v>
      </c>
      <c r="C47" s="90">
        <v>25</v>
      </c>
      <c r="D47" s="91">
        <v>25</v>
      </c>
      <c r="E47" s="64">
        <v>550.88</v>
      </c>
      <c r="F47" s="148">
        <v>6</v>
      </c>
      <c r="G47" s="148">
        <v>6</v>
      </c>
      <c r="H47" s="64">
        <v>131.67</v>
      </c>
      <c r="I47" s="64">
        <v>16.57</v>
      </c>
      <c r="J47" s="190">
        <v>3</v>
      </c>
      <c r="K47" s="150">
        <f t="shared" si="40"/>
        <v>0.12</v>
      </c>
      <c r="L47" s="151">
        <v>50.68</v>
      </c>
      <c r="M47" s="152">
        <f t="shared" si="31"/>
        <v>0.0869565217391304</v>
      </c>
      <c r="N47" s="150">
        <f t="shared" si="32"/>
        <v>0.0869565217391304</v>
      </c>
      <c r="O47" s="150">
        <f t="shared" si="33"/>
        <v>0.0675762097633767</v>
      </c>
      <c r="P47" s="153">
        <f t="shared" si="41"/>
        <v>1</v>
      </c>
      <c r="Q47" s="154">
        <f t="shared" si="42"/>
        <v>22.0352</v>
      </c>
      <c r="R47" s="187">
        <f t="shared" si="43"/>
        <v>22.0352</v>
      </c>
      <c r="S47" s="155">
        <f t="shared" si="34"/>
        <v>3.57142857142857</v>
      </c>
      <c r="T47" s="156">
        <f t="shared" si="35"/>
        <v>7</v>
      </c>
      <c r="U47" s="157">
        <f t="shared" si="44"/>
        <v>0.28</v>
      </c>
      <c r="V47" s="94">
        <f t="shared" si="45"/>
        <v>0.270853998615036</v>
      </c>
      <c r="W47" s="91">
        <v>10177</v>
      </c>
      <c r="X47" s="91">
        <v>231</v>
      </c>
      <c r="Y47" s="91">
        <v>18</v>
      </c>
      <c r="Z47" s="64">
        <v>144.72</v>
      </c>
      <c r="AA47" s="158">
        <v>390.87</v>
      </c>
      <c r="AB47" s="91">
        <v>0.63</v>
      </c>
      <c r="AC47" s="71">
        <f t="shared" si="46"/>
        <v>0.370250978586231</v>
      </c>
      <c r="AD47" s="72">
        <f t="shared" si="47"/>
        <v>0.0226982411319642</v>
      </c>
      <c r="AE47" s="159">
        <f t="shared" si="48"/>
        <v>0.0779220779220779</v>
      </c>
      <c r="AF47" s="154">
        <f t="shared" si="49"/>
        <v>8.04</v>
      </c>
      <c r="AG47" s="160">
        <v>25</v>
      </c>
      <c r="AH47" s="162">
        <v>0</v>
      </c>
      <c r="AI47" s="163">
        <f>AG47*产品成本!$D$17+AH47*产品成本!$D$18</f>
        <v>140.75</v>
      </c>
      <c r="AJ47" s="163">
        <f>AG47*产品成本!$E$17+AH47*产品成本!$E$18</f>
        <v>8</v>
      </c>
      <c r="AK47" s="163">
        <f>AG47*产品成本!$F$17+AH47*产品成本!$F$18</f>
        <v>8.5</v>
      </c>
      <c r="AL47" s="163">
        <f>AG47*产品成本!$G$17+AH47*产品成本!$G$18</f>
        <v>97.5</v>
      </c>
      <c r="AM47" s="163">
        <f t="shared" si="50"/>
        <v>80.1465</v>
      </c>
      <c r="AN47" s="164">
        <f t="shared" si="51"/>
        <v>334.8965</v>
      </c>
      <c r="AO47" s="165">
        <v>2</v>
      </c>
      <c r="AP47" s="166">
        <v>1</v>
      </c>
      <c r="AQ47" s="188">
        <f>AO47*产品成本!$D$17+AP47*产品成本!$D$18</f>
        <v>13.8478</v>
      </c>
      <c r="AR47" s="189">
        <f>AO47*产品成本!$E$17+AP47*产品成本!$E$18</f>
        <v>1.00447887323944</v>
      </c>
      <c r="AS47" s="189">
        <f>AO47*产品成本!$F$17+AP47*产品成本!$F$18</f>
        <v>1.02</v>
      </c>
      <c r="AT47" s="189">
        <f>AO47*产品成本!$G$17+AP47*产品成本!$G$18</f>
        <v>11.7</v>
      </c>
      <c r="AU47" s="189"/>
      <c r="AV47" s="189">
        <f t="shared" si="52"/>
        <v>2.07717</v>
      </c>
      <c r="AW47" s="189">
        <f t="shared" si="53"/>
        <v>-0.415434</v>
      </c>
      <c r="AX47" s="164">
        <f t="shared" si="36"/>
        <v>15.3862148732394</v>
      </c>
      <c r="AY47" s="169">
        <f t="shared" si="37"/>
        <v>319.510285126761</v>
      </c>
      <c r="AZ47" s="169">
        <f t="shared" si="54"/>
        <v>534.31</v>
      </c>
      <c r="BA47" s="169">
        <f t="shared" si="55"/>
        <v>520.4622</v>
      </c>
      <c r="BB47" s="168">
        <f t="shared" si="38"/>
        <v>56.2319148732394</v>
      </c>
      <c r="BC47" s="170">
        <f t="shared" si="39"/>
        <v>0.10804226488156</v>
      </c>
    </row>
    <row r="48" ht="29.1" customHeight="1" spans="1:56">
      <c r="A48" s="61" t="s">
        <v>236</v>
      </c>
      <c r="B48" s="81" t="s">
        <v>237</v>
      </c>
      <c r="C48" s="90">
        <v>15</v>
      </c>
      <c r="D48" s="91">
        <v>15</v>
      </c>
      <c r="E48" s="64">
        <v>340.45</v>
      </c>
      <c r="F48" s="148">
        <v>3</v>
      </c>
      <c r="G48" s="148">
        <v>3</v>
      </c>
      <c r="H48" s="64">
        <v>72.6</v>
      </c>
      <c r="I48" s="64">
        <v>8.47</v>
      </c>
      <c r="J48" s="190">
        <v>0</v>
      </c>
      <c r="K48" s="150">
        <f t="shared" si="40"/>
        <v>0</v>
      </c>
      <c r="L48" s="151">
        <v>0</v>
      </c>
      <c r="M48" s="152">
        <f t="shared" si="31"/>
        <v>-0.4</v>
      </c>
      <c r="N48" s="150">
        <f t="shared" si="32"/>
        <v>-0.4</v>
      </c>
      <c r="O48" s="150">
        <f t="shared" si="33"/>
        <v>-0.381988817891374</v>
      </c>
      <c r="P48" s="153">
        <f t="shared" si="41"/>
        <v>1</v>
      </c>
      <c r="Q48" s="154">
        <f t="shared" si="42"/>
        <v>22.6966666666667</v>
      </c>
      <c r="R48" s="187">
        <f t="shared" si="43"/>
        <v>22.6966666666667</v>
      </c>
      <c r="S48" s="155">
        <f t="shared" si="34"/>
        <v>2.14285714285714</v>
      </c>
      <c r="T48" s="156">
        <f t="shared" si="35"/>
        <v>5</v>
      </c>
      <c r="U48" s="157">
        <f t="shared" si="44"/>
        <v>0.333333333333333</v>
      </c>
      <c r="V48" s="94">
        <f t="shared" si="45"/>
        <v>0.501204891860956</v>
      </c>
      <c r="W48" s="91">
        <v>13578</v>
      </c>
      <c r="X48" s="91">
        <v>255</v>
      </c>
      <c r="Y48" s="91">
        <v>10</v>
      </c>
      <c r="Z48" s="64">
        <v>166.39</v>
      </c>
      <c r="AA48" s="158">
        <v>221.89</v>
      </c>
      <c r="AB48" s="91">
        <v>0.65</v>
      </c>
      <c r="AC48" s="71">
        <f t="shared" si="46"/>
        <v>0.749876064716752</v>
      </c>
      <c r="AD48" s="72">
        <f t="shared" si="47"/>
        <v>0.0187803800265135</v>
      </c>
      <c r="AE48" s="159">
        <f t="shared" si="48"/>
        <v>0.0392156862745098</v>
      </c>
      <c r="AF48" s="154">
        <f t="shared" si="49"/>
        <v>16.639</v>
      </c>
      <c r="AG48" s="160">
        <v>10</v>
      </c>
      <c r="AH48" s="162">
        <v>5</v>
      </c>
      <c r="AI48" s="163">
        <f>AG48*产品成本!$D$17+AH48*产品成本!$D$18</f>
        <v>69.239</v>
      </c>
      <c r="AJ48" s="163">
        <f>AG48*产品成本!$E$17+AH48*产品成本!$E$18</f>
        <v>5.02239436619718</v>
      </c>
      <c r="AK48" s="163">
        <f>AG48*产品成本!$F$17+AH48*产品成本!$F$18</f>
        <v>5.1</v>
      </c>
      <c r="AL48" s="163">
        <f>AG48*产品成本!$G$17+AH48*产品成本!$G$18</f>
        <v>58.5</v>
      </c>
      <c r="AM48" s="163">
        <f t="shared" si="50"/>
        <v>49.797</v>
      </c>
      <c r="AN48" s="164">
        <f t="shared" si="51"/>
        <v>187.658394366197</v>
      </c>
      <c r="AO48" s="165">
        <v>0</v>
      </c>
      <c r="AP48" s="166">
        <v>0</v>
      </c>
      <c r="AQ48" s="188">
        <f>AO48*产品成本!$D$17+AP48*产品成本!$D$18</f>
        <v>0</v>
      </c>
      <c r="AR48" s="189">
        <f>AO48*产品成本!$E$17+AP48*产品成本!$E$18</f>
        <v>0</v>
      </c>
      <c r="AS48" s="189">
        <f>AO48*产品成本!$F$17+AP48*产品成本!$F$18</f>
        <v>0</v>
      </c>
      <c r="AT48" s="189">
        <f>AO48*产品成本!$G$17+AP48*产品成本!$G$18</f>
        <v>0</v>
      </c>
      <c r="AU48" s="189"/>
      <c r="AV48" s="189">
        <f t="shared" si="52"/>
        <v>0</v>
      </c>
      <c r="AW48" s="189">
        <f t="shared" si="53"/>
        <v>0</v>
      </c>
      <c r="AX48" s="164">
        <f t="shared" si="36"/>
        <v>0</v>
      </c>
      <c r="AY48" s="169">
        <f t="shared" si="37"/>
        <v>187.658394366197</v>
      </c>
      <c r="AZ48" s="169">
        <f t="shared" si="54"/>
        <v>331.98</v>
      </c>
      <c r="BA48" s="169">
        <f t="shared" si="55"/>
        <v>331.98</v>
      </c>
      <c r="BB48" s="168">
        <f t="shared" si="38"/>
        <v>-22.0683943661972</v>
      </c>
      <c r="BC48" s="170">
        <f t="shared" si="39"/>
        <v>-0.066475071890467</v>
      </c>
    </row>
    <row r="49" ht="29.1" customHeight="1" spans="1:57">
      <c r="A49" s="61" t="s">
        <v>240</v>
      </c>
      <c r="B49" s="81" t="s">
        <v>241</v>
      </c>
      <c r="C49" s="90">
        <v>18</v>
      </c>
      <c r="D49" s="91">
        <v>17</v>
      </c>
      <c r="E49" s="64">
        <v>399.52</v>
      </c>
      <c r="F49" s="148">
        <v>14</v>
      </c>
      <c r="G49" s="148">
        <v>13</v>
      </c>
      <c r="H49" s="64">
        <v>311.74</v>
      </c>
      <c r="I49" s="64">
        <v>31.17</v>
      </c>
      <c r="J49" s="190">
        <v>5</v>
      </c>
      <c r="K49" s="150">
        <f t="shared" si="40"/>
        <v>0.277777777777778</v>
      </c>
      <c r="L49" s="151">
        <v>105.67</v>
      </c>
      <c r="M49" s="152">
        <f t="shared" si="31"/>
        <v>0.2</v>
      </c>
      <c r="N49" s="150">
        <f t="shared" si="32"/>
        <v>0.133333333333333</v>
      </c>
      <c r="O49" s="150">
        <f t="shared" si="33"/>
        <v>0.173505654281099</v>
      </c>
      <c r="P49" s="153">
        <f t="shared" si="41"/>
        <v>1.05882352941176</v>
      </c>
      <c r="Q49" s="154">
        <f t="shared" si="42"/>
        <v>23.5011764705882</v>
      </c>
      <c r="R49" s="187">
        <f t="shared" si="43"/>
        <v>22.1955555555556</v>
      </c>
      <c r="S49" s="155">
        <f t="shared" si="34"/>
        <v>2.57142857142857</v>
      </c>
      <c r="T49" s="156">
        <f t="shared" si="35"/>
        <v>3</v>
      </c>
      <c r="U49" s="157">
        <f t="shared" si="44"/>
        <v>0.176470588235294</v>
      </c>
      <c r="V49" s="94">
        <f t="shared" si="45"/>
        <v>0.438061626170762</v>
      </c>
      <c r="W49" s="91">
        <v>6431</v>
      </c>
      <c r="X49" s="91">
        <v>237</v>
      </c>
      <c r="Y49" s="91">
        <v>14</v>
      </c>
      <c r="Z49" s="64">
        <v>161.36</v>
      </c>
      <c r="AA49" s="158">
        <v>320.45</v>
      </c>
      <c r="AB49" s="91">
        <v>0.68</v>
      </c>
      <c r="AC49" s="71">
        <f t="shared" si="46"/>
        <v>0.503541894211265</v>
      </c>
      <c r="AD49" s="72">
        <f t="shared" si="47"/>
        <v>0.0368527445187374</v>
      </c>
      <c r="AE49" s="159">
        <f t="shared" si="48"/>
        <v>0.0590717299578059</v>
      </c>
      <c r="AF49" s="154">
        <f t="shared" si="49"/>
        <v>11.5257142857143</v>
      </c>
      <c r="AG49" s="160">
        <v>10</v>
      </c>
      <c r="AH49" s="162">
        <v>8</v>
      </c>
      <c r="AI49" s="163">
        <f>AG49*产品成本!$D$17+AH49*产品成本!$D$18</f>
        <v>77.0024</v>
      </c>
      <c r="AJ49" s="163">
        <f>AG49*产品成本!$E$17+AH49*产品成本!$E$18</f>
        <v>6.1158309859155</v>
      </c>
      <c r="AK49" s="163">
        <f>AG49*产品成本!$F$17+AH49*产品成本!$F$18</f>
        <v>6.12</v>
      </c>
      <c r="AL49" s="163">
        <f>AG49*产品成本!$G$17+AH49*产品成本!$G$18</f>
        <v>70.2</v>
      </c>
      <c r="AM49" s="163">
        <f t="shared" si="50"/>
        <v>55.2525</v>
      </c>
      <c r="AN49" s="164">
        <f t="shared" si="51"/>
        <v>214.690730985915</v>
      </c>
      <c r="AO49" s="165">
        <v>5</v>
      </c>
      <c r="AP49" s="166">
        <v>0</v>
      </c>
      <c r="AQ49" s="188">
        <f>AO49*产品成本!$D$17+AP49*产品成本!$D$18</f>
        <v>28.15</v>
      </c>
      <c r="AR49" s="189">
        <f>AO49*产品成本!$E$17+AP49*产品成本!$E$18</f>
        <v>1.6</v>
      </c>
      <c r="AS49" s="189">
        <f>AO49*产品成本!$F$17+AP49*产品成本!$F$18</f>
        <v>1.7</v>
      </c>
      <c r="AT49" s="189">
        <f>AO49*产品成本!$G$17+AP49*产品成本!$G$18</f>
        <v>19.5</v>
      </c>
      <c r="AU49" s="189"/>
      <c r="AV49" s="189">
        <f t="shared" si="52"/>
        <v>4.2225</v>
      </c>
      <c r="AW49" s="189">
        <f t="shared" si="53"/>
        <v>-0.8445</v>
      </c>
      <c r="AX49" s="164">
        <f t="shared" si="36"/>
        <v>26.178</v>
      </c>
      <c r="AY49" s="169">
        <f t="shared" si="37"/>
        <v>188.512730985915</v>
      </c>
      <c r="AZ49" s="169">
        <f t="shared" si="54"/>
        <v>368.35</v>
      </c>
      <c r="BA49" s="169">
        <f t="shared" si="55"/>
        <v>340.2</v>
      </c>
      <c r="BB49" s="168">
        <f t="shared" si="38"/>
        <v>-9.67273098591551</v>
      </c>
      <c r="BC49" s="170">
        <f t="shared" si="39"/>
        <v>-0.0284324837916388</v>
      </c>
    </row>
    <row r="50" ht="29.1" customHeight="1" spans="1:57">
      <c r="A50" s="61" t="s">
        <v>244</v>
      </c>
      <c r="B50" s="81" t="s">
        <v>245</v>
      </c>
      <c r="C50" s="90">
        <v>32</v>
      </c>
      <c r="D50" s="91">
        <v>32</v>
      </c>
      <c r="E50" s="64">
        <v>724.79</v>
      </c>
      <c r="F50" s="148">
        <v>21</v>
      </c>
      <c r="G50" s="148">
        <v>21</v>
      </c>
      <c r="H50" s="64">
        <v>476.63</v>
      </c>
      <c r="I50" s="64">
        <v>48.88</v>
      </c>
      <c r="J50" s="190">
        <v>4</v>
      </c>
      <c r="K50" s="150">
        <f t="shared" si="40"/>
        <v>0.125</v>
      </c>
      <c r="L50" s="151">
        <v>76.64</v>
      </c>
      <c r="M50" s="152">
        <f t="shared" si="31"/>
        <v>0.777777777777778</v>
      </c>
      <c r="N50" s="150">
        <f t="shared" si="32"/>
        <v>0.882352941176471</v>
      </c>
      <c r="O50" s="150">
        <f t="shared" si="33"/>
        <v>0.814151982378855</v>
      </c>
      <c r="P50" s="153">
        <f t="shared" si="41"/>
        <v>1</v>
      </c>
      <c r="Q50" s="154">
        <f t="shared" si="42"/>
        <v>22.6496875</v>
      </c>
      <c r="R50" s="187">
        <f t="shared" si="43"/>
        <v>22.6496875</v>
      </c>
      <c r="S50" s="155">
        <f t="shared" si="34"/>
        <v>4.57142857142857</v>
      </c>
      <c r="T50" s="156">
        <f t="shared" si="35"/>
        <v>6</v>
      </c>
      <c r="U50" s="157">
        <f t="shared" si="44"/>
        <v>0.1875</v>
      </c>
      <c r="V50" s="94">
        <f t="shared" si="45"/>
        <v>0.311195277477771</v>
      </c>
      <c r="W50" s="91">
        <v>13696</v>
      </c>
      <c r="X50" s="91">
        <v>288</v>
      </c>
      <c r="Y50" s="91">
        <v>26</v>
      </c>
      <c r="Z50" s="64">
        <v>210.34</v>
      </c>
      <c r="AA50" s="158">
        <v>592.39</v>
      </c>
      <c r="AB50" s="91">
        <v>0.73</v>
      </c>
      <c r="AC50" s="71">
        <f t="shared" si="46"/>
        <v>0.355070139603977</v>
      </c>
      <c r="AD50" s="72">
        <f t="shared" si="47"/>
        <v>0.0210280373831776</v>
      </c>
      <c r="AE50" s="159">
        <f t="shared" si="48"/>
        <v>0.0902777777777778</v>
      </c>
      <c r="AF50" s="154">
        <f t="shared" si="49"/>
        <v>8.09</v>
      </c>
      <c r="AG50" s="160">
        <v>21</v>
      </c>
      <c r="AH50" s="162">
        <v>11</v>
      </c>
      <c r="AI50" s="163">
        <f>AG50*产品成本!$D$17+AH50*产品成本!$D$18</f>
        <v>146.6958</v>
      </c>
      <c r="AJ50" s="163">
        <f>AG50*产品成本!$E$17+AH50*产品成本!$E$18</f>
        <v>10.7292676056338</v>
      </c>
      <c r="AK50" s="163">
        <f>AG50*产品成本!$F$17+AH50*产品成本!$F$18</f>
        <v>10.88</v>
      </c>
      <c r="AL50" s="163">
        <f>AG50*产品成本!$G$17+AH50*产品成本!$G$18</f>
        <v>124.8</v>
      </c>
      <c r="AM50" s="163">
        <f t="shared" si="50"/>
        <v>101.3865</v>
      </c>
      <c r="AN50" s="164">
        <f t="shared" si="51"/>
        <v>394.491567605634</v>
      </c>
      <c r="AO50" s="165">
        <v>4</v>
      </c>
      <c r="AP50" s="166">
        <v>0</v>
      </c>
      <c r="AQ50" s="188">
        <f>AO50*产品成本!$D$17+AP50*产品成本!$D$18</f>
        <v>22.52</v>
      </c>
      <c r="AR50" s="189">
        <f>AO50*产品成本!$E$17+AP50*产品成本!$E$18</f>
        <v>1.28</v>
      </c>
      <c r="AS50" s="189">
        <f>AO50*产品成本!$F$17+AP50*产品成本!$F$18</f>
        <v>1.36</v>
      </c>
      <c r="AT50" s="189">
        <f>AO50*产品成本!$G$17+AP50*产品成本!$G$18</f>
        <v>15.6</v>
      </c>
      <c r="AU50" s="189"/>
      <c r="AV50" s="189">
        <f t="shared" si="52"/>
        <v>3.378</v>
      </c>
      <c r="AW50" s="189">
        <f t="shared" si="53"/>
        <v>-0.6756</v>
      </c>
      <c r="AX50" s="164">
        <f t="shared" si="36"/>
        <v>20.9424</v>
      </c>
      <c r="AY50" s="169">
        <f t="shared" si="37"/>
        <v>373.549167605634</v>
      </c>
      <c r="AZ50" s="169">
        <f t="shared" si="54"/>
        <v>675.91</v>
      </c>
      <c r="BA50" s="169">
        <f t="shared" si="55"/>
        <v>653.39</v>
      </c>
      <c r="BB50" s="168">
        <f t="shared" si="38"/>
        <v>69.5008323943661</v>
      </c>
      <c r="BC50" s="170">
        <f t="shared" si="39"/>
        <v>0.106369599158797</v>
      </c>
    </row>
    <row r="51" ht="29.1" customHeight="1" spans="1:57">
      <c r="A51" s="61" t="s">
        <v>247</v>
      </c>
      <c r="B51" s="81" t="s">
        <v>248</v>
      </c>
      <c r="C51" s="90">
        <v>23</v>
      </c>
      <c r="D51" s="91">
        <v>22</v>
      </c>
      <c r="E51" s="64">
        <v>487.3</v>
      </c>
      <c r="F51" s="148">
        <v>9</v>
      </c>
      <c r="G51" s="148">
        <v>8</v>
      </c>
      <c r="H51" s="64">
        <v>199.76</v>
      </c>
      <c r="I51" s="64">
        <v>24.36</v>
      </c>
      <c r="J51" s="190">
        <v>1</v>
      </c>
      <c r="K51" s="150">
        <f t="shared" si="40"/>
        <v>0.0434782608695652</v>
      </c>
      <c r="L51" s="151">
        <v>19.16</v>
      </c>
      <c r="M51" s="152">
        <f t="shared" si="31"/>
        <v>-0.28125</v>
      </c>
      <c r="N51" s="150">
        <f t="shared" si="32"/>
        <v>-0.3125</v>
      </c>
      <c r="O51" s="150">
        <f t="shared" si="33"/>
        <v>-0.327667324328426</v>
      </c>
      <c r="P51" s="153">
        <f t="shared" si="41"/>
        <v>1.04545454545455</v>
      </c>
      <c r="Q51" s="154">
        <f t="shared" si="42"/>
        <v>22.15</v>
      </c>
      <c r="R51" s="187">
        <f t="shared" si="43"/>
        <v>21.1869565217391</v>
      </c>
      <c r="S51" s="155">
        <f t="shared" si="34"/>
        <v>3.28571428571429</v>
      </c>
      <c r="T51" s="156">
        <f t="shared" si="35"/>
        <v>8</v>
      </c>
      <c r="U51" s="157">
        <f t="shared" si="44"/>
        <v>0.363636363636364</v>
      </c>
      <c r="V51" s="94">
        <f t="shared" si="45"/>
        <v>0.507193156780576</v>
      </c>
      <c r="W51" s="91">
        <v>20063</v>
      </c>
      <c r="X51" s="91">
        <v>315</v>
      </c>
      <c r="Y51" s="91">
        <v>14</v>
      </c>
      <c r="Z51" s="64">
        <v>234.8</v>
      </c>
      <c r="AA51" s="158">
        <v>269.23</v>
      </c>
      <c r="AB51" s="91">
        <v>0.75</v>
      </c>
      <c r="AC51" s="71">
        <f t="shared" si="46"/>
        <v>0.872116777476507</v>
      </c>
      <c r="AD51" s="72">
        <f t="shared" si="47"/>
        <v>0.0157005432886408</v>
      </c>
      <c r="AE51" s="159">
        <f t="shared" si="48"/>
        <v>0.0444444444444444</v>
      </c>
      <c r="AF51" s="154">
        <f t="shared" si="49"/>
        <v>16.7714285714286</v>
      </c>
      <c r="AG51" s="160">
        <v>12</v>
      </c>
      <c r="AH51" s="162">
        <v>11</v>
      </c>
      <c r="AI51" s="163">
        <f>AG51*产品成本!$D$17+AH51*产品成本!$D$18</f>
        <v>96.0258</v>
      </c>
      <c r="AJ51" s="163">
        <f>AG51*产品成本!$E$17+AH51*产品成本!$E$18</f>
        <v>7.84926760563381</v>
      </c>
      <c r="AK51" s="163">
        <f>AG51*产品成本!$F$17+AH51*产品成本!$F$18</f>
        <v>7.82</v>
      </c>
      <c r="AL51" s="163">
        <f>AG51*产品成本!$G$17+AH51*产品成本!$G$18</f>
        <v>89.7</v>
      </c>
      <c r="AM51" s="163">
        <f t="shared" si="50"/>
        <v>69.441</v>
      </c>
      <c r="AN51" s="164">
        <f t="shared" si="51"/>
        <v>270.836067605634</v>
      </c>
      <c r="AO51" s="165">
        <v>1</v>
      </c>
      <c r="AP51" s="166">
        <v>0</v>
      </c>
      <c r="AQ51" s="188">
        <f>AO51*产品成本!$D$17+AP51*产品成本!$D$18</f>
        <v>5.63</v>
      </c>
      <c r="AR51" s="189">
        <f>AO51*产品成本!$E$17+AP51*产品成本!$E$18</f>
        <v>0.32</v>
      </c>
      <c r="AS51" s="189">
        <f>AO51*产品成本!$F$17+AP51*产品成本!$F$18</f>
        <v>0.34</v>
      </c>
      <c r="AT51" s="189">
        <f>AO51*产品成本!$G$17+AP51*产品成本!$G$18</f>
        <v>3.9</v>
      </c>
      <c r="AU51" s="189"/>
      <c r="AV51" s="189">
        <f t="shared" si="52"/>
        <v>0.8445</v>
      </c>
      <c r="AW51" s="189">
        <f t="shared" si="53"/>
        <v>-0.1689</v>
      </c>
      <c r="AX51" s="164">
        <f t="shared" si="36"/>
        <v>5.2356</v>
      </c>
      <c r="AY51" s="169">
        <f t="shared" si="37"/>
        <v>265.600467605634</v>
      </c>
      <c r="AZ51" s="169">
        <f t="shared" si="54"/>
        <v>462.94</v>
      </c>
      <c r="BA51" s="169">
        <f t="shared" si="55"/>
        <v>457.31</v>
      </c>
      <c r="BB51" s="168">
        <f t="shared" si="38"/>
        <v>-43.0904676056339</v>
      </c>
      <c r="BC51" s="170">
        <f t="shared" si="39"/>
        <v>-0.0942259465256257</v>
      </c>
    </row>
    <row r="52" ht="29.1" customHeight="1" spans="1:57">
      <c r="A52" s="61" t="s">
        <v>250</v>
      </c>
      <c r="B52" s="81" t="s">
        <v>251</v>
      </c>
      <c r="C52" s="90">
        <v>25</v>
      </c>
      <c r="D52" s="91">
        <v>25</v>
      </c>
      <c r="E52" s="64">
        <v>566.04</v>
      </c>
      <c r="F52" s="148">
        <v>3</v>
      </c>
      <c r="G52" s="148">
        <v>3</v>
      </c>
      <c r="H52" s="64">
        <v>63.58</v>
      </c>
      <c r="I52" s="64">
        <v>7.34</v>
      </c>
      <c r="J52" s="190">
        <v>3</v>
      </c>
      <c r="K52" s="150">
        <f t="shared" si="40"/>
        <v>0.12</v>
      </c>
      <c r="L52" s="151">
        <v>56.05</v>
      </c>
      <c r="M52" s="152">
        <f t="shared" si="31"/>
        <v>0.0869565217391304</v>
      </c>
      <c r="N52" s="150">
        <f t="shared" si="32"/>
        <v>0.136363636363636</v>
      </c>
      <c r="O52" s="150">
        <f t="shared" si="33"/>
        <v>0.161584239688077</v>
      </c>
      <c r="P52" s="153">
        <f t="shared" si="41"/>
        <v>1</v>
      </c>
      <c r="Q52" s="154">
        <f t="shared" si="42"/>
        <v>22.6416</v>
      </c>
      <c r="R52" s="187">
        <f t="shared" si="43"/>
        <v>22.6416</v>
      </c>
      <c r="S52" s="155">
        <f t="shared" si="34"/>
        <v>3.57142857142857</v>
      </c>
      <c r="T52" s="156">
        <f t="shared" si="35"/>
        <v>0</v>
      </c>
      <c r="U52" s="157">
        <f t="shared" si="44"/>
        <v>0</v>
      </c>
      <c r="V52" s="94">
        <f t="shared" si="45"/>
        <v>0.369375335600501</v>
      </c>
      <c r="W52" s="91">
        <v>17409</v>
      </c>
      <c r="X52" s="91">
        <v>286</v>
      </c>
      <c r="Y52" s="91">
        <v>25</v>
      </c>
      <c r="Z52" s="64">
        <v>206.37</v>
      </c>
      <c r="AA52" s="158">
        <v>517.94</v>
      </c>
      <c r="AB52" s="91">
        <v>0.72</v>
      </c>
      <c r="AC52" s="71">
        <f t="shared" si="46"/>
        <v>0.398443835193266</v>
      </c>
      <c r="AD52" s="72">
        <f t="shared" si="47"/>
        <v>0.0164282842208053</v>
      </c>
      <c r="AE52" s="159">
        <f t="shared" si="48"/>
        <v>0.0874125874125874</v>
      </c>
      <c r="AF52" s="154">
        <f t="shared" si="49"/>
        <v>8.2548</v>
      </c>
      <c r="AG52" s="160">
        <v>13</v>
      </c>
      <c r="AH52" s="162">
        <v>12</v>
      </c>
      <c r="AI52" s="163">
        <f>AG52*产品成本!$D$17+AH52*产品成本!$D$18</f>
        <v>104.2436</v>
      </c>
      <c r="AJ52" s="163">
        <f>AG52*产品成本!$E$17+AH52*产品成本!$E$18</f>
        <v>8.53374647887324</v>
      </c>
      <c r="AK52" s="163">
        <f>AG52*产品成本!$F$17+AH52*产品成本!$F$18</f>
        <v>8.5</v>
      </c>
      <c r="AL52" s="163">
        <f>AG52*产品成本!$G$17+AH52*产品成本!$G$18</f>
        <v>97.5</v>
      </c>
      <c r="AM52" s="163">
        <f t="shared" si="50"/>
        <v>83.805</v>
      </c>
      <c r="AN52" s="164">
        <f t="shared" si="51"/>
        <v>302.582346478873</v>
      </c>
      <c r="AO52" s="165">
        <v>2</v>
      </c>
      <c r="AP52" s="166">
        <v>1</v>
      </c>
      <c r="AQ52" s="188">
        <f>AO52*产品成本!$D$17+AP52*产品成本!$D$18</f>
        <v>13.8478</v>
      </c>
      <c r="AR52" s="189">
        <f>AO52*产品成本!$E$17+AP52*产品成本!$E$18</f>
        <v>1.00447887323944</v>
      </c>
      <c r="AS52" s="189">
        <f>AO52*产品成本!$F$17+AP52*产品成本!$F$18</f>
        <v>1.02</v>
      </c>
      <c r="AT52" s="189">
        <f>AO52*产品成本!$G$17+AP52*产品成本!$G$18</f>
        <v>11.7</v>
      </c>
      <c r="AU52" s="189"/>
      <c r="AV52" s="189">
        <f t="shared" si="52"/>
        <v>2.07717</v>
      </c>
      <c r="AW52" s="189">
        <f t="shared" si="53"/>
        <v>-0.415434</v>
      </c>
      <c r="AX52" s="164">
        <f t="shared" si="36"/>
        <v>15.3862148732394</v>
      </c>
      <c r="AY52" s="169">
        <f t="shared" si="37"/>
        <v>287.196131605634</v>
      </c>
      <c r="AZ52" s="169">
        <f t="shared" si="54"/>
        <v>558.7</v>
      </c>
      <c r="BA52" s="169">
        <f t="shared" si="55"/>
        <v>544.8522</v>
      </c>
      <c r="BB52" s="168">
        <f t="shared" si="38"/>
        <v>51.2860683943661</v>
      </c>
      <c r="BC52" s="170">
        <f t="shared" si="39"/>
        <v>0.0941284047203372</v>
      </c>
      <c r="BD52" s="191" t="s">
        <v>396</v>
      </c>
    </row>
    <row r="53" ht="29.1" customHeight="1" spans="1:57">
      <c r="A53" s="61" t="s">
        <v>254</v>
      </c>
      <c r="B53" s="81" t="s">
        <v>255</v>
      </c>
      <c r="C53" s="90">
        <v>23</v>
      </c>
      <c r="D53" s="91">
        <v>23</v>
      </c>
      <c r="E53" s="64">
        <v>516.01</v>
      </c>
      <c r="F53" s="148">
        <v>17</v>
      </c>
      <c r="G53" s="148">
        <v>17</v>
      </c>
      <c r="H53" s="64">
        <v>384.34</v>
      </c>
      <c r="I53" s="64">
        <v>40.86</v>
      </c>
      <c r="J53" s="190">
        <v>7</v>
      </c>
      <c r="K53" s="150">
        <f t="shared" si="40"/>
        <v>0.304347826086957</v>
      </c>
      <c r="L53" s="151">
        <v>122.87</v>
      </c>
      <c r="M53" s="152">
        <f t="shared" si="31"/>
        <v>-0.08</v>
      </c>
      <c r="N53" s="150">
        <f t="shared" si="32"/>
        <v>-0.08</v>
      </c>
      <c r="O53" s="150">
        <f t="shared" si="33"/>
        <v>-0.0883859797894141</v>
      </c>
      <c r="P53" s="153">
        <f t="shared" si="41"/>
        <v>1</v>
      </c>
      <c r="Q53" s="154">
        <f t="shared" si="42"/>
        <v>22.4352173913043</v>
      </c>
      <c r="R53" s="187">
        <f t="shared" si="43"/>
        <v>22.4352173913043</v>
      </c>
      <c r="S53" s="155">
        <f t="shared" si="34"/>
        <v>3.28571428571429</v>
      </c>
      <c r="T53" s="156">
        <f t="shared" si="35"/>
        <v>5</v>
      </c>
      <c r="U53" s="157">
        <f t="shared" si="44"/>
        <v>0.217391304347826</v>
      </c>
      <c r="V53" s="94">
        <f t="shared" si="45"/>
        <v>0.439819004524887</v>
      </c>
      <c r="W53" s="91">
        <v>16338</v>
      </c>
      <c r="X53" s="91">
        <v>284</v>
      </c>
      <c r="Y53" s="91">
        <v>18</v>
      </c>
      <c r="Z53" s="64">
        <v>208.98</v>
      </c>
      <c r="AA53" s="158">
        <v>418.57</v>
      </c>
      <c r="AB53" s="91">
        <v>0.74</v>
      </c>
      <c r="AC53" s="71">
        <f t="shared" si="46"/>
        <v>0.499271328571087</v>
      </c>
      <c r="AD53" s="72">
        <f t="shared" si="47"/>
        <v>0.0173827885910148</v>
      </c>
      <c r="AE53" s="159">
        <f t="shared" si="48"/>
        <v>0.0633802816901408</v>
      </c>
      <c r="AF53" s="154">
        <f t="shared" si="49"/>
        <v>11.61</v>
      </c>
      <c r="AG53" s="160">
        <v>14</v>
      </c>
      <c r="AH53" s="162">
        <v>9</v>
      </c>
      <c r="AI53" s="163">
        <f>AG53*产品成本!$D$17+AH53*产品成本!$D$18</f>
        <v>102.1102</v>
      </c>
      <c r="AJ53" s="163">
        <f>AG53*产品成本!$E$17+AH53*产品成本!$E$18</f>
        <v>7.76030985915493</v>
      </c>
      <c r="AK53" s="163">
        <f>AG53*产品成本!$F$17+AH53*产品成本!$F$18</f>
        <v>7.82</v>
      </c>
      <c r="AL53" s="163">
        <f>AG53*产品成本!$G$17+AH53*产品成本!$G$18</f>
        <v>89.7</v>
      </c>
      <c r="AM53" s="163">
        <f t="shared" si="50"/>
        <v>71.2725</v>
      </c>
      <c r="AN53" s="164">
        <f t="shared" si="51"/>
        <v>278.663009859155</v>
      </c>
      <c r="AO53" s="165">
        <v>3</v>
      </c>
      <c r="AP53" s="166">
        <v>4</v>
      </c>
      <c r="AQ53" s="188">
        <f>AO53*产品成本!$D$17+AP53*产品成本!$D$18</f>
        <v>27.2412</v>
      </c>
      <c r="AR53" s="189">
        <f>AO53*产品成本!$E$17+AP53*产品成本!$E$18</f>
        <v>2.41791549295775</v>
      </c>
      <c r="AS53" s="189">
        <f>AO53*产品成本!$F$17+AP53*产品成本!$F$18</f>
        <v>2.38</v>
      </c>
      <c r="AT53" s="189">
        <f>AO53*产品成本!$G$17+AP53*产品成本!$G$18</f>
        <v>27.3</v>
      </c>
      <c r="AU53" s="189"/>
      <c r="AV53" s="189">
        <f t="shared" si="52"/>
        <v>4.08618</v>
      </c>
      <c r="AW53" s="189">
        <f t="shared" si="53"/>
        <v>-0.817236</v>
      </c>
      <c r="AX53" s="164">
        <f t="shared" si="36"/>
        <v>35.3668594929577</v>
      </c>
      <c r="AY53" s="169">
        <f t="shared" si="37"/>
        <v>243.296150366197</v>
      </c>
      <c r="AZ53" s="169">
        <f t="shared" si="54"/>
        <v>475.15</v>
      </c>
      <c r="BA53" s="169">
        <f t="shared" si="55"/>
        <v>447.9088</v>
      </c>
      <c r="BB53" s="168">
        <f t="shared" si="38"/>
        <v>-4.36735036619714</v>
      </c>
      <c r="BC53" s="170">
        <f t="shared" si="39"/>
        <v>-0.00975053485485694</v>
      </c>
      <c r="BD53" s="191" t="s">
        <v>396</v>
      </c>
    </row>
    <row r="54" ht="29.1" customHeight="1" spans="1:57">
      <c r="A54" s="61" t="s">
        <v>258</v>
      </c>
      <c r="B54" s="81" t="s">
        <v>259</v>
      </c>
      <c r="C54" s="90">
        <v>32</v>
      </c>
      <c r="D54" s="91">
        <v>32</v>
      </c>
      <c r="E54" s="64">
        <v>712.47</v>
      </c>
      <c r="F54" s="148">
        <v>21</v>
      </c>
      <c r="G54" s="148">
        <v>21</v>
      </c>
      <c r="H54" s="64">
        <v>460.9</v>
      </c>
      <c r="I54" s="64">
        <v>21.95</v>
      </c>
      <c r="J54" s="190">
        <v>6</v>
      </c>
      <c r="K54" s="150">
        <f t="shared" ref="K54" si="56">J54/C54</f>
        <v>0.1875</v>
      </c>
      <c r="L54" s="151">
        <v>116.94</v>
      </c>
      <c r="M54" s="152">
        <f t="shared" ref="M54" si="57">(C54-C53)/C53</f>
        <v>0.391304347826087</v>
      </c>
      <c r="N54" s="150">
        <f t="shared" ref="N54" si="58">(D54-D53)/D53</f>
        <v>0.391304347826087</v>
      </c>
      <c r="O54" s="150">
        <f t="shared" ref="O54" si="59">(E54-E53)/E53</f>
        <v>0.380729055638457</v>
      </c>
      <c r="P54" s="153">
        <f t="shared" ref="P54" si="60">C54/D54</f>
        <v>1</v>
      </c>
      <c r="Q54" s="154">
        <f t="shared" ref="Q54" si="61">E54/D54</f>
        <v>22.2646875</v>
      </c>
      <c r="R54" s="187">
        <f t="shared" ref="R54" si="62">E54/C54</f>
        <v>22.2646875</v>
      </c>
      <c r="S54" s="155">
        <f t="shared" ref="S54" si="63">C54/7</f>
        <v>4.57142857142857</v>
      </c>
      <c r="T54" s="156">
        <f t="shared" ref="T54" si="64">D54-Y54</f>
        <v>4</v>
      </c>
      <c r="U54" s="157">
        <f t="shared" ref="U54" si="65">T54/D54</f>
        <v>0.125</v>
      </c>
      <c r="V54" s="94">
        <f t="shared" ref="V54" si="66">Z54/(E54-I54)</f>
        <v>0.362147367201529</v>
      </c>
      <c r="W54" s="91">
        <v>24343</v>
      </c>
      <c r="X54" s="91">
        <v>357</v>
      </c>
      <c r="Y54" s="91">
        <v>28</v>
      </c>
      <c r="Z54" s="64">
        <v>250.07</v>
      </c>
      <c r="AA54" s="158">
        <v>656.56</v>
      </c>
      <c r="AB54" s="91">
        <v>0.7</v>
      </c>
      <c r="AC54" s="71">
        <f t="shared" ref="AC54" si="67">Z54/AA54</f>
        <v>0.380879127574022</v>
      </c>
      <c r="AD54" s="72">
        <f t="shared" ref="AD54" si="68">X54/W54</f>
        <v>0.014665406893152</v>
      </c>
      <c r="AE54" s="159">
        <f t="shared" ref="AE54" si="69">Y54/X54</f>
        <v>0.0784313725490196</v>
      </c>
      <c r="AF54" s="154">
        <f t="shared" ref="AF54" si="70">Z54/Y54</f>
        <v>8.93107142857143</v>
      </c>
      <c r="AG54" s="160">
        <v>19</v>
      </c>
      <c r="AH54" s="162">
        <v>13</v>
      </c>
      <c r="AI54" s="163">
        <f>AG54*产品成本!$D$17+AH54*产品成本!$D$18</f>
        <v>140.6114</v>
      </c>
      <c r="AJ54" s="163">
        <f>AG54*产品成本!$E$17+AH54*产品成本!$E$18</f>
        <v>10.8182253521127</v>
      </c>
      <c r="AK54" s="163">
        <f>AG54*产品成本!$F$17+AH54*产品成本!$F$18</f>
        <v>10.88</v>
      </c>
      <c r="AL54" s="163">
        <f>AG54*产品成本!$G$17+AH54*产品成本!$G$18</f>
        <v>124.8</v>
      </c>
      <c r="AM54" s="163">
        <f t="shared" ref="AM54" si="71">(E54-I54)*0.15</f>
        <v>103.578</v>
      </c>
      <c r="AN54" s="164">
        <f t="shared" ref="AN54" si="72">SUM(AI54:AM54)</f>
        <v>390.687625352113</v>
      </c>
      <c r="AO54" s="165">
        <v>5</v>
      </c>
      <c r="AP54" s="166">
        <v>1</v>
      </c>
      <c r="AQ54" s="188">
        <f>AO54*产品成本!$D$17+AP54*产品成本!$D$18</f>
        <v>30.7378</v>
      </c>
      <c r="AR54" s="189">
        <f>AO54*产品成本!$E$17+AP54*产品成本!$E$18</f>
        <v>1.96447887323944</v>
      </c>
      <c r="AS54" s="189">
        <f>AO54*产品成本!$F$17+AP54*产品成本!$F$18</f>
        <v>2.04</v>
      </c>
      <c r="AT54" s="189">
        <f>AO54*产品成本!$G$17+AP54*产品成本!$G$18</f>
        <v>23.4</v>
      </c>
      <c r="AU54" s="189"/>
      <c r="AV54" s="189">
        <f t="shared" ref="AV54" si="73">AQ54*0.15</f>
        <v>4.61067</v>
      </c>
      <c r="AW54" s="189">
        <f t="shared" ref="AW54" si="74">-AV54*0.2</f>
        <v>-0.922134</v>
      </c>
      <c r="AX54" s="164">
        <f t="shared" ref="AX54" si="75">SUM(AR54:AW54)</f>
        <v>31.0930148732394</v>
      </c>
      <c r="AY54" s="169">
        <f t="shared" ref="AY54" si="76">AN54-AX54</f>
        <v>359.594610478873</v>
      </c>
      <c r="AZ54" s="169">
        <f t="shared" ref="AZ54" si="77">E54-I54</f>
        <v>690.52</v>
      </c>
      <c r="BA54" s="169">
        <f t="shared" ref="BA54" si="78">E54-AQ54-I54</f>
        <v>659.7822</v>
      </c>
      <c r="BB54" s="168">
        <f t="shared" ref="BB54" si="79">BA54-AY54-Z54</f>
        <v>50.1175895211268</v>
      </c>
      <c r="BC54" s="170">
        <f t="shared" ref="BC54" si="80">BB54/BA54</f>
        <v>0.0759608087655697</v>
      </c>
      <c r="BD54" s="191" t="s">
        <v>396</v>
      </c>
    </row>
    <row r="55" ht="29.1" customHeight="1" spans="1:57">
      <c r="A55" s="61" t="s">
        <v>262</v>
      </c>
      <c r="B55" s="81" t="s">
        <v>263</v>
      </c>
      <c r="C55" s="90">
        <v>26</v>
      </c>
      <c r="D55" s="91">
        <v>26</v>
      </c>
      <c r="E55" s="64">
        <v>588.61</v>
      </c>
      <c r="F55" s="148">
        <v>19</v>
      </c>
      <c r="G55" s="148">
        <v>19</v>
      </c>
      <c r="H55" s="64">
        <v>428.23</v>
      </c>
      <c r="I55" s="64">
        <v>22.54</v>
      </c>
      <c r="J55" s="190">
        <v>3</v>
      </c>
      <c r="K55" s="150">
        <f t="shared" ref="K55" si="81">J55/C55</f>
        <v>0.115384615384615</v>
      </c>
      <c r="L55" s="151">
        <v>59.93</v>
      </c>
      <c r="M55" s="152">
        <f t="shared" ref="M55" si="82">(C55-C54)/C54</f>
        <v>-0.1875</v>
      </c>
      <c r="N55" s="150">
        <f t="shared" ref="N55" si="83">(D55-D54)/D54</f>
        <v>-0.1875</v>
      </c>
      <c r="O55" s="150">
        <f t="shared" ref="O55" si="84">(E55-E54)/E54</f>
        <v>-0.173845916319284</v>
      </c>
      <c r="P55" s="153">
        <f t="shared" ref="P55" si="85">C55/D55</f>
        <v>1</v>
      </c>
      <c r="Q55" s="154">
        <f t="shared" ref="Q55" si="86">E55/D55</f>
        <v>22.6388461538462</v>
      </c>
      <c r="R55" s="187">
        <f t="shared" ref="R55" si="87">E55/C55</f>
        <v>22.6388461538462</v>
      </c>
      <c r="S55" s="155">
        <f t="shared" ref="S55" si="88">C55/7</f>
        <v>3.71428571428571</v>
      </c>
      <c r="T55" s="156">
        <f t="shared" ref="T55" si="89">D55-Y55</f>
        <v>6</v>
      </c>
      <c r="U55" s="157">
        <f t="shared" ref="U55" si="90">T55/D55</f>
        <v>0.230769230769231</v>
      </c>
      <c r="V55" s="94">
        <f t="shared" ref="V55" si="91">Z55/(E55-I55)</f>
        <v>0.490840355433074</v>
      </c>
      <c r="W55" s="91">
        <v>26258</v>
      </c>
      <c r="X55" s="91">
        <v>415</v>
      </c>
      <c r="Y55" s="91">
        <v>20</v>
      </c>
      <c r="Z55" s="64">
        <v>277.85</v>
      </c>
      <c r="AA55" s="158">
        <v>518.3</v>
      </c>
      <c r="AB55" s="91">
        <v>0.67</v>
      </c>
      <c r="AC55" s="71">
        <f t="shared" ref="AC55" si="92">Z55/AA55</f>
        <v>0.536079490642485</v>
      </c>
      <c r="AD55" s="72">
        <f t="shared" ref="AD55" si="93">X55/W55</f>
        <v>0.0158047071368726</v>
      </c>
      <c r="AE55" s="159">
        <f t="shared" ref="AE55" si="94">Y55/X55</f>
        <v>0.0481927710843374</v>
      </c>
      <c r="AF55" s="154">
        <f t="shared" ref="AF55" si="95">Z55/Y55</f>
        <v>13.8925</v>
      </c>
      <c r="AG55" s="160">
        <v>17</v>
      </c>
      <c r="AH55" s="162">
        <v>9</v>
      </c>
      <c r="AI55" s="163">
        <f>AG55*产品成本!$D$17+AH55*产品成本!$D$18</f>
        <v>119.0002</v>
      </c>
      <c r="AJ55" s="163">
        <f>AG55*产品成本!$E$17+AH55*产品成本!$E$18</f>
        <v>8.72030985915493</v>
      </c>
      <c r="AK55" s="163">
        <f>AG55*产品成本!$F$17+AH55*产品成本!$F$18</f>
        <v>8.84</v>
      </c>
      <c r="AL55" s="163">
        <f>AG55*产品成本!$G$17+AH55*产品成本!$G$18</f>
        <v>101.4</v>
      </c>
      <c r="AM55" s="163">
        <f t="shared" ref="AM55" si="96">(E55-I55)*0.15</f>
        <v>84.9105</v>
      </c>
      <c r="AN55" s="164">
        <f t="shared" ref="AN55" si="97">SUM(AI55:AM55)</f>
        <v>322.871009859155</v>
      </c>
      <c r="AO55" s="165">
        <v>2</v>
      </c>
      <c r="AP55" s="166">
        <v>1</v>
      </c>
      <c r="AQ55" s="188">
        <f>AO55*产品成本!$D$17+AP55*产品成本!$D$18</f>
        <v>13.8478</v>
      </c>
      <c r="AR55" s="189">
        <f>AO55*产品成本!$E$17+AP55*产品成本!$E$18</f>
        <v>1.00447887323944</v>
      </c>
      <c r="AS55" s="189">
        <f>AO55*产品成本!$F$17+AP55*产品成本!$F$18</f>
        <v>1.02</v>
      </c>
      <c r="AT55" s="189">
        <f>AO55*产品成本!$G$17+AP55*产品成本!$G$18</f>
        <v>11.7</v>
      </c>
      <c r="AU55" s="189"/>
      <c r="AV55" s="189">
        <f t="shared" ref="AV55" si="98">AQ55*0.15</f>
        <v>2.07717</v>
      </c>
      <c r="AW55" s="189">
        <f t="shared" ref="AW55" si="99">-AV55*0.2</f>
        <v>-0.415434</v>
      </c>
      <c r="AX55" s="164">
        <f t="shared" ref="AX55" si="100">SUM(AR55:AW55)</f>
        <v>15.3862148732394</v>
      </c>
      <c r="AY55" s="169">
        <f t="shared" ref="AY55" si="101">AN55-AX55</f>
        <v>307.484794985915</v>
      </c>
      <c r="AZ55" s="169">
        <f t="shared" ref="AZ55" si="102">E55-I55</f>
        <v>566.07</v>
      </c>
      <c r="BA55" s="169">
        <f t="shared" ref="BA55" si="103">E55-AQ55-I55</f>
        <v>552.2222</v>
      </c>
      <c r="BB55" s="168">
        <f t="shared" ref="BB55" si="104">BA55-AY55-Z55</f>
        <v>-33.1125949859155</v>
      </c>
      <c r="BC55" s="170">
        <f t="shared" ref="BC55" si="105">BB55/BA55</f>
        <v>-0.0599624480615148</v>
      </c>
      <c r="BD55" s="191" t="s">
        <v>396</v>
      </c>
    </row>
    <row r="56" ht="29.1" customHeight="1" spans="1:57">
      <c r="A56" s="61" t="s">
        <v>266</v>
      </c>
      <c r="B56" s="81" t="s">
        <v>267</v>
      </c>
      <c r="C56" s="90">
        <v>25</v>
      </c>
      <c r="D56" s="91">
        <v>23</v>
      </c>
      <c r="E56" s="64">
        <v>548.68</v>
      </c>
      <c r="F56" s="148">
        <v>24</v>
      </c>
      <c r="G56" s="148">
        <v>23</v>
      </c>
      <c r="H56" s="64">
        <v>524.48</v>
      </c>
      <c r="I56" s="64">
        <v>21.85</v>
      </c>
      <c r="J56" s="190">
        <v>4</v>
      </c>
      <c r="K56" s="150">
        <f t="shared" ref="K56" si="106">J56/C56</f>
        <v>0.16</v>
      </c>
      <c r="L56" s="151">
        <v>78.78</v>
      </c>
      <c r="M56" s="152">
        <f t="shared" ref="M56" si="107">(C56-C55)/C55</f>
        <v>-0.0384615384615385</v>
      </c>
      <c r="N56" s="150">
        <f t="shared" ref="N56" si="108">(D56-D55)/D55</f>
        <v>-0.115384615384615</v>
      </c>
      <c r="O56" s="150">
        <f t="shared" ref="O56" si="109">(E56-E55)/E55</f>
        <v>-0.0678377873294712</v>
      </c>
      <c r="P56" s="153">
        <f t="shared" ref="P56" si="110">C56/D56</f>
        <v>1.08695652173913</v>
      </c>
      <c r="Q56" s="154">
        <f t="shared" ref="Q56" si="111">E56/D56</f>
        <v>23.855652173913</v>
      </c>
      <c r="R56" s="187">
        <f t="shared" ref="R56" si="112">E56/C56</f>
        <v>21.9472</v>
      </c>
      <c r="S56" s="155">
        <f t="shared" ref="S56" si="113">C56/7</f>
        <v>3.57142857142857</v>
      </c>
      <c r="T56" s="156">
        <f t="shared" ref="T56" si="114">D56-Y56</f>
        <v>3</v>
      </c>
      <c r="U56" s="157">
        <f t="shared" ref="U56" si="115">T56/D56</f>
        <v>0.130434782608696</v>
      </c>
      <c r="V56" s="94">
        <f t="shared" ref="V56" si="116">Z56/(E56-I56)</f>
        <v>0.574644572252909</v>
      </c>
      <c r="W56" s="91">
        <v>25422</v>
      </c>
      <c r="X56" s="91">
        <v>435</v>
      </c>
      <c r="Y56" s="91">
        <v>20</v>
      </c>
      <c r="Z56" s="64">
        <v>302.74</v>
      </c>
      <c r="AA56" s="158">
        <v>501.91</v>
      </c>
      <c r="AB56" s="91">
        <v>0.7</v>
      </c>
      <c r="AC56" s="71">
        <f t="shared" ref="AC56" si="117">Z56/AA56</f>
        <v>0.603175868183539</v>
      </c>
      <c r="AD56" s="72">
        <f t="shared" ref="AD56" si="118">X56/W56</f>
        <v>0.017111163559122</v>
      </c>
      <c r="AE56" s="159">
        <f t="shared" ref="AE56" si="119">Y56/X56</f>
        <v>0.0459770114942529</v>
      </c>
      <c r="AF56" s="154">
        <f t="shared" ref="AF56" si="120">Z56/Y56</f>
        <v>15.137</v>
      </c>
      <c r="AG56" s="160">
        <v>13</v>
      </c>
      <c r="AH56" s="162">
        <v>12</v>
      </c>
      <c r="AI56" s="163">
        <f>AG56*产品成本!$D$17+AH56*产品成本!$D$18</f>
        <v>104.2436</v>
      </c>
      <c r="AJ56" s="163">
        <f>AG56*产品成本!$E$17+AH56*产品成本!$E$18</f>
        <v>8.53374647887324</v>
      </c>
      <c r="AK56" s="163">
        <f>AG56*产品成本!$F$17+AH56*产品成本!$F$18</f>
        <v>8.5</v>
      </c>
      <c r="AL56" s="163">
        <f>AG56*产品成本!$G$17+AH56*产品成本!$G$18</f>
        <v>97.5</v>
      </c>
      <c r="AM56" s="163">
        <f t="shared" ref="AM56" si="121">(E56-I56)*0.15</f>
        <v>79.0245</v>
      </c>
      <c r="AN56" s="164">
        <f t="shared" ref="AN56" si="122">SUM(AI56:AM56)</f>
        <v>297.801846478873</v>
      </c>
      <c r="AO56" s="165">
        <v>4</v>
      </c>
      <c r="AP56" s="166">
        <v>0</v>
      </c>
      <c r="AQ56" s="188">
        <f>AO56*产品成本!$D$17+AP56*产品成本!$D$18</f>
        <v>22.52</v>
      </c>
      <c r="AR56" s="189">
        <f>AO56*产品成本!$E$17+AP56*产品成本!$E$18</f>
        <v>1.28</v>
      </c>
      <c r="AS56" s="189">
        <f>AO56*产品成本!$F$17+AP56*产品成本!$F$18</f>
        <v>1.36</v>
      </c>
      <c r="AT56" s="189">
        <f>AO56*产品成本!$G$17+AP56*产品成本!$G$18</f>
        <v>15.6</v>
      </c>
      <c r="AU56" s="189"/>
      <c r="AV56" s="189">
        <f t="shared" ref="AV56" si="123">AQ56*0.15</f>
        <v>3.378</v>
      </c>
      <c r="AW56" s="189">
        <f t="shared" ref="AW56" si="124">-AV56*0.2</f>
        <v>-0.6756</v>
      </c>
      <c r="AX56" s="164">
        <f t="shared" ref="AX56" si="125">SUM(AR56:AW56)</f>
        <v>20.9424</v>
      </c>
      <c r="AY56" s="169">
        <f t="shared" ref="AY56" si="126">AN56-AX56</f>
        <v>276.859446478873</v>
      </c>
      <c r="AZ56" s="169">
        <f t="shared" ref="AZ56" si="127">E56-I56</f>
        <v>526.83</v>
      </c>
      <c r="BA56" s="169">
        <f t="shared" ref="BA56" si="128">E56-AQ56-I56</f>
        <v>504.31</v>
      </c>
      <c r="BB56" s="168">
        <f t="shared" ref="BB56" si="129">BA56-AY56-Z56</f>
        <v>-75.2894464788733</v>
      </c>
      <c r="BC56" s="170">
        <f t="shared" ref="BC56" si="130">BB56/BA56</f>
        <v>-0.149291995952635</v>
      </c>
      <c r="BD56" s="191" t="s">
        <v>396</v>
      </c>
      <c r="BE56" t="s">
        <v>397</v>
      </c>
    </row>
    <row r="57" ht="29.1" customHeight="1" spans="1:57">
      <c r="A57" s="174" t="s">
        <v>270</v>
      </c>
      <c r="B57" s="175"/>
      <c r="C57" s="175">
        <f>SUBTOTAL(109,表3_391410[销量])</f>
        <v>1167</v>
      </c>
      <c r="D57" s="175">
        <f>SUBTOTAL(109,表3_391410[订单量])</f>
        <v>1149</v>
      </c>
      <c r="E57" s="175">
        <f>SUBTOTAL(109,表3_391410[销售额])</f>
        <v>26842.784</v>
      </c>
      <c r="F57" s="175">
        <f>SUBTOTAL(109,表3_391410[促销销量])</f>
        <v>252</v>
      </c>
      <c r="G57" s="175">
        <f>SUBTOTAL(109,表3_391410[促销订单量])</f>
        <v>339.65</v>
      </c>
      <c r="H57" s="175">
        <f>SUBTOTAL(109,表3_391410[促销销售额])</f>
        <v>5516.67</v>
      </c>
      <c r="I57" s="175">
        <f>SUBTOTAL(109,表3_391410[促销折扣])</f>
        <v>561.29</v>
      </c>
      <c r="J57" s="175">
        <f>SUBTOTAL(109,表3_391410[退款量])</f>
        <v>169</v>
      </c>
      <c r="K57" s="176">
        <f t="shared" si="40"/>
        <v>0.144815766923736</v>
      </c>
      <c r="L57" s="177">
        <f>SUBTOTAL(109,表3_391410[退款金额])</f>
        <v>3347.62</v>
      </c>
      <c r="M57" s="175"/>
      <c r="N57" s="175"/>
      <c r="O57" s="175"/>
      <c r="P57" s="178">
        <f>SUBTOTAL(101,表3_391410[客单
销量])</f>
        <v>1.01331050499487</v>
      </c>
      <c r="Q57" s="178">
        <f>SUBTOTAL(101,表3_391410[客单
价格($)])</f>
        <v>23.5271242338213</v>
      </c>
      <c r="R57" s="178">
        <f>SUBTOTAL(101,表3_391410[销售
均价($)])</f>
        <v>23.2142176851088</v>
      </c>
      <c r="S57" s="178">
        <f>SUBTOTAL(101,表3_391410[日均
销量])</f>
        <v>3.1455525606469</v>
      </c>
      <c r="T57" s="179">
        <f>SUBTOTAL(109,表3_391410[自然
订单])</f>
        <v>308</v>
      </c>
      <c r="U57" s="180">
        <f t="shared" si="44"/>
        <v>0.268059181897302</v>
      </c>
      <c r="V57" s="176">
        <f>SUBTOTAL(101,表3_391410[TAcos
(%)])</f>
        <v>0.498580995189491</v>
      </c>
      <c r="W57" s="175">
        <f>SUBTOTAL(109,表3_391410[展示])</f>
        <v>931452</v>
      </c>
      <c r="X57" s="175">
        <f>SUBTOTAL(109,表3_391410[点击])</f>
        <v>16028</v>
      </c>
      <c r="Y57" s="175">
        <f>SUBTOTAL(109,表3_391410[广告订单量])</f>
        <v>841</v>
      </c>
      <c r="Z57" s="175">
        <f>SUBTOTAL(109,表3_391410[广告花费])</f>
        <v>12636.74</v>
      </c>
      <c r="AA57" s="175">
        <f>SUBTOTAL(109,表3_391410[广告销售额])</f>
        <v>19575.87</v>
      </c>
      <c r="AB57" s="175">
        <f>SUBTOTAL(101,表3_391410[CPC])</f>
        <v>0.772264150943397</v>
      </c>
      <c r="AC57" s="176">
        <f t="shared" si="46"/>
        <v>0.645526354639666</v>
      </c>
      <c r="AD57" s="176">
        <f t="shared" ref="AD57:AF57" si="131">X57/W57</f>
        <v>0.0172075426323632</v>
      </c>
      <c r="AE57" s="176">
        <f t="shared" si="131"/>
        <v>0.0524706763164462</v>
      </c>
      <c r="AF57" s="178">
        <f t="shared" si="131"/>
        <v>15.0258501783591</v>
      </c>
      <c r="AG57" s="175">
        <f>SUBTOTAL(109,表3_391410[AL])</f>
        <v>973</v>
      </c>
      <c r="AH57" s="175">
        <f>SUBTOTAL(109,表3_391410[ZN])</f>
        <v>195</v>
      </c>
      <c r="AI57" s="177">
        <f>SUBTOTAL(109,表3_391410[产品成本])</f>
        <v>5982.611</v>
      </c>
      <c r="AJ57" s="177">
        <f>SUBTOTAL(109,表3_391410[头程])</f>
        <v>382.43338028169</v>
      </c>
      <c r="AK57" s="177">
        <f>SUBTOTAL(109,表3_391410[入仓费])</f>
        <v>397.12</v>
      </c>
      <c r="AL57" s="177">
        <f>SUBTOTAL(109,表3_391410[FBA物流])</f>
        <v>4555.2</v>
      </c>
      <c r="AM57" s="177">
        <f>SUBTOTAL(109,表3_391410[佣金])</f>
        <v>3942.2241</v>
      </c>
      <c r="AN57" s="177">
        <f>SUBTOTAL(109,表3_391410[成本小结])</f>
        <v>15259.5884802817</v>
      </c>
      <c r="AO57" s="182">
        <f>SUBTOTAL(109,表3_391410[退款AL])</f>
        <v>146</v>
      </c>
      <c r="AP57" s="182">
        <f>SUBTOTAL(109,表3_391410[退款ZN])</f>
        <v>22</v>
      </c>
      <c r="AQ57" s="177">
        <f>SUBTOTAL(109,表3_391410[退款
销售金额])</f>
        <v>878.9116</v>
      </c>
      <c r="AR57" s="177">
        <f>SUBTOTAL(109,表3_391410[退款
产品成本])</f>
        <v>54.7385352112676</v>
      </c>
      <c r="AS57" s="177">
        <f>SUBTOTAL(109,表3_391410[退款头程])</f>
        <v>57.12</v>
      </c>
      <c r="AT57" s="177">
        <f>SUBTOTAL(109,表3_391410[退款
入仓费])</f>
        <v>655.2</v>
      </c>
      <c r="AU57" s="177">
        <f>SUBTOTAL(109,表3_391410[退款
FBA物流])</f>
        <v>0</v>
      </c>
      <c r="AV57" s="177">
        <f>SUBTOTAL(109,表3_391410[退款佣金])</f>
        <v>131.83674</v>
      </c>
      <c r="AW57" s="177">
        <f>SUBTOTAL(109,表3_391410[退款
管理费用
佣金的20%])</f>
        <v>-26.367348</v>
      </c>
      <c r="AX57" s="177">
        <f>SUBTOTAL(109,表3_391410[退款
成本小结])</f>
        <v>872.527927211268</v>
      </c>
      <c r="AY57" s="177">
        <f>SUBTOTAL(109,表3_391410[净成本])</f>
        <v>14387.0605530704</v>
      </c>
      <c r="AZ57" s="177">
        <f>SUBTOTAL(110,表3_391410[净销售额])</f>
        <v>51784.5316660348</v>
      </c>
      <c r="BA57" s="177">
        <f>SUBTOTAL(109,表3_391410[净销售额
(-退款金额)])</f>
        <v>25402.5824</v>
      </c>
      <c r="BB57" s="177">
        <f>SUBTOTAL(109,表3_391410[毛利])</f>
        <v>-1621.21815307042</v>
      </c>
      <c r="BC57" s="176">
        <f>SUBTOTAL(101,表3_391410[毛利率])</f>
        <v>-0.083024778491337</v>
      </c>
      <c r="BD57" t="s">
        <v>398</v>
      </c>
    </row>
  </sheetData>
  <mergeCells count="14"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  <mergeCell ref="A1:B2"/>
    <mergeCell ref="AY1:BC2"/>
  </mergeCells>
  <pageMargins left="0.75" right="0.75" top="1" bottom="1" header="0.5" footer="0.5"/>
  <headerFooter/>
  <ignoredErrors>
    <ignoredError sqref="T4:T12 AX8:AX20 AX4:AY7 BB4:BC14 BB16:BC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399914548173467"/>
  </sheetPr>
  <dimension ref="A1:BG44"/>
  <sheetViews>
    <sheetView workbookViewId="0">
      <pane xSplit="12" ySplit="3" topLeftCell="AX28" activePane="bottomRight" state="frozen"/>
      <selection/>
      <selection pane="topRight"/>
      <selection pane="bottomLeft"/>
      <selection pane="bottomRight" activeCell="BG43" sqref="BG43"/>
    </sheetView>
  </sheetViews>
  <sheetFormatPr defaultColWidth="9" defaultRowHeight="13.5" customHeight="1" zeroHeight="1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105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ht="29.1" customHeight="1" spans="1:59">
      <c r="A1" s="23" t="s">
        <v>0</v>
      </c>
      <c r="B1" s="24"/>
      <c r="C1" s="106" t="s">
        <v>1</v>
      </c>
      <c r="D1" s="107"/>
      <c r="E1" s="107"/>
      <c r="F1" s="107"/>
      <c r="G1" s="107"/>
      <c r="H1" s="107"/>
      <c r="I1" s="107"/>
      <c r="J1" s="107"/>
      <c r="K1" s="107"/>
      <c r="L1" s="108"/>
      <c r="M1" s="107"/>
      <c r="N1" s="107"/>
      <c r="O1" s="107"/>
      <c r="P1" s="107"/>
      <c r="Q1" s="107"/>
      <c r="R1" s="107"/>
      <c r="S1" s="107"/>
      <c r="T1" s="107"/>
      <c r="U1" s="107"/>
      <c r="V1" s="109"/>
      <c r="W1" s="31" t="s">
        <v>2</v>
      </c>
      <c r="X1" s="32"/>
      <c r="Y1" s="32"/>
      <c r="Z1" s="32"/>
      <c r="AA1" s="32"/>
      <c r="AB1" s="32"/>
      <c r="AC1" s="33"/>
      <c r="AD1" s="33"/>
      <c r="AE1" s="33"/>
      <c r="AF1" s="33"/>
      <c r="AG1" s="110" t="s">
        <v>3</v>
      </c>
      <c r="AH1" s="111"/>
      <c r="AI1" s="111"/>
      <c r="AJ1" s="111"/>
      <c r="AK1" s="111"/>
      <c r="AL1" s="111"/>
      <c r="AM1" s="111"/>
      <c r="AN1" s="111"/>
      <c r="AO1" s="112"/>
      <c r="AP1" s="113" t="s">
        <v>4</v>
      </c>
      <c r="AQ1" s="114"/>
      <c r="AR1" s="115"/>
      <c r="AS1" s="115"/>
      <c r="AT1" s="115"/>
      <c r="AU1" s="115"/>
      <c r="AV1" s="115"/>
      <c r="AW1" s="115"/>
      <c r="AX1" s="115"/>
      <c r="AY1" s="115"/>
      <c r="AZ1" s="115"/>
      <c r="BA1" s="116" t="s">
        <v>5</v>
      </c>
      <c r="BB1" s="117"/>
      <c r="BC1" s="117"/>
      <c r="BD1" s="117"/>
      <c r="BE1" s="117"/>
    </row>
    <row r="2" ht="12.95" customHeight="1" spans="1:59">
      <c r="A2" s="35"/>
      <c r="B2" s="36"/>
      <c r="C2" s="37" t="s">
        <v>6</v>
      </c>
      <c r="D2" s="38"/>
      <c r="E2" s="38"/>
      <c r="F2" s="38"/>
      <c r="G2" s="38"/>
      <c r="H2" s="38"/>
      <c r="I2" s="38"/>
      <c r="J2" s="38"/>
      <c r="K2" s="38"/>
      <c r="L2" s="118"/>
      <c r="M2" s="119" t="s">
        <v>7</v>
      </c>
      <c r="N2" s="120"/>
      <c r="O2" s="120"/>
      <c r="P2" s="120"/>
      <c r="Q2" s="120"/>
      <c r="R2" s="120"/>
      <c r="S2" s="120"/>
      <c r="T2" s="120"/>
      <c r="U2" s="120"/>
      <c r="V2" s="121"/>
      <c r="W2" s="43" t="s">
        <v>6</v>
      </c>
      <c r="X2" s="44"/>
      <c r="Y2" s="44"/>
      <c r="Z2" s="44"/>
      <c r="AA2" s="44"/>
      <c r="AB2" s="45"/>
      <c r="AC2" s="46" t="s">
        <v>7</v>
      </c>
      <c r="AD2" s="46"/>
      <c r="AE2" s="46"/>
      <c r="AF2" s="46"/>
      <c r="AG2" s="122" t="s">
        <v>6</v>
      </c>
      <c r="AH2" s="123"/>
      <c r="AI2" s="124"/>
      <c r="AJ2" s="125" t="s">
        <v>7</v>
      </c>
      <c r="AK2" s="125"/>
      <c r="AL2" s="125"/>
      <c r="AM2" s="125"/>
      <c r="AN2" s="125"/>
      <c r="AO2" s="125"/>
      <c r="AP2" s="126" t="s">
        <v>6</v>
      </c>
      <c r="AQ2" s="127"/>
      <c r="AR2" s="128"/>
      <c r="AS2" s="129" t="s">
        <v>7</v>
      </c>
      <c r="AT2" s="129"/>
      <c r="AU2" s="129"/>
      <c r="AV2" s="129"/>
      <c r="AW2" s="129"/>
      <c r="AX2" s="129"/>
      <c r="AY2" s="129"/>
      <c r="AZ2" s="129"/>
      <c r="BA2" s="116"/>
      <c r="BB2" s="117"/>
      <c r="BC2" s="117"/>
      <c r="BD2" s="117"/>
      <c r="BE2" s="117"/>
    </row>
    <row r="3" ht="29.1" customHeight="1" spans="1:59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130" t="s">
        <v>13</v>
      </c>
      <c r="G3" s="130" t="s">
        <v>14</v>
      </c>
      <c r="H3" s="130" t="s">
        <v>15</v>
      </c>
      <c r="I3" s="130" t="s">
        <v>16</v>
      </c>
      <c r="J3" s="50" t="s">
        <v>17</v>
      </c>
      <c r="K3" s="50" t="s">
        <v>18</v>
      </c>
      <c r="L3" s="131" t="s">
        <v>19</v>
      </c>
      <c r="M3" s="132" t="s">
        <v>20</v>
      </c>
      <c r="N3" s="50" t="s">
        <v>21</v>
      </c>
      <c r="O3" s="50" t="s">
        <v>22</v>
      </c>
      <c r="P3" s="133" t="s">
        <v>23</v>
      </c>
      <c r="Q3" s="130" t="s">
        <v>24</v>
      </c>
      <c r="R3" s="130" t="s">
        <v>25</v>
      </c>
      <c r="S3" s="130" t="s">
        <v>26</v>
      </c>
      <c r="T3" s="130" t="s">
        <v>27</v>
      </c>
      <c r="U3" s="134" t="s">
        <v>28</v>
      </c>
      <c r="V3" s="135" t="s">
        <v>29</v>
      </c>
      <c r="W3" s="57" t="s">
        <v>30</v>
      </c>
      <c r="X3" s="58" t="s">
        <v>31</v>
      </c>
      <c r="Y3" s="58" t="s">
        <v>32</v>
      </c>
      <c r="Z3" s="58" t="s">
        <v>33</v>
      </c>
      <c r="AA3" s="59" t="s">
        <v>34</v>
      </c>
      <c r="AB3" s="58" t="s">
        <v>35</v>
      </c>
      <c r="AC3" s="60" t="s">
        <v>36</v>
      </c>
      <c r="AD3" s="33" t="s">
        <v>37</v>
      </c>
      <c r="AE3" s="33" t="s">
        <v>38</v>
      </c>
      <c r="AF3" s="33" t="s">
        <v>39</v>
      </c>
      <c r="AG3" s="136" t="s">
        <v>399</v>
      </c>
      <c r="AH3" s="137" t="s">
        <v>400</v>
      </c>
      <c r="AI3" s="138" t="s">
        <v>401</v>
      </c>
      <c r="AJ3" s="139" t="s">
        <v>43</v>
      </c>
      <c r="AK3" s="139" t="s">
        <v>44</v>
      </c>
      <c r="AL3" s="139" t="s">
        <v>45</v>
      </c>
      <c r="AM3" s="139" t="s">
        <v>46</v>
      </c>
      <c r="AN3" s="139" t="s">
        <v>47</v>
      </c>
      <c r="AO3" s="140" t="s">
        <v>48</v>
      </c>
      <c r="AP3" s="141" t="s">
        <v>402</v>
      </c>
      <c r="AQ3" s="142" t="s">
        <v>403</v>
      </c>
      <c r="AR3" s="143" t="s">
        <v>404</v>
      </c>
      <c r="AS3" s="144" t="s">
        <v>52</v>
      </c>
      <c r="AT3" s="144" t="s">
        <v>53</v>
      </c>
      <c r="AU3" s="144" t="s">
        <v>54</v>
      </c>
      <c r="AV3" s="144" t="s">
        <v>55</v>
      </c>
      <c r="AW3" s="144" t="s">
        <v>56</v>
      </c>
      <c r="AX3" s="145" t="s">
        <v>57</v>
      </c>
      <c r="AY3" s="144" t="s">
        <v>58</v>
      </c>
      <c r="AZ3" s="144" t="s">
        <v>59</v>
      </c>
      <c r="BA3" s="146" t="s">
        <v>60</v>
      </c>
      <c r="BB3" s="146" t="s">
        <v>61</v>
      </c>
      <c r="BC3" s="146" t="s">
        <v>62</v>
      </c>
      <c r="BD3" s="147" t="s">
        <v>63</v>
      </c>
      <c r="BE3" s="147" t="s">
        <v>64</v>
      </c>
      <c r="BF3" s="1" t="s">
        <v>66</v>
      </c>
      <c r="BG3" t="s">
        <v>280</v>
      </c>
    </row>
    <row r="4" ht="29.1" customHeight="1" spans="1:59">
      <c r="A4" s="61" t="s">
        <v>160</v>
      </c>
      <c r="B4" s="61" t="s">
        <v>161</v>
      </c>
      <c r="C4" s="90">
        <v>16</v>
      </c>
      <c r="D4" s="91">
        <v>16</v>
      </c>
      <c r="E4" s="64">
        <v>726.99</v>
      </c>
      <c r="F4" s="148">
        <v>16</v>
      </c>
      <c r="G4" s="148">
        <v>16</v>
      </c>
      <c r="H4" s="64">
        <v>726.99</v>
      </c>
      <c r="I4" s="64">
        <v>687.55</v>
      </c>
      <c r="J4" s="149">
        <v>0</v>
      </c>
      <c r="K4" s="150">
        <f>J4/C4</f>
        <v>0</v>
      </c>
      <c r="L4" s="151">
        <v>0</v>
      </c>
      <c r="M4" s="152" t="e">
        <f>(C4-#REF!)/#REF!</f>
        <v>#REF!</v>
      </c>
      <c r="N4" s="150" t="e">
        <f>(D4-#REF!)/#REF!</f>
        <v>#REF!</v>
      </c>
      <c r="O4" s="150" t="e">
        <f>(E4-#REF!)/#REF!</f>
        <v>#REF!</v>
      </c>
      <c r="P4" s="153">
        <f>C4/D4</f>
        <v>1</v>
      </c>
      <c r="Q4" s="154">
        <f>E4/D4</f>
        <v>45.436875</v>
      </c>
      <c r="R4" s="155">
        <f>E4/C4</f>
        <v>45.436875</v>
      </c>
      <c r="S4" s="155">
        <f>C4/7</f>
        <v>2.28571428571429</v>
      </c>
      <c r="T4" s="156">
        <f>D4-Y4</f>
        <v>14</v>
      </c>
      <c r="U4" s="157">
        <f>T4/D4</f>
        <v>0.875</v>
      </c>
      <c r="V4" s="95">
        <f>Z4/(E4-I4)</f>
        <v>4.7274340770791</v>
      </c>
      <c r="W4" s="91">
        <v>32589</v>
      </c>
      <c r="X4" s="91">
        <v>131</v>
      </c>
      <c r="Y4" s="91">
        <v>2</v>
      </c>
      <c r="Z4" s="64">
        <v>186.45</v>
      </c>
      <c r="AA4" s="158">
        <v>46.4</v>
      </c>
      <c r="AB4" s="91">
        <v>1.42</v>
      </c>
      <c r="AC4" s="71">
        <f>Z4/AA4</f>
        <v>4.01831896551724</v>
      </c>
      <c r="AD4" s="72">
        <f t="shared" ref="AD4:AD40" si="0">X4/W4</f>
        <v>0.00401976126913989</v>
      </c>
      <c r="AE4" s="159">
        <f t="shared" ref="AE4:AE40" si="1">Y4/X4</f>
        <v>0.0152671755725191</v>
      </c>
      <c r="AF4" s="154">
        <f t="shared" ref="AF4:AF40" si="2">Z4/Y4</f>
        <v>93.225</v>
      </c>
      <c r="AG4" s="160">
        <v>3</v>
      </c>
      <c r="AH4" s="161">
        <v>1</v>
      </c>
      <c r="AI4" s="162">
        <v>12</v>
      </c>
      <c r="AJ4" s="163">
        <f>AG4*产品成本!$D$19+AH4*产品成本!$D$20+AI4*产品成本!$D$21</f>
        <v>144.366197183098</v>
      </c>
      <c r="AK4" s="163">
        <f>AG4*产品成本!$E$19+AH4*产品成本!$E$20+AI4*产品成本!$E$21</f>
        <v>40.3740281690141</v>
      </c>
      <c r="AL4" s="163">
        <f>AG4*产品成本!$F$19+AH4*产品成本!$F$20+AI4*产品成本!$F$21</f>
        <v>10.12</v>
      </c>
      <c r="AM4" s="163">
        <f>AG4*产品成本!$G$19+AH4*产品成本!$G$20+AI4*产品成本!$G$21</f>
        <v>109.65</v>
      </c>
      <c r="AN4" s="163">
        <f t="shared" ref="AN4:AN40" si="3">(E4-I4)*0.15</f>
        <v>5.91600000000001</v>
      </c>
      <c r="AO4" s="164">
        <f t="shared" ref="AO4:AO40" si="4">SUM(AJ4:AN4)</f>
        <v>310.426225352112</v>
      </c>
      <c r="AP4" s="165">
        <v>0</v>
      </c>
      <c r="AQ4" s="165">
        <v>0</v>
      </c>
      <c r="AR4" s="166">
        <v>0</v>
      </c>
      <c r="AS4" s="167">
        <f t="shared" ref="AS4:AS40" si="5">L4/(1-0.15-0.15*0.2)</f>
        <v>0</v>
      </c>
      <c r="AT4" s="163">
        <f>AP4*产品成本!$D$19+AQ4*产品成本!$D$20+AR4*产品成本!$D$21</f>
        <v>0</v>
      </c>
      <c r="AU4" s="163">
        <f>AP4*产品成本!$E$19+AQ4*产品成本!$E$20+AR4*产品成本!$E$21</f>
        <v>0</v>
      </c>
      <c r="AV4" s="163">
        <f>AP4*产品成本!$F$19+AQ4*产品成本!$F$20+AR4*产品成本!$F$21</f>
        <v>0</v>
      </c>
      <c r="AW4" s="163">
        <f>AP4*产品成本!$G$19+AQ4*产品成本!$G$20+AR4*产品成本!$G$21</f>
        <v>0</v>
      </c>
      <c r="AX4" s="163">
        <f>AS4*0.15</f>
        <v>0</v>
      </c>
      <c r="AY4" s="163">
        <f>-AX4*0.2</f>
        <v>0</v>
      </c>
      <c r="AZ4" s="164">
        <f>SUM(AT4:AY4)</f>
        <v>0</v>
      </c>
      <c r="BA4" s="168">
        <f>AO4-AZ4</f>
        <v>310.426225352112</v>
      </c>
      <c r="BB4" s="169">
        <f>E4-I4</f>
        <v>39.4400000000001</v>
      </c>
      <c r="BC4" s="168">
        <f t="shared" ref="BC4:BC40" si="6">E4-AS4-I4</f>
        <v>39.4400000000001</v>
      </c>
      <c r="BD4" s="168">
        <f t="shared" ref="BD4:BD40" si="7">BC4-BA4-Z4</f>
        <v>-457.436225352112</v>
      </c>
      <c r="BE4" s="170">
        <f>BD4/BC4</f>
        <v>-11.5982815758649</v>
      </c>
      <c r="BF4" s="171" t="s">
        <v>405</v>
      </c>
    </row>
    <row r="5" ht="29.1" customHeight="1" spans="1:59">
      <c r="A5" s="61" t="s">
        <v>162</v>
      </c>
      <c r="B5" s="61" t="s">
        <v>163</v>
      </c>
      <c r="C5" s="90">
        <v>6</v>
      </c>
      <c r="D5" s="91">
        <v>6</v>
      </c>
      <c r="E5" s="64">
        <v>224.34</v>
      </c>
      <c r="F5" s="148">
        <v>2</v>
      </c>
      <c r="G5" s="148">
        <v>2</v>
      </c>
      <c r="H5" s="64">
        <v>94.78</v>
      </c>
      <c r="I5" s="64">
        <v>54.38</v>
      </c>
      <c r="J5" s="149">
        <v>0</v>
      </c>
      <c r="K5" s="150">
        <f>J5/C5</f>
        <v>0</v>
      </c>
      <c r="L5" s="151">
        <v>0</v>
      </c>
      <c r="M5" s="152">
        <f t="shared" ref="M5:O6" si="8">(C5-C4)/C4</f>
        <v>-0.625</v>
      </c>
      <c r="N5" s="150">
        <f t="shared" si="8"/>
        <v>-0.625</v>
      </c>
      <c r="O5" s="150">
        <f t="shared" si="8"/>
        <v>-0.691412536623612</v>
      </c>
      <c r="P5" s="153">
        <f>C5/D5</f>
        <v>1</v>
      </c>
      <c r="Q5" s="154">
        <f>E5/D5</f>
        <v>37.39</v>
      </c>
      <c r="R5" s="155">
        <f>E5/C5</f>
        <v>37.39</v>
      </c>
      <c r="S5" s="155">
        <f>C5/7</f>
        <v>0.857142857142857</v>
      </c>
      <c r="T5" s="156">
        <f>D5-Y5</f>
        <v>2</v>
      </c>
      <c r="U5" s="157">
        <f>T5/D5</f>
        <v>0.333333333333333</v>
      </c>
      <c r="V5" s="95">
        <f>Z5/(E5-I5)</f>
        <v>2.47116968698517</v>
      </c>
      <c r="W5" s="91">
        <v>77002</v>
      </c>
      <c r="X5" s="91">
        <v>356</v>
      </c>
      <c r="Y5" s="91">
        <v>4</v>
      </c>
      <c r="Z5" s="64">
        <v>420</v>
      </c>
      <c r="AA5" s="158">
        <v>129.56</v>
      </c>
      <c r="AB5" s="91">
        <v>1.18</v>
      </c>
      <c r="AC5" s="71">
        <f>Z5/AA5</f>
        <v>3.24174127817228</v>
      </c>
      <c r="AD5" s="72">
        <f t="shared" si="0"/>
        <v>0.0046232565387912</v>
      </c>
      <c r="AE5" s="159">
        <f t="shared" si="1"/>
        <v>0.0112359550561798</v>
      </c>
      <c r="AF5" s="154">
        <f t="shared" si="2"/>
        <v>105</v>
      </c>
      <c r="AG5" s="160">
        <v>2</v>
      </c>
      <c r="AH5" s="161">
        <v>0</v>
      </c>
      <c r="AI5" s="162">
        <v>4</v>
      </c>
      <c r="AJ5" s="163">
        <f>AG5*产品成本!$D$19+AH5*产品成本!$D$20+AI5*产品成本!$D$21</f>
        <v>49.2957746478872</v>
      </c>
      <c r="AK5" s="163">
        <f>AG5*产品成本!$E$19+AH5*产品成本!$E$20+AI5*产品成本!$E$21</f>
        <v>13.7862535211268</v>
      </c>
      <c r="AL5" s="163">
        <f>AG5*产品成本!$F$19+AH5*产品成本!$F$20+AI5*产品成本!$F$21</f>
        <v>3.7</v>
      </c>
      <c r="AM5" s="163">
        <f>AG5*产品成本!$G$19+AH5*产品成本!$G$20+AI5*产品成本!$G$21</f>
        <v>40</v>
      </c>
      <c r="AN5" s="163">
        <f t="shared" si="3"/>
        <v>25.494</v>
      </c>
      <c r="AO5" s="164">
        <f t="shared" si="4"/>
        <v>132.276028169014</v>
      </c>
      <c r="AP5" s="165">
        <v>0</v>
      </c>
      <c r="AQ5" s="165">
        <v>0</v>
      </c>
      <c r="AR5" s="166">
        <v>0</v>
      </c>
      <c r="AS5" s="167">
        <f t="shared" si="5"/>
        <v>0</v>
      </c>
      <c r="AT5" s="163">
        <f>AP5*产品成本!$D$19+AQ5*产品成本!$D$20+AR5*产品成本!$D$21</f>
        <v>0</v>
      </c>
      <c r="AU5" s="163">
        <f>AP5*产品成本!$E$19+AQ5*产品成本!$E$20+AR5*产品成本!$E$21</f>
        <v>0</v>
      </c>
      <c r="AV5" s="163">
        <f>AP5*产品成本!$F$19+AQ5*产品成本!$F$20+AR5*产品成本!$F$21</f>
        <v>0</v>
      </c>
      <c r="AW5" s="163">
        <f>AP5*产品成本!$G$19+AQ5*产品成本!$G$20+AR5*产品成本!$G$21</f>
        <v>0</v>
      </c>
      <c r="AX5" s="163">
        <f>AS5*0.15</f>
        <v>0</v>
      </c>
      <c r="AY5" s="163">
        <f>-AX5*0.2</f>
        <v>0</v>
      </c>
      <c r="AZ5" s="164">
        <f>SUM(AT5:AY5)</f>
        <v>0</v>
      </c>
      <c r="BA5" s="168">
        <f>AO5-AZ5</f>
        <v>132.276028169014</v>
      </c>
      <c r="BB5" s="169">
        <f>E5-I5</f>
        <v>169.96</v>
      </c>
      <c r="BC5" s="168">
        <f t="shared" si="6"/>
        <v>169.96</v>
      </c>
      <c r="BD5" s="168">
        <f t="shared" si="7"/>
        <v>-382.316028169014</v>
      </c>
      <c r="BE5" s="170">
        <f>BD5/BC5</f>
        <v>-2.24944709442818</v>
      </c>
      <c r="BF5" s="171" t="s">
        <v>406</v>
      </c>
    </row>
    <row r="6" ht="29.1" customHeight="1" spans="1:59">
      <c r="A6" s="61" t="s">
        <v>167</v>
      </c>
      <c r="B6" s="61" t="s">
        <v>168</v>
      </c>
      <c r="C6" s="90">
        <v>25</v>
      </c>
      <c r="D6" s="91">
        <v>25</v>
      </c>
      <c r="E6" s="64">
        <v>957.23</v>
      </c>
      <c r="F6" s="148">
        <v>15</v>
      </c>
      <c r="G6" s="148">
        <v>15</v>
      </c>
      <c r="H6" s="64">
        <v>697.26</v>
      </c>
      <c r="I6" s="64">
        <v>687.26</v>
      </c>
      <c r="J6" s="149">
        <v>0</v>
      </c>
      <c r="K6" s="150">
        <f>J6/C6</f>
        <v>0</v>
      </c>
      <c r="L6" s="151">
        <v>0</v>
      </c>
      <c r="M6" s="152">
        <f t="shared" si="8"/>
        <v>3.16666666666667</v>
      </c>
      <c r="N6" s="150">
        <f t="shared" si="8"/>
        <v>3.16666666666667</v>
      </c>
      <c r="O6" s="150">
        <f t="shared" si="8"/>
        <v>3.26687171257912</v>
      </c>
      <c r="P6" s="153">
        <f t="shared" ref="P6:P16" si="9">C6/D6</f>
        <v>1</v>
      </c>
      <c r="Q6" s="154">
        <f t="shared" ref="Q6:Q16" si="10">E6/D6</f>
        <v>38.2892</v>
      </c>
      <c r="R6" s="155">
        <f t="shared" ref="R6:R16" si="11">E6/C6</f>
        <v>38.2892</v>
      </c>
      <c r="S6" s="155">
        <f t="shared" ref="S6:S16" si="12">C6/7</f>
        <v>3.57142857142857</v>
      </c>
      <c r="T6" s="156">
        <f t="shared" ref="T6:T16" si="13">D6-Y6</f>
        <v>15</v>
      </c>
      <c r="U6" s="157">
        <f t="shared" ref="U6:U16" si="14">T6/D6</f>
        <v>0.6</v>
      </c>
      <c r="V6" s="95">
        <f t="shared" ref="V6:V16" si="15">Z6/(E6-I6)</f>
        <v>1.23895247620106</v>
      </c>
      <c r="W6" s="91">
        <v>49932</v>
      </c>
      <c r="X6" s="91">
        <v>257</v>
      </c>
      <c r="Y6" s="91">
        <v>10</v>
      </c>
      <c r="Z6" s="64">
        <v>334.48</v>
      </c>
      <c r="AA6" s="158">
        <v>259.97</v>
      </c>
      <c r="AB6" s="91">
        <v>1.3</v>
      </c>
      <c r="AC6" s="71">
        <f>Z6/AA6</f>
        <v>1.28660999346078</v>
      </c>
      <c r="AD6" s="72">
        <f t="shared" si="0"/>
        <v>0.00514699991989105</v>
      </c>
      <c r="AE6" s="159">
        <f t="shared" si="1"/>
        <v>0.0389105058365759</v>
      </c>
      <c r="AF6" s="154">
        <f t="shared" si="2"/>
        <v>33.448</v>
      </c>
      <c r="AG6" s="160">
        <v>9</v>
      </c>
      <c r="AH6" s="161">
        <v>7</v>
      </c>
      <c r="AI6" s="162">
        <v>9</v>
      </c>
      <c r="AJ6" s="163">
        <f>AG6*产品成本!$D$19+AH6*产品成本!$D$20+AI6*产品成本!$D$21</f>
        <v>176.056338028169</v>
      </c>
      <c r="AK6" s="163">
        <f>AG6*产品成本!$E$19+AH6*产品成本!$E$20+AI6*产品成本!$E$21</f>
        <v>49.2366197183098</v>
      </c>
      <c r="AL6" s="163">
        <f>AG6*产品成本!$F$19+AH6*产品成本!$F$20+AI6*产品成本!$F$21</f>
        <v>13.96</v>
      </c>
      <c r="AM6" s="163">
        <f>AG6*产品成本!$G$19+AH6*产品成本!$G$20+AI6*产品成本!$G$21</f>
        <v>158.31</v>
      </c>
      <c r="AN6" s="163">
        <f t="shared" si="3"/>
        <v>40.4955</v>
      </c>
      <c r="AO6" s="164">
        <f t="shared" si="4"/>
        <v>438.058457746478</v>
      </c>
      <c r="AP6" s="165">
        <v>0</v>
      </c>
      <c r="AQ6" s="165">
        <v>0</v>
      </c>
      <c r="AR6" s="166">
        <v>0</v>
      </c>
      <c r="AS6" s="167">
        <f t="shared" si="5"/>
        <v>0</v>
      </c>
      <c r="AT6" s="163">
        <f>AP6*产品成本!$D$19+AQ6*产品成本!$D$20+AR6*产品成本!$D$21</f>
        <v>0</v>
      </c>
      <c r="AU6" s="163">
        <f>AP6*产品成本!$E$19+AQ6*产品成本!$E$20+AR6*产品成本!$E$21</f>
        <v>0</v>
      </c>
      <c r="AV6" s="163">
        <f>AP6*产品成本!$F$19+AQ6*产品成本!$F$20+AR6*产品成本!$F$21</f>
        <v>0</v>
      </c>
      <c r="AW6" s="163">
        <f>AP6*产品成本!$G$19+AQ6*产品成本!$G$20+AR6*产品成本!$G$21</f>
        <v>0</v>
      </c>
      <c r="AX6" s="163">
        <f>AS6*0.15</f>
        <v>0</v>
      </c>
      <c r="AY6" s="163">
        <f>-AX6*0.2</f>
        <v>0</v>
      </c>
      <c r="AZ6" s="164">
        <f>SUM(AT6:AY6)</f>
        <v>0</v>
      </c>
      <c r="BA6" s="168">
        <f>AO6-AZ6</f>
        <v>438.058457746478</v>
      </c>
      <c r="BB6" s="169">
        <f>E6-I6</f>
        <v>269.97</v>
      </c>
      <c r="BC6" s="168">
        <f t="shared" si="6"/>
        <v>269.97</v>
      </c>
      <c r="BD6" s="168">
        <f t="shared" si="7"/>
        <v>-502.568457746478</v>
      </c>
      <c r="BE6" s="170">
        <f>BD6/BC6</f>
        <v>-1.86157149959802</v>
      </c>
      <c r="BF6" s="171" t="s">
        <v>407</v>
      </c>
    </row>
    <row r="7" ht="29.1" customHeight="1" spans="1:59">
      <c r="A7" s="61" t="s">
        <v>169</v>
      </c>
      <c r="B7" s="61" t="s">
        <v>170</v>
      </c>
      <c r="C7" s="90">
        <v>9</v>
      </c>
      <c r="D7" s="91">
        <v>9</v>
      </c>
      <c r="E7" s="64">
        <v>307.01</v>
      </c>
      <c r="F7" s="148">
        <v>0</v>
      </c>
      <c r="G7" s="148">
        <v>0</v>
      </c>
      <c r="H7" s="64">
        <v>0</v>
      </c>
      <c r="I7" s="64">
        <v>0</v>
      </c>
      <c r="J7" s="149">
        <v>0</v>
      </c>
      <c r="K7" s="150">
        <f t="shared" ref="K7:K16" si="16">J7/C7</f>
        <v>0</v>
      </c>
      <c r="L7" s="151">
        <v>0</v>
      </c>
      <c r="M7" s="152">
        <f t="shared" ref="M7:M16" si="17">(C7-C6)/C6</f>
        <v>-0.64</v>
      </c>
      <c r="N7" s="150">
        <f t="shared" ref="N7:N16" si="18">(D7-D6)/D6</f>
        <v>-0.64</v>
      </c>
      <c r="O7" s="150">
        <f t="shared" ref="O7:O16" si="19">(E7-E6)/E6</f>
        <v>-0.679272484146966</v>
      </c>
      <c r="P7" s="153">
        <f t="shared" si="9"/>
        <v>1</v>
      </c>
      <c r="Q7" s="154">
        <f t="shared" si="10"/>
        <v>34.1122222222222</v>
      </c>
      <c r="R7" s="155">
        <f t="shared" si="11"/>
        <v>34.1122222222222</v>
      </c>
      <c r="S7" s="155">
        <f t="shared" si="12"/>
        <v>1.28571428571429</v>
      </c>
      <c r="T7" s="156">
        <f t="shared" si="13"/>
        <v>0</v>
      </c>
      <c r="U7" s="157">
        <f t="shared" si="14"/>
        <v>0</v>
      </c>
      <c r="V7" s="95">
        <f t="shared" si="15"/>
        <v>1.11892120777825</v>
      </c>
      <c r="W7" s="91">
        <v>57977</v>
      </c>
      <c r="X7" s="91">
        <v>246</v>
      </c>
      <c r="Y7" s="91">
        <v>9</v>
      </c>
      <c r="Z7" s="64">
        <v>343.52</v>
      </c>
      <c r="AA7" s="158">
        <v>307.01</v>
      </c>
      <c r="AB7" s="91">
        <v>1.4</v>
      </c>
      <c r="AC7" s="71">
        <f t="shared" ref="AC7:AC16" si="20">Z7/AA7</f>
        <v>1.11892120777825</v>
      </c>
      <c r="AD7" s="72">
        <f t="shared" si="0"/>
        <v>0.00424306190385843</v>
      </c>
      <c r="AE7" s="159">
        <f t="shared" si="1"/>
        <v>0.0365853658536585</v>
      </c>
      <c r="AF7" s="154">
        <f t="shared" si="2"/>
        <v>38.1688888888889</v>
      </c>
      <c r="AG7" s="160">
        <v>5</v>
      </c>
      <c r="AH7" s="161">
        <v>4</v>
      </c>
      <c r="AI7" s="162">
        <v>0</v>
      </c>
      <c r="AJ7" s="163">
        <f>AG7*产品成本!$D$19+AH7*产品成本!$D$20+AI7*产品成本!$D$21</f>
        <v>45.7746478873239</v>
      </c>
      <c r="AK7" s="163">
        <f>AG7*产品成本!$E$19+AH7*产品成本!$E$20+AI7*产品成本!$E$21</f>
        <v>12.8015211267605</v>
      </c>
      <c r="AL7" s="163">
        <f>AG7*产品成本!$F$19+AH7*产品成本!$F$20+AI7*产品成本!$F$21</f>
        <v>4.41</v>
      </c>
      <c r="AM7" s="163">
        <f>AG7*产品成本!$G$19+AH7*产品成本!$G$20+AI7*产品成本!$G$21</f>
        <v>52.44</v>
      </c>
      <c r="AN7" s="163">
        <f t="shared" si="3"/>
        <v>46.0515</v>
      </c>
      <c r="AO7" s="164">
        <f t="shared" si="4"/>
        <v>161.477669014084</v>
      </c>
      <c r="AP7" s="165">
        <v>0</v>
      </c>
      <c r="AQ7" s="165">
        <v>0</v>
      </c>
      <c r="AR7" s="166">
        <v>0</v>
      </c>
      <c r="AS7" s="167">
        <f t="shared" si="5"/>
        <v>0</v>
      </c>
      <c r="AT7" s="163">
        <f>AP7*产品成本!$D$19+AQ7*产品成本!$D$20+AR7*产品成本!$D$21</f>
        <v>0</v>
      </c>
      <c r="AU7" s="163">
        <f>AP7*产品成本!$E$19+AQ7*产品成本!$E$20+AR7*产品成本!$E$21</f>
        <v>0</v>
      </c>
      <c r="AV7" s="163">
        <f>AP7*产品成本!$F$19+AQ7*产品成本!$F$20+AR7*产品成本!$F$21</f>
        <v>0</v>
      </c>
      <c r="AW7" s="163">
        <f>AP7*产品成本!$G$19+AQ7*产品成本!$G$20+AR7*产品成本!$G$21</f>
        <v>0</v>
      </c>
      <c r="AX7" s="163">
        <f t="shared" ref="AX7:AX16" si="21">AS7*0.15</f>
        <v>0</v>
      </c>
      <c r="AY7" s="163">
        <f t="shared" ref="AY7:AY16" si="22">-AX7*0.2</f>
        <v>0</v>
      </c>
      <c r="AZ7" s="164">
        <f t="shared" ref="AZ7:AZ16" si="23">SUM(AT7:AY7)</f>
        <v>0</v>
      </c>
      <c r="BA7" s="168">
        <f t="shared" ref="BA7:BA16" si="24">AO7-AZ7</f>
        <v>161.477669014084</v>
      </c>
      <c r="BB7" s="169">
        <f t="shared" ref="BB7:BB16" si="25">E7-I7</f>
        <v>307.01</v>
      </c>
      <c r="BC7" s="168">
        <f t="shared" si="6"/>
        <v>307.01</v>
      </c>
      <c r="BD7" s="168">
        <f t="shared" si="7"/>
        <v>-197.987669014084</v>
      </c>
      <c r="BE7" s="170">
        <f t="shared" ref="BE7:BE16" si="26">BD7/BC7</f>
        <v>-0.64488996779937</v>
      </c>
      <c r="BF7" s="171"/>
    </row>
    <row r="8" ht="29.1" customHeight="1" spans="1:59">
      <c r="A8" s="61" t="s">
        <v>172</v>
      </c>
      <c r="B8" s="61" t="s">
        <v>173</v>
      </c>
      <c r="C8" s="90">
        <v>8</v>
      </c>
      <c r="D8" s="91">
        <v>8</v>
      </c>
      <c r="E8" s="64">
        <v>213.32</v>
      </c>
      <c r="F8" s="148">
        <v>1</v>
      </c>
      <c r="G8" s="148">
        <v>1</v>
      </c>
      <c r="H8" s="64">
        <v>40.39</v>
      </c>
      <c r="I8" s="64">
        <v>4.04</v>
      </c>
      <c r="J8" s="149">
        <v>2</v>
      </c>
      <c r="K8" s="150">
        <f t="shared" si="16"/>
        <v>0.25</v>
      </c>
      <c r="L8" s="151">
        <v>26.66</v>
      </c>
      <c r="M8" s="152">
        <f t="shared" si="17"/>
        <v>-0.111111111111111</v>
      </c>
      <c r="N8" s="150">
        <f t="shared" si="18"/>
        <v>-0.111111111111111</v>
      </c>
      <c r="O8" s="150">
        <f t="shared" si="19"/>
        <v>-0.305169212729227</v>
      </c>
      <c r="P8" s="153">
        <f t="shared" si="9"/>
        <v>1</v>
      </c>
      <c r="Q8" s="154">
        <f t="shared" si="10"/>
        <v>26.665</v>
      </c>
      <c r="R8" s="155">
        <f t="shared" si="11"/>
        <v>26.665</v>
      </c>
      <c r="S8" s="155">
        <f t="shared" si="12"/>
        <v>1.14285714285714</v>
      </c>
      <c r="T8" s="156">
        <f t="shared" si="13"/>
        <v>-1</v>
      </c>
      <c r="U8" s="157">
        <f t="shared" si="14"/>
        <v>-0.125</v>
      </c>
      <c r="V8" s="95">
        <f t="shared" si="15"/>
        <v>1.93726108562691</v>
      </c>
      <c r="W8" s="91">
        <v>72272</v>
      </c>
      <c r="X8" s="91">
        <v>280</v>
      </c>
      <c r="Y8" s="91">
        <v>9</v>
      </c>
      <c r="Z8" s="64">
        <v>405.43</v>
      </c>
      <c r="AA8" s="158">
        <v>213.33</v>
      </c>
      <c r="AB8" s="91">
        <v>1.45</v>
      </c>
      <c r="AC8" s="71">
        <f t="shared" si="20"/>
        <v>1.90048282004406</v>
      </c>
      <c r="AD8" s="72">
        <f t="shared" si="0"/>
        <v>0.00387425282266991</v>
      </c>
      <c r="AE8" s="159">
        <f t="shared" si="1"/>
        <v>0.0321428571428571</v>
      </c>
      <c r="AF8" s="154">
        <f t="shared" si="2"/>
        <v>45.0477777777778</v>
      </c>
      <c r="AG8" s="160">
        <v>6</v>
      </c>
      <c r="AH8" s="161">
        <v>2</v>
      </c>
      <c r="AI8" s="162">
        <v>0</v>
      </c>
      <c r="AJ8" s="163">
        <f>AG8*产品成本!$D$19+AH8*产品成本!$D$20+AI8*产品成本!$D$21</f>
        <v>35.2112676056338</v>
      </c>
      <c r="AK8" s="163">
        <f>AG8*产品成本!$E$19+AH8*产品成本!$E$20+AI8*产品成本!$E$21</f>
        <v>9.84732394366196</v>
      </c>
      <c r="AL8" s="163">
        <f>AG8*产品成本!$F$19+AH8*产品成本!$F$20+AI8*产品成本!$F$21</f>
        <v>3.92</v>
      </c>
      <c r="AM8" s="163">
        <f>AG8*产品成本!$G$19+AH8*产品成本!$G$20+AI8*产品成本!$G$21</f>
        <v>45.54</v>
      </c>
      <c r="AN8" s="163">
        <f t="shared" si="3"/>
        <v>31.392</v>
      </c>
      <c r="AO8" s="164">
        <f t="shared" si="4"/>
        <v>125.910591549296</v>
      </c>
      <c r="AP8" s="165">
        <v>2</v>
      </c>
      <c r="AQ8" s="165">
        <v>0</v>
      </c>
      <c r="AR8" s="166">
        <v>0</v>
      </c>
      <c r="AS8" s="167">
        <f t="shared" si="5"/>
        <v>32.5121951219512</v>
      </c>
      <c r="AT8" s="163">
        <f>AP8*产品成本!$D$19+AQ8*产品成本!$D$20+AR8*产品成本!$D$21</f>
        <v>7.04225352112676</v>
      </c>
      <c r="AU8" s="163">
        <f>AP8*产品成本!$E$19+AQ8*产品成本!$E$20+AR8*产品成本!$E$21</f>
        <v>1.96946478873239</v>
      </c>
      <c r="AV8" s="163">
        <f>AP8*产品成本!$F$19+AQ8*产品成本!$F$20+AR8*产品成本!$F$21</f>
        <v>0.98</v>
      </c>
      <c r="AW8" s="163">
        <f>AP8*产品成本!$G$19+AQ8*产品成本!$G$20+AR8*产品成本!$G$21</f>
        <v>11.04</v>
      </c>
      <c r="AX8" s="163">
        <f t="shared" si="21"/>
        <v>4.87682926829268</v>
      </c>
      <c r="AY8" s="163">
        <f t="shared" si="22"/>
        <v>-0.975365853658537</v>
      </c>
      <c r="AZ8" s="164">
        <f t="shared" si="23"/>
        <v>24.9331817244933</v>
      </c>
      <c r="BA8" s="168">
        <f t="shared" si="24"/>
        <v>100.977409824802</v>
      </c>
      <c r="BB8" s="169">
        <f t="shared" si="25"/>
        <v>209.28</v>
      </c>
      <c r="BC8" s="168">
        <f t="shared" si="6"/>
        <v>176.767804878049</v>
      </c>
      <c r="BD8" s="168">
        <f t="shared" si="7"/>
        <v>-329.639604946754</v>
      </c>
      <c r="BE8" s="170">
        <f t="shared" si="26"/>
        <v>-1.86481698505093</v>
      </c>
      <c r="BF8" s="171"/>
    </row>
    <row r="9" ht="29.1" customHeight="1" spans="1:59">
      <c r="A9" s="61" t="s">
        <v>175</v>
      </c>
      <c r="B9" s="61" t="s">
        <v>176</v>
      </c>
      <c r="C9" s="90">
        <v>16</v>
      </c>
      <c r="D9" s="91">
        <v>14</v>
      </c>
      <c r="E9" s="64">
        <v>578.34</v>
      </c>
      <c r="F9" s="148">
        <v>0</v>
      </c>
      <c r="G9" s="148">
        <v>0</v>
      </c>
      <c r="H9" s="64">
        <v>0</v>
      </c>
      <c r="I9" s="64">
        <v>0</v>
      </c>
      <c r="J9" s="149">
        <v>2</v>
      </c>
      <c r="K9" s="150">
        <f t="shared" si="16"/>
        <v>0.125</v>
      </c>
      <c r="L9" s="151">
        <v>37.05</v>
      </c>
      <c r="M9" s="152">
        <f t="shared" si="17"/>
        <v>1</v>
      </c>
      <c r="N9" s="150">
        <f t="shared" si="18"/>
        <v>0.75</v>
      </c>
      <c r="O9" s="150">
        <f t="shared" si="19"/>
        <v>1.71113819613726</v>
      </c>
      <c r="P9" s="153">
        <f t="shared" si="9"/>
        <v>1.14285714285714</v>
      </c>
      <c r="Q9" s="154">
        <f t="shared" si="10"/>
        <v>41.31</v>
      </c>
      <c r="R9" s="155">
        <f t="shared" si="11"/>
        <v>36.14625</v>
      </c>
      <c r="S9" s="155">
        <f t="shared" si="12"/>
        <v>2.28571428571429</v>
      </c>
      <c r="T9" s="156">
        <f t="shared" si="13"/>
        <v>3</v>
      </c>
      <c r="U9" s="157">
        <f t="shared" si="14"/>
        <v>0.214285714285714</v>
      </c>
      <c r="V9" s="95">
        <f t="shared" si="15"/>
        <v>0.625116713352007</v>
      </c>
      <c r="W9" s="91">
        <v>47691</v>
      </c>
      <c r="X9" s="91">
        <v>283</v>
      </c>
      <c r="Y9" s="91">
        <v>11</v>
      </c>
      <c r="Z9" s="64">
        <v>361.53</v>
      </c>
      <c r="AA9" s="158">
        <v>385.04</v>
      </c>
      <c r="AB9" s="91">
        <v>1.28</v>
      </c>
      <c r="AC9" s="71">
        <f t="shared" si="20"/>
        <v>0.938941408684812</v>
      </c>
      <c r="AD9" s="72">
        <f t="shared" si="0"/>
        <v>0.0059340336751169</v>
      </c>
      <c r="AE9" s="159">
        <f t="shared" si="1"/>
        <v>0.03886925795053</v>
      </c>
      <c r="AF9" s="154">
        <f t="shared" si="2"/>
        <v>32.8663636363636</v>
      </c>
      <c r="AG9" s="160">
        <v>8</v>
      </c>
      <c r="AH9" s="161">
        <v>2</v>
      </c>
      <c r="AI9" s="162">
        <v>6</v>
      </c>
      <c r="AJ9" s="163">
        <f>AG9*产品成本!$D$19+AH9*产品成本!$D$20+AI9*产品成本!$D$21</f>
        <v>105.633802816901</v>
      </c>
      <c r="AK9" s="163">
        <f>AG9*产品成本!$E$19+AH9*产品成本!$E$20+AI9*产品成本!$E$21</f>
        <v>29.5419718309859</v>
      </c>
      <c r="AL9" s="163">
        <f>AG9*产品成本!$F$19+AH9*产品成本!$F$20+AI9*产品成本!$F$21</f>
        <v>8.98</v>
      </c>
      <c r="AM9" s="163">
        <f>AG9*产品成本!$G$19+AH9*产品成本!$G$20+AI9*产品成本!$G$21</f>
        <v>100.02</v>
      </c>
      <c r="AN9" s="163">
        <f t="shared" si="3"/>
        <v>86.751</v>
      </c>
      <c r="AO9" s="164">
        <f t="shared" si="4"/>
        <v>330.926774647887</v>
      </c>
      <c r="AP9" s="165">
        <v>2</v>
      </c>
      <c r="AQ9" s="165">
        <v>0</v>
      </c>
      <c r="AR9" s="166">
        <v>0</v>
      </c>
      <c r="AS9" s="167">
        <f t="shared" si="5"/>
        <v>45.1829268292683</v>
      </c>
      <c r="AT9" s="163">
        <f>AP9*产品成本!$D$19+AQ9*产品成本!$D$20+AR9*产品成本!$D$21</f>
        <v>7.04225352112676</v>
      </c>
      <c r="AU9" s="163">
        <f>AP9*产品成本!$E$19+AQ9*产品成本!$E$20+AR9*产品成本!$E$21</f>
        <v>1.96946478873239</v>
      </c>
      <c r="AV9" s="163">
        <f>AP9*产品成本!$F$19+AQ9*产品成本!$F$20+AR9*产品成本!$F$21</f>
        <v>0.98</v>
      </c>
      <c r="AW9" s="163">
        <f>AP9*产品成本!$G$19+AQ9*产品成本!$G$20+AR9*产品成本!$G$21</f>
        <v>11.04</v>
      </c>
      <c r="AX9" s="163">
        <f t="shared" si="21"/>
        <v>6.77743902439024</v>
      </c>
      <c r="AY9" s="163">
        <f t="shared" si="22"/>
        <v>-1.35548780487805</v>
      </c>
      <c r="AZ9" s="164">
        <f t="shared" si="23"/>
        <v>26.4536695293713</v>
      </c>
      <c r="BA9" s="168">
        <f t="shared" si="24"/>
        <v>304.473105118516</v>
      </c>
      <c r="BB9" s="169">
        <f t="shared" si="25"/>
        <v>578.34</v>
      </c>
      <c r="BC9" s="168">
        <f t="shared" si="6"/>
        <v>533.157073170732</v>
      </c>
      <c r="BD9" s="168">
        <f t="shared" si="7"/>
        <v>-132.846031947784</v>
      </c>
      <c r="BE9" s="170">
        <f t="shared" si="26"/>
        <v>-0.249168657104626</v>
      </c>
      <c r="BF9" s="171"/>
    </row>
    <row r="10" ht="29.1" customHeight="1" spans="1:59">
      <c r="A10" s="61" t="s">
        <v>177</v>
      </c>
      <c r="B10" s="61" t="s">
        <v>178</v>
      </c>
      <c r="C10" s="90">
        <v>38</v>
      </c>
      <c r="D10" s="91">
        <v>36</v>
      </c>
      <c r="E10" s="64">
        <v>923.5</v>
      </c>
      <c r="F10" s="148">
        <v>0</v>
      </c>
      <c r="G10" s="148">
        <v>0</v>
      </c>
      <c r="H10" s="64">
        <v>0</v>
      </c>
      <c r="I10" s="64">
        <v>0</v>
      </c>
      <c r="J10" s="149">
        <v>1</v>
      </c>
      <c r="K10" s="150">
        <f t="shared" si="16"/>
        <v>0.0263157894736842</v>
      </c>
      <c r="L10" s="151">
        <v>17.51</v>
      </c>
      <c r="M10" s="152">
        <f t="shared" si="17"/>
        <v>1.375</v>
      </c>
      <c r="N10" s="150">
        <f t="shared" si="18"/>
        <v>1.57142857142857</v>
      </c>
      <c r="O10" s="150">
        <f t="shared" si="19"/>
        <v>0.596811564131825</v>
      </c>
      <c r="P10" s="153">
        <f t="shared" si="9"/>
        <v>1.05555555555556</v>
      </c>
      <c r="Q10" s="154">
        <f t="shared" si="10"/>
        <v>25.6527777777778</v>
      </c>
      <c r="R10" s="155">
        <f t="shared" si="11"/>
        <v>24.3026315789474</v>
      </c>
      <c r="S10" s="155">
        <f t="shared" si="12"/>
        <v>5.42857142857143</v>
      </c>
      <c r="T10" s="156">
        <f t="shared" si="13"/>
        <v>2</v>
      </c>
      <c r="U10" s="157">
        <f t="shared" si="14"/>
        <v>0.0555555555555556</v>
      </c>
      <c r="V10" s="95">
        <f t="shared" si="15"/>
        <v>0.652853275582025</v>
      </c>
      <c r="W10" s="91">
        <v>65793</v>
      </c>
      <c r="X10" s="91">
        <v>479</v>
      </c>
      <c r="Y10" s="91">
        <v>34</v>
      </c>
      <c r="Z10" s="64">
        <v>602.91</v>
      </c>
      <c r="AA10" s="158">
        <v>866.68</v>
      </c>
      <c r="AB10" s="91">
        <v>1.26</v>
      </c>
      <c r="AC10" s="71">
        <f t="shared" si="20"/>
        <v>0.695654682235658</v>
      </c>
      <c r="AD10" s="72">
        <f t="shared" si="0"/>
        <v>0.00728040977003633</v>
      </c>
      <c r="AE10" s="159">
        <f t="shared" si="1"/>
        <v>0.0709812108559499</v>
      </c>
      <c r="AF10" s="154">
        <f t="shared" si="2"/>
        <v>17.7326470588235</v>
      </c>
      <c r="AG10" s="160">
        <v>29</v>
      </c>
      <c r="AH10" s="161">
        <v>6</v>
      </c>
      <c r="AI10" s="162">
        <v>3</v>
      </c>
      <c r="AJ10" s="163">
        <f>AG10*产品成本!$D$19+AH10*产品成本!$D$20+AI10*产品成本!$D$21</f>
        <v>176.056338028169</v>
      </c>
      <c r="AK10" s="163">
        <f>AG10*产品成本!$E$19+AH10*产品成本!$E$20+AI10*产品成本!$E$21</f>
        <v>49.2366197183098</v>
      </c>
      <c r="AL10" s="163">
        <f>AG10*产品成本!$F$19+AH10*产品成本!$F$20+AI10*产品成本!$F$21</f>
        <v>19.19</v>
      </c>
      <c r="AM10" s="163">
        <f>AG10*产品成本!$G$19+AH10*产品成本!$G$20+AI10*产品成本!$G$21</f>
        <v>219.06</v>
      </c>
      <c r="AN10" s="163">
        <f t="shared" si="3"/>
        <v>138.525</v>
      </c>
      <c r="AO10" s="164">
        <f t="shared" si="4"/>
        <v>602.067957746479</v>
      </c>
      <c r="AP10" s="165">
        <v>1</v>
      </c>
      <c r="AQ10" s="165">
        <v>0</v>
      </c>
      <c r="AR10" s="166">
        <v>0</v>
      </c>
      <c r="AS10" s="167">
        <f t="shared" si="5"/>
        <v>21.3536585365854</v>
      </c>
      <c r="AT10" s="163">
        <f>AP10*产品成本!$D$19+AQ10*产品成本!$D$20+AR10*产品成本!$D$21</f>
        <v>3.52112676056338</v>
      </c>
      <c r="AU10" s="163">
        <f>AP10*产品成本!$E$19+AQ10*产品成本!$E$20+AR10*产品成本!$E$21</f>
        <v>0.984732394366197</v>
      </c>
      <c r="AV10" s="163">
        <f>AP10*产品成本!$F$19+AQ10*产品成本!$F$20+AR10*产品成本!$F$21</f>
        <v>0.49</v>
      </c>
      <c r="AW10" s="163">
        <f>AP10*产品成本!$G$19+AQ10*产品成本!$G$20+AR10*产品成本!$G$21</f>
        <v>5.52</v>
      </c>
      <c r="AX10" s="163">
        <f t="shared" si="21"/>
        <v>3.2030487804878</v>
      </c>
      <c r="AY10" s="163">
        <f t="shared" si="22"/>
        <v>-0.640609756097561</v>
      </c>
      <c r="AZ10" s="164">
        <f t="shared" si="23"/>
        <v>13.0782981793198</v>
      </c>
      <c r="BA10" s="168">
        <f t="shared" si="24"/>
        <v>588.989659567159</v>
      </c>
      <c r="BB10" s="169">
        <f t="shared" si="25"/>
        <v>923.5</v>
      </c>
      <c r="BC10" s="168">
        <f t="shared" si="6"/>
        <v>902.146341463415</v>
      </c>
      <c r="BD10" s="168">
        <f t="shared" si="7"/>
        <v>-289.753318103744</v>
      </c>
      <c r="BE10" s="170">
        <f t="shared" si="26"/>
        <v>-0.321182168331716</v>
      </c>
      <c r="BF10" s="171"/>
    </row>
    <row r="11" ht="29.1" customHeight="1" spans="1:59">
      <c r="A11" s="74" t="s">
        <v>179</v>
      </c>
      <c r="B11" s="74" t="s">
        <v>180</v>
      </c>
      <c r="C11" s="90">
        <v>33</v>
      </c>
      <c r="D11" s="91">
        <v>33</v>
      </c>
      <c r="E11" s="64">
        <v>766.41</v>
      </c>
      <c r="F11" s="148">
        <v>0</v>
      </c>
      <c r="G11" s="148">
        <v>0</v>
      </c>
      <c r="H11" s="64">
        <v>0</v>
      </c>
      <c r="I11" s="64">
        <v>0</v>
      </c>
      <c r="J11" s="149">
        <v>1</v>
      </c>
      <c r="K11" s="150">
        <f t="shared" si="16"/>
        <v>0.0303030303030303</v>
      </c>
      <c r="L11" s="151">
        <v>17.94</v>
      </c>
      <c r="M11" s="152">
        <f t="shared" si="17"/>
        <v>-0.131578947368421</v>
      </c>
      <c r="N11" s="150">
        <f t="shared" si="18"/>
        <v>-0.0833333333333333</v>
      </c>
      <c r="O11" s="150">
        <f t="shared" si="19"/>
        <v>-0.170102869518138</v>
      </c>
      <c r="P11" s="153">
        <f t="shared" si="9"/>
        <v>1</v>
      </c>
      <c r="Q11" s="154">
        <f t="shared" si="10"/>
        <v>23.2245454545455</v>
      </c>
      <c r="R11" s="155">
        <f t="shared" si="11"/>
        <v>23.2245454545455</v>
      </c>
      <c r="S11" s="155">
        <f t="shared" si="12"/>
        <v>4.71428571428571</v>
      </c>
      <c r="T11" s="156">
        <f t="shared" si="13"/>
        <v>4</v>
      </c>
      <c r="U11" s="157">
        <f t="shared" si="14"/>
        <v>0.121212121212121</v>
      </c>
      <c r="V11" s="95">
        <f t="shared" si="15"/>
        <v>0.935426207904385</v>
      </c>
      <c r="W11" s="91">
        <v>107156</v>
      </c>
      <c r="X11" s="91">
        <v>591</v>
      </c>
      <c r="Y11" s="91">
        <v>29</v>
      </c>
      <c r="Z11" s="64">
        <v>716.92</v>
      </c>
      <c r="AA11" s="158">
        <v>669.91</v>
      </c>
      <c r="AB11" s="91">
        <v>1.22</v>
      </c>
      <c r="AC11" s="71">
        <f t="shared" si="20"/>
        <v>1.07017360540968</v>
      </c>
      <c r="AD11" s="72">
        <f t="shared" si="0"/>
        <v>0.00551532345365635</v>
      </c>
      <c r="AE11" s="159">
        <f t="shared" si="1"/>
        <v>0.0490693739424704</v>
      </c>
      <c r="AF11" s="154">
        <f t="shared" si="2"/>
        <v>24.7213793103448</v>
      </c>
      <c r="AG11" s="160">
        <v>14</v>
      </c>
      <c r="AH11" s="161">
        <v>1</v>
      </c>
      <c r="AI11" s="162">
        <v>4</v>
      </c>
      <c r="AJ11" s="163">
        <f>AG11*产品成本!$D$19+AH11*产品成本!$D$20+AI11*产品成本!$D$21</f>
        <v>98.5915492957745</v>
      </c>
      <c r="AK11" s="163">
        <f>AG11*产品成本!$E$19+AH11*产品成本!$E$20+AI11*产品成本!$E$21</f>
        <v>27.5725070422535</v>
      </c>
      <c r="AL11" s="163">
        <f>AG11*产品成本!$F$19+AH11*产品成本!$F$20+AI11*产品成本!$F$21</f>
        <v>10.07</v>
      </c>
      <c r="AM11" s="163">
        <f>AG11*产品成本!$G$19+AH11*产品成本!$G$20+AI11*产品成本!$G$21</f>
        <v>112.45</v>
      </c>
      <c r="AN11" s="163">
        <f t="shared" si="3"/>
        <v>114.9615</v>
      </c>
      <c r="AO11" s="164">
        <f t="shared" si="4"/>
        <v>363.645556338028</v>
      </c>
      <c r="AP11" s="165">
        <v>1</v>
      </c>
      <c r="AQ11" s="165">
        <v>0</v>
      </c>
      <c r="AR11" s="166">
        <v>0</v>
      </c>
      <c r="AS11" s="167">
        <f t="shared" si="5"/>
        <v>21.8780487804878</v>
      </c>
      <c r="AT11" s="163">
        <f>AP11*产品成本!$D$19+AQ11*产品成本!$D$20+AR11*产品成本!$D$21</f>
        <v>3.52112676056338</v>
      </c>
      <c r="AU11" s="163">
        <f>AP11*产品成本!$E$19+AQ11*产品成本!$E$20+AR11*产品成本!$E$21</f>
        <v>0.984732394366197</v>
      </c>
      <c r="AV11" s="163">
        <f>AP11*产品成本!$F$19+AQ11*产品成本!$F$20+AR11*产品成本!$F$21</f>
        <v>0.49</v>
      </c>
      <c r="AW11" s="163">
        <f>AP11*产品成本!$G$19+AQ11*产品成本!$G$20+AR11*产品成本!$G$21</f>
        <v>5.52</v>
      </c>
      <c r="AX11" s="163">
        <f t="shared" si="21"/>
        <v>3.28170731707317</v>
      </c>
      <c r="AY11" s="163">
        <f t="shared" si="22"/>
        <v>-0.656341463414634</v>
      </c>
      <c r="AZ11" s="164">
        <f t="shared" si="23"/>
        <v>13.1412250085881</v>
      </c>
      <c r="BA11" s="168">
        <f t="shared" si="24"/>
        <v>350.50433132944</v>
      </c>
      <c r="BB11" s="169">
        <f t="shared" si="25"/>
        <v>766.41</v>
      </c>
      <c r="BC11" s="168">
        <f t="shared" si="6"/>
        <v>744.531951219512</v>
      </c>
      <c r="BD11" s="168">
        <f t="shared" si="7"/>
        <v>-322.892380109928</v>
      </c>
      <c r="BE11" s="170">
        <f t="shared" si="26"/>
        <v>-0.433685054860364</v>
      </c>
      <c r="BF11" s="171" t="s">
        <v>408</v>
      </c>
    </row>
    <row r="12" ht="29.1" customHeight="1" spans="1:59">
      <c r="A12" s="75" t="s">
        <v>181</v>
      </c>
      <c r="B12" s="76" t="s">
        <v>182</v>
      </c>
      <c r="C12" s="90">
        <v>11</v>
      </c>
      <c r="D12" s="91">
        <v>11</v>
      </c>
      <c r="E12" s="64">
        <v>283.01</v>
      </c>
      <c r="F12" s="148">
        <v>0</v>
      </c>
      <c r="G12" s="148">
        <v>0</v>
      </c>
      <c r="H12" s="64">
        <v>0</v>
      </c>
      <c r="I12" s="64">
        <v>0</v>
      </c>
      <c r="J12" s="149">
        <v>0</v>
      </c>
      <c r="K12" s="150">
        <f t="shared" si="16"/>
        <v>0</v>
      </c>
      <c r="L12" s="151">
        <v>0</v>
      </c>
      <c r="M12" s="152">
        <f t="shared" si="17"/>
        <v>-0.666666666666667</v>
      </c>
      <c r="N12" s="150">
        <f t="shared" si="18"/>
        <v>-0.666666666666667</v>
      </c>
      <c r="O12" s="150">
        <f t="shared" si="19"/>
        <v>-0.630732897535262</v>
      </c>
      <c r="P12" s="153">
        <f t="shared" si="9"/>
        <v>1</v>
      </c>
      <c r="Q12" s="154">
        <f t="shared" si="10"/>
        <v>25.7281818181818</v>
      </c>
      <c r="R12" s="155">
        <f t="shared" si="11"/>
        <v>25.7281818181818</v>
      </c>
      <c r="S12" s="155">
        <f t="shared" si="12"/>
        <v>1.57142857142857</v>
      </c>
      <c r="T12" s="156">
        <f t="shared" si="13"/>
        <v>2</v>
      </c>
      <c r="U12" s="157">
        <f t="shared" si="14"/>
        <v>0.181818181818182</v>
      </c>
      <c r="V12" s="95">
        <f t="shared" si="15"/>
        <v>0.855128794035546</v>
      </c>
      <c r="W12" s="91">
        <v>36941</v>
      </c>
      <c r="X12" s="91">
        <v>193</v>
      </c>
      <c r="Y12" s="91">
        <v>9</v>
      </c>
      <c r="Z12" s="64">
        <v>242.01</v>
      </c>
      <c r="AA12" s="158">
        <v>188</v>
      </c>
      <c r="AB12" s="91">
        <v>1.17</v>
      </c>
      <c r="AC12" s="71">
        <f t="shared" si="20"/>
        <v>1.28728723404255</v>
      </c>
      <c r="AD12" s="72">
        <f t="shared" si="0"/>
        <v>0.0052245472510219</v>
      </c>
      <c r="AE12" s="159">
        <f t="shared" si="1"/>
        <v>0.0466321243523316</v>
      </c>
      <c r="AF12" s="154">
        <f t="shared" si="2"/>
        <v>26.89</v>
      </c>
      <c r="AG12" s="160">
        <v>6</v>
      </c>
      <c r="AH12" s="161">
        <v>2</v>
      </c>
      <c r="AI12" s="162">
        <v>3</v>
      </c>
      <c r="AJ12" s="163">
        <f>AG12*产品成本!$D$19+AH12*产品成本!$D$20+AI12*产品成本!$D$21</f>
        <v>66.9014084507041</v>
      </c>
      <c r="AK12" s="163">
        <f>AG12*产品成本!$E$19+AH12*产品成本!$E$20+AI12*产品成本!$E$21</f>
        <v>18.7099154929577</v>
      </c>
      <c r="AL12" s="163">
        <f>AG12*产品成本!$F$19+AH12*产品成本!$F$20+AI12*产品成本!$F$21</f>
        <v>5.96</v>
      </c>
      <c r="AM12" s="163">
        <f>AG12*产品成本!$G$19+AH12*产品成本!$G$20+AI12*产品成本!$G$21</f>
        <v>67.26</v>
      </c>
      <c r="AN12" s="163">
        <f t="shared" si="3"/>
        <v>42.4515</v>
      </c>
      <c r="AO12" s="164">
        <f t="shared" si="4"/>
        <v>201.282823943662</v>
      </c>
      <c r="AP12" s="165">
        <v>0</v>
      </c>
      <c r="AQ12" s="165">
        <v>0</v>
      </c>
      <c r="AR12" s="166">
        <v>0</v>
      </c>
      <c r="AS12" s="167">
        <f t="shared" si="5"/>
        <v>0</v>
      </c>
      <c r="AT12" s="163">
        <f>AP12*产品成本!$D$19+AQ12*产品成本!$D$20+AR12*产品成本!$D$21</f>
        <v>0</v>
      </c>
      <c r="AU12" s="163">
        <f>AP12*产品成本!$E$19+AQ12*产品成本!$E$20+AR12*产品成本!$E$21</f>
        <v>0</v>
      </c>
      <c r="AV12" s="163">
        <f>AP12*产品成本!$F$19+AQ12*产品成本!$F$20+AR12*产品成本!$F$21</f>
        <v>0</v>
      </c>
      <c r="AW12" s="163">
        <f>AP12*产品成本!$G$19+AQ12*产品成本!$G$20+AR12*产品成本!$G$21</f>
        <v>0</v>
      </c>
      <c r="AX12" s="163">
        <f t="shared" si="21"/>
        <v>0</v>
      </c>
      <c r="AY12" s="163">
        <f t="shared" si="22"/>
        <v>0</v>
      </c>
      <c r="AZ12" s="164">
        <f t="shared" si="23"/>
        <v>0</v>
      </c>
      <c r="BA12" s="168">
        <f t="shared" si="24"/>
        <v>201.282823943662</v>
      </c>
      <c r="BB12" s="169">
        <f t="shared" si="25"/>
        <v>283.01</v>
      </c>
      <c r="BC12" s="168">
        <f t="shared" si="6"/>
        <v>283.01</v>
      </c>
      <c r="BD12" s="168">
        <f t="shared" si="7"/>
        <v>-160.282823943662</v>
      </c>
      <c r="BE12" s="170">
        <f t="shared" si="26"/>
        <v>-0.566350390246499</v>
      </c>
      <c r="BF12" s="171" t="s">
        <v>409</v>
      </c>
    </row>
    <row r="13" ht="29.1" customHeight="1" spans="1:59">
      <c r="A13" s="75" t="s">
        <v>183</v>
      </c>
      <c r="B13" s="76" t="s">
        <v>184</v>
      </c>
      <c r="C13" s="90">
        <v>66</v>
      </c>
      <c r="D13" s="91">
        <v>63</v>
      </c>
      <c r="E13" s="64">
        <v>1645.68</v>
      </c>
      <c r="F13" s="148">
        <v>0</v>
      </c>
      <c r="G13" s="148">
        <v>0</v>
      </c>
      <c r="H13" s="64">
        <v>0</v>
      </c>
      <c r="I13" s="64">
        <v>0</v>
      </c>
      <c r="J13" s="149">
        <v>0</v>
      </c>
      <c r="K13" s="150">
        <f t="shared" si="16"/>
        <v>0</v>
      </c>
      <c r="L13" s="151">
        <v>0</v>
      </c>
      <c r="M13" s="152">
        <f t="shared" si="17"/>
        <v>5</v>
      </c>
      <c r="N13" s="150">
        <f t="shared" si="18"/>
        <v>4.72727272727273</v>
      </c>
      <c r="O13" s="150">
        <f t="shared" si="19"/>
        <v>4.81491820077029</v>
      </c>
      <c r="P13" s="153">
        <f t="shared" si="9"/>
        <v>1.04761904761905</v>
      </c>
      <c r="Q13" s="154">
        <f t="shared" si="10"/>
        <v>26.1219047619048</v>
      </c>
      <c r="R13" s="155">
        <f t="shared" si="11"/>
        <v>24.9345454545455</v>
      </c>
      <c r="S13" s="155">
        <f t="shared" si="12"/>
        <v>9.42857142857143</v>
      </c>
      <c r="T13" s="156">
        <f t="shared" si="13"/>
        <v>27</v>
      </c>
      <c r="U13" s="157">
        <f t="shared" si="14"/>
        <v>0.428571428571429</v>
      </c>
      <c r="V13" s="95">
        <f t="shared" si="15"/>
        <v>0.440128092946381</v>
      </c>
      <c r="W13" s="91">
        <v>75565</v>
      </c>
      <c r="X13" s="91">
        <v>516</v>
      </c>
      <c r="Y13" s="91">
        <v>36</v>
      </c>
      <c r="Z13" s="64">
        <v>724.31</v>
      </c>
      <c r="AA13" s="158">
        <v>1067.89</v>
      </c>
      <c r="AB13" s="91">
        <v>1.55</v>
      </c>
      <c r="AC13" s="71">
        <f t="shared" si="20"/>
        <v>0.67826274241729</v>
      </c>
      <c r="AD13" s="72">
        <f t="shared" si="0"/>
        <v>0.00682855819493152</v>
      </c>
      <c r="AE13" s="159">
        <f t="shared" si="1"/>
        <v>0.0697674418604651</v>
      </c>
      <c r="AF13" s="154">
        <f t="shared" si="2"/>
        <v>20.1197222222222</v>
      </c>
      <c r="AG13" s="160">
        <v>44</v>
      </c>
      <c r="AH13" s="161">
        <v>12</v>
      </c>
      <c r="AI13" s="162">
        <v>10</v>
      </c>
      <c r="AJ13" s="163">
        <f>AG13*产品成本!$D$19+AH13*产品成本!$D$20+AI13*产品成本!$D$21</f>
        <v>345.070422535211</v>
      </c>
      <c r="AK13" s="163">
        <f>AG13*产品成本!$E$19+AH13*产品成本!$E$20+AI13*产品成本!$E$21</f>
        <v>96.5037746478873</v>
      </c>
      <c r="AL13" s="163">
        <f>AG13*产品成本!$F$19+AH13*产品成本!$F$20+AI13*产品成本!$F$21</f>
        <v>34.24</v>
      </c>
      <c r="AM13" s="163">
        <f>AG13*产品成本!$G$19+AH13*产品成本!$G$20+AI13*产品成本!$G$21</f>
        <v>389.8</v>
      </c>
      <c r="AN13" s="163">
        <f t="shared" si="3"/>
        <v>246.852</v>
      </c>
      <c r="AO13" s="164">
        <f t="shared" si="4"/>
        <v>1112.4661971831</v>
      </c>
      <c r="AP13" s="165">
        <v>0</v>
      </c>
      <c r="AQ13" s="165">
        <v>0</v>
      </c>
      <c r="AR13" s="166">
        <v>0</v>
      </c>
      <c r="AS13" s="167">
        <f t="shared" si="5"/>
        <v>0</v>
      </c>
      <c r="AT13" s="163">
        <f>AP13*产品成本!$D$19+AQ13*产品成本!$D$20+AR13*产品成本!$D$21</f>
        <v>0</v>
      </c>
      <c r="AU13" s="163">
        <f>AP13*产品成本!$E$19+AQ13*产品成本!$E$20+AR13*产品成本!$E$21</f>
        <v>0</v>
      </c>
      <c r="AV13" s="163">
        <f>AP13*产品成本!$F$19+AQ13*产品成本!$F$20+AR13*产品成本!$F$21</f>
        <v>0</v>
      </c>
      <c r="AW13" s="163">
        <f>AP13*产品成本!$G$19+AQ13*产品成本!$G$20+AR13*产品成本!$G$21</f>
        <v>0</v>
      </c>
      <c r="AX13" s="163">
        <f t="shared" si="21"/>
        <v>0</v>
      </c>
      <c r="AY13" s="163">
        <f t="shared" si="22"/>
        <v>0</v>
      </c>
      <c r="AZ13" s="164">
        <f t="shared" si="23"/>
        <v>0</v>
      </c>
      <c r="BA13" s="168">
        <f t="shared" si="24"/>
        <v>1112.4661971831</v>
      </c>
      <c r="BB13" s="169">
        <f t="shared" si="25"/>
        <v>1645.68</v>
      </c>
      <c r="BC13" s="168">
        <f t="shared" si="6"/>
        <v>1645.68</v>
      </c>
      <c r="BD13" s="168">
        <f t="shared" si="7"/>
        <v>-191.096197183098</v>
      </c>
      <c r="BE13" s="170">
        <f t="shared" si="26"/>
        <v>-0.116119900091815</v>
      </c>
      <c r="BF13" s="171" t="s">
        <v>410</v>
      </c>
    </row>
    <row r="14" ht="29.1" customHeight="1" spans="1:59">
      <c r="A14" s="77" t="s">
        <v>185</v>
      </c>
      <c r="B14" s="78" t="s">
        <v>186</v>
      </c>
      <c r="C14" s="90">
        <v>28</v>
      </c>
      <c r="D14" s="91">
        <v>26</v>
      </c>
      <c r="E14" s="64">
        <v>721.13</v>
      </c>
      <c r="F14" s="148">
        <v>2</v>
      </c>
      <c r="G14" s="148">
        <v>2</v>
      </c>
      <c r="H14" s="64">
        <v>69.88</v>
      </c>
      <c r="I14" s="64">
        <v>6.99</v>
      </c>
      <c r="J14" s="149">
        <v>1</v>
      </c>
      <c r="K14" s="150">
        <f t="shared" si="16"/>
        <v>0.0357142857142857</v>
      </c>
      <c r="L14" s="151">
        <v>15.75</v>
      </c>
      <c r="M14" s="152">
        <f t="shared" si="17"/>
        <v>-0.575757575757576</v>
      </c>
      <c r="N14" s="150">
        <f t="shared" si="18"/>
        <v>-0.587301587301587</v>
      </c>
      <c r="O14" s="150">
        <f t="shared" si="19"/>
        <v>-0.561804238977201</v>
      </c>
      <c r="P14" s="153">
        <f t="shared" si="9"/>
        <v>1.07692307692308</v>
      </c>
      <c r="Q14" s="154">
        <f t="shared" si="10"/>
        <v>27.7357692307692</v>
      </c>
      <c r="R14" s="155">
        <f t="shared" si="11"/>
        <v>25.7546428571429</v>
      </c>
      <c r="S14" s="155">
        <f t="shared" si="12"/>
        <v>4</v>
      </c>
      <c r="T14" s="156">
        <f t="shared" si="13"/>
        <v>6</v>
      </c>
      <c r="U14" s="157">
        <f t="shared" si="14"/>
        <v>0.230769230769231</v>
      </c>
      <c r="V14" s="95">
        <f t="shared" si="15"/>
        <v>0.663189290615286</v>
      </c>
      <c r="W14" s="91">
        <v>39471</v>
      </c>
      <c r="X14" s="91">
        <v>341</v>
      </c>
      <c r="Y14" s="91">
        <v>20</v>
      </c>
      <c r="Z14" s="64">
        <v>473.61</v>
      </c>
      <c r="AA14" s="158">
        <v>571.56</v>
      </c>
      <c r="AB14" s="91">
        <v>1.39</v>
      </c>
      <c r="AC14" s="71">
        <f t="shared" si="20"/>
        <v>0.828626915809364</v>
      </c>
      <c r="AD14" s="72">
        <f t="shared" si="0"/>
        <v>0.00863925413594791</v>
      </c>
      <c r="AE14" s="159">
        <f t="shared" si="1"/>
        <v>0.0586510263929619</v>
      </c>
      <c r="AF14" s="154">
        <f t="shared" si="2"/>
        <v>23.6805</v>
      </c>
      <c r="AG14" s="160">
        <v>20</v>
      </c>
      <c r="AH14" s="161">
        <v>2</v>
      </c>
      <c r="AI14" s="162">
        <v>6</v>
      </c>
      <c r="AJ14" s="163">
        <f>AG14*产品成本!$D$19+AH14*产品成本!$D$20+AI14*产品成本!$D$21</f>
        <v>147.887323943662</v>
      </c>
      <c r="AK14" s="163">
        <f>AG14*产品成本!$E$19+AH14*产品成本!$E$20+AI14*产品成本!$E$21</f>
        <v>41.3587605633803</v>
      </c>
      <c r="AL14" s="163">
        <f>AG14*产品成本!$F$19+AH14*产品成本!$F$20+AI14*产品成本!$F$21</f>
        <v>14.86</v>
      </c>
      <c r="AM14" s="163">
        <f>AG14*产品成本!$G$19+AH14*产品成本!$G$20+AI14*产品成本!$G$21</f>
        <v>166.26</v>
      </c>
      <c r="AN14" s="163">
        <f t="shared" si="3"/>
        <v>107.121</v>
      </c>
      <c r="AO14" s="164">
        <f t="shared" si="4"/>
        <v>477.487084507042</v>
      </c>
      <c r="AP14" s="165">
        <v>1</v>
      </c>
      <c r="AQ14" s="165">
        <v>0</v>
      </c>
      <c r="AR14" s="166">
        <v>0</v>
      </c>
      <c r="AS14" s="167">
        <f t="shared" si="5"/>
        <v>19.2073170731707</v>
      </c>
      <c r="AT14" s="163">
        <f>AP14*产品成本!$D$19+AQ14*产品成本!$D$20+AR14*产品成本!$D$21</f>
        <v>3.52112676056338</v>
      </c>
      <c r="AU14" s="163">
        <f>AP14*产品成本!$E$19+AQ14*产品成本!$E$20+AR14*产品成本!$E$21</f>
        <v>0.984732394366197</v>
      </c>
      <c r="AV14" s="163">
        <f>AP14*产品成本!$F$19+AQ14*产品成本!$F$20+AR14*产品成本!$F$21</f>
        <v>0.49</v>
      </c>
      <c r="AW14" s="163">
        <f>AP14*产品成本!$G$19+AQ14*产品成本!$G$20+AR14*产品成本!$G$21</f>
        <v>5.52</v>
      </c>
      <c r="AX14" s="163">
        <f t="shared" si="21"/>
        <v>2.88109756097561</v>
      </c>
      <c r="AY14" s="163">
        <f t="shared" si="22"/>
        <v>-0.576219512195122</v>
      </c>
      <c r="AZ14" s="164">
        <f t="shared" si="23"/>
        <v>12.8207372037101</v>
      </c>
      <c r="BA14" s="168">
        <f t="shared" si="24"/>
        <v>464.666347303332</v>
      </c>
      <c r="BB14" s="169">
        <f t="shared" si="25"/>
        <v>714.14</v>
      </c>
      <c r="BC14" s="168">
        <f t="shared" si="6"/>
        <v>694.932682926829</v>
      </c>
      <c r="BD14" s="168">
        <f t="shared" si="7"/>
        <v>-243.343664376503</v>
      </c>
      <c r="BE14" s="170">
        <f t="shared" si="26"/>
        <v>-0.35016868591015</v>
      </c>
      <c r="BF14" s="171" t="s">
        <v>411</v>
      </c>
    </row>
    <row r="15" ht="29.1" customHeight="1" spans="1:59">
      <c r="A15" s="77" t="s">
        <v>187</v>
      </c>
      <c r="B15" s="78" t="s">
        <v>188</v>
      </c>
      <c r="C15" s="90">
        <v>20</v>
      </c>
      <c r="D15" s="91">
        <v>20</v>
      </c>
      <c r="E15" s="64">
        <v>461.5</v>
      </c>
      <c r="F15" s="148">
        <v>1</v>
      </c>
      <c r="G15" s="148">
        <v>1</v>
      </c>
      <c r="H15" s="64">
        <v>49.99</v>
      </c>
      <c r="I15" s="64">
        <v>5</v>
      </c>
      <c r="J15" s="149">
        <v>1</v>
      </c>
      <c r="K15" s="150">
        <f t="shared" si="16"/>
        <v>0.05</v>
      </c>
      <c r="L15" s="151">
        <v>17.51</v>
      </c>
      <c r="M15" s="152">
        <f t="shared" si="17"/>
        <v>-0.285714285714286</v>
      </c>
      <c r="N15" s="150">
        <f t="shared" si="18"/>
        <v>-0.230769230769231</v>
      </c>
      <c r="O15" s="150">
        <f t="shared" si="19"/>
        <v>-0.360032171730479</v>
      </c>
      <c r="P15" s="153">
        <f t="shared" si="9"/>
        <v>1</v>
      </c>
      <c r="Q15" s="154">
        <f t="shared" si="10"/>
        <v>23.075</v>
      </c>
      <c r="R15" s="155">
        <f t="shared" si="11"/>
        <v>23.075</v>
      </c>
      <c r="S15" s="155">
        <f t="shared" si="12"/>
        <v>2.85714285714286</v>
      </c>
      <c r="T15" s="156">
        <f t="shared" si="13"/>
        <v>8</v>
      </c>
      <c r="U15" s="157">
        <f t="shared" si="14"/>
        <v>0.4</v>
      </c>
      <c r="V15" s="95">
        <f t="shared" si="15"/>
        <v>0.5547426067908</v>
      </c>
      <c r="W15" s="91">
        <v>19193</v>
      </c>
      <c r="X15" s="91">
        <v>205</v>
      </c>
      <c r="Y15" s="91">
        <v>12</v>
      </c>
      <c r="Z15" s="64">
        <v>253.24</v>
      </c>
      <c r="AA15" s="158">
        <v>255.48</v>
      </c>
      <c r="AB15" s="91">
        <v>1.24</v>
      </c>
      <c r="AC15" s="71">
        <f t="shared" si="20"/>
        <v>0.991232190386723</v>
      </c>
      <c r="AD15" s="72">
        <f t="shared" si="0"/>
        <v>0.0106809774396916</v>
      </c>
      <c r="AE15" s="159">
        <f t="shared" si="1"/>
        <v>0.0585365853658537</v>
      </c>
      <c r="AF15" s="154">
        <f t="shared" si="2"/>
        <v>21.1033333333333</v>
      </c>
      <c r="AG15" s="160">
        <v>17</v>
      </c>
      <c r="AH15" s="161">
        <v>2</v>
      </c>
      <c r="AI15" s="162">
        <v>1</v>
      </c>
      <c r="AJ15" s="163">
        <f>AG15*产品成本!$D$19+AH15*产品成本!$D$20+AI15*产品成本!$D$21</f>
        <v>84.5070422535211</v>
      </c>
      <c r="AK15" s="163">
        <f>AG15*产品成本!$E$19+AH15*产品成本!$E$20+AI15*产品成本!$E$21</f>
        <v>23.6335774647887</v>
      </c>
      <c r="AL15" s="163">
        <f>AG15*产品成本!$F$19+AH15*产品成本!$F$20+AI15*产品成本!$F$21</f>
        <v>9.99</v>
      </c>
      <c r="AM15" s="163">
        <f>AG15*产品成本!$G$19+AH15*产品成本!$G$20+AI15*产品成本!$G$21</f>
        <v>113.5</v>
      </c>
      <c r="AN15" s="163">
        <f t="shared" si="3"/>
        <v>68.475</v>
      </c>
      <c r="AO15" s="164">
        <f t="shared" si="4"/>
        <v>300.10561971831</v>
      </c>
      <c r="AP15" s="165">
        <v>0</v>
      </c>
      <c r="AQ15" s="165">
        <v>1</v>
      </c>
      <c r="AR15" s="166">
        <v>0</v>
      </c>
      <c r="AS15" s="167">
        <f t="shared" si="5"/>
        <v>21.3536585365854</v>
      </c>
      <c r="AT15" s="163">
        <f>AP15*产品成本!$D$19+AQ15*产品成本!$D$20+AR15*产品成本!$D$21</f>
        <v>7.04225352112676</v>
      </c>
      <c r="AU15" s="163">
        <f>AP15*产品成本!$E$19+AQ15*产品成本!$E$20+AR15*产品成本!$E$21</f>
        <v>1.96946478873239</v>
      </c>
      <c r="AV15" s="163">
        <f>AP15*产品成本!$F$19+AQ15*产品成本!$F$20+AR15*产品成本!$F$21</f>
        <v>0.49</v>
      </c>
      <c r="AW15" s="163">
        <f>AP15*产品成本!$G$19+AQ15*产品成本!$G$20+AR15*产品成本!$G$21</f>
        <v>6.21</v>
      </c>
      <c r="AX15" s="163">
        <f t="shared" si="21"/>
        <v>3.2030487804878</v>
      </c>
      <c r="AY15" s="163">
        <f t="shared" si="22"/>
        <v>-0.640609756097561</v>
      </c>
      <c r="AZ15" s="164">
        <f t="shared" si="23"/>
        <v>18.2741573342494</v>
      </c>
      <c r="BA15" s="168">
        <f t="shared" si="24"/>
        <v>281.83146238406</v>
      </c>
      <c r="BB15" s="169">
        <f t="shared" si="25"/>
        <v>456.5</v>
      </c>
      <c r="BC15" s="168">
        <f t="shared" si="6"/>
        <v>435.146341463415</v>
      </c>
      <c r="BD15" s="168">
        <f t="shared" si="7"/>
        <v>-99.9251209206458</v>
      </c>
      <c r="BE15" s="170">
        <f t="shared" si="26"/>
        <v>-0.229635668277926</v>
      </c>
    </row>
    <row r="16" ht="29.1" customHeight="1" spans="1:59">
      <c r="A16" s="75" t="s">
        <v>189</v>
      </c>
      <c r="B16" s="76" t="s">
        <v>190</v>
      </c>
      <c r="C16" s="90">
        <v>1</v>
      </c>
      <c r="D16" s="91">
        <v>1</v>
      </c>
      <c r="E16" s="64">
        <v>36.69</v>
      </c>
      <c r="F16" s="148">
        <v>0</v>
      </c>
      <c r="G16" s="148">
        <v>0</v>
      </c>
      <c r="H16" s="64">
        <v>0</v>
      </c>
      <c r="I16" s="64">
        <v>0</v>
      </c>
      <c r="J16" s="149">
        <v>3</v>
      </c>
      <c r="K16" s="150">
        <f t="shared" si="16"/>
        <v>3</v>
      </c>
      <c r="L16" s="151">
        <v>78.57</v>
      </c>
      <c r="M16" s="152">
        <f t="shared" si="17"/>
        <v>-0.95</v>
      </c>
      <c r="N16" s="150">
        <f t="shared" si="18"/>
        <v>-0.95</v>
      </c>
      <c r="O16" s="150">
        <f t="shared" si="19"/>
        <v>-0.920498374864572</v>
      </c>
      <c r="P16" s="153">
        <f t="shared" si="9"/>
        <v>1</v>
      </c>
      <c r="Q16" s="154">
        <f t="shared" si="10"/>
        <v>36.69</v>
      </c>
      <c r="R16" s="155">
        <f t="shared" si="11"/>
        <v>36.69</v>
      </c>
      <c r="S16" s="155">
        <f t="shared" si="12"/>
        <v>0.142857142857143</v>
      </c>
      <c r="T16" s="156">
        <f t="shared" si="13"/>
        <v>-22</v>
      </c>
      <c r="U16" s="157">
        <f t="shared" si="14"/>
        <v>-22</v>
      </c>
      <c r="V16" s="95">
        <f t="shared" si="15"/>
        <v>10.4314527119106</v>
      </c>
      <c r="W16" s="91">
        <v>26307</v>
      </c>
      <c r="X16" s="91">
        <v>250</v>
      </c>
      <c r="Y16" s="91">
        <v>23</v>
      </c>
      <c r="Z16" s="64">
        <v>382.73</v>
      </c>
      <c r="AA16" s="158">
        <v>556.34</v>
      </c>
      <c r="AB16" s="91">
        <v>1.53</v>
      </c>
      <c r="AC16" s="71">
        <f t="shared" si="20"/>
        <v>0.687942625013481</v>
      </c>
      <c r="AD16" s="72">
        <f t="shared" si="0"/>
        <v>0.00950317406013608</v>
      </c>
      <c r="AE16" s="159">
        <f t="shared" si="1"/>
        <v>0.092</v>
      </c>
      <c r="AF16" s="154">
        <f t="shared" si="2"/>
        <v>16.6404347826087</v>
      </c>
      <c r="AG16" s="160">
        <v>0</v>
      </c>
      <c r="AH16" s="161">
        <v>1</v>
      </c>
      <c r="AI16" s="162">
        <v>0</v>
      </c>
      <c r="AJ16" s="163">
        <f>AG16*产品成本!$D$19+AH16*产品成本!$D$20+AI16*产品成本!$D$21</f>
        <v>7.04225352112676</v>
      </c>
      <c r="AK16" s="163">
        <f>AG16*产品成本!$E$19+AH16*产品成本!$E$20+AI16*产品成本!$E$21</f>
        <v>1.96946478873239</v>
      </c>
      <c r="AL16" s="163">
        <f>AG16*产品成本!$F$19+AH16*产品成本!$F$20+AI16*产品成本!$F$21</f>
        <v>0.49</v>
      </c>
      <c r="AM16" s="163">
        <f>AG16*产品成本!$G$19+AH16*产品成本!$G$20+AI16*产品成本!$G$21</f>
        <v>6.21</v>
      </c>
      <c r="AN16" s="163">
        <f t="shared" si="3"/>
        <v>5.5035</v>
      </c>
      <c r="AO16" s="164">
        <f t="shared" si="4"/>
        <v>21.2152183098592</v>
      </c>
      <c r="AP16" s="165">
        <v>1</v>
      </c>
      <c r="AQ16" s="165">
        <v>2</v>
      </c>
      <c r="AR16" s="166">
        <v>0</v>
      </c>
      <c r="AS16" s="167">
        <f t="shared" si="5"/>
        <v>95.8170731707317</v>
      </c>
      <c r="AT16" s="163">
        <f>AP16*产品成本!$D$19+AQ16*产品成本!$D$20+AR16*产品成本!$D$21</f>
        <v>17.6056338028169</v>
      </c>
      <c r="AU16" s="163">
        <f>AP16*产品成本!$E$19+AQ16*产品成本!$E$20+AR16*产品成本!$E$21</f>
        <v>4.92366197183098</v>
      </c>
      <c r="AV16" s="163">
        <f>AP16*产品成本!$F$19+AQ16*产品成本!$F$20+AR16*产品成本!$F$21</f>
        <v>1.47</v>
      </c>
      <c r="AW16" s="163">
        <f>AP16*产品成本!$G$19+AQ16*产品成本!$G$20+AR16*产品成本!$G$21</f>
        <v>17.94</v>
      </c>
      <c r="AX16" s="163">
        <f t="shared" si="21"/>
        <v>14.3725609756098</v>
      </c>
      <c r="AY16" s="163">
        <f t="shared" si="22"/>
        <v>-2.87451219512195</v>
      </c>
      <c r="AZ16" s="164">
        <f t="shared" si="23"/>
        <v>53.4373445551357</v>
      </c>
      <c r="BA16" s="168">
        <f t="shared" si="24"/>
        <v>-32.2221262452765</v>
      </c>
      <c r="BB16" s="169">
        <f t="shared" si="25"/>
        <v>36.69</v>
      </c>
      <c r="BC16" s="168">
        <f t="shared" si="6"/>
        <v>-59.1270731707317</v>
      </c>
      <c r="BD16" s="168">
        <f t="shared" si="7"/>
        <v>-409.634946925455</v>
      </c>
      <c r="BE16" s="170">
        <f t="shared" si="26"/>
        <v>6.92804370246128</v>
      </c>
      <c r="BF16" t="s">
        <v>412</v>
      </c>
    </row>
    <row r="17" ht="29.1" customHeight="1" spans="1:58">
      <c r="A17" s="75" t="s">
        <v>191</v>
      </c>
      <c r="B17" s="76" t="s">
        <v>192</v>
      </c>
      <c r="C17" s="90">
        <v>0</v>
      </c>
      <c r="D17" s="91">
        <v>0</v>
      </c>
      <c r="E17" s="64">
        <v>0</v>
      </c>
      <c r="F17" s="148">
        <v>0</v>
      </c>
      <c r="G17" s="148">
        <v>0</v>
      </c>
      <c r="H17" s="64">
        <v>0</v>
      </c>
      <c r="I17" s="64">
        <v>0</v>
      </c>
      <c r="J17" s="149">
        <v>2</v>
      </c>
      <c r="K17" s="150" t="e">
        <f t="shared" ref="K17:K44" si="27">J17/C17</f>
        <v>#DIV/0!</v>
      </c>
      <c r="L17" s="151">
        <v>35.02</v>
      </c>
      <c r="M17" s="152">
        <f t="shared" ref="M17:M40" si="28">(C17-C16)/C16</f>
        <v>-1</v>
      </c>
      <c r="N17" s="150">
        <f t="shared" ref="N17:N40" si="29">(D17-D16)/D16</f>
        <v>-1</v>
      </c>
      <c r="O17" s="150">
        <f t="shared" ref="O17:O40" si="30">(E17-E16)/E16</f>
        <v>-1</v>
      </c>
      <c r="P17" s="153" t="e">
        <f t="shared" ref="P17:P40" si="31">C17/D17</f>
        <v>#DIV/0!</v>
      </c>
      <c r="Q17" s="154" t="e">
        <f t="shared" ref="Q17:Q40" si="32">E17/D17</f>
        <v>#DIV/0!</v>
      </c>
      <c r="R17" s="155" t="e">
        <f t="shared" ref="R17:R40" si="33">E17/C17</f>
        <v>#DIV/0!</v>
      </c>
      <c r="S17" s="155">
        <f t="shared" ref="S17:S40" si="34">C17/7</f>
        <v>0</v>
      </c>
      <c r="T17" s="156">
        <f t="shared" ref="T17:T40" si="35">D17-Y17</f>
        <v>-19</v>
      </c>
      <c r="U17" s="157" t="e">
        <f t="shared" ref="U17:U44" si="36">T17/D17</f>
        <v>#DIV/0!</v>
      </c>
      <c r="V17" s="95" t="e">
        <f t="shared" ref="V17:V40" si="37">Z17/(E17-I17)</f>
        <v>#DIV/0!</v>
      </c>
      <c r="W17" s="91">
        <v>20619</v>
      </c>
      <c r="X17" s="91">
        <v>227</v>
      </c>
      <c r="Y17" s="91">
        <v>19</v>
      </c>
      <c r="Z17" s="64">
        <v>351.93</v>
      </c>
      <c r="AA17" s="158">
        <v>405.22</v>
      </c>
      <c r="AB17" s="91">
        <v>1.55</v>
      </c>
      <c r="AC17" s="71">
        <f t="shared" ref="AC17:AC44" si="38">Z17/AA17</f>
        <v>0.86849118997088</v>
      </c>
      <c r="AD17" s="72">
        <f t="shared" si="0"/>
        <v>0.011009263300839</v>
      </c>
      <c r="AE17" s="159">
        <f t="shared" si="1"/>
        <v>0.0837004405286344</v>
      </c>
      <c r="AF17" s="154">
        <f t="shared" si="2"/>
        <v>18.5226315789474</v>
      </c>
      <c r="AG17" s="160">
        <v>0</v>
      </c>
      <c r="AH17" s="161">
        <v>0</v>
      </c>
      <c r="AI17" s="162">
        <v>0</v>
      </c>
      <c r="AJ17" s="163">
        <f>AG17*产品成本!$D$19+AH17*产品成本!$D$20+AI17*产品成本!$D$21</f>
        <v>0</v>
      </c>
      <c r="AK17" s="163">
        <f>AG17*产品成本!$E$19+AH17*产品成本!$E$20+AI17*产品成本!$E$21</f>
        <v>0</v>
      </c>
      <c r="AL17" s="163">
        <f>AG17*产品成本!$F$19+AH17*产品成本!$F$20+AI17*产品成本!$F$21</f>
        <v>0</v>
      </c>
      <c r="AM17" s="163">
        <f>AG17*产品成本!$G$19+AH17*产品成本!$G$20+AI17*产品成本!$G$21</f>
        <v>0</v>
      </c>
      <c r="AN17" s="163">
        <f t="shared" si="3"/>
        <v>0</v>
      </c>
      <c r="AO17" s="164">
        <f t="shared" si="4"/>
        <v>0</v>
      </c>
      <c r="AP17" s="165">
        <v>2</v>
      </c>
      <c r="AQ17" s="165">
        <v>0</v>
      </c>
      <c r="AR17" s="166">
        <v>0</v>
      </c>
      <c r="AS17" s="167">
        <f t="shared" si="5"/>
        <v>42.7073170731707</v>
      </c>
      <c r="AT17" s="163">
        <f>AP17*产品成本!$D$19+AQ17*产品成本!$D$20+AR17*产品成本!$D$21</f>
        <v>7.04225352112676</v>
      </c>
      <c r="AU17" s="163">
        <f>AP17*产品成本!$E$19+AQ17*产品成本!$E$20+AR17*产品成本!$E$21</f>
        <v>1.96946478873239</v>
      </c>
      <c r="AV17" s="163">
        <f>AP17*产品成本!$F$19+AQ17*产品成本!$F$20+AR17*产品成本!$F$21</f>
        <v>0.98</v>
      </c>
      <c r="AW17" s="163">
        <f>AP17*产品成本!$G$19+AQ17*产品成本!$G$20+AR17*产品成本!$G$21</f>
        <v>11.04</v>
      </c>
      <c r="AX17" s="163">
        <f t="shared" ref="AX17:AX40" si="39">AS17*0.15</f>
        <v>6.40609756097561</v>
      </c>
      <c r="AY17" s="163">
        <f t="shared" ref="AY17:AY40" si="40">-AX17*0.2</f>
        <v>-1.28121951219512</v>
      </c>
      <c r="AZ17" s="164">
        <f t="shared" ref="AZ17:AZ40" si="41">SUM(AT17:AY17)</f>
        <v>26.1565963586396</v>
      </c>
      <c r="BA17" s="168">
        <f t="shared" ref="BA17:BA40" si="42">AO17-AZ17</f>
        <v>-26.1565963586396</v>
      </c>
      <c r="BB17" s="169">
        <f t="shared" ref="BB17:BB40" si="43">E17-I17</f>
        <v>0</v>
      </c>
      <c r="BC17" s="168">
        <f t="shared" si="6"/>
        <v>-42.7073170731707</v>
      </c>
      <c r="BD17" s="168">
        <f t="shared" si="7"/>
        <v>-368.480720714531</v>
      </c>
      <c r="BE17" s="170">
        <f t="shared" ref="BE17:BE40" si="44">BD17/BC17</f>
        <v>8.62804657298445</v>
      </c>
      <c r="BF17" t="s">
        <v>412</v>
      </c>
    </row>
    <row r="18" ht="29.1" customHeight="1" spans="1:58">
      <c r="A18" s="77" t="s">
        <v>193</v>
      </c>
      <c r="B18" s="78" t="s">
        <v>194</v>
      </c>
      <c r="C18" s="90">
        <v>10</v>
      </c>
      <c r="D18" s="91">
        <v>10</v>
      </c>
      <c r="E18" s="64">
        <v>347.93</v>
      </c>
      <c r="F18" s="148">
        <v>2</v>
      </c>
      <c r="G18" s="148">
        <v>2</v>
      </c>
      <c r="H18" s="64">
        <v>64.71</v>
      </c>
      <c r="I18" s="64">
        <v>6.47</v>
      </c>
      <c r="J18" s="149">
        <v>0</v>
      </c>
      <c r="K18" s="150">
        <f t="shared" si="27"/>
        <v>0</v>
      </c>
      <c r="L18" s="151">
        <v>0</v>
      </c>
      <c r="M18" s="152" t="e">
        <f t="shared" si="28"/>
        <v>#DIV/0!</v>
      </c>
      <c r="N18" s="150" t="e">
        <f t="shared" si="29"/>
        <v>#DIV/0!</v>
      </c>
      <c r="O18" s="150" t="e">
        <f t="shared" si="30"/>
        <v>#DIV/0!</v>
      </c>
      <c r="P18" s="153">
        <f t="shared" si="31"/>
        <v>1</v>
      </c>
      <c r="Q18" s="154">
        <f t="shared" si="32"/>
        <v>34.793</v>
      </c>
      <c r="R18" s="155">
        <f t="shared" si="33"/>
        <v>34.793</v>
      </c>
      <c r="S18" s="155">
        <f t="shared" si="34"/>
        <v>1.42857142857143</v>
      </c>
      <c r="T18" s="156">
        <f t="shared" si="35"/>
        <v>1</v>
      </c>
      <c r="U18" s="157">
        <f t="shared" si="36"/>
        <v>0.1</v>
      </c>
      <c r="V18" s="95">
        <f t="shared" si="37"/>
        <v>0.7539975399754</v>
      </c>
      <c r="W18" s="91">
        <v>26629</v>
      </c>
      <c r="X18" s="91">
        <v>186</v>
      </c>
      <c r="Y18" s="91">
        <v>9</v>
      </c>
      <c r="Z18" s="64">
        <v>257.46</v>
      </c>
      <c r="AA18" s="158">
        <v>264.43</v>
      </c>
      <c r="AB18" s="91">
        <v>1.38</v>
      </c>
      <c r="AC18" s="71">
        <f t="shared" si="38"/>
        <v>0.973641417388345</v>
      </c>
      <c r="AD18" s="72">
        <f t="shared" si="0"/>
        <v>0.0069848661233993</v>
      </c>
      <c r="AE18" s="159">
        <f t="shared" si="1"/>
        <v>0.0483870967741935</v>
      </c>
      <c r="AF18" s="154">
        <f t="shared" si="2"/>
        <v>28.6066666666667</v>
      </c>
      <c r="AG18" s="160">
        <v>6</v>
      </c>
      <c r="AH18" s="161">
        <v>1</v>
      </c>
      <c r="AI18" s="162">
        <v>3</v>
      </c>
      <c r="AJ18" s="163">
        <f>AG18*产品成本!$D$19+AH18*产品成本!$D$20+AI18*产品成本!$D$21</f>
        <v>59.8591549295773</v>
      </c>
      <c r="AK18" s="163">
        <f>AG18*产品成本!$E$19+AH18*产品成本!$E$20+AI18*产品成本!$E$21</f>
        <v>16.7404507042253</v>
      </c>
      <c r="AL18" s="163">
        <f>AG18*产品成本!$F$19+AH18*产品成本!$F$20+AI18*产品成本!$F$21</f>
        <v>5.47</v>
      </c>
      <c r="AM18" s="163">
        <f>AG18*产品成本!$G$19+AH18*产品成本!$G$20+AI18*产品成本!$G$21</f>
        <v>61.05</v>
      </c>
      <c r="AN18" s="163">
        <f t="shared" si="3"/>
        <v>51.219</v>
      </c>
      <c r="AO18" s="164">
        <f t="shared" si="4"/>
        <v>194.338605633803</v>
      </c>
      <c r="AP18" s="165">
        <v>0</v>
      </c>
      <c r="AQ18" s="165">
        <v>0</v>
      </c>
      <c r="AR18" s="166">
        <v>0</v>
      </c>
      <c r="AS18" s="167">
        <f t="shared" si="5"/>
        <v>0</v>
      </c>
      <c r="AT18" s="163">
        <f>AP18*产品成本!$D$19+AQ18*产品成本!$D$20+AR18*产品成本!$D$21</f>
        <v>0</v>
      </c>
      <c r="AU18" s="163">
        <f>AP18*产品成本!$E$19+AQ18*产品成本!$E$20+AR18*产品成本!$E$21</f>
        <v>0</v>
      </c>
      <c r="AV18" s="163">
        <f>AP18*产品成本!$F$19+AQ18*产品成本!$F$20+AR18*产品成本!$F$21</f>
        <v>0</v>
      </c>
      <c r="AW18" s="163">
        <f>AP18*产品成本!$G$19+AQ18*产品成本!$G$20+AR18*产品成本!$G$21</f>
        <v>0</v>
      </c>
      <c r="AX18" s="163">
        <f t="shared" si="39"/>
        <v>0</v>
      </c>
      <c r="AY18" s="163">
        <f t="shared" si="40"/>
        <v>0</v>
      </c>
      <c r="AZ18" s="164">
        <f t="shared" si="41"/>
        <v>0</v>
      </c>
      <c r="BA18" s="168">
        <f t="shared" si="42"/>
        <v>194.338605633803</v>
      </c>
      <c r="BB18" s="169">
        <f t="shared" si="43"/>
        <v>341.46</v>
      </c>
      <c r="BC18" s="168">
        <f t="shared" si="6"/>
        <v>341.46</v>
      </c>
      <c r="BD18" s="168">
        <f t="shared" si="7"/>
        <v>-110.338605633803</v>
      </c>
      <c r="BE18" s="170">
        <f t="shared" si="44"/>
        <v>-0.323137719304758</v>
      </c>
    </row>
    <row r="19" ht="29.1" customHeight="1" spans="1:58">
      <c r="A19" s="61" t="s">
        <v>195</v>
      </c>
      <c r="B19" s="61" t="s">
        <v>196</v>
      </c>
      <c r="C19" s="90">
        <v>17</v>
      </c>
      <c r="D19" s="91">
        <v>16</v>
      </c>
      <c r="E19" s="64">
        <v>470.26</v>
      </c>
      <c r="F19" s="148">
        <v>0</v>
      </c>
      <c r="G19" s="148">
        <v>0</v>
      </c>
      <c r="H19" s="64">
        <v>0</v>
      </c>
      <c r="I19" s="64">
        <v>0</v>
      </c>
      <c r="J19" s="149">
        <v>1</v>
      </c>
      <c r="K19" s="150">
        <f t="shared" si="27"/>
        <v>0.0588235294117647</v>
      </c>
      <c r="L19" s="151">
        <v>57.99</v>
      </c>
      <c r="M19" s="152">
        <f t="shared" si="28"/>
        <v>0.7</v>
      </c>
      <c r="N19" s="150">
        <f t="shared" si="29"/>
        <v>0.6</v>
      </c>
      <c r="O19" s="150">
        <f t="shared" si="30"/>
        <v>0.351593711378726</v>
      </c>
      <c r="P19" s="153">
        <f t="shared" si="31"/>
        <v>1.0625</v>
      </c>
      <c r="Q19" s="154">
        <f t="shared" si="32"/>
        <v>29.39125</v>
      </c>
      <c r="R19" s="155">
        <f t="shared" si="33"/>
        <v>27.6623529411765</v>
      </c>
      <c r="S19" s="155">
        <f t="shared" si="34"/>
        <v>2.42857142857143</v>
      </c>
      <c r="T19" s="156">
        <f t="shared" si="35"/>
        <v>1</v>
      </c>
      <c r="U19" s="157">
        <f t="shared" si="36"/>
        <v>0.0625</v>
      </c>
      <c r="V19" s="95">
        <f t="shared" si="37"/>
        <v>0.960404882405478</v>
      </c>
      <c r="W19" s="91">
        <v>43105</v>
      </c>
      <c r="X19" s="91">
        <v>323</v>
      </c>
      <c r="Y19" s="91">
        <v>15</v>
      </c>
      <c r="Z19" s="64">
        <v>451.64</v>
      </c>
      <c r="AA19" s="158">
        <v>425.96</v>
      </c>
      <c r="AB19" s="91">
        <v>1.4</v>
      </c>
      <c r="AC19" s="71">
        <f t="shared" si="38"/>
        <v>1.06028735092497</v>
      </c>
      <c r="AD19" s="72">
        <f t="shared" si="0"/>
        <v>0.00749333024011136</v>
      </c>
      <c r="AE19" s="159">
        <f t="shared" si="1"/>
        <v>0.0464396284829721</v>
      </c>
      <c r="AF19" s="154">
        <f t="shared" si="2"/>
        <v>30.1093333333333</v>
      </c>
      <c r="AG19" s="160">
        <v>12</v>
      </c>
      <c r="AH19" s="161">
        <v>0</v>
      </c>
      <c r="AI19" s="162">
        <v>5</v>
      </c>
      <c r="AJ19" s="163">
        <f>AG19*产品成本!$D$19+AH19*产品成本!$D$20+AI19*产品成本!$D$21</f>
        <v>95.0704225352111</v>
      </c>
      <c r="AK19" s="163">
        <f>AG19*产品成本!$E$19+AH19*产品成本!$E$20+AI19*产品成本!$E$21</f>
        <v>26.5877746478873</v>
      </c>
      <c r="AL19" s="163">
        <f>AG19*产品成本!$F$19+AH19*产品成本!$F$20+AI19*产品成本!$F$21</f>
        <v>9.28</v>
      </c>
      <c r="AM19" s="163">
        <f>AG19*产品成本!$G$19+AH19*产品成本!$G$20+AI19*产品成本!$G$21</f>
        <v>102.44</v>
      </c>
      <c r="AN19" s="163">
        <f t="shared" si="3"/>
        <v>70.539</v>
      </c>
      <c r="AO19" s="164">
        <f t="shared" si="4"/>
        <v>303.917197183098</v>
      </c>
      <c r="AP19" s="165">
        <v>0</v>
      </c>
      <c r="AQ19" s="165">
        <v>0</v>
      </c>
      <c r="AR19" s="166">
        <v>1</v>
      </c>
      <c r="AS19" s="167">
        <f t="shared" si="5"/>
        <v>70.719512195122</v>
      </c>
      <c r="AT19" s="163">
        <f>AP19*产品成本!$D$19+AQ19*产品成本!$D$20+AR19*产品成本!$D$21</f>
        <v>10.5633802816901</v>
      </c>
      <c r="AU19" s="163">
        <f>AP19*产品成本!$E$19+AQ19*产品成本!$E$20+AR19*产品成本!$E$21</f>
        <v>2.95419718309859</v>
      </c>
      <c r="AV19" s="163">
        <f>AP19*产品成本!$F$19+AQ19*产品成本!$F$20+AR19*产品成本!$F$21</f>
        <v>0.68</v>
      </c>
      <c r="AW19" s="163">
        <f>AP19*产品成本!$G$19+AQ19*产品成本!$G$20+AR19*产品成本!$G$21</f>
        <v>7.24</v>
      </c>
      <c r="AX19" s="163">
        <f t="shared" si="39"/>
        <v>10.6079268292683</v>
      </c>
      <c r="AY19" s="163">
        <f t="shared" si="40"/>
        <v>-2.12158536585366</v>
      </c>
      <c r="AZ19" s="164">
        <f t="shared" si="41"/>
        <v>29.9239189282033</v>
      </c>
      <c r="BA19" s="168">
        <f t="shared" si="42"/>
        <v>273.993278254895</v>
      </c>
      <c r="BB19" s="169">
        <f t="shared" si="43"/>
        <v>470.26</v>
      </c>
      <c r="BC19" s="168">
        <f t="shared" si="6"/>
        <v>399.540487804878</v>
      </c>
      <c r="BD19" s="168">
        <f t="shared" si="7"/>
        <v>-326.092790450017</v>
      </c>
      <c r="BE19" s="170">
        <f t="shared" si="44"/>
        <v>-0.816169575808471</v>
      </c>
      <c r="BF19" t="s">
        <v>197</v>
      </c>
    </row>
    <row r="20" ht="29.1" customHeight="1" spans="1:58">
      <c r="A20" s="61" t="s">
        <v>198</v>
      </c>
      <c r="B20" s="61" t="s">
        <v>199</v>
      </c>
      <c r="C20" s="90">
        <v>10</v>
      </c>
      <c r="D20" s="91">
        <v>10</v>
      </c>
      <c r="E20" s="64">
        <v>280.4</v>
      </c>
      <c r="F20" s="148">
        <v>0</v>
      </c>
      <c r="G20" s="148">
        <v>0</v>
      </c>
      <c r="H20" s="64">
        <v>0</v>
      </c>
      <c r="I20" s="64">
        <v>0</v>
      </c>
      <c r="J20" s="149">
        <v>0</v>
      </c>
      <c r="K20" s="150">
        <f t="shared" si="27"/>
        <v>0</v>
      </c>
      <c r="L20" s="151">
        <v>0</v>
      </c>
      <c r="M20" s="152">
        <f t="shared" si="28"/>
        <v>-0.411764705882353</v>
      </c>
      <c r="N20" s="150">
        <f t="shared" si="29"/>
        <v>-0.375</v>
      </c>
      <c r="O20" s="150">
        <f t="shared" si="30"/>
        <v>-0.403734104537915</v>
      </c>
      <c r="P20" s="153">
        <f t="shared" si="31"/>
        <v>1</v>
      </c>
      <c r="Q20" s="154">
        <f t="shared" si="32"/>
        <v>28.04</v>
      </c>
      <c r="R20" s="155">
        <f t="shared" si="33"/>
        <v>28.04</v>
      </c>
      <c r="S20" s="155">
        <f t="shared" si="34"/>
        <v>1.42857142857143</v>
      </c>
      <c r="T20" s="156">
        <f t="shared" si="35"/>
        <v>1</v>
      </c>
      <c r="U20" s="157">
        <f t="shared" si="36"/>
        <v>0.1</v>
      </c>
      <c r="V20" s="95">
        <f t="shared" si="37"/>
        <v>0.479529243937233</v>
      </c>
      <c r="W20" s="91">
        <v>14215</v>
      </c>
      <c r="X20" s="91">
        <v>111</v>
      </c>
      <c r="Y20" s="91">
        <v>9</v>
      </c>
      <c r="Z20" s="64">
        <v>134.46</v>
      </c>
      <c r="AA20" s="158">
        <v>260.51</v>
      </c>
      <c r="AB20" s="91">
        <v>1.21</v>
      </c>
      <c r="AC20" s="71">
        <f t="shared" si="38"/>
        <v>0.516141414916894</v>
      </c>
      <c r="AD20" s="72">
        <f t="shared" si="0"/>
        <v>0.007808652831516</v>
      </c>
      <c r="AE20" s="159">
        <f t="shared" si="1"/>
        <v>0.0810810810810811</v>
      </c>
      <c r="AF20" s="154">
        <f t="shared" si="2"/>
        <v>14.94</v>
      </c>
      <c r="AG20" s="160">
        <v>6</v>
      </c>
      <c r="AH20" s="161">
        <v>2</v>
      </c>
      <c r="AI20" s="162">
        <v>2</v>
      </c>
      <c r="AJ20" s="163">
        <f>AG20*产品成本!$D$19+AH20*产品成本!$D$20+AI20*产品成本!$D$21</f>
        <v>56.338028169014</v>
      </c>
      <c r="AK20" s="163">
        <f>AG20*产品成本!$E$19+AH20*产品成本!$E$20+AI20*产品成本!$E$21</f>
        <v>15.7557183098591</v>
      </c>
      <c r="AL20" s="163">
        <f>AG20*产品成本!$F$19+AH20*产品成本!$F$20+AI20*产品成本!$F$21</f>
        <v>5.28</v>
      </c>
      <c r="AM20" s="163">
        <f>AG20*产品成本!$G$19+AH20*产品成本!$G$20+AI20*产品成本!$G$21</f>
        <v>60.02</v>
      </c>
      <c r="AN20" s="163">
        <f t="shared" si="3"/>
        <v>42.06</v>
      </c>
      <c r="AO20" s="164">
        <f t="shared" si="4"/>
        <v>179.453746478873</v>
      </c>
      <c r="AP20" s="165">
        <v>0</v>
      </c>
      <c r="AQ20" s="165">
        <v>0</v>
      </c>
      <c r="AR20" s="166">
        <v>0</v>
      </c>
      <c r="AS20" s="167">
        <f t="shared" si="5"/>
        <v>0</v>
      </c>
      <c r="AT20" s="163">
        <f>AP20*产品成本!$D$19+AQ20*产品成本!$D$20+AR20*产品成本!$D$21</f>
        <v>0</v>
      </c>
      <c r="AU20" s="163">
        <f>AP20*产品成本!$E$19+AQ20*产品成本!$E$20+AR20*产品成本!$E$21</f>
        <v>0</v>
      </c>
      <c r="AV20" s="163">
        <f>AP20*产品成本!$F$19+AQ20*产品成本!$F$20+AR20*产品成本!$F$21</f>
        <v>0</v>
      </c>
      <c r="AW20" s="163">
        <f>AP20*产品成本!$G$19+AQ20*产品成本!$G$20+AR20*产品成本!$G$21</f>
        <v>0</v>
      </c>
      <c r="AX20" s="163">
        <f t="shared" si="39"/>
        <v>0</v>
      </c>
      <c r="AY20" s="163">
        <f t="shared" si="40"/>
        <v>0</v>
      </c>
      <c r="AZ20" s="164">
        <f t="shared" si="41"/>
        <v>0</v>
      </c>
      <c r="BA20" s="168">
        <f t="shared" si="42"/>
        <v>179.453746478873</v>
      </c>
      <c r="BB20" s="169">
        <f t="shared" si="43"/>
        <v>280.4</v>
      </c>
      <c r="BC20" s="168">
        <f t="shared" si="6"/>
        <v>280.4</v>
      </c>
      <c r="BD20" s="168">
        <f t="shared" si="7"/>
        <v>-33.5137464788732</v>
      </c>
      <c r="BE20" s="170">
        <f t="shared" si="44"/>
        <v>-0.119521207128649</v>
      </c>
      <c r="BF20" t="s">
        <v>413</v>
      </c>
    </row>
    <row r="21" ht="29.1" customHeight="1" spans="1:58">
      <c r="A21" s="61" t="s">
        <v>200</v>
      </c>
      <c r="B21" s="61" t="s">
        <v>201</v>
      </c>
      <c r="C21" s="90">
        <v>8</v>
      </c>
      <c r="D21" s="91">
        <v>8</v>
      </c>
      <c r="E21" s="64">
        <v>179.98</v>
      </c>
      <c r="F21" s="148">
        <v>0</v>
      </c>
      <c r="G21" s="148">
        <v>0</v>
      </c>
      <c r="H21" s="64">
        <v>0</v>
      </c>
      <c r="I21" s="64">
        <v>0</v>
      </c>
      <c r="J21" s="149">
        <v>0</v>
      </c>
      <c r="K21" s="150">
        <f t="shared" si="27"/>
        <v>0</v>
      </c>
      <c r="L21" s="151">
        <v>0</v>
      </c>
      <c r="M21" s="152">
        <f t="shared" si="28"/>
        <v>-0.2</v>
      </c>
      <c r="N21" s="150">
        <f t="shared" si="29"/>
        <v>-0.2</v>
      </c>
      <c r="O21" s="150">
        <f t="shared" si="30"/>
        <v>-0.358131241084165</v>
      </c>
      <c r="P21" s="153">
        <f t="shared" si="31"/>
        <v>1</v>
      </c>
      <c r="Q21" s="154">
        <f t="shared" si="32"/>
        <v>22.4975</v>
      </c>
      <c r="R21" s="155">
        <f t="shared" si="33"/>
        <v>22.4975</v>
      </c>
      <c r="S21" s="155">
        <f t="shared" si="34"/>
        <v>1.14285714285714</v>
      </c>
      <c r="T21" s="156">
        <f t="shared" si="35"/>
        <v>2</v>
      </c>
      <c r="U21" s="157">
        <f t="shared" si="36"/>
        <v>0.25</v>
      </c>
      <c r="V21" s="95">
        <f t="shared" si="37"/>
        <v>0.730303367040782</v>
      </c>
      <c r="W21" s="91">
        <v>15171</v>
      </c>
      <c r="X21" s="91">
        <v>100</v>
      </c>
      <c r="Y21" s="91">
        <v>6</v>
      </c>
      <c r="Z21" s="64">
        <v>131.44</v>
      </c>
      <c r="AA21" s="158">
        <v>135.63</v>
      </c>
      <c r="AB21" s="91">
        <v>1.29</v>
      </c>
      <c r="AC21" s="71">
        <f t="shared" si="38"/>
        <v>0.969107129691071</v>
      </c>
      <c r="AD21" s="72">
        <f t="shared" si="0"/>
        <v>0.00659152330103487</v>
      </c>
      <c r="AE21" s="159">
        <f t="shared" si="1"/>
        <v>0.06</v>
      </c>
      <c r="AF21" s="154">
        <f t="shared" si="2"/>
        <v>21.9066666666667</v>
      </c>
      <c r="AG21" s="160">
        <v>5</v>
      </c>
      <c r="AH21" s="161">
        <v>1</v>
      </c>
      <c r="AI21" s="162">
        <v>2</v>
      </c>
      <c r="AJ21" s="163">
        <f>AG21*产品成本!$D$19+AH21*产品成本!$D$20+AI21*产品成本!$D$21</f>
        <v>45.7746478873239</v>
      </c>
      <c r="AK21" s="163">
        <f>AG21*产品成本!$E$19+AH21*产品成本!$E$20+AI21*产品成本!$E$21</f>
        <v>12.8015211267606</v>
      </c>
      <c r="AL21" s="163">
        <f>AG21*产品成本!$F$19+AH21*产品成本!$F$20+AI21*产品成本!$F$21</f>
        <v>4.3</v>
      </c>
      <c r="AM21" s="163">
        <f>AG21*产品成本!$G$19+AH21*产品成本!$G$20+AI21*产品成本!$G$21</f>
        <v>48.29</v>
      </c>
      <c r="AN21" s="163">
        <f t="shared" si="3"/>
        <v>26.997</v>
      </c>
      <c r="AO21" s="164">
        <f t="shared" si="4"/>
        <v>138.163169014084</v>
      </c>
      <c r="AP21" s="165">
        <v>0</v>
      </c>
      <c r="AQ21" s="165">
        <v>0</v>
      </c>
      <c r="AR21" s="166">
        <v>0</v>
      </c>
      <c r="AS21" s="167">
        <f t="shared" si="5"/>
        <v>0</v>
      </c>
      <c r="AT21" s="163">
        <f>AP21*产品成本!$D$19+AQ21*产品成本!$D$20+AR21*产品成本!$D$21</f>
        <v>0</v>
      </c>
      <c r="AU21" s="163">
        <f>AP21*产品成本!$E$19+AQ21*产品成本!$E$20+AR21*产品成本!$E$21</f>
        <v>0</v>
      </c>
      <c r="AV21" s="163">
        <f>AP21*产品成本!$F$19+AQ21*产品成本!$F$20+AR21*产品成本!$F$21</f>
        <v>0</v>
      </c>
      <c r="AW21" s="163">
        <f>AP21*产品成本!$G$19+AQ21*产品成本!$G$20+AR21*产品成本!$G$21</f>
        <v>0</v>
      </c>
      <c r="AX21" s="163">
        <f t="shared" si="39"/>
        <v>0</v>
      </c>
      <c r="AY21" s="163">
        <f t="shared" si="40"/>
        <v>0</v>
      </c>
      <c r="AZ21" s="164">
        <f t="shared" si="41"/>
        <v>0</v>
      </c>
      <c r="BA21" s="168">
        <f t="shared" si="42"/>
        <v>138.163169014084</v>
      </c>
      <c r="BB21" s="169">
        <f t="shared" si="43"/>
        <v>179.98</v>
      </c>
      <c r="BC21" s="168">
        <f t="shared" si="6"/>
        <v>179.98</v>
      </c>
      <c r="BD21" s="168">
        <f t="shared" si="7"/>
        <v>-89.6231690140844</v>
      </c>
      <c r="BE21" s="170">
        <f t="shared" si="44"/>
        <v>-0.497961823614204</v>
      </c>
    </row>
    <row r="22" ht="29.1" customHeight="1" spans="1:58">
      <c r="A22" s="61" t="s">
        <v>202</v>
      </c>
      <c r="B22" s="61" t="s">
        <v>203</v>
      </c>
      <c r="C22" s="90">
        <v>6</v>
      </c>
      <c r="D22" s="91">
        <v>6</v>
      </c>
      <c r="E22" s="64">
        <v>137.33</v>
      </c>
      <c r="F22" s="148">
        <v>0</v>
      </c>
      <c r="G22" s="148">
        <v>0</v>
      </c>
      <c r="H22" s="64">
        <v>0</v>
      </c>
      <c r="I22" s="64">
        <v>0</v>
      </c>
      <c r="J22" s="149">
        <v>3</v>
      </c>
      <c r="K22" s="150">
        <f t="shared" si="27"/>
        <v>0.5</v>
      </c>
      <c r="L22" s="151">
        <v>51.58</v>
      </c>
      <c r="M22" s="152">
        <f t="shared" si="28"/>
        <v>-0.25</v>
      </c>
      <c r="N22" s="150">
        <f t="shared" si="29"/>
        <v>-0.25</v>
      </c>
      <c r="O22" s="150">
        <f t="shared" si="30"/>
        <v>-0.236970774530503</v>
      </c>
      <c r="P22" s="153">
        <f t="shared" si="31"/>
        <v>1</v>
      </c>
      <c r="Q22" s="154">
        <f t="shared" si="32"/>
        <v>22.8883333333333</v>
      </c>
      <c r="R22" s="155">
        <f t="shared" si="33"/>
        <v>22.8883333333333</v>
      </c>
      <c r="S22" s="155">
        <f t="shared" si="34"/>
        <v>0.857142857142857</v>
      </c>
      <c r="T22" s="156">
        <f t="shared" si="35"/>
        <v>0</v>
      </c>
      <c r="U22" s="157">
        <f t="shared" si="36"/>
        <v>0</v>
      </c>
      <c r="V22" s="95">
        <f t="shared" si="37"/>
        <v>0.920410689579844</v>
      </c>
      <c r="W22" s="91">
        <v>19126</v>
      </c>
      <c r="X22" s="91">
        <v>103</v>
      </c>
      <c r="Y22" s="91">
        <v>6</v>
      </c>
      <c r="Z22" s="64">
        <v>126.4</v>
      </c>
      <c r="AA22" s="158">
        <v>100.38</v>
      </c>
      <c r="AB22" s="91">
        <v>1.22</v>
      </c>
      <c r="AC22" s="71">
        <f t="shared" si="38"/>
        <v>1.25921498306436</v>
      </c>
      <c r="AD22" s="72">
        <f t="shared" si="0"/>
        <v>0.00538533932866255</v>
      </c>
      <c r="AE22" s="159">
        <f t="shared" si="1"/>
        <v>0.058252427184466</v>
      </c>
      <c r="AF22" s="154">
        <f t="shared" si="2"/>
        <v>21.0666666666667</v>
      </c>
      <c r="AG22" s="160">
        <v>5</v>
      </c>
      <c r="AH22" s="161">
        <v>0</v>
      </c>
      <c r="AI22" s="162">
        <v>1</v>
      </c>
      <c r="AJ22" s="163">
        <f>AG22*产品成本!$D$19+AH22*产品成本!$D$20+AI22*产品成本!$D$21</f>
        <v>28.169014084507</v>
      </c>
      <c r="AK22" s="163">
        <f>AG22*产品成本!$E$19+AH22*产品成本!$E$20+AI22*产品成本!$E$21</f>
        <v>7.87785915492957</v>
      </c>
      <c r="AL22" s="163">
        <f>AG22*产品成本!$F$19+AH22*产品成本!$F$20+AI22*产品成本!$F$21</f>
        <v>3.13</v>
      </c>
      <c r="AM22" s="163">
        <f>AG22*产品成本!$G$19+AH22*产品成本!$G$20+AI22*产品成本!$G$21</f>
        <v>34.84</v>
      </c>
      <c r="AN22" s="163">
        <f t="shared" si="3"/>
        <v>20.5995</v>
      </c>
      <c r="AO22" s="164">
        <f t="shared" si="4"/>
        <v>94.6163732394366</v>
      </c>
      <c r="AP22" s="165">
        <v>3</v>
      </c>
      <c r="AQ22" s="165">
        <v>0</v>
      </c>
      <c r="AR22" s="166">
        <v>0</v>
      </c>
      <c r="AS22" s="167">
        <f t="shared" si="5"/>
        <v>62.9024390243902</v>
      </c>
      <c r="AT22" s="163">
        <f>AP22*产品成本!$D$19+AQ22*产品成本!$D$20+AR22*产品成本!$D$21</f>
        <v>10.5633802816901</v>
      </c>
      <c r="AU22" s="163">
        <f>AP22*产品成本!$E$19+AQ22*产品成本!$E$20+AR22*产品成本!$E$21</f>
        <v>2.95419718309859</v>
      </c>
      <c r="AV22" s="163">
        <f>AP22*产品成本!$F$19+AQ22*产品成本!$F$20+AR22*产品成本!$F$21</f>
        <v>1.47</v>
      </c>
      <c r="AW22" s="163">
        <f>AP22*产品成本!$G$19+AQ22*产品成本!$G$20+AR22*产品成本!$G$21</f>
        <v>16.56</v>
      </c>
      <c r="AX22" s="163">
        <f t="shared" si="39"/>
        <v>9.43536585365854</v>
      </c>
      <c r="AY22" s="163">
        <f t="shared" si="40"/>
        <v>-1.88707317073171</v>
      </c>
      <c r="AZ22" s="164">
        <f t="shared" si="41"/>
        <v>39.0958701477156</v>
      </c>
      <c r="BA22" s="168">
        <f t="shared" si="42"/>
        <v>55.520503091721</v>
      </c>
      <c r="BB22" s="169">
        <f t="shared" si="43"/>
        <v>137.33</v>
      </c>
      <c r="BC22" s="168">
        <f t="shared" si="6"/>
        <v>74.4275609756098</v>
      </c>
      <c r="BD22" s="168">
        <f t="shared" si="7"/>
        <v>-107.492942116111</v>
      </c>
      <c r="BE22" s="170">
        <f t="shared" si="44"/>
        <v>-1.44426259180167</v>
      </c>
    </row>
    <row r="23" ht="29.1" customHeight="1" spans="1:58">
      <c r="A23" s="61" t="s">
        <v>205</v>
      </c>
      <c r="B23" s="61" t="s">
        <v>206</v>
      </c>
      <c r="C23" s="90">
        <v>1</v>
      </c>
      <c r="D23" s="91">
        <v>1</v>
      </c>
      <c r="E23" s="64">
        <v>26.89</v>
      </c>
      <c r="F23" s="148">
        <v>0</v>
      </c>
      <c r="G23" s="148">
        <v>0</v>
      </c>
      <c r="H23" s="64">
        <v>0</v>
      </c>
      <c r="I23" s="64">
        <v>0</v>
      </c>
      <c r="J23" s="149">
        <v>0</v>
      </c>
      <c r="K23" s="150">
        <f t="shared" si="27"/>
        <v>0</v>
      </c>
      <c r="L23" s="151">
        <v>0</v>
      </c>
      <c r="M23" s="152">
        <f t="shared" si="28"/>
        <v>-0.833333333333333</v>
      </c>
      <c r="N23" s="150">
        <f t="shared" si="29"/>
        <v>-0.833333333333333</v>
      </c>
      <c r="O23" s="150">
        <f t="shared" si="30"/>
        <v>-0.804194276560111</v>
      </c>
      <c r="P23" s="153">
        <f t="shared" si="31"/>
        <v>1</v>
      </c>
      <c r="Q23" s="154">
        <f t="shared" si="32"/>
        <v>26.89</v>
      </c>
      <c r="R23" s="155">
        <f t="shared" si="33"/>
        <v>26.89</v>
      </c>
      <c r="S23" s="155">
        <f t="shared" si="34"/>
        <v>0.142857142857143</v>
      </c>
      <c r="T23" s="156">
        <f t="shared" si="35"/>
        <v>0</v>
      </c>
      <c r="U23" s="157">
        <f t="shared" si="36"/>
        <v>0</v>
      </c>
      <c r="V23" s="95">
        <f t="shared" si="37"/>
        <v>1.89178133134994</v>
      </c>
      <c r="W23" s="91">
        <v>9502</v>
      </c>
      <c r="X23" s="91">
        <v>51</v>
      </c>
      <c r="Y23" s="91">
        <v>1</v>
      </c>
      <c r="Z23" s="64">
        <v>50.87</v>
      </c>
      <c r="AA23" s="158">
        <v>26.89</v>
      </c>
      <c r="AB23" s="63">
        <v>1</v>
      </c>
      <c r="AC23" s="71">
        <f t="shared" si="38"/>
        <v>1.89178133134994</v>
      </c>
      <c r="AD23" s="72">
        <f t="shared" si="0"/>
        <v>0.00536729109661124</v>
      </c>
      <c r="AE23" s="159">
        <f t="shared" si="1"/>
        <v>0.0196078431372549</v>
      </c>
      <c r="AF23" s="154">
        <f t="shared" si="2"/>
        <v>50.87</v>
      </c>
      <c r="AG23" s="160">
        <v>1</v>
      </c>
      <c r="AH23" s="161">
        <v>0</v>
      </c>
      <c r="AI23" s="162">
        <v>0</v>
      </c>
      <c r="AJ23" s="163">
        <f>AG23*产品成本!$D$19+AH23*产品成本!$D$20+AI23*产品成本!$D$21</f>
        <v>3.52112676056338</v>
      </c>
      <c r="AK23" s="163">
        <f>AG23*产品成本!$E$19+AH23*产品成本!$E$20+AI23*产品成本!$E$21</f>
        <v>0.984732394366197</v>
      </c>
      <c r="AL23" s="163">
        <f>AG23*产品成本!$F$19+AH23*产品成本!$F$20+AI23*产品成本!$F$21</f>
        <v>0.49</v>
      </c>
      <c r="AM23" s="163">
        <f>AG23*产品成本!$G$19+AH23*产品成本!$G$20+AI23*产品成本!$G$21</f>
        <v>5.52</v>
      </c>
      <c r="AN23" s="163">
        <f t="shared" si="3"/>
        <v>4.0335</v>
      </c>
      <c r="AO23" s="164">
        <f t="shared" si="4"/>
        <v>14.5493591549296</v>
      </c>
      <c r="AP23" s="165">
        <v>0</v>
      </c>
      <c r="AQ23" s="165">
        <v>0</v>
      </c>
      <c r="AR23" s="166">
        <v>0</v>
      </c>
      <c r="AS23" s="167">
        <f t="shared" si="5"/>
        <v>0</v>
      </c>
      <c r="AT23" s="163">
        <f>AP23*产品成本!$D$19+AQ23*产品成本!$D$20+AR23*产品成本!$D$21</f>
        <v>0</v>
      </c>
      <c r="AU23" s="163">
        <f>AP23*产品成本!$E$19+AQ23*产品成本!$E$20+AR23*产品成本!$E$21</f>
        <v>0</v>
      </c>
      <c r="AV23" s="163">
        <f>AP23*产品成本!$F$19+AQ23*产品成本!$F$20+AR23*产品成本!$F$21</f>
        <v>0</v>
      </c>
      <c r="AW23" s="163">
        <f>AP23*产品成本!$G$19+AQ23*产品成本!$G$20+AR23*产品成本!$G$21</f>
        <v>0</v>
      </c>
      <c r="AX23" s="163">
        <f t="shared" si="39"/>
        <v>0</v>
      </c>
      <c r="AY23" s="163">
        <f t="shared" si="40"/>
        <v>0</v>
      </c>
      <c r="AZ23" s="164">
        <f t="shared" si="41"/>
        <v>0</v>
      </c>
      <c r="BA23" s="168">
        <f t="shared" si="42"/>
        <v>14.5493591549296</v>
      </c>
      <c r="BB23" s="169">
        <f t="shared" si="43"/>
        <v>26.89</v>
      </c>
      <c r="BC23" s="168">
        <f t="shared" si="6"/>
        <v>26.89</v>
      </c>
      <c r="BD23" s="168">
        <f t="shared" si="7"/>
        <v>-38.5293591549296</v>
      </c>
      <c r="BE23" s="170">
        <f t="shared" si="44"/>
        <v>-1.43285084250389</v>
      </c>
    </row>
    <row r="24" ht="29.1" customHeight="1" spans="1:58">
      <c r="A24" s="61" t="s">
        <v>208</v>
      </c>
      <c r="B24" s="61" t="s">
        <v>209</v>
      </c>
      <c r="C24" s="90">
        <v>4</v>
      </c>
      <c r="D24" s="91">
        <v>4</v>
      </c>
      <c r="E24" s="64">
        <v>158.25</v>
      </c>
      <c r="F24" s="148">
        <v>1</v>
      </c>
      <c r="G24" s="148">
        <v>1</v>
      </c>
      <c r="H24" s="64">
        <v>46.12</v>
      </c>
      <c r="I24" s="64">
        <v>6.92</v>
      </c>
      <c r="J24" s="149">
        <v>0</v>
      </c>
      <c r="K24" s="150">
        <f t="shared" si="27"/>
        <v>0</v>
      </c>
      <c r="L24" s="151">
        <v>0</v>
      </c>
      <c r="M24" s="152">
        <f t="shared" si="28"/>
        <v>3</v>
      </c>
      <c r="N24" s="150">
        <f t="shared" si="29"/>
        <v>3</v>
      </c>
      <c r="O24" s="150">
        <f t="shared" si="30"/>
        <v>4.88508739308293</v>
      </c>
      <c r="P24" s="153">
        <f t="shared" si="31"/>
        <v>1</v>
      </c>
      <c r="Q24" s="154">
        <f t="shared" si="32"/>
        <v>39.5625</v>
      </c>
      <c r="R24" s="155">
        <f t="shared" si="33"/>
        <v>39.5625</v>
      </c>
      <c r="S24" s="155">
        <f t="shared" si="34"/>
        <v>0.571428571428571</v>
      </c>
      <c r="T24" s="156">
        <f t="shared" si="35"/>
        <v>1</v>
      </c>
      <c r="U24" s="157">
        <f t="shared" si="36"/>
        <v>0.25</v>
      </c>
      <c r="V24" s="95">
        <f t="shared" si="37"/>
        <v>0.233595453644353</v>
      </c>
      <c r="W24" s="91">
        <v>5013</v>
      </c>
      <c r="X24" s="91">
        <v>34</v>
      </c>
      <c r="Y24" s="91">
        <v>3</v>
      </c>
      <c r="Z24" s="64">
        <v>35.35</v>
      </c>
      <c r="AA24" s="158">
        <v>112.13</v>
      </c>
      <c r="AB24" s="91">
        <v>1.04</v>
      </c>
      <c r="AC24" s="71">
        <f t="shared" si="38"/>
        <v>0.315259074288772</v>
      </c>
      <c r="AD24" s="72">
        <f t="shared" si="0"/>
        <v>0.00678236584879314</v>
      </c>
      <c r="AE24" s="159">
        <f t="shared" si="1"/>
        <v>0.0882352941176471</v>
      </c>
      <c r="AF24" s="154">
        <f t="shared" si="2"/>
        <v>11.7833333333333</v>
      </c>
      <c r="AG24" s="160">
        <v>1</v>
      </c>
      <c r="AH24" s="161">
        <v>0</v>
      </c>
      <c r="AI24" s="162">
        <v>3</v>
      </c>
      <c r="AJ24" s="163">
        <f>AG24*产品成本!$D$19+AH24*产品成本!$D$20+AI24*产品成本!$D$21</f>
        <v>35.2112676056337</v>
      </c>
      <c r="AK24" s="163">
        <f>AG24*产品成本!$E$19+AH24*产品成本!$E$20+AI24*产品成本!$E$21</f>
        <v>9.84732394366197</v>
      </c>
      <c r="AL24" s="163">
        <f>AG24*产品成本!$F$19+AH24*产品成本!$F$20+AI24*产品成本!$F$21</f>
        <v>2.53</v>
      </c>
      <c r="AM24" s="163">
        <f>AG24*产品成本!$G$19+AH24*产品成本!$G$20+AI24*产品成本!$G$21</f>
        <v>27.24</v>
      </c>
      <c r="AN24" s="163">
        <f t="shared" si="3"/>
        <v>22.6995</v>
      </c>
      <c r="AO24" s="164">
        <f t="shared" si="4"/>
        <v>97.5280915492957</v>
      </c>
      <c r="AP24" s="165">
        <v>0</v>
      </c>
      <c r="AQ24" s="165">
        <v>0</v>
      </c>
      <c r="AR24" s="166">
        <v>0</v>
      </c>
      <c r="AS24" s="167">
        <f t="shared" si="5"/>
        <v>0</v>
      </c>
      <c r="AT24" s="163">
        <f>AP24*产品成本!$D$19+AQ24*产品成本!$D$20+AR24*产品成本!$D$21</f>
        <v>0</v>
      </c>
      <c r="AU24" s="163">
        <f>AP24*产品成本!$E$19+AQ24*产品成本!$E$20+AR24*产品成本!$E$21</f>
        <v>0</v>
      </c>
      <c r="AV24" s="163">
        <f>AP24*产品成本!$F$19+AQ24*产品成本!$F$20+AR24*产品成本!$F$21</f>
        <v>0</v>
      </c>
      <c r="AW24" s="163">
        <f>AP24*产品成本!$G$19+AQ24*产品成本!$G$20+AR24*产品成本!$G$21</f>
        <v>0</v>
      </c>
      <c r="AX24" s="163">
        <f t="shared" si="39"/>
        <v>0</v>
      </c>
      <c r="AY24" s="163">
        <f t="shared" si="40"/>
        <v>0</v>
      </c>
      <c r="AZ24" s="164">
        <f t="shared" si="41"/>
        <v>0</v>
      </c>
      <c r="BA24" s="168">
        <f t="shared" si="42"/>
        <v>97.5280915492957</v>
      </c>
      <c r="BB24" s="169">
        <f t="shared" si="43"/>
        <v>151.33</v>
      </c>
      <c r="BC24" s="168">
        <f t="shared" si="6"/>
        <v>151.33</v>
      </c>
      <c r="BD24" s="168">
        <f t="shared" si="7"/>
        <v>18.4519084507044</v>
      </c>
      <c r="BE24" s="170">
        <f t="shared" si="44"/>
        <v>0.121931596185187</v>
      </c>
      <c r="BF24" t="s">
        <v>414</v>
      </c>
    </row>
    <row r="25" ht="29.1" customHeight="1" spans="1:58">
      <c r="A25" s="61" t="s">
        <v>210</v>
      </c>
      <c r="B25" s="61" t="s">
        <v>211</v>
      </c>
      <c r="C25" s="90">
        <v>2</v>
      </c>
      <c r="D25" s="91">
        <v>2</v>
      </c>
      <c r="E25" s="64">
        <v>52.8</v>
      </c>
      <c r="F25" s="148">
        <v>1</v>
      </c>
      <c r="G25" s="148">
        <v>1</v>
      </c>
      <c r="H25" s="64">
        <v>36.89</v>
      </c>
      <c r="I25" s="64">
        <v>4.06</v>
      </c>
      <c r="J25" s="149">
        <v>0</v>
      </c>
      <c r="K25" s="150">
        <f t="shared" si="27"/>
        <v>0</v>
      </c>
      <c r="L25" s="151">
        <v>0</v>
      </c>
      <c r="M25" s="152">
        <f t="shared" si="28"/>
        <v>-0.5</v>
      </c>
      <c r="N25" s="150">
        <f t="shared" si="29"/>
        <v>-0.5</v>
      </c>
      <c r="O25" s="150">
        <f t="shared" si="30"/>
        <v>-0.666350710900474</v>
      </c>
      <c r="P25" s="153">
        <f t="shared" si="31"/>
        <v>1</v>
      </c>
      <c r="Q25" s="154">
        <f t="shared" si="32"/>
        <v>26.4</v>
      </c>
      <c r="R25" s="155">
        <f t="shared" si="33"/>
        <v>26.4</v>
      </c>
      <c r="S25" s="155">
        <f t="shared" si="34"/>
        <v>0.285714285714286</v>
      </c>
      <c r="T25" s="156">
        <f t="shared" si="35"/>
        <v>1</v>
      </c>
      <c r="U25" s="157">
        <f t="shared" si="36"/>
        <v>0.5</v>
      </c>
      <c r="V25" s="95">
        <f t="shared" si="37"/>
        <v>1.08863356585966</v>
      </c>
      <c r="W25" s="91">
        <v>7166</v>
      </c>
      <c r="X25" s="91">
        <v>50</v>
      </c>
      <c r="Y25" s="91">
        <v>1</v>
      </c>
      <c r="Z25" s="64">
        <v>53.06</v>
      </c>
      <c r="AA25" s="158">
        <v>15.91</v>
      </c>
      <c r="AB25" s="91">
        <v>1.06</v>
      </c>
      <c r="AC25" s="71">
        <f t="shared" si="38"/>
        <v>3.33500942803268</v>
      </c>
      <c r="AD25" s="72">
        <f t="shared" si="0"/>
        <v>0.00697739324588334</v>
      </c>
      <c r="AE25" s="159">
        <f t="shared" si="1"/>
        <v>0.02</v>
      </c>
      <c r="AF25" s="154">
        <f t="shared" si="2"/>
        <v>53.06</v>
      </c>
      <c r="AG25" s="160">
        <v>1</v>
      </c>
      <c r="AH25" s="161">
        <v>0</v>
      </c>
      <c r="AI25" s="162">
        <v>1</v>
      </c>
      <c r="AJ25" s="163">
        <f>AG25*产品成本!$D$19+AH25*产品成本!$D$20+AI25*产品成本!$D$21</f>
        <v>14.0845070422535</v>
      </c>
      <c r="AK25" s="163">
        <f>AG25*产品成本!$E$19+AH25*产品成本!$E$20+AI25*产品成本!$E$21</f>
        <v>3.93892957746479</v>
      </c>
      <c r="AL25" s="163">
        <f>AG25*产品成本!$F$19+AH25*产品成本!$F$20+AI25*产品成本!$F$21</f>
        <v>1.17</v>
      </c>
      <c r="AM25" s="163">
        <f>AG25*产品成本!$G$19+AH25*产品成本!$G$20+AI25*产品成本!$G$21</f>
        <v>12.76</v>
      </c>
      <c r="AN25" s="163">
        <f t="shared" si="3"/>
        <v>7.311</v>
      </c>
      <c r="AO25" s="164">
        <f t="shared" si="4"/>
        <v>39.2644366197183</v>
      </c>
      <c r="AP25" s="165">
        <v>0</v>
      </c>
      <c r="AQ25" s="165">
        <v>0</v>
      </c>
      <c r="AR25" s="166">
        <v>0</v>
      </c>
      <c r="AS25" s="167">
        <f t="shared" si="5"/>
        <v>0</v>
      </c>
      <c r="AT25" s="163">
        <f>AP25*产品成本!$D$19+AQ25*产品成本!$D$20+AR25*产品成本!$D$21</f>
        <v>0</v>
      </c>
      <c r="AU25" s="163">
        <f>AP25*产品成本!$E$19+AQ25*产品成本!$E$20+AR25*产品成本!$E$21</f>
        <v>0</v>
      </c>
      <c r="AV25" s="163">
        <f>AP25*产品成本!$F$19+AQ25*产品成本!$F$20+AR25*产品成本!$F$21</f>
        <v>0</v>
      </c>
      <c r="AW25" s="163">
        <f>AP25*产品成本!$G$19+AQ25*产品成本!$G$20+AR25*产品成本!$G$21</f>
        <v>0</v>
      </c>
      <c r="AX25" s="163">
        <f t="shared" si="39"/>
        <v>0</v>
      </c>
      <c r="AY25" s="163">
        <f t="shared" si="40"/>
        <v>0</v>
      </c>
      <c r="AZ25" s="164">
        <f t="shared" si="41"/>
        <v>0</v>
      </c>
      <c r="BA25" s="168">
        <f t="shared" si="42"/>
        <v>39.2644366197183</v>
      </c>
      <c r="BB25" s="169">
        <f t="shared" si="43"/>
        <v>48.74</v>
      </c>
      <c r="BC25" s="168">
        <f t="shared" si="6"/>
        <v>48.74</v>
      </c>
      <c r="BD25" s="168">
        <f t="shared" si="7"/>
        <v>-43.5844366197183</v>
      </c>
      <c r="BE25" s="170">
        <f t="shared" si="44"/>
        <v>-0.894223155923641</v>
      </c>
      <c r="BF25" t="s">
        <v>292</v>
      </c>
    </row>
    <row r="26" ht="29.1" customHeight="1" spans="1:58">
      <c r="A26" s="61" t="s">
        <v>213</v>
      </c>
      <c r="B26" s="61" t="s">
        <v>214</v>
      </c>
      <c r="C26" s="90">
        <v>11</v>
      </c>
      <c r="D26" s="91">
        <v>11</v>
      </c>
      <c r="E26" s="64">
        <v>268.35</v>
      </c>
      <c r="F26" s="148">
        <v>1</v>
      </c>
      <c r="G26" s="148">
        <v>1</v>
      </c>
      <c r="H26" s="64">
        <v>36.89</v>
      </c>
      <c r="I26" s="64">
        <v>5.53</v>
      </c>
      <c r="J26" s="149">
        <v>0</v>
      </c>
      <c r="K26" s="150">
        <f t="shared" si="27"/>
        <v>0</v>
      </c>
      <c r="L26" s="151">
        <v>0</v>
      </c>
      <c r="M26" s="152">
        <f t="shared" si="28"/>
        <v>4.5</v>
      </c>
      <c r="N26" s="150">
        <f t="shared" si="29"/>
        <v>4.5</v>
      </c>
      <c r="O26" s="150">
        <f t="shared" si="30"/>
        <v>4.08238636363636</v>
      </c>
      <c r="P26" s="153">
        <f t="shared" si="31"/>
        <v>1</v>
      </c>
      <c r="Q26" s="154">
        <f t="shared" si="32"/>
        <v>24.3954545454545</v>
      </c>
      <c r="R26" s="155">
        <f t="shared" si="33"/>
        <v>24.3954545454545</v>
      </c>
      <c r="S26" s="155">
        <f t="shared" si="34"/>
        <v>1.57142857142857</v>
      </c>
      <c r="T26" s="156">
        <f t="shared" si="35"/>
        <v>4</v>
      </c>
      <c r="U26" s="157">
        <f t="shared" si="36"/>
        <v>0.363636363636364</v>
      </c>
      <c r="V26" s="95">
        <f t="shared" si="37"/>
        <v>0.255878548055703</v>
      </c>
      <c r="W26" s="91">
        <v>9723</v>
      </c>
      <c r="X26" s="91">
        <v>67</v>
      </c>
      <c r="Y26" s="91">
        <v>7</v>
      </c>
      <c r="Z26" s="64">
        <v>67.25</v>
      </c>
      <c r="AA26" s="158">
        <v>129.1</v>
      </c>
      <c r="AB26" s="91">
        <v>1</v>
      </c>
      <c r="AC26" s="71">
        <f t="shared" si="38"/>
        <v>0.520914020139427</v>
      </c>
      <c r="AD26" s="72">
        <f t="shared" si="0"/>
        <v>0.00689087730124447</v>
      </c>
      <c r="AE26" s="159">
        <f t="shared" si="1"/>
        <v>0.104477611940299</v>
      </c>
      <c r="AF26" s="154">
        <f t="shared" si="2"/>
        <v>9.60714285714286</v>
      </c>
      <c r="AG26" s="160">
        <v>6</v>
      </c>
      <c r="AH26" s="161">
        <v>1</v>
      </c>
      <c r="AI26" s="162">
        <v>4</v>
      </c>
      <c r="AJ26" s="163">
        <f>AG26*产品成本!$D$19+AH26*产品成本!$D$20+AI26*产品成本!$D$21</f>
        <v>70.4225352112674</v>
      </c>
      <c r="AK26" s="163">
        <f>AG26*产品成本!$E$19+AH26*产品成本!$E$20+AI26*产品成本!$E$21</f>
        <v>19.6946478873239</v>
      </c>
      <c r="AL26" s="163">
        <f>AG26*产品成本!$F$19+AH26*产品成本!$F$20+AI26*产品成本!$F$21</f>
        <v>6.15</v>
      </c>
      <c r="AM26" s="163">
        <f>AG26*产品成本!$G$19+AH26*产品成本!$G$20+AI26*产品成本!$G$21</f>
        <v>68.29</v>
      </c>
      <c r="AN26" s="163">
        <f t="shared" si="3"/>
        <v>39.423</v>
      </c>
      <c r="AO26" s="164">
        <f t="shared" si="4"/>
        <v>203.980183098591</v>
      </c>
      <c r="AP26" s="165">
        <v>0</v>
      </c>
      <c r="AQ26" s="165">
        <v>0</v>
      </c>
      <c r="AR26" s="166">
        <v>0</v>
      </c>
      <c r="AS26" s="167">
        <f t="shared" si="5"/>
        <v>0</v>
      </c>
      <c r="AT26" s="163">
        <f>AP26*产品成本!$D$19+AQ26*产品成本!$D$20+AR26*产品成本!$D$21</f>
        <v>0</v>
      </c>
      <c r="AU26" s="163">
        <f>AP26*产品成本!$E$19+AQ26*产品成本!$E$20+AR26*产品成本!$E$21</f>
        <v>0</v>
      </c>
      <c r="AV26" s="163">
        <f>AP26*产品成本!$F$19+AQ26*产品成本!$F$20+AR26*产品成本!$F$21</f>
        <v>0</v>
      </c>
      <c r="AW26" s="163">
        <f>AP26*产品成本!$G$19+AQ26*产品成本!$G$20+AR26*产品成本!$G$21</f>
        <v>0</v>
      </c>
      <c r="AX26" s="163">
        <f t="shared" si="39"/>
        <v>0</v>
      </c>
      <c r="AY26" s="163">
        <f t="shared" si="40"/>
        <v>0</v>
      </c>
      <c r="AZ26" s="164">
        <f t="shared" si="41"/>
        <v>0</v>
      </c>
      <c r="BA26" s="168">
        <f t="shared" si="42"/>
        <v>203.980183098591</v>
      </c>
      <c r="BB26" s="169">
        <f t="shared" si="43"/>
        <v>262.82</v>
      </c>
      <c r="BC26" s="168">
        <f t="shared" si="6"/>
        <v>262.82</v>
      </c>
      <c r="BD26" s="168">
        <f t="shared" si="7"/>
        <v>-8.41018309859132</v>
      </c>
      <c r="BE26" s="170">
        <f t="shared" si="44"/>
        <v>-0.0319997834966567</v>
      </c>
      <c r="BF26" t="s">
        <v>215</v>
      </c>
    </row>
    <row r="27" ht="29.1" customHeight="1" spans="1:58">
      <c r="A27" s="61" t="s">
        <v>216</v>
      </c>
      <c r="B27" s="61" t="s">
        <v>217</v>
      </c>
      <c r="C27" s="90">
        <v>5</v>
      </c>
      <c r="D27" s="91">
        <v>5</v>
      </c>
      <c r="E27" s="64">
        <v>101.51</v>
      </c>
      <c r="F27" s="148">
        <v>1</v>
      </c>
      <c r="G27" s="148">
        <v>1</v>
      </c>
      <c r="H27" s="64">
        <v>15.91</v>
      </c>
      <c r="I27" s="64">
        <v>2.39</v>
      </c>
      <c r="J27" s="149">
        <v>0</v>
      </c>
      <c r="K27" s="150">
        <f t="shared" si="27"/>
        <v>0</v>
      </c>
      <c r="L27" s="151">
        <v>0</v>
      </c>
      <c r="M27" s="152">
        <f t="shared" si="28"/>
        <v>-0.545454545454545</v>
      </c>
      <c r="N27" s="150">
        <f t="shared" si="29"/>
        <v>-0.545454545454545</v>
      </c>
      <c r="O27" s="150">
        <f t="shared" si="30"/>
        <v>-0.621725358673374</v>
      </c>
      <c r="P27" s="153">
        <f t="shared" si="31"/>
        <v>1</v>
      </c>
      <c r="Q27" s="154">
        <f t="shared" si="32"/>
        <v>20.302</v>
      </c>
      <c r="R27" s="155">
        <f t="shared" si="33"/>
        <v>20.302</v>
      </c>
      <c r="S27" s="155">
        <f t="shared" si="34"/>
        <v>0.714285714285714</v>
      </c>
      <c r="T27" s="156">
        <f t="shared" si="35"/>
        <v>4</v>
      </c>
      <c r="U27" s="157">
        <f t="shared" si="36"/>
        <v>0.8</v>
      </c>
      <c r="V27" s="95">
        <f t="shared" si="37"/>
        <v>0.486985472154964</v>
      </c>
      <c r="W27" s="91">
        <v>9525</v>
      </c>
      <c r="X27" s="91">
        <v>46</v>
      </c>
      <c r="Y27" s="91">
        <v>1</v>
      </c>
      <c r="Z27" s="64">
        <v>48.27</v>
      </c>
      <c r="AA27" s="158">
        <v>15.91</v>
      </c>
      <c r="AB27" s="91">
        <v>1.05</v>
      </c>
      <c r="AC27" s="71">
        <f t="shared" si="38"/>
        <v>3.03394091766185</v>
      </c>
      <c r="AD27" s="72">
        <f t="shared" si="0"/>
        <v>0.00482939632545932</v>
      </c>
      <c r="AE27" s="159">
        <f t="shared" si="1"/>
        <v>0.0217391304347826</v>
      </c>
      <c r="AF27" s="154">
        <f t="shared" si="2"/>
        <v>48.27</v>
      </c>
      <c r="AG27" s="160">
        <v>5</v>
      </c>
      <c r="AH27" s="161">
        <v>0</v>
      </c>
      <c r="AI27" s="162">
        <v>0</v>
      </c>
      <c r="AJ27" s="163">
        <f>AG27*产品成本!$D$19+AH27*产品成本!$D$20+AI27*产品成本!$D$21</f>
        <v>17.6056338028169</v>
      </c>
      <c r="AK27" s="163">
        <f>AG27*产品成本!$E$19+AH27*产品成本!$E$20+AI27*产品成本!$E$21</f>
        <v>4.92366197183098</v>
      </c>
      <c r="AL27" s="163">
        <f>AG27*产品成本!$F$19+AH27*产品成本!$F$20+AI27*产品成本!$F$21</f>
        <v>2.45</v>
      </c>
      <c r="AM27" s="163">
        <f>AG27*产品成本!$G$19+AH27*产品成本!$G$20+AI27*产品成本!$G$21</f>
        <v>27.6</v>
      </c>
      <c r="AN27" s="163">
        <f t="shared" si="3"/>
        <v>14.868</v>
      </c>
      <c r="AO27" s="164">
        <f t="shared" si="4"/>
        <v>67.4472957746479</v>
      </c>
      <c r="AP27" s="165">
        <v>0</v>
      </c>
      <c r="AQ27" s="165">
        <v>0</v>
      </c>
      <c r="AR27" s="166">
        <v>0</v>
      </c>
      <c r="AS27" s="167">
        <f t="shared" si="5"/>
        <v>0</v>
      </c>
      <c r="AT27" s="163">
        <f>AP27*产品成本!$D$19+AQ27*产品成本!$D$20+AR27*产品成本!$D$21</f>
        <v>0</v>
      </c>
      <c r="AU27" s="163">
        <f>AP27*产品成本!$E$19+AQ27*产品成本!$E$20+AR27*产品成本!$E$21</f>
        <v>0</v>
      </c>
      <c r="AV27" s="163">
        <f>AP27*产品成本!$F$19+AQ27*产品成本!$F$20+AR27*产品成本!$F$21</f>
        <v>0</v>
      </c>
      <c r="AW27" s="163">
        <f>AP27*产品成本!$G$19+AQ27*产品成本!$G$20+AR27*产品成本!$G$21</f>
        <v>0</v>
      </c>
      <c r="AX27" s="163">
        <f t="shared" si="39"/>
        <v>0</v>
      </c>
      <c r="AY27" s="163">
        <f t="shared" si="40"/>
        <v>0</v>
      </c>
      <c r="AZ27" s="164">
        <f t="shared" si="41"/>
        <v>0</v>
      </c>
      <c r="BA27" s="168">
        <f t="shared" si="42"/>
        <v>67.4472957746479</v>
      </c>
      <c r="BB27" s="169">
        <f t="shared" si="43"/>
        <v>99.12</v>
      </c>
      <c r="BC27" s="168">
        <f t="shared" si="6"/>
        <v>99.12</v>
      </c>
      <c r="BD27" s="168">
        <f t="shared" si="7"/>
        <v>-16.5972957746479</v>
      </c>
      <c r="BE27" s="170">
        <f t="shared" si="44"/>
        <v>-0.167446486830588</v>
      </c>
      <c r="BF27" t="s">
        <v>293</v>
      </c>
    </row>
    <row r="28" ht="29.1" customHeight="1" spans="1:58">
      <c r="A28" s="61" t="s">
        <v>219</v>
      </c>
      <c r="B28" s="61" t="s">
        <v>220</v>
      </c>
      <c r="C28" s="90">
        <v>2</v>
      </c>
      <c r="D28" s="91">
        <v>2</v>
      </c>
      <c r="E28" s="64">
        <v>53.78</v>
      </c>
      <c r="F28" s="148">
        <v>0</v>
      </c>
      <c r="G28" s="148">
        <v>0</v>
      </c>
      <c r="H28" s="64">
        <v>0</v>
      </c>
      <c r="I28" s="64">
        <v>0</v>
      </c>
      <c r="J28" s="149">
        <v>0</v>
      </c>
      <c r="K28" s="150">
        <f t="shared" si="27"/>
        <v>0</v>
      </c>
      <c r="L28" s="151">
        <v>0</v>
      </c>
      <c r="M28" s="152">
        <f t="shared" si="28"/>
        <v>-0.6</v>
      </c>
      <c r="N28" s="150">
        <f t="shared" si="29"/>
        <v>-0.6</v>
      </c>
      <c r="O28" s="150">
        <f t="shared" si="30"/>
        <v>-0.470199980297508</v>
      </c>
      <c r="P28" s="153">
        <f t="shared" si="31"/>
        <v>1</v>
      </c>
      <c r="Q28" s="154">
        <f t="shared" si="32"/>
        <v>26.89</v>
      </c>
      <c r="R28" s="155">
        <f t="shared" si="33"/>
        <v>26.89</v>
      </c>
      <c r="S28" s="155">
        <f t="shared" si="34"/>
        <v>0.285714285714286</v>
      </c>
      <c r="T28" s="156">
        <f t="shared" si="35"/>
        <v>0</v>
      </c>
      <c r="U28" s="157">
        <f t="shared" si="36"/>
        <v>0</v>
      </c>
      <c r="V28" s="95">
        <f t="shared" si="37"/>
        <v>0.790628486426181</v>
      </c>
      <c r="W28" s="91">
        <v>6293</v>
      </c>
      <c r="X28" s="91">
        <v>44</v>
      </c>
      <c r="Y28" s="91">
        <v>2</v>
      </c>
      <c r="Z28" s="64">
        <v>42.52</v>
      </c>
      <c r="AA28" s="158">
        <v>40.34</v>
      </c>
      <c r="AB28" s="91">
        <v>0.97</v>
      </c>
      <c r="AC28" s="71">
        <f t="shared" si="38"/>
        <v>1.05404065443728</v>
      </c>
      <c r="AD28" s="72">
        <f t="shared" si="0"/>
        <v>0.00699189575719053</v>
      </c>
      <c r="AE28" s="159">
        <f t="shared" si="1"/>
        <v>0.0454545454545455</v>
      </c>
      <c r="AF28" s="154">
        <f t="shared" si="2"/>
        <v>21.26</v>
      </c>
      <c r="AG28" s="160">
        <v>2</v>
      </c>
      <c r="AH28" s="161">
        <v>0</v>
      </c>
      <c r="AI28" s="162">
        <v>0</v>
      </c>
      <c r="AJ28" s="163">
        <f>AG28*产品成本!$D$19+AH28*产品成本!$D$20+AI28*产品成本!$D$21</f>
        <v>7.04225352112676</v>
      </c>
      <c r="AK28" s="163">
        <f>AG28*产品成本!$E$19+AH28*产品成本!$E$20+AI28*产品成本!$E$21</f>
        <v>1.96946478873239</v>
      </c>
      <c r="AL28" s="163">
        <f>AG28*产品成本!$F$19+AH28*产品成本!$F$20+AI28*产品成本!$F$21</f>
        <v>0.98</v>
      </c>
      <c r="AM28" s="163">
        <f>AG28*产品成本!$G$19+AH28*产品成本!$G$20+AI28*产品成本!$G$21</f>
        <v>11.04</v>
      </c>
      <c r="AN28" s="163">
        <f t="shared" si="3"/>
        <v>8.067</v>
      </c>
      <c r="AO28" s="164">
        <f t="shared" si="4"/>
        <v>29.0987183098592</v>
      </c>
      <c r="AP28" s="165">
        <v>0</v>
      </c>
      <c r="AQ28" s="165">
        <v>0</v>
      </c>
      <c r="AR28" s="166">
        <v>0</v>
      </c>
      <c r="AS28" s="167">
        <f t="shared" si="5"/>
        <v>0</v>
      </c>
      <c r="AT28" s="163">
        <f>AP28*产品成本!$D$19+AQ28*产品成本!$D$20+AR28*产品成本!$D$21</f>
        <v>0</v>
      </c>
      <c r="AU28" s="163">
        <f>AP28*产品成本!$E$19+AQ28*产品成本!$E$20+AR28*产品成本!$E$21</f>
        <v>0</v>
      </c>
      <c r="AV28" s="163">
        <f>AP28*产品成本!$F$19+AQ28*产品成本!$F$20+AR28*产品成本!$F$21</f>
        <v>0</v>
      </c>
      <c r="AW28" s="163">
        <f>AP28*产品成本!$G$19+AQ28*产品成本!$G$20+AR28*产品成本!$G$21</f>
        <v>0</v>
      </c>
      <c r="AX28" s="163">
        <f t="shared" si="39"/>
        <v>0</v>
      </c>
      <c r="AY28" s="163">
        <f t="shared" si="40"/>
        <v>0</v>
      </c>
      <c r="AZ28" s="164">
        <f t="shared" si="41"/>
        <v>0</v>
      </c>
      <c r="BA28" s="168">
        <f t="shared" si="42"/>
        <v>29.0987183098592</v>
      </c>
      <c r="BB28" s="169">
        <f t="shared" si="43"/>
        <v>53.78</v>
      </c>
      <c r="BC28" s="168">
        <f t="shared" si="6"/>
        <v>53.78</v>
      </c>
      <c r="BD28" s="168">
        <f t="shared" si="7"/>
        <v>-17.8387183098592</v>
      </c>
      <c r="BE28" s="170">
        <f t="shared" si="44"/>
        <v>-0.331697997580126</v>
      </c>
    </row>
    <row r="29" ht="29.1" customHeight="1" spans="1:58">
      <c r="A29" s="61" t="s">
        <v>221</v>
      </c>
      <c r="B29" s="61" t="s">
        <v>222</v>
      </c>
      <c r="C29" s="90">
        <v>1</v>
      </c>
      <c r="D29" s="91">
        <v>1</v>
      </c>
      <c r="E29" s="64">
        <v>26.89</v>
      </c>
      <c r="F29" s="148">
        <v>0</v>
      </c>
      <c r="G29" s="148">
        <v>0</v>
      </c>
      <c r="H29" s="64">
        <v>0</v>
      </c>
      <c r="I29" s="64">
        <v>0</v>
      </c>
      <c r="J29" s="149">
        <v>0</v>
      </c>
      <c r="K29" s="150">
        <f t="shared" si="27"/>
        <v>0</v>
      </c>
      <c r="L29" s="151">
        <v>0</v>
      </c>
      <c r="M29" s="152">
        <f t="shared" si="28"/>
        <v>-0.5</v>
      </c>
      <c r="N29" s="150">
        <f t="shared" si="29"/>
        <v>-0.5</v>
      </c>
      <c r="O29" s="150">
        <f t="shared" si="30"/>
        <v>-0.5</v>
      </c>
      <c r="P29" s="153">
        <f t="shared" si="31"/>
        <v>1</v>
      </c>
      <c r="Q29" s="154">
        <f t="shared" si="32"/>
        <v>26.89</v>
      </c>
      <c r="R29" s="155">
        <f t="shared" si="33"/>
        <v>26.89</v>
      </c>
      <c r="S29" s="155">
        <f t="shared" si="34"/>
        <v>0.142857142857143</v>
      </c>
      <c r="T29" s="156">
        <f t="shared" si="35"/>
        <v>0</v>
      </c>
      <c r="U29" s="157">
        <f t="shared" si="36"/>
        <v>0</v>
      </c>
      <c r="V29" s="95">
        <f t="shared" si="37"/>
        <v>1.5771662328003</v>
      </c>
      <c r="W29" s="91">
        <v>7565</v>
      </c>
      <c r="X29" s="91">
        <v>45</v>
      </c>
      <c r="Y29" s="91">
        <v>1</v>
      </c>
      <c r="Z29" s="64">
        <v>42.41</v>
      </c>
      <c r="AA29" s="158">
        <v>26.9</v>
      </c>
      <c r="AB29" s="91">
        <v>0.94</v>
      </c>
      <c r="AC29" s="71">
        <f t="shared" si="38"/>
        <v>1.57657992565056</v>
      </c>
      <c r="AD29" s="72">
        <f t="shared" si="0"/>
        <v>0.00594844679444812</v>
      </c>
      <c r="AE29" s="159">
        <f t="shared" si="1"/>
        <v>0.0222222222222222</v>
      </c>
      <c r="AF29" s="154">
        <f t="shared" si="2"/>
        <v>42.41</v>
      </c>
      <c r="AG29" s="160">
        <v>1</v>
      </c>
      <c r="AH29" s="161">
        <v>0</v>
      </c>
      <c r="AI29" s="162">
        <v>0</v>
      </c>
      <c r="AJ29" s="163">
        <f>AG29*产品成本!$D$19+AH29*产品成本!$D$20+AI29*产品成本!$D$21</f>
        <v>3.52112676056338</v>
      </c>
      <c r="AK29" s="163">
        <f>AG29*产品成本!$E$19+AH29*产品成本!$E$20+AI29*产品成本!$E$21</f>
        <v>0.984732394366197</v>
      </c>
      <c r="AL29" s="163">
        <f>AG29*产品成本!$F$19+AH29*产品成本!$F$20+AI29*产品成本!$F$21</f>
        <v>0.49</v>
      </c>
      <c r="AM29" s="163">
        <f>AG29*产品成本!$G$19+AH29*产品成本!$G$20+AI29*产品成本!$G$21</f>
        <v>5.52</v>
      </c>
      <c r="AN29" s="163">
        <f t="shared" si="3"/>
        <v>4.0335</v>
      </c>
      <c r="AO29" s="164">
        <f t="shared" si="4"/>
        <v>14.5493591549296</v>
      </c>
      <c r="AP29" s="165">
        <v>0</v>
      </c>
      <c r="AQ29" s="165">
        <v>0</v>
      </c>
      <c r="AR29" s="166">
        <v>0</v>
      </c>
      <c r="AS29" s="167">
        <f t="shared" si="5"/>
        <v>0</v>
      </c>
      <c r="AT29" s="163">
        <f>AP29*产品成本!$D$19+AQ29*产品成本!$D$20+AR29*产品成本!$D$21</f>
        <v>0</v>
      </c>
      <c r="AU29" s="163">
        <f>AP29*产品成本!$E$19+AQ29*产品成本!$E$20+AR29*产品成本!$E$21</f>
        <v>0</v>
      </c>
      <c r="AV29" s="163">
        <f>AP29*产品成本!$F$19+AQ29*产品成本!$F$20+AR29*产品成本!$F$21</f>
        <v>0</v>
      </c>
      <c r="AW29" s="163">
        <f>AP29*产品成本!$G$19+AQ29*产品成本!$G$20+AR29*产品成本!$G$21</f>
        <v>0</v>
      </c>
      <c r="AX29" s="163">
        <f t="shared" si="39"/>
        <v>0</v>
      </c>
      <c r="AY29" s="163">
        <f t="shared" si="40"/>
        <v>0</v>
      </c>
      <c r="AZ29" s="164">
        <f t="shared" si="41"/>
        <v>0</v>
      </c>
      <c r="BA29" s="168">
        <f t="shared" si="42"/>
        <v>14.5493591549296</v>
      </c>
      <c r="BB29" s="169">
        <f t="shared" si="43"/>
        <v>26.89</v>
      </c>
      <c r="BC29" s="168">
        <f t="shared" si="6"/>
        <v>26.89</v>
      </c>
      <c r="BD29" s="168">
        <f t="shared" si="7"/>
        <v>-30.0693591549296</v>
      </c>
      <c r="BE29" s="170">
        <f t="shared" si="44"/>
        <v>-1.11823574395424</v>
      </c>
    </row>
    <row r="30" ht="29.1" customHeight="1" spans="1:58">
      <c r="A30" s="61" t="s">
        <v>223</v>
      </c>
      <c r="B30" s="61" t="s">
        <v>224</v>
      </c>
      <c r="C30" s="90">
        <v>4</v>
      </c>
      <c r="D30" s="91">
        <v>4</v>
      </c>
      <c r="E30" s="64">
        <v>121.31</v>
      </c>
      <c r="F30" s="148">
        <v>0</v>
      </c>
      <c r="G30" s="148">
        <v>0</v>
      </c>
      <c r="H30" s="64">
        <v>0</v>
      </c>
      <c r="I30" s="64">
        <v>0</v>
      </c>
      <c r="J30" s="149">
        <v>0</v>
      </c>
      <c r="K30" s="150">
        <f t="shared" si="27"/>
        <v>0</v>
      </c>
      <c r="L30" s="151">
        <v>0</v>
      </c>
      <c r="M30" s="152">
        <f t="shared" si="28"/>
        <v>3</v>
      </c>
      <c r="N30" s="150">
        <f t="shared" si="29"/>
        <v>3</v>
      </c>
      <c r="O30" s="150">
        <f t="shared" si="30"/>
        <v>3.511342506508</v>
      </c>
      <c r="P30" s="153">
        <f t="shared" si="31"/>
        <v>1</v>
      </c>
      <c r="Q30" s="154">
        <f t="shared" si="32"/>
        <v>30.3275</v>
      </c>
      <c r="R30" s="155">
        <f t="shared" si="33"/>
        <v>30.3275</v>
      </c>
      <c r="S30" s="155">
        <f t="shared" si="34"/>
        <v>0.571428571428571</v>
      </c>
      <c r="T30" s="156">
        <f t="shared" si="35"/>
        <v>0</v>
      </c>
      <c r="U30" s="157">
        <f t="shared" si="36"/>
        <v>0</v>
      </c>
      <c r="V30" s="95">
        <f t="shared" si="37"/>
        <v>0.301623938669524</v>
      </c>
      <c r="W30" s="91">
        <v>5577</v>
      </c>
      <c r="X30" s="91">
        <v>46</v>
      </c>
      <c r="Y30" s="91">
        <v>4</v>
      </c>
      <c r="Z30" s="64">
        <v>36.59</v>
      </c>
      <c r="AA30" s="158">
        <v>121.31</v>
      </c>
      <c r="AB30" s="91">
        <v>0.8</v>
      </c>
      <c r="AC30" s="71">
        <f t="shared" si="38"/>
        <v>0.301623938669524</v>
      </c>
      <c r="AD30" s="72">
        <f t="shared" si="0"/>
        <v>0.00824816209431594</v>
      </c>
      <c r="AE30" s="159">
        <f t="shared" si="1"/>
        <v>0.0869565217391304</v>
      </c>
      <c r="AF30" s="154">
        <f t="shared" si="2"/>
        <v>9.1475</v>
      </c>
      <c r="AG30" s="160">
        <v>1</v>
      </c>
      <c r="AH30" s="161">
        <v>2</v>
      </c>
      <c r="AI30" s="162">
        <v>1</v>
      </c>
      <c r="AJ30" s="163">
        <f>AG30*产品成本!$D$19+AH30*产品成本!$D$20+AI30*产品成本!$D$21</f>
        <v>28.169014084507</v>
      </c>
      <c r="AK30" s="163">
        <f>AG30*产品成本!$E$19+AH30*产品成本!$E$20+AI30*产品成本!$E$21</f>
        <v>7.87785915492957</v>
      </c>
      <c r="AL30" s="163">
        <f>AG30*产品成本!$F$19+AH30*产品成本!$F$20+AI30*产品成本!$F$21</f>
        <v>2.15</v>
      </c>
      <c r="AM30" s="163">
        <f>AG30*产品成本!$G$19+AH30*产品成本!$G$20+AI30*产品成本!$G$21</f>
        <v>25.18</v>
      </c>
      <c r="AN30" s="163">
        <f t="shared" si="3"/>
        <v>18.1965</v>
      </c>
      <c r="AO30" s="164">
        <f t="shared" si="4"/>
        <v>81.5733732394366</v>
      </c>
      <c r="AP30" s="165">
        <v>0</v>
      </c>
      <c r="AQ30" s="165">
        <v>0</v>
      </c>
      <c r="AR30" s="166">
        <v>0</v>
      </c>
      <c r="AS30" s="167">
        <f t="shared" si="5"/>
        <v>0</v>
      </c>
      <c r="AT30" s="163">
        <f>AP30*产品成本!$D$19+AQ30*产品成本!$D$20+AR30*产品成本!$D$21</f>
        <v>0</v>
      </c>
      <c r="AU30" s="163">
        <f>AP30*产品成本!$E$19+AQ30*产品成本!$E$20+AR30*产品成本!$E$21</f>
        <v>0</v>
      </c>
      <c r="AV30" s="163">
        <f>AP30*产品成本!$F$19+AQ30*产品成本!$F$20+AR30*产品成本!$F$21</f>
        <v>0</v>
      </c>
      <c r="AW30" s="163">
        <f>AP30*产品成本!$G$19+AQ30*产品成本!$G$20+AR30*产品成本!$G$21</f>
        <v>0</v>
      </c>
      <c r="AX30" s="163">
        <f t="shared" si="39"/>
        <v>0</v>
      </c>
      <c r="AY30" s="163">
        <f t="shared" si="40"/>
        <v>0</v>
      </c>
      <c r="AZ30" s="164">
        <f t="shared" si="41"/>
        <v>0</v>
      </c>
      <c r="BA30" s="168">
        <f t="shared" si="42"/>
        <v>81.5733732394366</v>
      </c>
      <c r="BB30" s="169">
        <f t="shared" si="43"/>
        <v>121.31</v>
      </c>
      <c r="BC30" s="168">
        <f t="shared" si="6"/>
        <v>121.31</v>
      </c>
      <c r="BD30" s="168">
        <f t="shared" si="7"/>
        <v>3.14662676056344</v>
      </c>
      <c r="BE30" s="170">
        <f t="shared" si="44"/>
        <v>0.0259387252540057</v>
      </c>
      <c r="BF30" t="s">
        <v>225</v>
      </c>
    </row>
    <row r="31" ht="29.1" customHeight="1" spans="1:58">
      <c r="A31" s="79" t="s">
        <v>226</v>
      </c>
      <c r="B31" s="80" t="s">
        <v>227</v>
      </c>
      <c r="C31" s="90">
        <v>2</v>
      </c>
      <c r="D31" s="91">
        <v>2</v>
      </c>
      <c r="E31" s="64">
        <v>48.65</v>
      </c>
      <c r="F31" s="148">
        <v>0</v>
      </c>
      <c r="G31" s="148">
        <v>0</v>
      </c>
      <c r="H31" s="64">
        <v>0</v>
      </c>
      <c r="I31" s="64">
        <v>0</v>
      </c>
      <c r="J31" s="149">
        <v>1</v>
      </c>
      <c r="K31" s="150">
        <f t="shared" si="27"/>
        <v>0.5</v>
      </c>
      <c r="L31" s="151">
        <v>11.9</v>
      </c>
      <c r="M31" s="152">
        <f t="shared" si="28"/>
        <v>-0.5</v>
      </c>
      <c r="N31" s="150">
        <f t="shared" si="29"/>
        <v>-0.5</v>
      </c>
      <c r="O31" s="150">
        <f t="shared" si="30"/>
        <v>-0.598961338718984</v>
      </c>
      <c r="P31" s="153">
        <f t="shared" si="31"/>
        <v>1</v>
      </c>
      <c r="Q31" s="154">
        <f t="shared" si="32"/>
        <v>24.325</v>
      </c>
      <c r="R31" s="155">
        <f t="shared" si="33"/>
        <v>24.325</v>
      </c>
      <c r="S31" s="155">
        <f t="shared" si="34"/>
        <v>0.285714285714286</v>
      </c>
      <c r="T31" s="156">
        <f t="shared" si="35"/>
        <v>1</v>
      </c>
      <c r="U31" s="157">
        <f t="shared" si="36"/>
        <v>0.5</v>
      </c>
      <c r="V31" s="95">
        <f t="shared" si="37"/>
        <v>1.28078108941418</v>
      </c>
      <c r="W31" s="91">
        <v>7479</v>
      </c>
      <c r="X31" s="91">
        <v>67</v>
      </c>
      <c r="Y31" s="91">
        <v>1</v>
      </c>
      <c r="Z31" s="64">
        <v>62.31</v>
      </c>
      <c r="AA31" s="158">
        <v>29.83</v>
      </c>
      <c r="AB31" s="91">
        <v>0.93</v>
      </c>
      <c r="AC31" s="71">
        <f t="shared" si="38"/>
        <v>2.08883674153537</v>
      </c>
      <c r="AD31" s="72">
        <f t="shared" si="0"/>
        <v>0.00895841690065517</v>
      </c>
      <c r="AE31" s="159">
        <f t="shared" si="1"/>
        <v>0.0149253731343284</v>
      </c>
      <c r="AF31" s="154">
        <f t="shared" si="2"/>
        <v>62.31</v>
      </c>
      <c r="AG31" s="160">
        <v>1</v>
      </c>
      <c r="AH31" s="161">
        <v>1</v>
      </c>
      <c r="AI31" s="162">
        <v>0</v>
      </c>
      <c r="AJ31" s="163">
        <f>AG31*产品成本!$D$19+AH31*产品成本!$D$20+AI31*产品成本!$D$21</f>
        <v>10.5633802816901</v>
      </c>
      <c r="AK31" s="163">
        <f>AG31*产品成本!$E$19+AH31*产品成本!$E$20+AI31*产品成本!$E$21</f>
        <v>2.95419718309859</v>
      </c>
      <c r="AL31" s="163">
        <f>AG31*产品成本!$F$19+AH31*产品成本!$F$20+AI31*产品成本!$F$21</f>
        <v>0.98</v>
      </c>
      <c r="AM31" s="163">
        <f>AG31*产品成本!$G$19+AH31*产品成本!$G$20+AI31*产品成本!$G$21</f>
        <v>11.73</v>
      </c>
      <c r="AN31" s="163">
        <f t="shared" si="3"/>
        <v>7.2975</v>
      </c>
      <c r="AO31" s="164">
        <f t="shared" si="4"/>
        <v>33.5250774647887</v>
      </c>
      <c r="AP31" s="165">
        <v>1</v>
      </c>
      <c r="AQ31" s="165">
        <v>0</v>
      </c>
      <c r="AR31" s="166">
        <v>0</v>
      </c>
      <c r="AS31" s="167">
        <f t="shared" si="5"/>
        <v>14.5121951219512</v>
      </c>
      <c r="AT31" s="163">
        <f>AP31*产品成本!$D$19+AQ31*产品成本!$D$20+AR31*产品成本!$D$21</f>
        <v>3.52112676056338</v>
      </c>
      <c r="AU31" s="163">
        <f>AP31*产品成本!$E$19+AQ31*产品成本!$E$20+AR31*产品成本!$E$21</f>
        <v>0.984732394366197</v>
      </c>
      <c r="AV31" s="163">
        <f>AP31*产品成本!$F$19+AQ31*产品成本!$F$20+AR31*产品成本!$F$21</f>
        <v>0.49</v>
      </c>
      <c r="AW31" s="163">
        <f>AP31*产品成本!$G$19+AQ31*产品成本!$G$20+AR31*产品成本!$G$21</f>
        <v>5.52</v>
      </c>
      <c r="AX31" s="163">
        <f t="shared" si="39"/>
        <v>2.17682926829268</v>
      </c>
      <c r="AY31" s="163">
        <f t="shared" si="40"/>
        <v>-0.435365853658537</v>
      </c>
      <c r="AZ31" s="164">
        <f t="shared" si="41"/>
        <v>12.2573225695637</v>
      </c>
      <c r="BA31" s="168">
        <f t="shared" si="42"/>
        <v>21.267754895225</v>
      </c>
      <c r="BB31" s="169">
        <f t="shared" si="43"/>
        <v>48.65</v>
      </c>
      <c r="BC31" s="168">
        <f t="shared" si="6"/>
        <v>34.1378048780488</v>
      </c>
      <c r="BD31" s="168">
        <f t="shared" si="7"/>
        <v>-49.4399500171762</v>
      </c>
      <c r="BE31" s="170">
        <f t="shared" si="44"/>
        <v>-1.44824631208104</v>
      </c>
      <c r="BF31" s="172" t="s">
        <v>415</v>
      </c>
    </row>
    <row r="32" ht="29.1" customHeight="1" spans="1:58">
      <c r="A32" s="61" t="s">
        <v>228</v>
      </c>
      <c r="B32" s="81" t="s">
        <v>229</v>
      </c>
      <c r="C32" s="90">
        <v>15</v>
      </c>
      <c r="D32" s="91">
        <v>14</v>
      </c>
      <c r="E32" s="64">
        <v>239.55</v>
      </c>
      <c r="F32" s="148">
        <v>0</v>
      </c>
      <c r="G32" s="148">
        <v>0</v>
      </c>
      <c r="H32" s="64">
        <v>0</v>
      </c>
      <c r="I32" s="64">
        <v>0</v>
      </c>
      <c r="J32" s="149">
        <v>1</v>
      </c>
      <c r="K32" s="150">
        <f t="shared" si="27"/>
        <v>0.0666666666666667</v>
      </c>
      <c r="L32" s="151">
        <v>40.58</v>
      </c>
      <c r="M32" s="152">
        <f t="shared" si="28"/>
        <v>6.5</v>
      </c>
      <c r="N32" s="150">
        <f t="shared" si="29"/>
        <v>6</v>
      </c>
      <c r="O32" s="150">
        <f t="shared" si="30"/>
        <v>3.92394655704008</v>
      </c>
      <c r="P32" s="153">
        <f t="shared" si="31"/>
        <v>1.07142857142857</v>
      </c>
      <c r="Q32" s="154">
        <f t="shared" si="32"/>
        <v>17.1107142857143</v>
      </c>
      <c r="R32" s="155">
        <f t="shared" si="33"/>
        <v>15.97</v>
      </c>
      <c r="S32" s="155">
        <f t="shared" si="34"/>
        <v>2.14285714285714</v>
      </c>
      <c r="T32" s="156">
        <f t="shared" si="35"/>
        <v>5</v>
      </c>
      <c r="U32" s="157">
        <f t="shared" si="36"/>
        <v>0.357142857142857</v>
      </c>
      <c r="V32" s="95">
        <f t="shared" si="37"/>
        <v>0.459361302442079</v>
      </c>
      <c r="W32" s="91">
        <v>13319</v>
      </c>
      <c r="X32" s="91">
        <v>115</v>
      </c>
      <c r="Y32" s="91">
        <v>9</v>
      </c>
      <c r="Z32" s="64">
        <v>110.04</v>
      </c>
      <c r="AA32" s="158">
        <v>161.98</v>
      </c>
      <c r="AB32" s="91">
        <v>0.96</v>
      </c>
      <c r="AC32" s="71">
        <f t="shared" si="38"/>
        <v>0.679343128781331</v>
      </c>
      <c r="AD32" s="72">
        <f t="shared" si="0"/>
        <v>0.00863428185299197</v>
      </c>
      <c r="AE32" s="159">
        <f t="shared" si="1"/>
        <v>0.0782608695652174</v>
      </c>
      <c r="AF32" s="154">
        <f t="shared" si="2"/>
        <v>12.2266666666667</v>
      </c>
      <c r="AG32" s="160">
        <v>12</v>
      </c>
      <c r="AH32" s="161">
        <v>1</v>
      </c>
      <c r="AI32" s="162">
        <v>2</v>
      </c>
      <c r="AJ32" s="163">
        <f>AG32*产品成本!$D$19+AH32*产品成本!$D$20+AI32*产品成本!$D$21</f>
        <v>70.4225352112675</v>
      </c>
      <c r="AK32" s="163">
        <f>AG32*产品成本!$E$19+AH32*产品成本!$E$20+AI32*产品成本!$E$21</f>
        <v>19.6946478873239</v>
      </c>
      <c r="AL32" s="163">
        <f>AG32*产品成本!$F$19+AH32*产品成本!$F$20+AI32*产品成本!$F$21</f>
        <v>7.73</v>
      </c>
      <c r="AM32" s="163">
        <f>AG32*产品成本!$G$19+AH32*产品成本!$G$20+AI32*产品成本!$G$21</f>
        <v>86.93</v>
      </c>
      <c r="AN32" s="163">
        <f t="shared" si="3"/>
        <v>35.9325</v>
      </c>
      <c r="AO32" s="164">
        <f t="shared" si="4"/>
        <v>220.709683098591</v>
      </c>
      <c r="AP32" s="165">
        <v>0</v>
      </c>
      <c r="AQ32" s="165">
        <v>0</v>
      </c>
      <c r="AR32" s="166">
        <v>1</v>
      </c>
      <c r="AS32" s="167">
        <f t="shared" si="5"/>
        <v>49.4878048780488</v>
      </c>
      <c r="AT32" s="163">
        <f>AP32*产品成本!$D$19+AQ32*产品成本!$D$20+AR32*产品成本!$D$21</f>
        <v>10.5633802816901</v>
      </c>
      <c r="AU32" s="163">
        <f>AP32*产品成本!$E$19+AQ32*产品成本!$E$20+AR32*产品成本!$E$21</f>
        <v>2.95419718309859</v>
      </c>
      <c r="AV32" s="163">
        <f>AP32*产品成本!$F$19+AQ32*产品成本!$F$20+AR32*产品成本!$F$21</f>
        <v>0.68</v>
      </c>
      <c r="AW32" s="163">
        <f>AP32*产品成本!$G$19+AQ32*产品成本!$G$20+AR32*产品成本!$G$21</f>
        <v>7.24</v>
      </c>
      <c r="AX32" s="163">
        <f t="shared" si="39"/>
        <v>7.42317073170732</v>
      </c>
      <c r="AY32" s="163">
        <f t="shared" si="40"/>
        <v>-1.48463414634146</v>
      </c>
      <c r="AZ32" s="164">
        <f t="shared" si="41"/>
        <v>27.3761140501545</v>
      </c>
      <c r="BA32" s="168">
        <f t="shared" si="42"/>
        <v>193.333569048437</v>
      </c>
      <c r="BB32" s="169">
        <f t="shared" si="43"/>
        <v>239.55</v>
      </c>
      <c r="BC32" s="168">
        <f t="shared" si="6"/>
        <v>190.062195121951</v>
      </c>
      <c r="BD32" s="168">
        <f t="shared" si="7"/>
        <v>-113.311373926486</v>
      </c>
      <c r="BE32" s="170">
        <f t="shared" si="44"/>
        <v>-0.596180496883037</v>
      </c>
      <c r="BF32" s="172" t="s">
        <v>416</v>
      </c>
    </row>
    <row r="33" ht="29.1" customHeight="1" spans="1:59">
      <c r="A33" s="61" t="s">
        <v>230</v>
      </c>
      <c r="B33" s="81" t="s">
        <v>231</v>
      </c>
      <c r="C33" s="90">
        <v>8</v>
      </c>
      <c r="D33" s="91">
        <v>8</v>
      </c>
      <c r="E33" s="64">
        <v>184.1</v>
      </c>
      <c r="F33" s="148">
        <v>0</v>
      </c>
      <c r="G33" s="148">
        <v>0</v>
      </c>
      <c r="H33" s="64">
        <v>0</v>
      </c>
      <c r="I33" s="64">
        <v>0</v>
      </c>
      <c r="J33" s="149">
        <v>0</v>
      </c>
      <c r="K33" s="150">
        <f t="shared" si="27"/>
        <v>0</v>
      </c>
      <c r="L33" s="151">
        <v>0</v>
      </c>
      <c r="M33" s="152">
        <f t="shared" si="28"/>
        <v>-0.466666666666667</v>
      </c>
      <c r="N33" s="150">
        <f t="shared" si="29"/>
        <v>-0.428571428571429</v>
      </c>
      <c r="O33" s="150">
        <f t="shared" si="30"/>
        <v>-0.231475683573367</v>
      </c>
      <c r="P33" s="153">
        <f t="shared" si="31"/>
        <v>1</v>
      </c>
      <c r="Q33" s="154">
        <f t="shared" si="32"/>
        <v>23.0125</v>
      </c>
      <c r="R33" s="155">
        <f t="shared" si="33"/>
        <v>23.0125</v>
      </c>
      <c r="S33" s="155">
        <f t="shared" si="34"/>
        <v>1.14285714285714</v>
      </c>
      <c r="T33" s="156">
        <f t="shared" si="35"/>
        <v>3</v>
      </c>
      <c r="U33" s="157">
        <f t="shared" si="36"/>
        <v>0.375</v>
      </c>
      <c r="V33" s="95">
        <f t="shared" si="37"/>
        <v>0.573384030418251</v>
      </c>
      <c r="W33" s="91">
        <v>14747</v>
      </c>
      <c r="X33" s="91">
        <v>118</v>
      </c>
      <c r="Y33" s="91">
        <v>5</v>
      </c>
      <c r="Z33" s="64">
        <v>105.56</v>
      </c>
      <c r="AA33" s="158">
        <v>122.73</v>
      </c>
      <c r="AB33" s="91">
        <v>0.89</v>
      </c>
      <c r="AC33" s="71">
        <f t="shared" si="38"/>
        <v>0.860099405198403</v>
      </c>
      <c r="AD33" s="72">
        <f t="shared" si="0"/>
        <v>0.00800162744965078</v>
      </c>
      <c r="AE33" s="159">
        <f t="shared" si="1"/>
        <v>0.0423728813559322</v>
      </c>
      <c r="AF33" s="154">
        <f t="shared" si="2"/>
        <v>21.112</v>
      </c>
      <c r="AG33" s="160">
        <v>3</v>
      </c>
      <c r="AH33" s="161">
        <v>0</v>
      </c>
      <c r="AI33" s="162">
        <v>5</v>
      </c>
      <c r="AJ33" s="163">
        <f>AG33*产品成本!$D$19+AH33*产品成本!$D$20+AI33*产品成本!$D$21</f>
        <v>63.3802816901406</v>
      </c>
      <c r="AK33" s="163">
        <f>AG33*产品成本!$E$19+AH33*产品成本!$E$20+AI33*产品成本!$E$21</f>
        <v>17.7251830985915</v>
      </c>
      <c r="AL33" s="163">
        <f>AG33*产品成本!$F$19+AH33*产品成本!$F$20+AI33*产品成本!$F$21</f>
        <v>4.87</v>
      </c>
      <c r="AM33" s="163">
        <f>AG33*产品成本!$G$19+AH33*产品成本!$G$20+AI33*产品成本!$G$21</f>
        <v>52.76</v>
      </c>
      <c r="AN33" s="163">
        <f t="shared" si="3"/>
        <v>27.615</v>
      </c>
      <c r="AO33" s="164">
        <f t="shared" si="4"/>
        <v>166.350464788732</v>
      </c>
      <c r="AP33" s="165">
        <v>0</v>
      </c>
      <c r="AQ33" s="165">
        <v>0</v>
      </c>
      <c r="AR33" s="166">
        <v>0</v>
      </c>
      <c r="AS33" s="167">
        <f t="shared" si="5"/>
        <v>0</v>
      </c>
      <c r="AT33" s="163">
        <f>AP33*产品成本!$D$19+AQ33*产品成本!$D$20+AR33*产品成本!$D$21</f>
        <v>0</v>
      </c>
      <c r="AU33" s="163">
        <f>AP33*产品成本!$E$19+AQ33*产品成本!$E$20+AR33*产品成本!$E$21</f>
        <v>0</v>
      </c>
      <c r="AV33" s="163">
        <f>AP33*产品成本!$F$19+AQ33*产品成本!$F$20+AR33*产品成本!$F$21</f>
        <v>0</v>
      </c>
      <c r="AW33" s="163">
        <f>AP33*产品成本!$G$19+AQ33*产品成本!$G$20+AR33*产品成本!$G$21</f>
        <v>0</v>
      </c>
      <c r="AX33" s="163">
        <f t="shared" si="39"/>
        <v>0</v>
      </c>
      <c r="AY33" s="163">
        <f t="shared" si="40"/>
        <v>0</v>
      </c>
      <c r="AZ33" s="164">
        <f t="shared" si="41"/>
        <v>0</v>
      </c>
      <c r="BA33" s="168">
        <f t="shared" si="42"/>
        <v>166.350464788732</v>
      </c>
      <c r="BB33" s="169">
        <f t="shared" si="43"/>
        <v>184.1</v>
      </c>
      <c r="BC33" s="168">
        <f t="shared" si="6"/>
        <v>184.1</v>
      </c>
      <c r="BD33" s="168">
        <f t="shared" si="7"/>
        <v>-87.8104647887322</v>
      </c>
      <c r="BE33" s="170">
        <f t="shared" si="44"/>
        <v>-0.476971563219621</v>
      </c>
      <c r="BF33" s="172" t="s">
        <v>417</v>
      </c>
    </row>
    <row r="34" ht="29.1" customHeight="1" spans="1:59">
      <c r="A34" s="61" t="s">
        <v>232</v>
      </c>
      <c r="B34" s="81" t="s">
        <v>233</v>
      </c>
      <c r="C34" s="90">
        <v>10</v>
      </c>
      <c r="D34" s="91">
        <v>10</v>
      </c>
      <c r="E34" s="64">
        <v>157</v>
      </c>
      <c r="F34" s="148">
        <v>1</v>
      </c>
      <c r="G34" s="148">
        <v>1</v>
      </c>
      <c r="H34" s="64">
        <v>28.75</v>
      </c>
      <c r="I34" s="64">
        <v>4.31</v>
      </c>
      <c r="J34" s="149">
        <v>1</v>
      </c>
      <c r="K34" s="150">
        <f t="shared" si="27"/>
        <v>0.1</v>
      </c>
      <c r="L34" s="151">
        <v>11.83</v>
      </c>
      <c r="M34" s="152">
        <f t="shared" si="28"/>
        <v>0.25</v>
      </c>
      <c r="N34" s="150">
        <f t="shared" si="29"/>
        <v>0.25</v>
      </c>
      <c r="O34" s="150">
        <f t="shared" si="30"/>
        <v>-0.147202607278653</v>
      </c>
      <c r="P34" s="153">
        <f t="shared" si="31"/>
        <v>1</v>
      </c>
      <c r="Q34" s="154">
        <f t="shared" si="32"/>
        <v>15.7</v>
      </c>
      <c r="R34" s="155">
        <f t="shared" si="33"/>
        <v>15.7</v>
      </c>
      <c r="S34" s="155">
        <f t="shared" si="34"/>
        <v>1.42857142857143</v>
      </c>
      <c r="T34" s="156">
        <f t="shared" si="35"/>
        <v>1</v>
      </c>
      <c r="U34" s="157">
        <f t="shared" si="36"/>
        <v>0.1</v>
      </c>
      <c r="V34" s="95">
        <f t="shared" si="37"/>
        <v>0.958608946230925</v>
      </c>
      <c r="W34" s="91">
        <v>19044</v>
      </c>
      <c r="X34" s="91">
        <v>164</v>
      </c>
      <c r="Y34" s="91">
        <v>9</v>
      </c>
      <c r="Z34" s="64">
        <v>146.37</v>
      </c>
      <c r="AA34" s="158">
        <v>143.55</v>
      </c>
      <c r="AB34" s="91">
        <v>0.89</v>
      </c>
      <c r="AC34" s="71">
        <f t="shared" si="38"/>
        <v>1.019644723093</v>
      </c>
      <c r="AD34" s="72">
        <f t="shared" si="0"/>
        <v>0.00861163621088007</v>
      </c>
      <c r="AE34" s="159">
        <f t="shared" si="1"/>
        <v>0.0548780487804878</v>
      </c>
      <c r="AF34" s="154">
        <f t="shared" si="2"/>
        <v>16.2633333333333</v>
      </c>
      <c r="AG34" s="160">
        <v>8</v>
      </c>
      <c r="AH34" s="161">
        <v>1</v>
      </c>
      <c r="AI34" s="162">
        <v>1</v>
      </c>
      <c r="AJ34" s="163">
        <f>AG34*产品成本!$D$19+AH34*产品成本!$D$20+AI34*产品成本!$D$21</f>
        <v>45.7746478873239</v>
      </c>
      <c r="AK34" s="163">
        <f>AG34*产品成本!$E$19+AH34*产品成本!$E$20+AI34*产品成本!$E$21</f>
        <v>12.8015211267606</v>
      </c>
      <c r="AL34" s="163">
        <f>AG34*产品成本!$F$19+AH34*产品成本!$F$20+AI34*产品成本!$F$21</f>
        <v>5.09</v>
      </c>
      <c r="AM34" s="163">
        <f>AG34*产品成本!$G$19+AH34*产品成本!$G$20+AI34*产品成本!$G$21</f>
        <v>57.61</v>
      </c>
      <c r="AN34" s="163">
        <f t="shared" si="3"/>
        <v>22.9035</v>
      </c>
      <c r="AO34" s="164">
        <f t="shared" si="4"/>
        <v>144.179669014084</v>
      </c>
      <c r="AP34" s="165">
        <v>1</v>
      </c>
      <c r="AQ34" s="165">
        <v>0</v>
      </c>
      <c r="AR34" s="166">
        <v>0</v>
      </c>
      <c r="AS34" s="167">
        <f t="shared" si="5"/>
        <v>14.4268292682927</v>
      </c>
      <c r="AT34" s="163">
        <f>AP34*产品成本!$D$19+AQ34*产品成本!$D$20+AR34*产品成本!$D$21</f>
        <v>3.52112676056338</v>
      </c>
      <c r="AU34" s="163">
        <f>AP34*产品成本!$E$19+AQ34*产品成本!$E$20+AR34*产品成本!$E$21</f>
        <v>0.984732394366197</v>
      </c>
      <c r="AV34" s="163">
        <f>AP34*产品成本!$F$19+AQ34*产品成本!$F$20+AR34*产品成本!$F$21</f>
        <v>0.49</v>
      </c>
      <c r="AW34" s="163">
        <f>AP34*产品成本!$G$19+AQ34*产品成本!$G$20+AR34*产品成本!$G$21</f>
        <v>5.52</v>
      </c>
      <c r="AX34" s="163">
        <f t="shared" si="39"/>
        <v>2.1640243902439</v>
      </c>
      <c r="AY34" s="163">
        <f t="shared" si="40"/>
        <v>-0.432804878048781</v>
      </c>
      <c r="AZ34" s="164">
        <f t="shared" si="41"/>
        <v>12.2470786671247</v>
      </c>
      <c r="BA34" s="168">
        <f t="shared" si="42"/>
        <v>131.93259034696</v>
      </c>
      <c r="BB34" s="169">
        <f t="shared" si="43"/>
        <v>152.69</v>
      </c>
      <c r="BC34" s="168">
        <f t="shared" si="6"/>
        <v>138.263170731707</v>
      </c>
      <c r="BD34" s="168">
        <f t="shared" si="7"/>
        <v>-140.039419615252</v>
      </c>
      <c r="BE34" s="170">
        <f t="shared" si="44"/>
        <v>-1.01284686930109</v>
      </c>
      <c r="BF34" s="172" t="s">
        <v>417</v>
      </c>
    </row>
    <row r="35" ht="29.1" customHeight="1" spans="1:59">
      <c r="A35" s="61" t="s">
        <v>236</v>
      </c>
      <c r="B35" s="81" t="s">
        <v>237</v>
      </c>
      <c r="C35" s="90">
        <v>18</v>
      </c>
      <c r="D35" s="91">
        <v>17</v>
      </c>
      <c r="E35" s="64">
        <v>340.2</v>
      </c>
      <c r="F35" s="148">
        <v>0</v>
      </c>
      <c r="G35" s="148">
        <v>0</v>
      </c>
      <c r="H35" s="64">
        <v>0</v>
      </c>
      <c r="I35" s="64">
        <v>0</v>
      </c>
      <c r="J35" s="149">
        <v>0</v>
      </c>
      <c r="K35" s="150">
        <f t="shared" si="27"/>
        <v>0</v>
      </c>
      <c r="L35" s="151">
        <v>0</v>
      </c>
      <c r="M35" s="152">
        <f t="shared" si="28"/>
        <v>0.8</v>
      </c>
      <c r="N35" s="150">
        <f t="shared" si="29"/>
        <v>0.7</v>
      </c>
      <c r="O35" s="150">
        <f t="shared" si="30"/>
        <v>1.16687898089172</v>
      </c>
      <c r="P35" s="153">
        <f t="shared" si="31"/>
        <v>1.05882352941176</v>
      </c>
      <c r="Q35" s="154">
        <f t="shared" si="32"/>
        <v>20.0117647058824</v>
      </c>
      <c r="R35" s="155">
        <f t="shared" si="33"/>
        <v>18.9</v>
      </c>
      <c r="S35" s="155">
        <f t="shared" si="34"/>
        <v>2.57142857142857</v>
      </c>
      <c r="T35" s="156">
        <f t="shared" si="35"/>
        <v>3</v>
      </c>
      <c r="U35" s="157">
        <f t="shared" si="36"/>
        <v>0.176470588235294</v>
      </c>
      <c r="V35" s="95">
        <f t="shared" si="37"/>
        <v>0.455144032921811</v>
      </c>
      <c r="W35" s="91">
        <v>23652</v>
      </c>
      <c r="X35" s="91">
        <v>169</v>
      </c>
      <c r="Y35" s="91">
        <v>14</v>
      </c>
      <c r="Z35" s="64">
        <v>154.84</v>
      </c>
      <c r="AA35" s="158">
        <v>278.84</v>
      </c>
      <c r="AB35" s="91">
        <v>0.92</v>
      </c>
      <c r="AC35" s="71">
        <f t="shared" si="38"/>
        <v>0.555300530770334</v>
      </c>
      <c r="AD35" s="72">
        <f t="shared" si="0"/>
        <v>0.00714527312700829</v>
      </c>
      <c r="AE35" s="159">
        <f t="shared" si="1"/>
        <v>0.0828402366863905</v>
      </c>
      <c r="AF35" s="154">
        <f t="shared" si="2"/>
        <v>11.06</v>
      </c>
      <c r="AG35" s="160">
        <v>10</v>
      </c>
      <c r="AH35" s="161">
        <v>3</v>
      </c>
      <c r="AI35" s="162">
        <v>5</v>
      </c>
      <c r="AJ35" s="163">
        <f>AG35*产品成本!$D$19+AH35*产品成本!$D$20+AI35*产品成本!$D$21</f>
        <v>109.154929577465</v>
      </c>
      <c r="AK35" s="163">
        <f>AG35*产品成本!$E$19+AH35*产品成本!$E$20+AI35*产品成本!$E$21</f>
        <v>30.5267042253521</v>
      </c>
      <c r="AL35" s="163">
        <f>AG35*产品成本!$F$19+AH35*产品成本!$F$20+AI35*产品成本!$F$21</f>
        <v>9.77</v>
      </c>
      <c r="AM35" s="163">
        <f>AG35*产品成本!$G$19+AH35*产品成本!$G$20+AI35*产品成本!$G$21</f>
        <v>110.03</v>
      </c>
      <c r="AN35" s="163">
        <f t="shared" si="3"/>
        <v>51.03</v>
      </c>
      <c r="AO35" s="164">
        <f t="shared" si="4"/>
        <v>310.511633802817</v>
      </c>
      <c r="AP35" s="165">
        <v>0</v>
      </c>
      <c r="AQ35" s="165">
        <v>0</v>
      </c>
      <c r="AR35" s="166">
        <v>0</v>
      </c>
      <c r="AS35" s="167">
        <f t="shared" si="5"/>
        <v>0</v>
      </c>
      <c r="AT35" s="163">
        <f>AP35*产品成本!$D$19+AQ35*产品成本!$D$20+AR35*产品成本!$D$21</f>
        <v>0</v>
      </c>
      <c r="AU35" s="163">
        <f>AP35*产品成本!$E$19+AQ35*产品成本!$E$20+AR35*产品成本!$E$21</f>
        <v>0</v>
      </c>
      <c r="AV35" s="163">
        <f>AP35*产品成本!$F$19+AQ35*产品成本!$F$20+AR35*产品成本!$F$21</f>
        <v>0</v>
      </c>
      <c r="AW35" s="163">
        <f>AP35*产品成本!$G$19+AQ35*产品成本!$G$20+AR35*产品成本!$G$21</f>
        <v>0</v>
      </c>
      <c r="AX35" s="163">
        <f t="shared" si="39"/>
        <v>0</v>
      </c>
      <c r="AY35" s="163">
        <f t="shared" si="40"/>
        <v>0</v>
      </c>
      <c r="AZ35" s="164">
        <f t="shared" si="41"/>
        <v>0</v>
      </c>
      <c r="BA35" s="168">
        <f t="shared" si="42"/>
        <v>310.511633802817</v>
      </c>
      <c r="BB35" s="169">
        <f t="shared" si="43"/>
        <v>340.2</v>
      </c>
      <c r="BC35" s="168">
        <f t="shared" si="6"/>
        <v>340.2</v>
      </c>
      <c r="BD35" s="168">
        <f t="shared" si="7"/>
        <v>-125.151633802817</v>
      </c>
      <c r="BE35" s="170">
        <f t="shared" si="44"/>
        <v>-0.367876642571477</v>
      </c>
      <c r="BF35" s="172" t="s">
        <v>417</v>
      </c>
    </row>
    <row r="36" ht="29.1" customHeight="1" spans="1:59">
      <c r="A36" s="61" t="s">
        <v>240</v>
      </c>
      <c r="B36" s="81" t="s">
        <v>241</v>
      </c>
      <c r="C36" s="90">
        <v>17</v>
      </c>
      <c r="D36" s="91">
        <v>9</v>
      </c>
      <c r="E36" s="64">
        <v>235.85</v>
      </c>
      <c r="F36" s="148">
        <v>3</v>
      </c>
      <c r="G36" s="148">
        <v>3</v>
      </c>
      <c r="H36" s="64">
        <v>47.55</v>
      </c>
      <c r="I36" s="64">
        <v>4.77</v>
      </c>
      <c r="J36" s="149">
        <v>2</v>
      </c>
      <c r="K36" s="150">
        <f t="shared" si="27"/>
        <v>0.117647058823529</v>
      </c>
      <c r="L36" s="151">
        <v>30</v>
      </c>
      <c r="M36" s="152">
        <f t="shared" si="28"/>
        <v>-0.0555555555555556</v>
      </c>
      <c r="N36" s="150">
        <f t="shared" si="29"/>
        <v>-0.470588235294118</v>
      </c>
      <c r="O36" s="150">
        <f t="shared" si="30"/>
        <v>-0.306731334509112</v>
      </c>
      <c r="P36" s="153">
        <f t="shared" si="31"/>
        <v>1.88888888888889</v>
      </c>
      <c r="Q36" s="154">
        <f t="shared" si="32"/>
        <v>26.2055555555556</v>
      </c>
      <c r="R36" s="155">
        <f t="shared" si="33"/>
        <v>13.8735294117647</v>
      </c>
      <c r="S36" s="155">
        <f t="shared" si="34"/>
        <v>2.42857142857143</v>
      </c>
      <c r="T36" s="156">
        <f t="shared" si="35"/>
        <v>2</v>
      </c>
      <c r="U36" s="157">
        <f t="shared" si="36"/>
        <v>0.222222222222222</v>
      </c>
      <c r="V36" s="95">
        <f t="shared" si="37"/>
        <v>0.526181409035832</v>
      </c>
      <c r="W36" s="91">
        <v>19003</v>
      </c>
      <c r="X36" s="91">
        <v>135</v>
      </c>
      <c r="Y36" s="91">
        <v>7</v>
      </c>
      <c r="Z36" s="64">
        <v>121.59</v>
      </c>
      <c r="AA36" s="158">
        <v>208.95</v>
      </c>
      <c r="AB36" s="173" t="s">
        <v>418</v>
      </c>
      <c r="AC36" s="71">
        <f t="shared" si="38"/>
        <v>0.581909547738694</v>
      </c>
      <c r="AD36" s="72">
        <f t="shared" si="0"/>
        <v>0.00710414145134979</v>
      </c>
      <c r="AE36" s="159">
        <f t="shared" si="1"/>
        <v>0.0518518518518519</v>
      </c>
      <c r="AF36" s="154">
        <f t="shared" si="2"/>
        <v>17.37</v>
      </c>
      <c r="AG36" s="160">
        <v>16</v>
      </c>
      <c r="AH36" s="161">
        <v>1</v>
      </c>
      <c r="AI36" s="162">
        <v>0</v>
      </c>
      <c r="AJ36" s="163">
        <f>AG36*产品成本!$D$19+AH36*产品成本!$D$20+AI36*产品成本!$D$21</f>
        <v>63.3802816901408</v>
      </c>
      <c r="AK36" s="163">
        <f>AG36*产品成本!$E$19+AH36*产品成本!$E$20+AI36*产品成本!$E$21</f>
        <v>17.7251830985915</v>
      </c>
      <c r="AL36" s="163">
        <f>AG36*产品成本!$F$19+AH36*产品成本!$F$20+AI36*产品成本!$F$21</f>
        <v>8.33</v>
      </c>
      <c r="AM36" s="163">
        <f>AG36*产品成本!$G$19+AH36*产品成本!$G$20+AI36*产品成本!$G$21</f>
        <v>94.53</v>
      </c>
      <c r="AN36" s="163">
        <f t="shared" si="3"/>
        <v>34.662</v>
      </c>
      <c r="AO36" s="164">
        <f t="shared" si="4"/>
        <v>218.627464788732</v>
      </c>
      <c r="AP36" s="165">
        <v>1</v>
      </c>
      <c r="AQ36" s="165">
        <v>1</v>
      </c>
      <c r="AR36" s="166">
        <v>0</v>
      </c>
      <c r="AS36" s="167">
        <f t="shared" si="5"/>
        <v>36.5853658536585</v>
      </c>
      <c r="AT36" s="163">
        <f>AP36*产品成本!$D$19+AQ36*产品成本!$D$20+AR36*产品成本!$D$21</f>
        <v>10.5633802816901</v>
      </c>
      <c r="AU36" s="163">
        <f>AP36*产品成本!$E$19+AQ36*产品成本!$E$20+AR36*产品成本!$E$21</f>
        <v>2.95419718309859</v>
      </c>
      <c r="AV36" s="163">
        <f>AP36*产品成本!$F$19+AQ36*产品成本!$F$20+AR36*产品成本!$F$21</f>
        <v>0.98</v>
      </c>
      <c r="AW36" s="163">
        <f>AP36*产品成本!$G$19+AQ36*产品成本!$G$20+AR36*产品成本!$G$21</f>
        <v>11.73</v>
      </c>
      <c r="AX36" s="163">
        <f t="shared" si="39"/>
        <v>5.48780487804878</v>
      </c>
      <c r="AY36" s="163">
        <f t="shared" si="40"/>
        <v>-1.09756097560976</v>
      </c>
      <c r="AZ36" s="164">
        <f t="shared" si="41"/>
        <v>30.6178213672278</v>
      </c>
      <c r="BA36" s="168">
        <f t="shared" si="42"/>
        <v>188.009643421505</v>
      </c>
      <c r="BB36" s="169">
        <f t="shared" si="43"/>
        <v>231.08</v>
      </c>
      <c r="BC36" s="168">
        <f t="shared" si="6"/>
        <v>194.494634146341</v>
      </c>
      <c r="BD36" s="168">
        <f t="shared" si="7"/>
        <v>-115.105009275163</v>
      </c>
      <c r="BE36" s="170">
        <f t="shared" si="44"/>
        <v>-0.591815860526805</v>
      </c>
      <c r="BF36" s="172" t="s">
        <v>417</v>
      </c>
    </row>
    <row r="37" ht="29.1" customHeight="1" spans="1:59">
      <c r="A37" s="61" t="s">
        <v>244</v>
      </c>
      <c r="B37" s="81" t="s">
        <v>245</v>
      </c>
      <c r="C37" s="90">
        <v>16</v>
      </c>
      <c r="D37" s="91">
        <v>15</v>
      </c>
      <c r="E37" s="64">
        <v>260.2</v>
      </c>
      <c r="F37" s="148">
        <v>12</v>
      </c>
      <c r="G37" s="148">
        <v>12</v>
      </c>
      <c r="H37" s="64">
        <v>199.2</v>
      </c>
      <c r="I37" s="64">
        <v>18.63</v>
      </c>
      <c r="J37" s="149">
        <v>0</v>
      </c>
      <c r="K37" s="150">
        <f t="shared" si="27"/>
        <v>0</v>
      </c>
      <c r="L37" s="151">
        <v>0</v>
      </c>
      <c r="M37" s="152">
        <f t="shared" si="28"/>
        <v>-0.0588235294117647</v>
      </c>
      <c r="N37" s="150">
        <f t="shared" si="29"/>
        <v>0.666666666666667</v>
      </c>
      <c r="O37" s="150">
        <f t="shared" si="30"/>
        <v>0.103243587025652</v>
      </c>
      <c r="P37" s="153">
        <f t="shared" si="31"/>
        <v>1.06666666666667</v>
      </c>
      <c r="Q37" s="154">
        <f t="shared" si="32"/>
        <v>17.3466666666667</v>
      </c>
      <c r="R37" s="155">
        <f t="shared" si="33"/>
        <v>16.2625</v>
      </c>
      <c r="S37" s="155">
        <f t="shared" si="34"/>
        <v>2.28571428571429</v>
      </c>
      <c r="T37" s="156">
        <f t="shared" si="35"/>
        <v>5</v>
      </c>
      <c r="U37" s="157">
        <f t="shared" si="36"/>
        <v>0.333333333333333</v>
      </c>
      <c r="V37" s="95">
        <f t="shared" si="37"/>
        <v>0.470381255950656</v>
      </c>
      <c r="W37" s="91">
        <v>16830</v>
      </c>
      <c r="X37" s="91">
        <v>123</v>
      </c>
      <c r="Y37" s="91">
        <v>10</v>
      </c>
      <c r="Z37" s="64">
        <v>113.63</v>
      </c>
      <c r="AA37" s="158">
        <v>165.21</v>
      </c>
      <c r="AB37" s="91">
        <v>0.92</v>
      </c>
      <c r="AC37" s="71">
        <f t="shared" si="38"/>
        <v>0.687791295926397</v>
      </c>
      <c r="AD37" s="72">
        <f t="shared" si="0"/>
        <v>0.00730837789661319</v>
      </c>
      <c r="AE37" s="159">
        <f t="shared" si="1"/>
        <v>0.0813008130081301</v>
      </c>
      <c r="AF37" s="154">
        <f t="shared" si="2"/>
        <v>11.363</v>
      </c>
      <c r="AG37" s="160">
        <v>12</v>
      </c>
      <c r="AH37" s="161">
        <v>2</v>
      </c>
      <c r="AI37" s="162">
        <v>2</v>
      </c>
      <c r="AJ37" s="163">
        <f>AG37*产品成本!$D$19+AH37*产品成本!$D$20+AI37*产品成本!$D$21</f>
        <v>77.4647887323943</v>
      </c>
      <c r="AK37" s="163">
        <f>AG37*产品成本!$E$19+AH37*产品成本!$E$20+AI37*产品成本!$E$21</f>
        <v>21.6641126760563</v>
      </c>
      <c r="AL37" s="163">
        <f>AG37*产品成本!$F$19+AH37*产品成本!$F$20+AI37*产品成本!$F$21</f>
        <v>8.22</v>
      </c>
      <c r="AM37" s="163">
        <f>AG37*产品成本!$G$19+AH37*产品成本!$G$20+AI37*产品成本!$G$21</f>
        <v>93.14</v>
      </c>
      <c r="AN37" s="163">
        <f t="shared" si="3"/>
        <v>36.2355</v>
      </c>
      <c r="AO37" s="164">
        <f t="shared" si="4"/>
        <v>236.724401408451</v>
      </c>
      <c r="AP37" s="165">
        <v>0</v>
      </c>
      <c r="AQ37" s="165">
        <v>0</v>
      </c>
      <c r="AR37" s="166">
        <v>0</v>
      </c>
      <c r="AS37" s="167">
        <f t="shared" si="5"/>
        <v>0</v>
      </c>
      <c r="AT37" s="163">
        <f>AP37*产品成本!$D$19+AQ37*产品成本!$D$20+AR37*产品成本!$D$21</f>
        <v>0</v>
      </c>
      <c r="AU37" s="163">
        <f>AP37*产品成本!$E$19+AQ37*产品成本!$E$20+AR37*产品成本!$E$21</f>
        <v>0</v>
      </c>
      <c r="AV37" s="163">
        <f>AP37*产品成本!$F$19+AQ37*产品成本!$F$20+AR37*产品成本!$F$21</f>
        <v>0</v>
      </c>
      <c r="AW37" s="163">
        <f>AP37*产品成本!$G$19+AQ37*产品成本!$G$20+AR37*产品成本!$G$21</f>
        <v>0</v>
      </c>
      <c r="AX37" s="163">
        <f t="shared" si="39"/>
        <v>0</v>
      </c>
      <c r="AY37" s="163">
        <f t="shared" si="40"/>
        <v>0</v>
      </c>
      <c r="AZ37" s="164">
        <f t="shared" si="41"/>
        <v>0</v>
      </c>
      <c r="BA37" s="168">
        <f t="shared" si="42"/>
        <v>236.724401408451</v>
      </c>
      <c r="BB37" s="169">
        <f t="shared" si="43"/>
        <v>241.57</v>
      </c>
      <c r="BC37" s="168">
        <f t="shared" si="6"/>
        <v>241.57</v>
      </c>
      <c r="BD37" s="168">
        <f t="shared" si="7"/>
        <v>-108.784401408451</v>
      </c>
      <c r="BE37" s="170">
        <f t="shared" si="44"/>
        <v>-0.450322479647517</v>
      </c>
      <c r="BF37" s="172" t="s">
        <v>417</v>
      </c>
    </row>
    <row r="38" ht="29.1" customHeight="1" spans="1:59">
      <c r="A38" s="61" t="s">
        <v>247</v>
      </c>
      <c r="B38" s="81" t="s">
        <v>248</v>
      </c>
      <c r="C38" s="90">
        <v>14</v>
      </c>
      <c r="D38" s="91">
        <v>13</v>
      </c>
      <c r="E38" s="64">
        <v>263.9</v>
      </c>
      <c r="F38" s="148">
        <v>9</v>
      </c>
      <c r="G38" s="148">
        <v>8</v>
      </c>
      <c r="H38" s="64">
        <v>196.65</v>
      </c>
      <c r="I38" s="64">
        <v>18.36</v>
      </c>
      <c r="J38" s="149">
        <v>1</v>
      </c>
      <c r="K38" s="150">
        <f t="shared" si="27"/>
        <v>0.0714285714285714</v>
      </c>
      <c r="L38" s="151">
        <v>11.83</v>
      </c>
      <c r="M38" s="152">
        <f t="shared" si="28"/>
        <v>-0.125</v>
      </c>
      <c r="N38" s="150">
        <f t="shared" si="29"/>
        <v>-0.133333333333333</v>
      </c>
      <c r="O38" s="150">
        <f t="shared" si="30"/>
        <v>0.0142198308993082</v>
      </c>
      <c r="P38" s="153">
        <f t="shared" si="31"/>
        <v>1.07692307692308</v>
      </c>
      <c r="Q38" s="154">
        <f t="shared" si="32"/>
        <v>20.3</v>
      </c>
      <c r="R38" s="155">
        <f t="shared" si="33"/>
        <v>18.85</v>
      </c>
      <c r="S38" s="155">
        <f t="shared" si="34"/>
        <v>2</v>
      </c>
      <c r="T38" s="156">
        <f t="shared" si="35"/>
        <v>3</v>
      </c>
      <c r="U38" s="157">
        <f t="shared" si="36"/>
        <v>0.230769230769231</v>
      </c>
      <c r="V38" s="95">
        <f t="shared" si="37"/>
        <v>0.511647796693003</v>
      </c>
      <c r="W38" s="91">
        <v>19550</v>
      </c>
      <c r="X38" s="91">
        <v>138</v>
      </c>
      <c r="Y38" s="91">
        <v>10</v>
      </c>
      <c r="Z38" s="64">
        <v>125.63</v>
      </c>
      <c r="AA38" s="158">
        <v>194.8</v>
      </c>
      <c r="AB38" s="91">
        <v>0.91</v>
      </c>
      <c r="AC38" s="71">
        <f t="shared" si="38"/>
        <v>0.644917864476386</v>
      </c>
      <c r="AD38" s="72">
        <f t="shared" si="0"/>
        <v>0.00705882352941176</v>
      </c>
      <c r="AE38" s="159">
        <f t="shared" si="1"/>
        <v>0.072463768115942</v>
      </c>
      <c r="AF38" s="154">
        <f t="shared" si="2"/>
        <v>12.563</v>
      </c>
      <c r="AG38" s="160">
        <v>8</v>
      </c>
      <c r="AH38" s="161">
        <v>2</v>
      </c>
      <c r="AI38" s="162">
        <v>4</v>
      </c>
      <c r="AJ38" s="163">
        <f>AG38*产品成本!$D$19+AH38*产品成本!$D$20+AI38*产品成本!$D$21</f>
        <v>84.507042253521</v>
      </c>
      <c r="AK38" s="163">
        <f>AG38*产品成本!$E$19+AH38*产品成本!$E$20+AI38*产品成本!$E$21</f>
        <v>23.6335774647887</v>
      </c>
      <c r="AL38" s="163">
        <f>AG38*产品成本!$F$19+AH38*产品成本!$F$20+AI38*产品成本!$F$21</f>
        <v>7.62</v>
      </c>
      <c r="AM38" s="163">
        <f>AG38*产品成本!$G$19+AH38*产品成本!$G$20+AI38*产品成本!$G$21</f>
        <v>85.54</v>
      </c>
      <c r="AN38" s="163">
        <f t="shared" si="3"/>
        <v>36.831</v>
      </c>
      <c r="AO38" s="164">
        <f t="shared" si="4"/>
        <v>238.13161971831</v>
      </c>
      <c r="AP38" s="165">
        <v>1</v>
      </c>
      <c r="AQ38" s="165">
        <v>0</v>
      </c>
      <c r="AR38" s="166">
        <v>0</v>
      </c>
      <c r="AS38" s="167">
        <f t="shared" si="5"/>
        <v>14.4268292682927</v>
      </c>
      <c r="AT38" s="163">
        <f>AP38*产品成本!$D$19+AQ38*产品成本!$D$20+AR38*产品成本!$D$21</f>
        <v>3.52112676056338</v>
      </c>
      <c r="AU38" s="163">
        <f>AP38*产品成本!$E$19+AQ38*产品成本!$E$20+AR38*产品成本!$E$21</f>
        <v>0.984732394366197</v>
      </c>
      <c r="AV38" s="163">
        <f>AP38*产品成本!$F$19+AQ38*产品成本!$F$20+AR38*产品成本!$F$21</f>
        <v>0.49</v>
      </c>
      <c r="AW38" s="163">
        <f>AP38*产品成本!$G$19+AQ38*产品成本!$G$20+AR38*产品成本!$G$21</f>
        <v>5.52</v>
      </c>
      <c r="AX38" s="163">
        <f t="shared" si="39"/>
        <v>2.1640243902439</v>
      </c>
      <c r="AY38" s="163">
        <f t="shared" si="40"/>
        <v>-0.432804878048781</v>
      </c>
      <c r="AZ38" s="164">
        <f t="shared" si="41"/>
        <v>12.2470786671247</v>
      </c>
      <c r="BA38" s="168">
        <f t="shared" si="42"/>
        <v>225.884541051185</v>
      </c>
      <c r="BB38" s="169">
        <f t="shared" si="43"/>
        <v>245.54</v>
      </c>
      <c r="BC38" s="168">
        <f t="shared" si="6"/>
        <v>231.113170731707</v>
      </c>
      <c r="BD38" s="168">
        <f t="shared" si="7"/>
        <v>-120.401370319478</v>
      </c>
      <c r="BE38" s="170">
        <f t="shared" si="44"/>
        <v>-0.520962825001645</v>
      </c>
      <c r="BF38" s="172" t="s">
        <v>417</v>
      </c>
    </row>
    <row r="39" ht="29.1" customHeight="1" spans="1:59">
      <c r="A39" s="61" t="s">
        <v>250</v>
      </c>
      <c r="B39" s="81" t="s">
        <v>251</v>
      </c>
      <c r="C39" s="90">
        <v>8</v>
      </c>
      <c r="D39" s="91">
        <v>7</v>
      </c>
      <c r="E39" s="64">
        <v>167.9</v>
      </c>
      <c r="F39" s="148">
        <v>6</v>
      </c>
      <c r="G39" s="148">
        <v>5</v>
      </c>
      <c r="H39" s="64">
        <v>118.5</v>
      </c>
      <c r="I39" s="64">
        <v>9</v>
      </c>
      <c r="J39" s="149">
        <v>0</v>
      </c>
      <c r="K39" s="150">
        <f t="shared" si="27"/>
        <v>0</v>
      </c>
      <c r="L39" s="151">
        <v>0</v>
      </c>
      <c r="M39" s="152">
        <f t="shared" si="28"/>
        <v>-0.428571428571429</v>
      </c>
      <c r="N39" s="150">
        <f t="shared" si="29"/>
        <v>-0.461538461538462</v>
      </c>
      <c r="O39" s="150">
        <f t="shared" si="30"/>
        <v>-0.363774156877605</v>
      </c>
      <c r="P39" s="153">
        <f t="shared" si="31"/>
        <v>1.14285714285714</v>
      </c>
      <c r="Q39" s="154">
        <f t="shared" si="32"/>
        <v>23.9857142857143</v>
      </c>
      <c r="R39" s="155">
        <f t="shared" si="33"/>
        <v>20.9875</v>
      </c>
      <c r="S39" s="155">
        <f t="shared" si="34"/>
        <v>1.14285714285714</v>
      </c>
      <c r="T39" s="156">
        <f t="shared" si="35"/>
        <v>3</v>
      </c>
      <c r="U39" s="157">
        <f t="shared" si="36"/>
        <v>0.428571428571429</v>
      </c>
      <c r="V39" s="95">
        <f t="shared" si="37"/>
        <v>0.534235368156073</v>
      </c>
      <c r="W39" s="91">
        <v>14328</v>
      </c>
      <c r="X39" s="91">
        <v>91</v>
      </c>
      <c r="Y39" s="91">
        <v>4</v>
      </c>
      <c r="Z39" s="64">
        <v>84.89</v>
      </c>
      <c r="AA39" s="158">
        <v>105.05</v>
      </c>
      <c r="AB39" s="91">
        <v>0.93</v>
      </c>
      <c r="AC39" s="71">
        <f t="shared" si="38"/>
        <v>0.808091385054736</v>
      </c>
      <c r="AD39" s="72">
        <f t="shared" si="0"/>
        <v>0.00635120044667783</v>
      </c>
      <c r="AE39" s="159">
        <f t="shared" si="1"/>
        <v>0.043956043956044</v>
      </c>
      <c r="AF39" s="154">
        <f t="shared" si="2"/>
        <v>21.2225</v>
      </c>
      <c r="AG39" s="160">
        <v>3</v>
      </c>
      <c r="AH39" s="161">
        <v>2</v>
      </c>
      <c r="AI39" s="162">
        <v>3</v>
      </c>
      <c r="AJ39" s="163">
        <f>AG39*产品成本!$D$19+AH39*产品成本!$D$20+AI39*产品成本!$D$21</f>
        <v>56.338028169014</v>
      </c>
      <c r="AK39" s="163">
        <f>AG39*产品成本!$E$19+AH39*产品成本!$E$20+AI39*产品成本!$E$21</f>
        <v>15.7557183098591</v>
      </c>
      <c r="AL39" s="163">
        <f>AG39*产品成本!$F$19+AH39*产品成本!$F$20+AI39*产品成本!$F$21</f>
        <v>4.49</v>
      </c>
      <c r="AM39" s="163">
        <f>AG39*产品成本!$G$19+AH39*产品成本!$G$20+AI39*产品成本!$G$21</f>
        <v>50.7</v>
      </c>
      <c r="AN39" s="163">
        <f t="shared" si="3"/>
        <v>23.835</v>
      </c>
      <c r="AO39" s="164">
        <f t="shared" si="4"/>
        <v>151.118746478873</v>
      </c>
      <c r="AP39" s="165">
        <v>0</v>
      </c>
      <c r="AQ39" s="165">
        <v>0</v>
      </c>
      <c r="AR39" s="166">
        <v>0</v>
      </c>
      <c r="AS39" s="167">
        <f t="shared" si="5"/>
        <v>0</v>
      </c>
      <c r="AT39" s="163">
        <f>AP39*产品成本!$D$19+AQ39*产品成本!$D$20+AR39*产品成本!$D$21</f>
        <v>0</v>
      </c>
      <c r="AU39" s="163">
        <f>AP39*产品成本!$E$19+AQ39*产品成本!$E$20+AR39*产品成本!$E$21</f>
        <v>0</v>
      </c>
      <c r="AV39" s="163">
        <f>AP39*产品成本!$F$19+AQ39*产品成本!$F$20+AR39*产品成本!$F$21</f>
        <v>0</v>
      </c>
      <c r="AW39" s="163">
        <f>AP39*产品成本!$G$19+AQ39*产品成本!$G$20+AR39*产品成本!$G$21</f>
        <v>0</v>
      </c>
      <c r="AX39" s="163">
        <f t="shared" si="39"/>
        <v>0</v>
      </c>
      <c r="AY39" s="163">
        <f t="shared" si="40"/>
        <v>0</v>
      </c>
      <c r="AZ39" s="164">
        <f t="shared" si="41"/>
        <v>0</v>
      </c>
      <c r="BA39" s="168">
        <f t="shared" si="42"/>
        <v>151.118746478873</v>
      </c>
      <c r="BB39" s="169">
        <f t="shared" si="43"/>
        <v>158.9</v>
      </c>
      <c r="BC39" s="168">
        <f t="shared" si="6"/>
        <v>158.9</v>
      </c>
      <c r="BD39" s="168">
        <f t="shared" si="7"/>
        <v>-77.1087464788731</v>
      </c>
      <c r="BE39" s="170">
        <f t="shared" si="44"/>
        <v>-0.485265868337779</v>
      </c>
    </row>
    <row r="40" ht="29.1" customHeight="1" spans="1:59">
      <c r="A40" s="61" t="s">
        <v>254</v>
      </c>
      <c r="B40" s="81" t="s">
        <v>255</v>
      </c>
      <c r="C40" s="90">
        <v>3</v>
      </c>
      <c r="D40" s="91">
        <v>3</v>
      </c>
      <c r="E40" s="64">
        <v>82.53</v>
      </c>
      <c r="F40" s="148">
        <v>1</v>
      </c>
      <c r="G40" s="148">
        <v>1</v>
      </c>
      <c r="H40" s="64">
        <v>26.89</v>
      </c>
      <c r="I40" s="64">
        <v>2.69</v>
      </c>
      <c r="J40" s="149">
        <v>2</v>
      </c>
      <c r="K40" s="150">
        <f t="shared" si="27"/>
        <v>0.666666666666667</v>
      </c>
      <c r="L40" s="151">
        <v>32.14</v>
      </c>
      <c r="M40" s="152">
        <f t="shared" si="28"/>
        <v>-0.625</v>
      </c>
      <c r="N40" s="150">
        <f t="shared" si="29"/>
        <v>-0.571428571428571</v>
      </c>
      <c r="O40" s="150">
        <f t="shared" si="30"/>
        <v>-0.508457415128052</v>
      </c>
      <c r="P40" s="153">
        <f t="shared" si="31"/>
        <v>1</v>
      </c>
      <c r="Q40" s="154">
        <f t="shared" si="32"/>
        <v>27.51</v>
      </c>
      <c r="R40" s="155">
        <f t="shared" si="33"/>
        <v>27.51</v>
      </c>
      <c r="S40" s="155">
        <f t="shared" si="34"/>
        <v>0.428571428571429</v>
      </c>
      <c r="T40" s="156">
        <f t="shared" si="35"/>
        <v>3</v>
      </c>
      <c r="U40" s="157">
        <f t="shared" si="36"/>
        <v>1</v>
      </c>
      <c r="V40" s="95">
        <f t="shared" si="37"/>
        <v>0.355836673346693</v>
      </c>
      <c r="W40" s="91">
        <v>9207</v>
      </c>
      <c r="X40" s="91">
        <v>28</v>
      </c>
      <c r="Y40" s="91">
        <v>0</v>
      </c>
      <c r="Z40" s="64">
        <v>28.41</v>
      </c>
      <c r="AA40" s="158">
        <v>0</v>
      </c>
      <c r="AB40" s="91">
        <v>1.01</v>
      </c>
      <c r="AC40" s="71" t="e">
        <f t="shared" si="38"/>
        <v>#DIV/0!</v>
      </c>
      <c r="AD40" s="72">
        <f t="shared" si="0"/>
        <v>0.00304116433148691</v>
      </c>
      <c r="AE40" s="159">
        <f t="shared" si="1"/>
        <v>0</v>
      </c>
      <c r="AF40" s="154" t="e">
        <f t="shared" si="2"/>
        <v>#DIV/0!</v>
      </c>
      <c r="AG40" s="160">
        <v>2</v>
      </c>
      <c r="AH40" s="161">
        <v>0</v>
      </c>
      <c r="AI40" s="162">
        <v>1</v>
      </c>
      <c r="AJ40" s="163">
        <f>AG40*产品成本!$D$19+AH40*产品成本!$D$20+AI40*产品成本!$D$21</f>
        <v>17.6056338028169</v>
      </c>
      <c r="AK40" s="163">
        <f>AG40*产品成本!$E$19+AH40*产品成本!$E$20+AI40*产品成本!$E$21</f>
        <v>4.92366197183098</v>
      </c>
      <c r="AL40" s="163">
        <f>AG40*产品成本!$F$19+AH40*产品成本!$F$20+AI40*产品成本!$F$21</f>
        <v>1.66</v>
      </c>
      <c r="AM40" s="163">
        <f>AG40*产品成本!$G$19+AH40*产品成本!$G$20+AI40*产品成本!$G$21</f>
        <v>18.28</v>
      </c>
      <c r="AN40" s="163">
        <f t="shared" si="3"/>
        <v>11.976</v>
      </c>
      <c r="AO40" s="164">
        <f t="shared" si="4"/>
        <v>54.4452957746478</v>
      </c>
      <c r="AP40" s="165">
        <v>1</v>
      </c>
      <c r="AQ40" s="165">
        <v>0</v>
      </c>
      <c r="AR40" s="166">
        <v>3</v>
      </c>
      <c r="AS40" s="167">
        <f t="shared" si="5"/>
        <v>39.1951219512195</v>
      </c>
      <c r="AT40" s="163">
        <f>AP40*产品成本!$D$19+AQ40*产品成本!$D$20+AR40*产品成本!$D$21</f>
        <v>35.2112676056337</v>
      </c>
      <c r="AU40" s="163">
        <f>AP40*产品成本!$E$19+AQ40*产品成本!$E$20+AR40*产品成本!$E$21</f>
        <v>9.84732394366197</v>
      </c>
      <c r="AV40" s="163">
        <f>AP40*产品成本!$F$19+AQ40*产品成本!$F$20+AR40*产品成本!$F$21</f>
        <v>2.53</v>
      </c>
      <c r="AW40" s="163">
        <f>AP40*产品成本!$G$19+AQ40*产品成本!$G$20+AR40*产品成本!$G$21</f>
        <v>27.24</v>
      </c>
      <c r="AX40" s="163">
        <f t="shared" si="39"/>
        <v>5.87926829268293</v>
      </c>
      <c r="AY40" s="163">
        <f t="shared" si="40"/>
        <v>-1.17585365853659</v>
      </c>
      <c r="AZ40" s="164">
        <f t="shared" si="41"/>
        <v>79.532006183442</v>
      </c>
      <c r="BA40" s="168">
        <f t="shared" si="42"/>
        <v>-25.0867104087941</v>
      </c>
      <c r="BB40" s="169">
        <f t="shared" si="43"/>
        <v>79.84</v>
      </c>
      <c r="BC40" s="168">
        <f t="shared" si="6"/>
        <v>40.6448780487805</v>
      </c>
      <c r="BD40" s="168">
        <f t="shared" si="7"/>
        <v>37.3215884575746</v>
      </c>
      <c r="BE40" s="170">
        <f t="shared" si="44"/>
        <v>0.918235956146372</v>
      </c>
      <c r="BF40" s="172" t="s">
        <v>419</v>
      </c>
    </row>
    <row r="41" ht="29.1" customHeight="1" spans="1:59">
      <c r="A41" s="61" t="s">
        <v>258</v>
      </c>
      <c r="B41" s="81" t="s">
        <v>259</v>
      </c>
      <c r="C41" s="90">
        <v>0</v>
      </c>
      <c r="D41" s="91">
        <v>0</v>
      </c>
      <c r="E41" s="64">
        <v>0</v>
      </c>
      <c r="F41" s="148">
        <v>0</v>
      </c>
      <c r="G41" s="148">
        <v>0</v>
      </c>
      <c r="H41" s="64">
        <v>0</v>
      </c>
      <c r="I41" s="64">
        <v>0</v>
      </c>
      <c r="J41" s="149">
        <v>0</v>
      </c>
      <c r="K41" s="150" t="e">
        <f t="shared" ref="K41" si="45">J41/C41</f>
        <v>#DIV/0!</v>
      </c>
      <c r="L41" s="151">
        <v>0</v>
      </c>
      <c r="M41" s="152">
        <f t="shared" ref="M41" si="46">(C41-C40)/C40</f>
        <v>-1</v>
      </c>
      <c r="N41" s="150">
        <f t="shared" ref="N41" si="47">(D41-D40)/D40</f>
        <v>-1</v>
      </c>
      <c r="O41" s="150">
        <f t="shared" ref="O41" si="48">(E41-E40)/E40</f>
        <v>-1</v>
      </c>
      <c r="P41" s="153" t="e">
        <f t="shared" ref="P41" si="49">C41/D41</f>
        <v>#DIV/0!</v>
      </c>
      <c r="Q41" s="154" t="e">
        <f t="shared" ref="Q41" si="50">E41/D41</f>
        <v>#DIV/0!</v>
      </c>
      <c r="R41" s="155" t="e">
        <f t="shared" ref="R41" si="51">E41/C41</f>
        <v>#DIV/0!</v>
      </c>
      <c r="S41" s="155">
        <f t="shared" ref="S41" si="52">C41/7</f>
        <v>0</v>
      </c>
      <c r="T41" s="156">
        <f t="shared" ref="T41" si="53">D41-Y41</f>
        <v>0</v>
      </c>
      <c r="U41" s="157" t="e">
        <f t="shared" ref="U41" si="54">T41/D41</f>
        <v>#DIV/0!</v>
      </c>
      <c r="V41" s="95" t="e">
        <f t="shared" ref="V41" si="55">Z41/(E41-I41)</f>
        <v>#DIV/0!</v>
      </c>
      <c r="W41" s="91">
        <v>5202</v>
      </c>
      <c r="X41" s="91">
        <v>31</v>
      </c>
      <c r="Y41" s="91">
        <v>0</v>
      </c>
      <c r="Z41" s="64">
        <v>29.48</v>
      </c>
      <c r="AA41" s="158">
        <v>4.18</v>
      </c>
      <c r="AB41" s="91">
        <v>0.95</v>
      </c>
      <c r="AC41" s="71">
        <f t="shared" ref="AC41:AC42" si="56">Z41/AA41</f>
        <v>7.05263157894737</v>
      </c>
      <c r="AD41" s="72">
        <f t="shared" ref="AD41" si="57">X41/W41</f>
        <v>0.00595924644367551</v>
      </c>
      <c r="AE41" s="159">
        <f t="shared" ref="AE41" si="58">Y41/X41</f>
        <v>0</v>
      </c>
      <c r="AF41" s="154" t="e">
        <f t="shared" ref="AF41" si="59">Z41/Y41</f>
        <v>#DIV/0!</v>
      </c>
      <c r="AG41" s="160">
        <v>0</v>
      </c>
      <c r="AH41" s="161">
        <v>0</v>
      </c>
      <c r="AI41" s="162">
        <v>0</v>
      </c>
      <c r="AJ41" s="163">
        <f>AG41*产品成本!$D$19+AH41*产品成本!$D$20+AI41*产品成本!$D$21</f>
        <v>0</v>
      </c>
      <c r="AK41" s="163">
        <f>AG41*产品成本!$E$19+AH41*产品成本!$E$20+AI41*产品成本!$E$21</f>
        <v>0</v>
      </c>
      <c r="AL41" s="163">
        <f>AG41*产品成本!$F$19+AH41*产品成本!$F$20+AI41*产品成本!$F$21</f>
        <v>0</v>
      </c>
      <c r="AM41" s="163">
        <f>AG41*产品成本!$G$19+AH41*产品成本!$G$20+AI41*产品成本!$G$21</f>
        <v>0</v>
      </c>
      <c r="AN41" s="163">
        <f t="shared" ref="AN41" si="60">(E41-I41)*0.15</f>
        <v>0</v>
      </c>
      <c r="AO41" s="164">
        <f t="shared" ref="AO41" si="61">SUM(AJ41:AN41)</f>
        <v>0</v>
      </c>
      <c r="AP41" s="165">
        <v>0</v>
      </c>
      <c r="AQ41" s="165">
        <v>0</v>
      </c>
      <c r="AR41" s="166">
        <v>0</v>
      </c>
      <c r="AS41" s="167">
        <f t="shared" ref="AS41" si="62">L41/(1-0.15-0.15*0.2)</f>
        <v>0</v>
      </c>
      <c r="AT41" s="163">
        <f>AP41*产品成本!$D$19+AQ41*产品成本!$D$20+AR41*产品成本!$D$21</f>
        <v>0</v>
      </c>
      <c r="AU41" s="163">
        <f>AP41*产品成本!$E$19+AQ41*产品成本!$E$20+AR41*产品成本!$E$21</f>
        <v>0</v>
      </c>
      <c r="AV41" s="163">
        <f>AP41*产品成本!$F$19+AQ41*产品成本!$F$20+AR41*产品成本!$F$21</f>
        <v>0</v>
      </c>
      <c r="AW41" s="163">
        <f>AP41*产品成本!$G$19+AQ41*产品成本!$G$20+AR41*产品成本!$G$21</f>
        <v>0</v>
      </c>
      <c r="AX41" s="163">
        <f t="shared" ref="AX41" si="63">AS41*0.15</f>
        <v>0</v>
      </c>
      <c r="AY41" s="163">
        <f t="shared" ref="AY41" si="64">-AX41*0.2</f>
        <v>0</v>
      </c>
      <c r="AZ41" s="164">
        <f t="shared" ref="AZ41" si="65">SUM(AT41:AY41)</f>
        <v>0</v>
      </c>
      <c r="BA41" s="168">
        <f t="shared" ref="BA41" si="66">AO41-AZ41</f>
        <v>0</v>
      </c>
      <c r="BB41" s="169">
        <f t="shared" ref="BB41" si="67">E41-I41</f>
        <v>0</v>
      </c>
      <c r="BC41" s="168">
        <f t="shared" ref="BC41" si="68">E41-AS41-I41</f>
        <v>0</v>
      </c>
      <c r="BD41" s="168">
        <f t="shared" ref="BD41" si="69">BC41-BA41-Z41</f>
        <v>-29.48</v>
      </c>
      <c r="BE41" s="170" t="e">
        <f t="shared" ref="BE41" si="70">BD41/BC41</f>
        <v>#DIV/0!</v>
      </c>
      <c r="BF41" s="172" t="s">
        <v>419</v>
      </c>
      <c r="BG41" t="s">
        <v>420</v>
      </c>
    </row>
    <row r="42" ht="29.1" customHeight="1" spans="1:59">
      <c r="A42" s="61" t="s">
        <v>262</v>
      </c>
      <c r="B42" s="81" t="s">
        <v>263</v>
      </c>
      <c r="C42" s="90">
        <v>3</v>
      </c>
      <c r="D42" s="91">
        <v>3</v>
      </c>
      <c r="E42" s="64">
        <v>72.16</v>
      </c>
      <c r="F42" s="148">
        <v>3</v>
      </c>
      <c r="G42" s="148">
        <v>3</v>
      </c>
      <c r="H42" s="64">
        <v>72.16</v>
      </c>
      <c r="I42" s="64">
        <v>24.05</v>
      </c>
      <c r="J42" s="149">
        <v>0</v>
      </c>
      <c r="K42" s="150">
        <f t="shared" ref="K42" si="71">J42/C42</f>
        <v>0</v>
      </c>
      <c r="L42" s="151">
        <v>0</v>
      </c>
      <c r="M42" s="152" t="e">
        <f t="shared" ref="M42" si="72">(C42-C41)/C41</f>
        <v>#DIV/0!</v>
      </c>
      <c r="N42" s="150" t="e">
        <f t="shared" ref="N42" si="73">(D42-D41)/D41</f>
        <v>#DIV/0!</v>
      </c>
      <c r="O42" s="150" t="e">
        <f t="shared" ref="O42" si="74">(E42-E41)/E41</f>
        <v>#DIV/0!</v>
      </c>
      <c r="P42" s="153">
        <f t="shared" ref="P42" si="75">C42/D42</f>
        <v>1</v>
      </c>
      <c r="Q42" s="154">
        <f t="shared" ref="Q42" si="76">E42/D42</f>
        <v>24.0533333333333</v>
      </c>
      <c r="R42" s="155">
        <f t="shared" ref="R42" si="77">E42/C42</f>
        <v>24.0533333333333</v>
      </c>
      <c r="S42" s="155">
        <f t="shared" ref="S42" si="78">C42/7</f>
        <v>0.428571428571429</v>
      </c>
      <c r="T42" s="156">
        <f t="shared" ref="T42" si="79">D42-Y42</f>
        <v>3</v>
      </c>
      <c r="U42" s="157">
        <f t="shared" ref="U42" si="80">T42/D42</f>
        <v>1</v>
      </c>
      <c r="V42" s="95">
        <f t="shared" ref="V42" si="81">Z42/(E42-I42)</f>
        <v>0.0384535439617543</v>
      </c>
      <c r="W42" s="91">
        <v>77</v>
      </c>
      <c r="X42" s="91">
        <v>1</v>
      </c>
      <c r="Y42" s="91">
        <v>0</v>
      </c>
      <c r="Z42" s="64">
        <v>1.85</v>
      </c>
      <c r="AA42" s="158">
        <v>4.12</v>
      </c>
      <c r="AB42" s="91">
        <v>1.85</v>
      </c>
      <c r="AC42" s="71">
        <f t="shared" si="56"/>
        <v>0.449029126213592</v>
      </c>
      <c r="AD42" s="72">
        <f t="shared" ref="AD42" si="82">X42/W42</f>
        <v>0.012987012987013</v>
      </c>
      <c r="AE42" s="159">
        <f t="shared" ref="AE42" si="83">Y42/X42</f>
        <v>0</v>
      </c>
      <c r="AF42" s="154" t="e">
        <f t="shared" ref="AF42" si="84">Z42/Y42</f>
        <v>#DIV/0!</v>
      </c>
      <c r="AG42" s="160">
        <v>1</v>
      </c>
      <c r="AH42" s="161">
        <v>1</v>
      </c>
      <c r="AI42" s="162">
        <v>1</v>
      </c>
      <c r="AJ42" s="163">
        <f>AG42*产品成本!$D$19+AH42*产品成本!$D$20+AI42*产品成本!$D$21</f>
        <v>21.1267605633802</v>
      </c>
      <c r="AK42" s="163">
        <f>AG42*产品成本!$E$19+AH42*产品成本!$E$20+AI42*产品成本!$E$21</f>
        <v>5.90839436619718</v>
      </c>
      <c r="AL42" s="163">
        <f>AG42*产品成本!$F$19+AH42*产品成本!$F$20+AI42*产品成本!$F$21</f>
        <v>1.66</v>
      </c>
      <c r="AM42" s="163">
        <f>AG42*产品成本!$G$19+AH42*产品成本!$G$20+AI42*产品成本!$G$21</f>
        <v>18.97</v>
      </c>
      <c r="AN42" s="163">
        <f t="shared" ref="AN42" si="85">(E42-I42)*0.15</f>
        <v>7.2165</v>
      </c>
      <c r="AO42" s="164">
        <f t="shared" ref="AO42" si="86">SUM(AJ42:AN42)</f>
        <v>54.8816549295774</v>
      </c>
      <c r="AP42" s="165">
        <v>0</v>
      </c>
      <c r="AQ42" s="165">
        <v>0</v>
      </c>
      <c r="AR42" s="166">
        <v>0</v>
      </c>
      <c r="AS42" s="167">
        <f t="shared" ref="AS42" si="87">L42/(1-0.15-0.15*0.2)</f>
        <v>0</v>
      </c>
      <c r="AT42" s="163">
        <f>AP42*产品成本!$D$19+AQ42*产品成本!$D$20+AR42*产品成本!$D$21</f>
        <v>0</v>
      </c>
      <c r="AU42" s="163">
        <f>AP42*产品成本!$E$19+AQ42*产品成本!$E$20+AR42*产品成本!$E$21</f>
        <v>0</v>
      </c>
      <c r="AV42" s="163">
        <f>AP42*产品成本!$F$19+AQ42*产品成本!$F$20+AR42*产品成本!$F$21</f>
        <v>0</v>
      </c>
      <c r="AW42" s="163">
        <f>AP42*产品成本!$G$19+AQ42*产品成本!$G$20+AR42*产品成本!$G$21</f>
        <v>0</v>
      </c>
      <c r="AX42" s="163">
        <f t="shared" ref="AX42" si="88">AS42*0.15</f>
        <v>0</v>
      </c>
      <c r="AY42" s="163">
        <f t="shared" ref="AY42" si="89">-AX42*0.2</f>
        <v>0</v>
      </c>
      <c r="AZ42" s="164">
        <f t="shared" ref="AZ42" si="90">SUM(AT42:AY42)</f>
        <v>0</v>
      </c>
      <c r="BA42" s="168">
        <f t="shared" ref="BA42" si="91">AO42-AZ42</f>
        <v>54.8816549295774</v>
      </c>
      <c r="BB42" s="169">
        <f t="shared" ref="BB42" si="92">E42-I42</f>
        <v>48.11</v>
      </c>
      <c r="BC42" s="168">
        <f t="shared" ref="BC42" si="93">E42-AS42-I42</f>
        <v>48.11</v>
      </c>
      <c r="BD42" s="168">
        <f t="shared" ref="BD42" si="94">BC42-BA42-Z42</f>
        <v>-8.62165492957741</v>
      </c>
      <c r="BE42" s="170">
        <f t="shared" ref="BE42" si="95">BD42/BC42</f>
        <v>-0.179207128031125</v>
      </c>
      <c r="BF42" s="172" t="s">
        <v>419</v>
      </c>
    </row>
    <row r="43" ht="29.1" customHeight="1" spans="1:59">
      <c r="A43" s="61" t="s">
        <v>266</v>
      </c>
      <c r="B43" s="81" t="s">
        <v>267</v>
      </c>
      <c r="C43" s="90">
        <v>8</v>
      </c>
      <c r="D43" s="91">
        <v>7</v>
      </c>
      <c r="E43" s="64">
        <v>143.48</v>
      </c>
      <c r="F43" s="148">
        <v>0</v>
      </c>
      <c r="G43" s="148">
        <v>0</v>
      </c>
      <c r="H43" s="64">
        <v>0</v>
      </c>
      <c r="I43" s="64">
        <v>0</v>
      </c>
      <c r="J43" s="149">
        <v>0</v>
      </c>
      <c r="K43" s="150">
        <f t="shared" ref="K43" si="96">J43/C43</f>
        <v>0</v>
      </c>
      <c r="L43" s="151">
        <v>0</v>
      </c>
      <c r="M43" s="152">
        <f t="shared" ref="M43" si="97">(C43-C42)/C42</f>
        <v>1.66666666666667</v>
      </c>
      <c r="N43" s="150">
        <f t="shared" ref="N43" si="98">(D43-D42)/D42</f>
        <v>1.33333333333333</v>
      </c>
      <c r="O43" s="150">
        <f t="shared" ref="O43" si="99">(E43-E42)/E42</f>
        <v>0.988359201773836</v>
      </c>
      <c r="P43" s="153">
        <f t="shared" ref="P43" si="100">C43/D43</f>
        <v>1.14285714285714</v>
      </c>
      <c r="Q43" s="154">
        <f t="shared" ref="Q43" si="101">E43/D43</f>
        <v>20.4971428571429</v>
      </c>
      <c r="R43" s="155">
        <f t="shared" ref="R43" si="102">E43/C43</f>
        <v>17.935</v>
      </c>
      <c r="S43" s="155">
        <f t="shared" ref="S43" si="103">C43/7</f>
        <v>1.14285714285714</v>
      </c>
      <c r="T43" s="156">
        <f t="shared" ref="T43" si="104">D43-Y43</f>
        <v>5</v>
      </c>
      <c r="U43" s="157">
        <f t="shared" ref="U43" si="105">T43/D43</f>
        <v>0.714285714285714</v>
      </c>
      <c r="V43" s="95">
        <f t="shared" ref="V43" si="106">Z43/(E43-I43)</f>
        <v>0.35091998884862</v>
      </c>
      <c r="W43" s="91">
        <v>7413</v>
      </c>
      <c r="X43" s="91">
        <v>44</v>
      </c>
      <c r="Y43" s="91">
        <v>2</v>
      </c>
      <c r="Z43" s="64">
        <v>50.35</v>
      </c>
      <c r="AA43" s="158">
        <v>44.15</v>
      </c>
      <c r="AB43" s="91">
        <v>1.14</v>
      </c>
      <c r="AC43" s="71">
        <f t="shared" ref="AC43" si="107">Z43/AA43</f>
        <v>1.14043035107588</v>
      </c>
      <c r="AD43" s="72">
        <f t="shared" ref="AD43" si="108">X43/W43</f>
        <v>0.00593551868339404</v>
      </c>
      <c r="AE43" s="159">
        <f t="shared" ref="AE43" si="109">Y43/X43</f>
        <v>0.0454545454545455</v>
      </c>
      <c r="AF43" s="154">
        <f t="shared" ref="AF43" si="110">Z43/Y43</f>
        <v>25.175</v>
      </c>
      <c r="AG43" s="160">
        <v>4</v>
      </c>
      <c r="AH43" s="161">
        <v>0</v>
      </c>
      <c r="AI43" s="162">
        <v>4</v>
      </c>
      <c r="AJ43" s="163">
        <f>AG43*产品成本!$D$19+AH43*产品成本!$D$20+AI43*产品成本!$D$21</f>
        <v>56.3380281690139</v>
      </c>
      <c r="AK43" s="163">
        <f>AG43*产品成本!$E$19+AH43*产品成本!$E$20+AI43*产品成本!$E$21</f>
        <v>15.7557183098591</v>
      </c>
      <c r="AL43" s="163">
        <f>AG43*产品成本!$F$19+AH43*产品成本!$F$20+AI43*产品成本!$F$21</f>
        <v>4.68</v>
      </c>
      <c r="AM43" s="163">
        <f>AG43*产品成本!$G$19+AH43*产品成本!$G$20+AI43*产品成本!$G$21</f>
        <v>51.04</v>
      </c>
      <c r="AN43" s="163">
        <f t="shared" ref="AN43" si="111">(E43-I43)*0.15</f>
        <v>21.522</v>
      </c>
      <c r="AO43" s="164">
        <f t="shared" ref="AO43" si="112">SUM(AJ43:AN43)</f>
        <v>149.335746478873</v>
      </c>
      <c r="AP43" s="165">
        <v>0</v>
      </c>
      <c r="AQ43" s="165">
        <v>0</v>
      </c>
      <c r="AR43" s="166">
        <v>0</v>
      </c>
      <c r="AS43" s="167">
        <f t="shared" ref="AS43" si="113">L43/(1-0.15-0.15*0.2)</f>
        <v>0</v>
      </c>
      <c r="AT43" s="163">
        <f>AP43*产品成本!$D$19+AQ43*产品成本!$D$20+AR43*产品成本!$D$21</f>
        <v>0</v>
      </c>
      <c r="AU43" s="163">
        <f>AP43*产品成本!$E$19+AQ43*产品成本!$E$20+AR43*产品成本!$E$21</f>
        <v>0</v>
      </c>
      <c r="AV43" s="163">
        <f>AP43*产品成本!$F$19+AQ43*产品成本!$F$20+AR43*产品成本!$F$21</f>
        <v>0</v>
      </c>
      <c r="AW43" s="163">
        <f>AP43*产品成本!$G$19+AQ43*产品成本!$G$20+AR43*产品成本!$G$21</f>
        <v>0</v>
      </c>
      <c r="AX43" s="163">
        <f t="shared" ref="AX43" si="114">AS43*0.15</f>
        <v>0</v>
      </c>
      <c r="AY43" s="163">
        <f t="shared" ref="AY43" si="115">-AX43*0.2</f>
        <v>0</v>
      </c>
      <c r="AZ43" s="164">
        <f t="shared" ref="AZ43" si="116">SUM(AT43:AY43)</f>
        <v>0</v>
      </c>
      <c r="BA43" s="168">
        <f t="shared" ref="BA43" si="117">AO43-AZ43</f>
        <v>149.335746478873</v>
      </c>
      <c r="BB43" s="169">
        <f t="shared" ref="BB43" si="118">E43-I43</f>
        <v>143.48</v>
      </c>
      <c r="BC43" s="168">
        <f t="shared" ref="BC43" si="119">E43-AS43-I43</f>
        <v>143.48</v>
      </c>
      <c r="BD43" s="168">
        <f t="shared" ref="BD43" si="120">BC43-BA43-Z43</f>
        <v>-56.2057464788731</v>
      </c>
      <c r="BE43" s="170">
        <f t="shared" ref="BE43" si="121">BD43/BC43</f>
        <v>-0.391732272643386</v>
      </c>
      <c r="BF43" s="172" t="s">
        <v>421</v>
      </c>
      <c r="BG43" t="s">
        <v>422</v>
      </c>
    </row>
    <row r="44" ht="29.1" customHeight="1" spans="1:59">
      <c r="A44" s="174" t="s">
        <v>270</v>
      </c>
      <c r="B44" s="175"/>
      <c r="C44" s="175">
        <f>SUBTOTAL(109,表3_39141016[销量])</f>
        <v>480</v>
      </c>
      <c r="D44" s="175">
        <f>SUBTOTAL(109,表3_39141016[订单量])</f>
        <v>456</v>
      </c>
      <c r="E44" s="175">
        <f>SUBTOTAL(109,表3_39141016[销售额])</f>
        <v>12266.35</v>
      </c>
      <c r="F44" s="175">
        <f>SUBTOTAL(109,表3_39141016[促销销量])</f>
        <v>78</v>
      </c>
      <c r="G44" s="175">
        <f>SUBTOTAL(109,表3_39141016[促销订单量])</f>
        <v>76</v>
      </c>
      <c r="H44" s="175">
        <f>SUBTOTAL(109,表3_39141016[促销销售额])</f>
        <v>2569.51</v>
      </c>
      <c r="I44" s="175">
        <f>SUBTOTAL(109,表3_39141016[促销折扣])</f>
        <v>1552.4</v>
      </c>
      <c r="J44" s="175">
        <f>SUBTOTAL(109,表3_39141016[退款量])</f>
        <v>25</v>
      </c>
      <c r="K44" s="176">
        <f t="shared" si="27"/>
        <v>0.0520833333333333</v>
      </c>
      <c r="L44" s="177">
        <f>SUBTOTAL(109,表3_39141016[退款金额])</f>
        <v>493.86</v>
      </c>
      <c r="M44" s="175"/>
      <c r="N44" s="175"/>
      <c r="O44" s="175"/>
      <c r="P44" s="178" t="e">
        <f>SUBTOTAL(101,表3_39141016[客单
销量])</f>
        <v>#DIV/0!</v>
      </c>
      <c r="Q44" s="178" t="e">
        <f>SUBTOTAL(101,表3_39141016[客单
价格($)])</f>
        <v>#DIV/0!</v>
      </c>
      <c r="R44" s="178" t="e">
        <f>SUBTOTAL(101,表3_39141016[销售
均价($)])</f>
        <v>#DIV/0!</v>
      </c>
      <c r="S44" s="178">
        <f>SUBTOTAL(101,表3_39141016[日均
销量])</f>
        <v>1.71428571428571</v>
      </c>
      <c r="T44" s="179">
        <f>SUBTOTAL(109,表3_39141016[自然
订单])</f>
        <v>93</v>
      </c>
      <c r="U44" s="180">
        <f t="shared" si="36"/>
        <v>0.203947368421053</v>
      </c>
      <c r="V44" s="181" t="e">
        <f>SUBTOTAL(101,表3_39141016[TAcos
(%)])</f>
        <v>#DIV/0!</v>
      </c>
      <c r="W44" s="175">
        <f>SUBTOTAL(109,表3_39141016[展示])</f>
        <v>1076969</v>
      </c>
      <c r="X44" s="175">
        <f>SUBTOTAL(109,表3_39141016[点击])</f>
        <v>6785</v>
      </c>
      <c r="Y44" s="175">
        <f>SUBTOTAL(109,表3_39141016[广告订单量])</f>
        <v>363</v>
      </c>
      <c r="Z44" s="175">
        <f>SUBTOTAL(109,表3_39141016[广告花费])</f>
        <v>8411.74</v>
      </c>
      <c r="AA44" s="175">
        <f>SUBTOTAL(109,表3_39141016[广告销售额])</f>
        <v>9061.18</v>
      </c>
      <c r="AB44" s="175">
        <f>SUBTOTAL(101,表3_39141016[CPC])</f>
        <v>1.16923076923077</v>
      </c>
      <c r="AC44" s="176">
        <f t="shared" si="38"/>
        <v>0.928327215660654</v>
      </c>
      <c r="AD44" s="176">
        <f t="shared" ref="AD44:AF44" si="122">X44/W44</f>
        <v>0.00630008848908372</v>
      </c>
      <c r="AE44" s="176">
        <f t="shared" si="122"/>
        <v>0.0535003684598379</v>
      </c>
      <c r="AF44" s="178">
        <f t="shared" si="122"/>
        <v>23.1728374655647</v>
      </c>
      <c r="AG44" s="175">
        <f>SUBTOTAL(109,表3_39141016[SFM 1])</f>
        <v>295</v>
      </c>
      <c r="AH44" s="175">
        <f>SUBTOTAL(109,表3_39141016[SFM 2])</f>
        <v>63</v>
      </c>
      <c r="AI44" s="175">
        <f>SUBTOTAL(109,表3_39141016[SFM 3])</f>
        <v>108</v>
      </c>
      <c r="AJ44" s="177">
        <f>SUBTOTAL(109,表3_39141016[产品成本])</f>
        <v>2623.23943661971</v>
      </c>
      <c r="AK44" s="177">
        <f>SUBTOTAL(109,表3_39141016[头程])</f>
        <v>733.625633802816</v>
      </c>
      <c r="AL44" s="177">
        <f>SUBTOTAL(109,表3_39141016[入仓费])</f>
        <v>248.86</v>
      </c>
      <c r="AM44" s="177">
        <f>SUBTOTAL(109,表3_39141016[FBA物流])</f>
        <v>2801.55</v>
      </c>
      <c r="AN44" s="177">
        <f>SUBTOTAL(109,表3_39141016[佣金])</f>
        <v>1607.0925</v>
      </c>
      <c r="AO44" s="177">
        <f>SUBTOTAL(109,表3_39141016[成本小结])</f>
        <v>8014.36757042253</v>
      </c>
      <c r="AP44" s="182">
        <f>SUBTOTAL(109,表3_39141016[退款SFM 1])</f>
        <v>18</v>
      </c>
      <c r="AQ44" s="182">
        <f>SUBTOTAL(109,表3_39141016[退款SFM 2])</f>
        <v>4</v>
      </c>
      <c r="AR44" s="182">
        <f>SUBTOTAL(109,表3_39141016[退款SFM 3])</f>
        <v>5</v>
      </c>
      <c r="AS44" s="177">
        <f>SUBTOTAL(109,表3_39141016[退款
销售金额])</f>
        <v>602.268292682927</v>
      </c>
      <c r="AT44" s="177">
        <f>SUBTOTAL(109,表3_39141016[退款
产品成本])</f>
        <v>144.366197183098</v>
      </c>
      <c r="AU44" s="177">
        <f>SUBTOTAL(109,表3_39141016[退款头程])</f>
        <v>40.3740281690141</v>
      </c>
      <c r="AV44" s="177">
        <f>SUBTOTAL(109,表3_39141016[退款
入仓费])</f>
        <v>14.18</v>
      </c>
      <c r="AW44" s="177">
        <f>SUBTOTAL(109,表3_39141016[退款
FBA物流])</f>
        <v>160.4</v>
      </c>
      <c r="AX44" s="177">
        <f>SUBTOTAL(109,表3_39141016[退款佣金])</f>
        <v>90.340243902439</v>
      </c>
      <c r="AY44" s="177">
        <f>SUBTOTAL(109,表3_39141016[退款
管理费用
佣金的20%])</f>
        <v>-18.0680487804878</v>
      </c>
      <c r="AZ44" s="177">
        <f>SUBTOTAL(109,表3_39141016[退款
成本小结])</f>
        <v>431.592420474064</v>
      </c>
      <c r="BA44" s="177">
        <f>SUBTOTAL(109,表3_39141016[净成本])</f>
        <v>7582.77514994847</v>
      </c>
      <c r="BB44" s="177">
        <f>SUBTOTAL(110,表3_39141016[净销售额])</f>
        <v>94989.0998471155</v>
      </c>
      <c r="BC44" s="177">
        <f>SUBTOTAL(109,表3_39141016[净销售额
(-退款金额)])</f>
        <v>10111.6817073171</v>
      </c>
      <c r="BD44" s="177">
        <f>SUBTOTAL(109,表3_39141016[毛利])</f>
        <v>-5882.83344263139</v>
      </c>
      <c r="BE44" s="176" t="e">
        <f>SUBTOTAL(101,表3_39141016[毛利率])</f>
        <v>#DIV/0!</v>
      </c>
    </row>
  </sheetData>
  <mergeCells count="14"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  <mergeCell ref="A1:B2"/>
    <mergeCell ref="BA1:BE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X75"/>
  <sheetViews>
    <sheetView workbookViewId="0">
      <pane xSplit="2" ySplit="3" topLeftCell="C67" activePane="bottomRight" state="frozen"/>
      <selection/>
      <selection pane="topRight"/>
      <selection pane="bottomLeft"/>
      <selection pane="bottomRight" activeCell="C75" sqref="C75"/>
    </sheetView>
  </sheetViews>
  <sheetFormatPr defaultColWidth="9" defaultRowHeight="29.1" customHeight="1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96" customWidth="1"/>
  </cols>
  <sheetData>
    <row r="1" customHeight="1" spans="1:24">
      <c r="A1" s="23" t="s">
        <v>0</v>
      </c>
      <c r="B1" s="24"/>
      <c r="C1" s="25" t="s">
        <v>423</v>
      </c>
      <c r="D1" s="26"/>
      <c r="E1" s="27"/>
      <c r="F1" s="28" t="s">
        <v>424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4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4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  <c r="X3" s="96" t="s">
        <v>433</v>
      </c>
    </row>
    <row r="4" customHeight="1" spans="1:24">
      <c r="A4" s="93" t="s">
        <v>69</v>
      </c>
      <c r="B4" s="90" t="s">
        <v>70</v>
      </c>
      <c r="C4" s="90">
        <f>SL!C4</f>
        <v>276</v>
      </c>
      <c r="D4" s="91">
        <f>SL!D4</f>
        <v>264</v>
      </c>
      <c r="E4" s="64">
        <f>SL!E4</f>
        <v>6073.25</v>
      </c>
      <c r="F4" s="65">
        <v>1029</v>
      </c>
      <c r="G4" s="66">
        <v>3191</v>
      </c>
      <c r="H4" s="67">
        <v>4220</v>
      </c>
      <c r="I4" s="66">
        <v>1317</v>
      </c>
      <c r="J4" s="66">
        <v>4224</v>
      </c>
      <c r="K4" s="68">
        <v>5541</v>
      </c>
      <c r="L4" s="69">
        <f t="shared" ref="L4:L19" si="0">D4/H4</f>
        <v>0.0625592417061611</v>
      </c>
      <c r="M4" s="94">
        <f t="shared" ref="M4:M18" si="1">Q4/E4</f>
        <v>0.281450623636438</v>
      </c>
      <c r="N4" s="91">
        <f>SL!W4</f>
        <v>136418</v>
      </c>
      <c r="O4" s="91">
        <f>SL!X4</f>
        <v>1723</v>
      </c>
      <c r="P4" s="91">
        <f>SL!Y4</f>
        <v>153</v>
      </c>
      <c r="Q4" s="91">
        <f>SL!Z4</f>
        <v>1709.32</v>
      </c>
      <c r="R4" s="92">
        <f>SL!AA4</f>
        <v>3516.2</v>
      </c>
      <c r="S4" s="91">
        <f>SL!AB4</f>
        <v>0.99</v>
      </c>
      <c r="T4" s="71">
        <f t="shared" ref="T4:T35" si="2">Q4/R4</f>
        <v>0.486127068994938</v>
      </c>
      <c r="U4" s="72">
        <f t="shared" ref="U4:U35" si="3">O4/N4</f>
        <v>0.0126302980545089</v>
      </c>
      <c r="V4" s="72">
        <f t="shared" ref="V4:V35" si="4">P4/O4</f>
        <v>0.0887986070806732</v>
      </c>
      <c r="W4" s="73">
        <f t="shared" ref="W4:W35" si="5">Q4/P4</f>
        <v>11.1720261437909</v>
      </c>
      <c r="X4" s="96">
        <f>$L$75</f>
        <v>0.0733899330441826</v>
      </c>
    </row>
    <row r="5" customHeight="1" spans="1:24">
      <c r="A5" s="93" t="s">
        <v>71</v>
      </c>
      <c r="B5" s="90" t="s">
        <v>72</v>
      </c>
      <c r="C5" s="90">
        <f>SL!C5</f>
        <v>296</v>
      </c>
      <c r="D5" s="91">
        <f>SL!D5</f>
        <v>285</v>
      </c>
      <c r="E5" s="64">
        <f>SL!E5</f>
        <v>6535.75</v>
      </c>
      <c r="F5" s="65">
        <v>1250</v>
      </c>
      <c r="G5" s="66">
        <v>3090</v>
      </c>
      <c r="H5" s="67">
        <v>4340</v>
      </c>
      <c r="I5" s="66">
        <v>1652</v>
      </c>
      <c r="J5" s="66">
        <v>4215</v>
      </c>
      <c r="K5" s="68">
        <v>5867</v>
      </c>
      <c r="L5" s="69">
        <f t="shared" si="0"/>
        <v>0.065668202764977</v>
      </c>
      <c r="M5" s="94">
        <f t="shared" si="1"/>
        <v>0.289535248441265</v>
      </c>
      <c r="N5" s="91">
        <f>SL!W5</f>
        <v>184745</v>
      </c>
      <c r="O5" s="91">
        <f>SL!X5</f>
        <v>1929</v>
      </c>
      <c r="P5" s="91">
        <f>SL!Y5</f>
        <v>191</v>
      </c>
      <c r="Q5" s="91">
        <f>SL!Z5</f>
        <v>1892.33</v>
      </c>
      <c r="R5" s="92">
        <f>SL!AA5</f>
        <v>4333.92</v>
      </c>
      <c r="S5" s="91">
        <f>SL!AB5</f>
        <v>0.98</v>
      </c>
      <c r="T5" s="71">
        <f t="shared" si="2"/>
        <v>0.436632425148595</v>
      </c>
      <c r="U5" s="72">
        <f t="shared" si="3"/>
        <v>0.0104414192535657</v>
      </c>
      <c r="V5" s="72">
        <f t="shared" si="4"/>
        <v>0.0990150336962157</v>
      </c>
      <c r="W5" s="73">
        <f t="shared" si="5"/>
        <v>9.90748691099476</v>
      </c>
      <c r="X5" s="96">
        <f t="shared" ref="X5:X72" si="6">$L$75</f>
        <v>0.0733899330441826</v>
      </c>
    </row>
    <row r="6" customHeight="1" spans="1:24">
      <c r="A6" s="93" t="s">
        <v>73</v>
      </c>
      <c r="B6" s="90" t="s">
        <v>74</v>
      </c>
      <c r="C6" s="90">
        <f>SL!C6</f>
        <v>401</v>
      </c>
      <c r="D6" s="91">
        <f>SL!D6</f>
        <v>366</v>
      </c>
      <c r="E6" s="64">
        <f>SL!E6</f>
        <v>7627.49</v>
      </c>
      <c r="F6" s="65">
        <v>1205</v>
      </c>
      <c r="G6" s="66">
        <v>3895</v>
      </c>
      <c r="H6" s="67">
        <v>5100</v>
      </c>
      <c r="I6" s="66">
        <v>1526</v>
      </c>
      <c r="J6" s="66">
        <v>5170</v>
      </c>
      <c r="K6" s="68">
        <v>6696</v>
      </c>
      <c r="L6" s="69">
        <f t="shared" si="0"/>
        <v>0.0717647058823529</v>
      </c>
      <c r="M6" s="94">
        <f t="shared" si="1"/>
        <v>0.28473193671837</v>
      </c>
      <c r="N6" s="91">
        <f>SL!W6</f>
        <v>195302</v>
      </c>
      <c r="O6" s="91">
        <f>SL!X6</f>
        <v>2172</v>
      </c>
      <c r="P6" s="91">
        <f>SL!Y6</f>
        <v>240</v>
      </c>
      <c r="Q6" s="91">
        <f>SL!Z6</f>
        <v>2171.79</v>
      </c>
      <c r="R6" s="92">
        <f>SL!AA6</f>
        <v>4918.97</v>
      </c>
      <c r="S6" s="91" t="str">
        <f>SL!AB6</f>
        <v>‎1.00</v>
      </c>
      <c r="T6" s="71">
        <f t="shared" si="2"/>
        <v>0.441513162308369</v>
      </c>
      <c r="U6" s="72">
        <f t="shared" si="3"/>
        <v>0.0111212378777483</v>
      </c>
      <c r="V6" s="72">
        <f t="shared" si="4"/>
        <v>0.110497237569061</v>
      </c>
      <c r="W6" s="73">
        <f t="shared" si="5"/>
        <v>9.049125</v>
      </c>
      <c r="X6" s="96">
        <f t="shared" si="6"/>
        <v>0.0733899330441826</v>
      </c>
    </row>
    <row r="7" customHeight="1" spans="1:24">
      <c r="A7" s="93" t="s">
        <v>76</v>
      </c>
      <c r="B7" s="90" t="s">
        <v>77</v>
      </c>
      <c r="C7" s="90">
        <f>SL!C7</f>
        <v>349</v>
      </c>
      <c r="D7" s="91">
        <f>SL!D7</f>
        <v>339</v>
      </c>
      <c r="E7" s="64">
        <f>SL!E7</f>
        <v>6352.41</v>
      </c>
      <c r="F7" s="65">
        <v>1242</v>
      </c>
      <c r="G7" s="66">
        <v>4237</v>
      </c>
      <c r="H7" s="67">
        <v>5479</v>
      </c>
      <c r="I7" s="66">
        <v>1532</v>
      </c>
      <c r="J7" s="66">
        <v>5724</v>
      </c>
      <c r="K7" s="68">
        <v>7256</v>
      </c>
      <c r="L7" s="69">
        <f t="shared" si="0"/>
        <v>0.0618726044898704</v>
      </c>
      <c r="M7" s="94">
        <f t="shared" si="1"/>
        <v>0.354677988354026</v>
      </c>
      <c r="N7" s="91">
        <f>SL!W7</f>
        <v>204302</v>
      </c>
      <c r="O7" s="91">
        <f>SL!X7</f>
        <v>2295</v>
      </c>
      <c r="P7" s="91">
        <f>SL!Y7</f>
        <v>221</v>
      </c>
      <c r="Q7" s="91">
        <f>SL!Z7</f>
        <v>2253.06</v>
      </c>
      <c r="R7" s="92">
        <f>SL!AA7</f>
        <v>4084.24</v>
      </c>
      <c r="S7" s="91" t="str">
        <f>SL!AB7</f>
        <v>‎0.98</v>
      </c>
      <c r="T7" s="71">
        <f t="shared" si="2"/>
        <v>0.551647307699841</v>
      </c>
      <c r="U7" s="72">
        <f t="shared" si="3"/>
        <v>0.0112333702068506</v>
      </c>
      <c r="V7" s="72">
        <f t="shared" si="4"/>
        <v>0.0962962962962963</v>
      </c>
      <c r="W7" s="73">
        <f t="shared" si="5"/>
        <v>10.1948416289593</v>
      </c>
      <c r="X7" s="96">
        <f t="shared" si="6"/>
        <v>0.0733899330441826</v>
      </c>
    </row>
    <row r="8" customHeight="1" spans="1:24">
      <c r="A8" s="93" t="s">
        <v>79</v>
      </c>
      <c r="B8" s="90" t="s">
        <v>80</v>
      </c>
      <c r="C8" s="90">
        <f>SL!C8</f>
        <v>319</v>
      </c>
      <c r="D8" s="91">
        <f>SL!D8</f>
        <v>300</v>
      </c>
      <c r="E8" s="64">
        <f>SL!E8</f>
        <v>6697.47</v>
      </c>
      <c r="F8" s="65">
        <v>1015</v>
      </c>
      <c r="G8" s="66">
        <v>3502</v>
      </c>
      <c r="H8" s="67">
        <v>4517</v>
      </c>
      <c r="I8" s="66">
        <v>1275</v>
      </c>
      <c r="J8" s="66">
        <v>4793</v>
      </c>
      <c r="K8" s="68">
        <v>6068</v>
      </c>
      <c r="L8" s="69">
        <f t="shared" si="0"/>
        <v>0.0664157626743414</v>
      </c>
      <c r="M8" s="94">
        <f t="shared" si="1"/>
        <v>0.321618461896806</v>
      </c>
      <c r="N8" s="91">
        <f>SL!W8</f>
        <v>215967</v>
      </c>
      <c r="O8" s="91">
        <f>SL!X8</f>
        <v>2203</v>
      </c>
      <c r="P8" s="91">
        <f>SL!Y8</f>
        <v>178</v>
      </c>
      <c r="Q8" s="91">
        <f>SL!Z8</f>
        <v>2154.03</v>
      </c>
      <c r="R8" s="92">
        <f>SL!AA8</f>
        <v>4084.54</v>
      </c>
      <c r="S8" s="91" t="str">
        <f>SL!AB8</f>
        <v>‎0.98</v>
      </c>
      <c r="T8" s="71">
        <f t="shared" si="2"/>
        <v>0.527361710253786</v>
      </c>
      <c r="U8" s="72">
        <f t="shared" si="3"/>
        <v>0.01020063250404</v>
      </c>
      <c r="V8" s="72">
        <f t="shared" si="4"/>
        <v>0.0807989105764866</v>
      </c>
      <c r="W8" s="73">
        <f t="shared" si="5"/>
        <v>12.1012921348315</v>
      </c>
      <c r="X8" s="96">
        <f t="shared" si="6"/>
        <v>0.0733899330441826</v>
      </c>
    </row>
    <row r="9" customHeight="1" spans="1:24">
      <c r="A9" s="93" t="s">
        <v>81</v>
      </c>
      <c r="B9" s="90" t="s">
        <v>82</v>
      </c>
      <c r="C9" s="90">
        <f>SL!C9</f>
        <v>299</v>
      </c>
      <c r="D9" s="91">
        <f>SL!D9</f>
        <v>285</v>
      </c>
      <c r="E9" s="64">
        <f>SL!E9</f>
        <v>7065.55</v>
      </c>
      <c r="F9" s="65">
        <v>1021</v>
      </c>
      <c r="G9" s="66">
        <v>2818</v>
      </c>
      <c r="H9" s="67">
        <v>3839</v>
      </c>
      <c r="I9" s="66">
        <v>1312</v>
      </c>
      <c r="J9" s="66">
        <v>3867</v>
      </c>
      <c r="K9" s="68">
        <v>5179</v>
      </c>
      <c r="L9" s="69">
        <f t="shared" si="0"/>
        <v>0.0742380828340714</v>
      </c>
      <c r="M9" s="94">
        <f t="shared" si="1"/>
        <v>0.24653848603435</v>
      </c>
      <c r="N9" s="91">
        <f>SL!W9</f>
        <v>158506</v>
      </c>
      <c r="O9" s="91">
        <f>SL!X9</f>
        <v>1791</v>
      </c>
      <c r="P9" s="91">
        <f>SL!Y9</f>
        <v>192</v>
      </c>
      <c r="Q9" s="91">
        <f>SL!Z9</f>
        <v>1741.93</v>
      </c>
      <c r="R9" s="92">
        <f>SL!AA9</f>
        <v>4780.29</v>
      </c>
      <c r="S9" s="91" t="str">
        <f>SL!AB9</f>
        <v>‎0.97</v>
      </c>
      <c r="T9" s="71">
        <f t="shared" si="2"/>
        <v>0.36439839423968</v>
      </c>
      <c r="U9" s="72">
        <f t="shared" si="3"/>
        <v>0.0112992568104677</v>
      </c>
      <c r="V9" s="72">
        <f t="shared" si="4"/>
        <v>0.107202680067002</v>
      </c>
      <c r="W9" s="73">
        <f t="shared" si="5"/>
        <v>9.07255208333333</v>
      </c>
      <c r="X9" s="96">
        <f t="shared" si="6"/>
        <v>0.0733899330441826</v>
      </c>
    </row>
    <row r="10" customHeight="1" spans="1:24">
      <c r="A10" s="93" t="s">
        <v>84</v>
      </c>
      <c r="B10" s="90" t="s">
        <v>85</v>
      </c>
      <c r="C10" s="90">
        <f>SL!C10</f>
        <v>261</v>
      </c>
      <c r="D10" s="91">
        <f>SL!D10</f>
        <v>250</v>
      </c>
      <c r="E10" s="64">
        <f>SL!E10</f>
        <v>6230.89</v>
      </c>
      <c r="F10" s="65">
        <v>749</v>
      </c>
      <c r="G10" s="66">
        <v>2179</v>
      </c>
      <c r="H10" s="67">
        <v>2928</v>
      </c>
      <c r="I10" s="66">
        <v>931</v>
      </c>
      <c r="J10" s="66">
        <v>2885</v>
      </c>
      <c r="K10" s="68">
        <v>3816</v>
      </c>
      <c r="L10" s="69">
        <f t="shared" si="0"/>
        <v>0.0853825136612022</v>
      </c>
      <c r="M10" s="94">
        <f t="shared" si="1"/>
        <v>0.272569408222581</v>
      </c>
      <c r="N10" s="91">
        <f>SL!W10</f>
        <v>166059</v>
      </c>
      <c r="O10" s="91">
        <f>SL!X10</f>
        <v>1726</v>
      </c>
      <c r="P10" s="91">
        <f>SL!Y10</f>
        <v>140</v>
      </c>
      <c r="Q10" s="91">
        <f>SL!Z10</f>
        <v>1698.35</v>
      </c>
      <c r="R10" s="92">
        <f>SL!AA10</f>
        <v>3468.95</v>
      </c>
      <c r="S10" s="91" t="str">
        <f>SL!AB10</f>
        <v>‎0.98</v>
      </c>
      <c r="T10" s="71">
        <f t="shared" si="2"/>
        <v>0.489586186021707</v>
      </c>
      <c r="U10" s="72">
        <f t="shared" si="3"/>
        <v>0.0103938961453459</v>
      </c>
      <c r="V10" s="72">
        <f t="shared" si="4"/>
        <v>0.0811123986095017</v>
      </c>
      <c r="W10" s="73">
        <f t="shared" si="5"/>
        <v>12.1310714285714</v>
      </c>
      <c r="X10" s="96">
        <f t="shared" si="6"/>
        <v>0.0733899330441826</v>
      </c>
    </row>
    <row r="11" customHeight="1" spans="1:24">
      <c r="A11" s="93" t="s">
        <v>86</v>
      </c>
      <c r="B11" s="90" t="s">
        <v>87</v>
      </c>
      <c r="C11" s="90">
        <f>SL!C11</f>
        <v>305</v>
      </c>
      <c r="D11" s="91">
        <f>SL!D11</f>
        <v>290</v>
      </c>
      <c r="E11" s="64">
        <f>SL!E11</f>
        <v>6636.34</v>
      </c>
      <c r="F11" s="65">
        <v>668</v>
      </c>
      <c r="G11" s="66">
        <v>2488</v>
      </c>
      <c r="H11" s="67">
        <v>3156</v>
      </c>
      <c r="I11" s="66">
        <v>864</v>
      </c>
      <c r="J11" s="66">
        <v>3374</v>
      </c>
      <c r="K11" s="68">
        <v>4238</v>
      </c>
      <c r="L11" s="69">
        <f t="shared" si="0"/>
        <v>0.0918884664131812</v>
      </c>
      <c r="M11" s="94">
        <f t="shared" si="1"/>
        <v>0.306111501219045</v>
      </c>
      <c r="N11" s="91">
        <f>SL!W11</f>
        <v>175575</v>
      </c>
      <c r="O11" s="91">
        <f>SL!X11</f>
        <v>1917</v>
      </c>
      <c r="P11" s="91">
        <f>SL!Y11</f>
        <v>195</v>
      </c>
      <c r="Q11" s="91">
        <f>SL!Z11</f>
        <v>2031.46</v>
      </c>
      <c r="R11" s="92">
        <f>SL!AA11</f>
        <v>4467.78</v>
      </c>
      <c r="S11" s="91" t="str">
        <f>SL!AB11</f>
        <v>‎1.06</v>
      </c>
      <c r="T11" s="71">
        <f t="shared" si="2"/>
        <v>0.454691144147653</v>
      </c>
      <c r="U11" s="72">
        <f t="shared" si="3"/>
        <v>0.0109184109354976</v>
      </c>
      <c r="V11" s="72">
        <f t="shared" si="4"/>
        <v>0.101721439749609</v>
      </c>
      <c r="W11" s="73">
        <f t="shared" si="5"/>
        <v>10.4177435897436</v>
      </c>
      <c r="X11" s="96">
        <f t="shared" si="6"/>
        <v>0.0733899330441826</v>
      </c>
    </row>
    <row r="12" customHeight="1" spans="1:24">
      <c r="A12" s="93" t="s">
        <v>89</v>
      </c>
      <c r="B12" s="90" t="s">
        <v>90</v>
      </c>
      <c r="C12" s="90">
        <f>SL!C12</f>
        <v>351</v>
      </c>
      <c r="D12" s="91">
        <f>SL!D12</f>
        <v>331</v>
      </c>
      <c r="E12" s="64">
        <f>SL!E12</f>
        <v>7526.09</v>
      </c>
      <c r="F12" s="65">
        <v>1276</v>
      </c>
      <c r="G12" s="66">
        <v>3940</v>
      </c>
      <c r="H12" s="67">
        <v>5216</v>
      </c>
      <c r="I12" s="66">
        <v>1775</v>
      </c>
      <c r="J12" s="66">
        <v>5367</v>
      </c>
      <c r="K12" s="68">
        <v>7142</v>
      </c>
      <c r="L12" s="69">
        <f t="shared" si="0"/>
        <v>0.0634585889570552</v>
      </c>
      <c r="M12" s="94">
        <f t="shared" si="1"/>
        <v>0.268226927926719</v>
      </c>
      <c r="N12" s="91">
        <f>SL!W12</f>
        <v>197397</v>
      </c>
      <c r="O12" s="91">
        <f>SL!X12</f>
        <v>2078</v>
      </c>
      <c r="P12" s="91">
        <f>SL!Y12</f>
        <v>192</v>
      </c>
      <c r="Q12" s="91">
        <f>SL!Z12</f>
        <v>2018.7</v>
      </c>
      <c r="R12" s="92">
        <f>SL!AA12</f>
        <v>4366.84</v>
      </c>
      <c r="S12" s="91" t="str">
        <f>SL!AB12</f>
        <v>‎0.97</v>
      </c>
      <c r="T12" s="71">
        <f t="shared" si="2"/>
        <v>0.462279359903271</v>
      </c>
      <c r="U12" s="72">
        <f t="shared" si="3"/>
        <v>0.0105270090224269</v>
      </c>
      <c r="V12" s="72">
        <f t="shared" si="4"/>
        <v>0.0923965351299326</v>
      </c>
      <c r="W12" s="73">
        <f t="shared" si="5"/>
        <v>10.5140625</v>
      </c>
      <c r="X12" s="96">
        <f t="shared" si="6"/>
        <v>0.0733899330441826</v>
      </c>
    </row>
    <row r="13" customHeight="1" spans="1:24">
      <c r="A13" s="93" t="s">
        <v>92</v>
      </c>
      <c r="B13" s="90" t="s">
        <v>93</v>
      </c>
      <c r="C13" s="90">
        <f>SL!C13</f>
        <v>290</v>
      </c>
      <c r="D13" s="91">
        <f>SL!D13</f>
        <v>271</v>
      </c>
      <c r="E13" s="64">
        <f>SL!E13</f>
        <v>6846.76</v>
      </c>
      <c r="F13" s="65">
        <v>1176</v>
      </c>
      <c r="G13" s="66">
        <v>3377</v>
      </c>
      <c r="H13" s="67">
        <v>4553</v>
      </c>
      <c r="I13" s="66">
        <v>1514</v>
      </c>
      <c r="J13" s="66">
        <v>4519</v>
      </c>
      <c r="K13" s="68">
        <v>6033</v>
      </c>
      <c r="L13" s="69">
        <f t="shared" si="0"/>
        <v>0.0595211948166044</v>
      </c>
      <c r="M13" s="94">
        <f t="shared" si="1"/>
        <v>0.263726200421805</v>
      </c>
      <c r="N13" s="91">
        <f>SL!W13</f>
        <v>175351</v>
      </c>
      <c r="O13" s="91">
        <f>SL!X13</f>
        <v>1841</v>
      </c>
      <c r="P13" s="91">
        <f>SL!Y13</f>
        <v>167</v>
      </c>
      <c r="Q13" s="91">
        <f>SL!Z13</f>
        <v>1805.67</v>
      </c>
      <c r="R13" s="92">
        <f>SL!AA13</f>
        <v>4166.77</v>
      </c>
      <c r="S13" s="91" t="str">
        <f>SL!AB13</f>
        <v>‎0.98</v>
      </c>
      <c r="T13" s="71">
        <f t="shared" si="2"/>
        <v>0.433350052918688</v>
      </c>
      <c r="U13" s="72">
        <f t="shared" si="3"/>
        <v>0.0104989421218014</v>
      </c>
      <c r="V13" s="72">
        <f t="shared" si="4"/>
        <v>0.0907115697990223</v>
      </c>
      <c r="W13" s="73">
        <f t="shared" si="5"/>
        <v>10.8123952095808</v>
      </c>
      <c r="X13" s="96">
        <f t="shared" si="6"/>
        <v>0.0733899330441826</v>
      </c>
    </row>
    <row r="14" customHeight="1" spans="1:24">
      <c r="A14" s="61" t="s">
        <v>95</v>
      </c>
      <c r="B14" s="89" t="s">
        <v>96</v>
      </c>
      <c r="C14" s="90">
        <f>SL!C14</f>
        <v>315</v>
      </c>
      <c r="D14" s="91">
        <f>SL!D14</f>
        <v>298</v>
      </c>
      <c r="E14" s="64">
        <f>SL!E14</f>
        <v>7220.89</v>
      </c>
      <c r="F14" s="65">
        <v>1059</v>
      </c>
      <c r="G14" s="66">
        <v>3615</v>
      </c>
      <c r="H14" s="67">
        <v>4674</v>
      </c>
      <c r="I14" s="66">
        <v>1351</v>
      </c>
      <c r="J14" s="66">
        <v>4903</v>
      </c>
      <c r="K14" s="68">
        <v>6254</v>
      </c>
      <c r="L14" s="69">
        <f t="shared" si="0"/>
        <v>0.0637569533590073</v>
      </c>
      <c r="M14" s="94">
        <f t="shared" si="1"/>
        <v>0.285683620717114</v>
      </c>
      <c r="N14" s="91">
        <f>SL!W14</f>
        <v>192908</v>
      </c>
      <c r="O14" s="91">
        <f>SL!X14</f>
        <v>2120</v>
      </c>
      <c r="P14" s="91">
        <f>SL!Y14</f>
        <v>193</v>
      </c>
      <c r="Q14" s="91">
        <f>SL!Z14</f>
        <v>2062.89</v>
      </c>
      <c r="R14" s="92">
        <f>SL!AA14</f>
        <v>4629.61</v>
      </c>
      <c r="S14" s="91" t="str">
        <f>SL!AB14</f>
        <v>‎0.97</v>
      </c>
      <c r="T14" s="71">
        <f t="shared" si="2"/>
        <v>0.445586129285188</v>
      </c>
      <c r="U14" s="72">
        <f t="shared" si="3"/>
        <v>0.0109896945694321</v>
      </c>
      <c r="V14" s="72">
        <f t="shared" si="4"/>
        <v>0.0910377358490566</v>
      </c>
      <c r="W14" s="73">
        <f t="shared" si="5"/>
        <v>10.6885492227979</v>
      </c>
      <c r="X14" s="96">
        <f t="shared" si="6"/>
        <v>0.0733899330441826</v>
      </c>
    </row>
    <row r="15" customHeight="1" spans="1:24">
      <c r="A15" s="93" t="s">
        <v>98</v>
      </c>
      <c r="B15" s="90" t="s">
        <v>99</v>
      </c>
      <c r="C15" s="90">
        <f>SL!C15</f>
        <v>278</v>
      </c>
      <c r="D15" s="91">
        <f>SL!D15</f>
        <v>269</v>
      </c>
      <c r="E15" s="64">
        <f>SL!E15</f>
        <v>6436.56</v>
      </c>
      <c r="F15" s="65">
        <v>1006</v>
      </c>
      <c r="G15" s="66">
        <v>2896</v>
      </c>
      <c r="H15" s="67">
        <v>3902</v>
      </c>
      <c r="I15" s="66">
        <v>1269</v>
      </c>
      <c r="J15" s="66">
        <v>4000</v>
      </c>
      <c r="K15" s="68">
        <v>5269</v>
      </c>
      <c r="L15" s="69">
        <f t="shared" si="0"/>
        <v>0.0689390056381343</v>
      </c>
      <c r="M15" s="94">
        <f t="shared" si="1"/>
        <v>0.276664864461762</v>
      </c>
      <c r="N15" s="91">
        <f>SL!W15</f>
        <v>167353</v>
      </c>
      <c r="O15" s="91">
        <f>SL!X15</f>
        <v>1833</v>
      </c>
      <c r="P15" s="91">
        <f>SL!Y15</f>
        <v>169</v>
      </c>
      <c r="Q15" s="91">
        <f>SL!Z15</f>
        <v>1780.77</v>
      </c>
      <c r="R15" s="92">
        <f>SL!AA15</f>
        <v>4021.03</v>
      </c>
      <c r="S15" s="91" t="str">
        <f>SL!AB15</f>
        <v>‎0.97</v>
      </c>
      <c r="T15" s="71">
        <f t="shared" si="2"/>
        <v>0.44286414177462</v>
      </c>
      <c r="U15" s="72">
        <f t="shared" si="3"/>
        <v>0.0109528959743775</v>
      </c>
      <c r="V15" s="72">
        <f t="shared" si="4"/>
        <v>0.0921985815602837</v>
      </c>
      <c r="W15" s="73">
        <f t="shared" si="5"/>
        <v>10.537100591716</v>
      </c>
      <c r="X15" s="96">
        <f t="shared" si="6"/>
        <v>0.0733899330441826</v>
      </c>
    </row>
    <row r="16" customHeight="1" spans="1:24">
      <c r="A16" s="61" t="s">
        <v>101</v>
      </c>
      <c r="B16" s="89" t="s">
        <v>102</v>
      </c>
      <c r="C16" s="90">
        <f>SL!C16</f>
        <v>344</v>
      </c>
      <c r="D16" s="91">
        <f>SL!D16</f>
        <v>324</v>
      </c>
      <c r="E16" s="64">
        <f>SL!E16</f>
        <v>7634.97</v>
      </c>
      <c r="F16" s="65">
        <v>1378</v>
      </c>
      <c r="G16" s="66">
        <v>4502</v>
      </c>
      <c r="H16" s="67">
        <v>5880</v>
      </c>
      <c r="I16" s="66">
        <v>1762</v>
      </c>
      <c r="J16" s="66">
        <v>6126</v>
      </c>
      <c r="K16" s="68">
        <v>7888</v>
      </c>
      <c r="L16" s="69">
        <f t="shared" si="0"/>
        <v>0.0551020408163265</v>
      </c>
      <c r="M16" s="94">
        <f t="shared" si="1"/>
        <v>0.29573397144979</v>
      </c>
      <c r="N16" s="91">
        <f>SL!W16</f>
        <v>201438</v>
      </c>
      <c r="O16" s="91">
        <f>SL!X16</f>
        <v>2316</v>
      </c>
      <c r="P16" s="91">
        <f>SL!Y16</f>
        <v>19</v>
      </c>
      <c r="Q16" s="91">
        <f>SL!Z16</f>
        <v>2257.92</v>
      </c>
      <c r="R16" s="92">
        <f>SL!AA16</f>
        <v>4659.38</v>
      </c>
      <c r="S16" s="91">
        <f>SL!AB16</f>
        <v>0.97</v>
      </c>
      <c r="T16" s="71">
        <f t="shared" si="2"/>
        <v>0.484596663075345</v>
      </c>
      <c r="U16" s="72">
        <f t="shared" si="3"/>
        <v>0.0114973341673368</v>
      </c>
      <c r="V16" s="72">
        <f t="shared" si="4"/>
        <v>0.00820379965457686</v>
      </c>
      <c r="W16" s="73">
        <f t="shared" si="5"/>
        <v>118.837894736842</v>
      </c>
      <c r="X16" s="96">
        <f t="shared" si="6"/>
        <v>0.0733899330441826</v>
      </c>
    </row>
    <row r="17" customHeight="1" spans="1:24">
      <c r="A17" s="61" t="s">
        <v>104</v>
      </c>
      <c r="B17" s="89" t="s">
        <v>105</v>
      </c>
      <c r="C17" s="90">
        <f>SL!C17</f>
        <v>351</v>
      </c>
      <c r="D17" s="91">
        <f>SL!D17</f>
        <v>339</v>
      </c>
      <c r="E17" s="64">
        <f>SL!E17</f>
        <v>7769.22</v>
      </c>
      <c r="F17" s="65">
        <v>1462</v>
      </c>
      <c r="G17" s="66">
        <v>4293</v>
      </c>
      <c r="H17" s="67">
        <v>5755</v>
      </c>
      <c r="I17" s="66">
        <v>1940</v>
      </c>
      <c r="J17" s="66">
        <v>5873</v>
      </c>
      <c r="K17" s="68">
        <v>7813</v>
      </c>
      <c r="L17" s="69">
        <f t="shared" si="0"/>
        <v>0.0589052997393571</v>
      </c>
      <c r="M17" s="94">
        <f t="shared" si="1"/>
        <v>0.298848533057373</v>
      </c>
      <c r="N17" s="91">
        <f>SL!W17</f>
        <v>243295</v>
      </c>
      <c r="O17" s="91">
        <f>SL!X17</f>
        <v>2349</v>
      </c>
      <c r="P17" s="91">
        <f>SL!Y17</f>
        <v>221</v>
      </c>
      <c r="Q17" s="91">
        <f>SL!Z17</f>
        <v>2321.82</v>
      </c>
      <c r="R17" s="92">
        <f>SL!AA17</f>
        <v>5024.08</v>
      </c>
      <c r="S17" s="91">
        <f>SL!AB17</f>
        <v>0.99</v>
      </c>
      <c r="T17" s="71">
        <f t="shared" si="2"/>
        <v>0.462138341746151</v>
      </c>
      <c r="U17" s="72">
        <f t="shared" si="3"/>
        <v>0.0096549456421217</v>
      </c>
      <c r="V17" s="72">
        <f t="shared" si="4"/>
        <v>0.0940825883354619</v>
      </c>
      <c r="W17" s="73">
        <f t="shared" si="5"/>
        <v>10.5059728506787</v>
      </c>
      <c r="X17" s="96">
        <f t="shared" si="6"/>
        <v>0.0733899330441826</v>
      </c>
    </row>
    <row r="18" customHeight="1" spans="1:24">
      <c r="A18" s="61" t="s">
        <v>107</v>
      </c>
      <c r="B18" s="89" t="s">
        <v>108</v>
      </c>
      <c r="C18" s="90">
        <f>SL!C18</f>
        <v>399</v>
      </c>
      <c r="D18" s="91">
        <f>SL!D18</f>
        <v>357</v>
      </c>
      <c r="E18" s="64">
        <f>SL!E18</f>
        <v>9260.61</v>
      </c>
      <c r="F18" s="65">
        <v>1436</v>
      </c>
      <c r="G18" s="66">
        <v>4405</v>
      </c>
      <c r="H18" s="67">
        <v>5841</v>
      </c>
      <c r="I18" s="66">
        <v>1867</v>
      </c>
      <c r="J18" s="66">
        <v>5937</v>
      </c>
      <c r="K18" s="68">
        <v>7804</v>
      </c>
      <c r="L18" s="69">
        <f t="shared" si="0"/>
        <v>0.0611196712891628</v>
      </c>
      <c r="M18" s="94">
        <f t="shared" si="1"/>
        <v>0.225248660725373</v>
      </c>
      <c r="N18" s="91">
        <f>SL!W18</f>
        <v>205810</v>
      </c>
      <c r="O18" s="91">
        <f>SL!X18</f>
        <v>2124</v>
      </c>
      <c r="P18" s="91">
        <f>SL!Y18</f>
        <v>219</v>
      </c>
      <c r="Q18" s="91">
        <f>SL!Z18</f>
        <v>2085.94</v>
      </c>
      <c r="R18" s="92">
        <f>SL!AA18</f>
        <v>5804.27</v>
      </c>
      <c r="S18" s="91">
        <f>SL!AB18</f>
        <v>0.98</v>
      </c>
      <c r="T18" s="71">
        <f t="shared" si="2"/>
        <v>0.359380249368138</v>
      </c>
      <c r="U18" s="72">
        <f t="shared" si="3"/>
        <v>0.0103201982410962</v>
      </c>
      <c r="V18" s="72">
        <f t="shared" si="4"/>
        <v>0.103107344632768</v>
      </c>
      <c r="W18" s="73">
        <f t="shared" si="5"/>
        <v>9.5248401826484</v>
      </c>
      <c r="X18" s="96">
        <f t="shared" si="6"/>
        <v>0.0733899330441826</v>
      </c>
    </row>
    <row r="19" customHeight="1" spans="1:24">
      <c r="A19" s="61" t="s">
        <v>110</v>
      </c>
      <c r="B19" s="89" t="s">
        <v>111</v>
      </c>
      <c r="C19" s="90">
        <f>SL!C19</f>
        <v>379</v>
      </c>
      <c r="D19" s="91">
        <f>SL!D19</f>
        <v>357</v>
      </c>
      <c r="E19" s="64">
        <f>SL!E19</f>
        <v>9167.51</v>
      </c>
      <c r="F19" s="65">
        <v>1464</v>
      </c>
      <c r="G19" s="66">
        <v>4853</v>
      </c>
      <c r="H19" s="67">
        <v>6317</v>
      </c>
      <c r="I19" s="66">
        <v>1890</v>
      </c>
      <c r="J19" s="66">
        <v>6588</v>
      </c>
      <c r="K19" s="68">
        <v>8478</v>
      </c>
      <c r="L19" s="69">
        <f t="shared" si="0"/>
        <v>0.0565141681177774</v>
      </c>
      <c r="M19" s="94">
        <f t="shared" ref="M19:M50" si="7">Q19/E19</f>
        <v>0.260742557139289</v>
      </c>
      <c r="N19" s="91">
        <f>SL!W19</f>
        <v>237785</v>
      </c>
      <c r="O19" s="91">
        <f>SL!X19</f>
        <v>2470</v>
      </c>
      <c r="P19" s="91">
        <f>SL!Y19</f>
        <v>238</v>
      </c>
      <c r="Q19" s="91">
        <f>SL!Z19</f>
        <v>2390.36</v>
      </c>
      <c r="R19" s="92">
        <f>SL!AA19</f>
        <v>6061.78</v>
      </c>
      <c r="S19" s="91">
        <f>SL!AB19</f>
        <v>0.97</v>
      </c>
      <c r="T19" s="71">
        <f t="shared" si="2"/>
        <v>0.394333017694473</v>
      </c>
      <c r="U19" s="72">
        <f t="shared" si="3"/>
        <v>0.0103875349580503</v>
      </c>
      <c r="V19" s="72">
        <f t="shared" si="4"/>
        <v>0.0963562753036437</v>
      </c>
      <c r="W19" s="73">
        <f t="shared" si="5"/>
        <v>10.0435294117647</v>
      </c>
      <c r="X19" s="96">
        <f t="shared" si="6"/>
        <v>0.0733899330441826</v>
      </c>
    </row>
    <row r="20" customHeight="1" spans="1:24">
      <c r="A20" s="61" t="s">
        <v>113</v>
      </c>
      <c r="B20" s="89" t="s">
        <v>114</v>
      </c>
      <c r="C20" s="90">
        <f>SL!C20</f>
        <v>477</v>
      </c>
      <c r="D20" s="91">
        <f>SL!D20</f>
        <v>448</v>
      </c>
      <c r="E20" s="64">
        <f>SL!E20</f>
        <v>11520.55</v>
      </c>
      <c r="F20" s="65">
        <v>1694</v>
      </c>
      <c r="G20" s="66">
        <v>5362</v>
      </c>
      <c r="H20" s="67">
        <v>7056</v>
      </c>
      <c r="I20" s="66">
        <v>2134</v>
      </c>
      <c r="J20" s="66">
        <v>6993</v>
      </c>
      <c r="K20" s="68">
        <v>9127</v>
      </c>
      <c r="L20" s="69">
        <f t="shared" ref="L20:L50" si="8">D20/H20</f>
        <v>0.0634920634920635</v>
      </c>
      <c r="M20" s="94">
        <f t="shared" si="7"/>
        <v>0.218710912239433</v>
      </c>
      <c r="N20" s="91">
        <f>SL!W20</f>
        <v>255819</v>
      </c>
      <c r="O20" s="91">
        <f>SL!X20</f>
        <v>2600</v>
      </c>
      <c r="P20" s="91">
        <f>SL!Y20</f>
        <v>245</v>
      </c>
      <c r="Q20" s="91">
        <f>SL!Z20</f>
        <v>2519.67</v>
      </c>
      <c r="R20" s="92">
        <f>SL!AA20</f>
        <v>6351.18</v>
      </c>
      <c r="S20" s="91">
        <f>SL!AB20</f>
        <v>0.97</v>
      </c>
      <c r="T20" s="71">
        <f t="shared" si="2"/>
        <v>0.396724703126033</v>
      </c>
      <c r="U20" s="72">
        <f t="shared" si="3"/>
        <v>0.0101634358667652</v>
      </c>
      <c r="V20" s="72">
        <f t="shared" si="4"/>
        <v>0.0942307692307692</v>
      </c>
      <c r="W20" s="73">
        <f t="shared" si="5"/>
        <v>10.2843673469388</v>
      </c>
      <c r="X20" s="96">
        <f t="shared" si="6"/>
        <v>0.0733899330441826</v>
      </c>
    </row>
    <row r="21" customHeight="1" spans="1:24">
      <c r="A21" s="61" t="s">
        <v>115</v>
      </c>
      <c r="B21" s="89" t="s">
        <v>116</v>
      </c>
      <c r="C21" s="90">
        <f>SL!C21</f>
        <v>350</v>
      </c>
      <c r="D21" s="91">
        <f>SL!D21</f>
        <v>338</v>
      </c>
      <c r="E21" s="64">
        <f>SL!E21</f>
        <v>8390.83</v>
      </c>
      <c r="F21" s="65">
        <v>1415</v>
      </c>
      <c r="G21" s="66">
        <v>4589</v>
      </c>
      <c r="H21" s="67">
        <v>6004</v>
      </c>
      <c r="I21" s="66">
        <v>1839</v>
      </c>
      <c r="J21" s="66">
        <v>6173</v>
      </c>
      <c r="K21" s="68">
        <v>8012</v>
      </c>
      <c r="L21" s="69">
        <f t="shared" si="8"/>
        <v>0.0562958027981346</v>
      </c>
      <c r="M21" s="94">
        <f t="shared" si="7"/>
        <v>0.307696616425312</v>
      </c>
      <c r="N21" s="91">
        <f>SL!W21</f>
        <v>261831</v>
      </c>
      <c r="O21" s="91">
        <f>SL!X21</f>
        <v>2520</v>
      </c>
      <c r="P21" s="91">
        <f>SL!Y21</f>
        <v>215</v>
      </c>
      <c r="Q21" s="91">
        <f>SL!Z21</f>
        <v>2581.83</v>
      </c>
      <c r="R21" s="92">
        <f>SL!AA21</f>
        <v>5283.21</v>
      </c>
      <c r="S21" s="91">
        <f>SL!AB21</f>
        <v>1.02</v>
      </c>
      <c r="T21" s="71">
        <f t="shared" si="2"/>
        <v>0.488685855758147</v>
      </c>
      <c r="U21" s="72">
        <f t="shared" si="3"/>
        <v>0.00962452879911088</v>
      </c>
      <c r="V21" s="72">
        <f t="shared" si="4"/>
        <v>0.0853174603174603</v>
      </c>
      <c r="W21" s="73">
        <f t="shared" si="5"/>
        <v>12.008511627907</v>
      </c>
      <c r="X21" s="96">
        <f t="shared" si="6"/>
        <v>0.0733899330441826</v>
      </c>
    </row>
    <row r="22" customHeight="1" spans="1:24">
      <c r="A22" s="61" t="s">
        <v>118</v>
      </c>
      <c r="B22" s="89" t="s">
        <v>119</v>
      </c>
      <c r="C22" s="90">
        <f>SL!C22</f>
        <v>390</v>
      </c>
      <c r="D22" s="91">
        <f>SL!D22</f>
        <v>376</v>
      </c>
      <c r="E22" s="64">
        <f>SL!E22</f>
        <v>9380.31</v>
      </c>
      <c r="F22" s="65">
        <v>1633</v>
      </c>
      <c r="G22" s="66">
        <v>4774</v>
      </c>
      <c r="H22" s="67">
        <v>6407</v>
      </c>
      <c r="I22" s="66">
        <v>2117</v>
      </c>
      <c r="J22" s="66">
        <v>6345</v>
      </c>
      <c r="K22" s="68">
        <v>8462</v>
      </c>
      <c r="L22" s="69">
        <f t="shared" si="8"/>
        <v>0.0586858123926955</v>
      </c>
      <c r="M22" s="94">
        <f t="shared" si="7"/>
        <v>0.315175084831951</v>
      </c>
      <c r="N22" s="91">
        <f>SL!W22</f>
        <v>263574</v>
      </c>
      <c r="O22" s="91">
        <f>SL!X22</f>
        <v>2836</v>
      </c>
      <c r="P22" s="91">
        <f>SL!Y22</f>
        <v>265</v>
      </c>
      <c r="Q22" s="91">
        <f>SL!Z22</f>
        <v>2956.44</v>
      </c>
      <c r="R22" s="92">
        <f>SL!AA22</f>
        <v>6504.79</v>
      </c>
      <c r="S22" s="91">
        <f>SL!AB22</f>
        <v>1.04</v>
      </c>
      <c r="T22" s="71">
        <f t="shared" si="2"/>
        <v>0.454501990071932</v>
      </c>
      <c r="U22" s="72">
        <f t="shared" si="3"/>
        <v>0.0107597866253879</v>
      </c>
      <c r="V22" s="72">
        <f t="shared" si="4"/>
        <v>0.093441466854725</v>
      </c>
      <c r="W22" s="73">
        <f t="shared" si="5"/>
        <v>11.1563773584906</v>
      </c>
      <c r="X22" s="96">
        <f t="shared" si="6"/>
        <v>0.0733899330441826</v>
      </c>
    </row>
    <row r="23" customHeight="1" spans="1:24">
      <c r="A23" s="61" t="s">
        <v>121</v>
      </c>
      <c r="B23" s="89" t="s">
        <v>122</v>
      </c>
      <c r="C23" s="90">
        <f>SL!C23</f>
        <v>401</v>
      </c>
      <c r="D23" s="91">
        <f>SL!D23</f>
        <v>382</v>
      </c>
      <c r="E23" s="64">
        <f>SL!E23</f>
        <v>9704.49</v>
      </c>
      <c r="F23" s="65">
        <v>1087</v>
      </c>
      <c r="G23" s="66">
        <v>3226</v>
      </c>
      <c r="H23" s="67">
        <v>4313</v>
      </c>
      <c r="I23" s="66">
        <v>1353</v>
      </c>
      <c r="J23" s="66">
        <v>4435</v>
      </c>
      <c r="K23" s="68">
        <v>5788</v>
      </c>
      <c r="L23" s="69">
        <f t="shared" si="8"/>
        <v>0.0885694412242059</v>
      </c>
      <c r="M23" s="94">
        <f t="shared" si="7"/>
        <v>0.286759015672127</v>
      </c>
      <c r="N23" s="91">
        <f>SL!W23</f>
        <v>278481</v>
      </c>
      <c r="O23" s="91">
        <f>SL!X23</f>
        <v>2758</v>
      </c>
      <c r="P23" s="91">
        <f>SL!Y23</f>
        <v>254</v>
      </c>
      <c r="Q23" s="91">
        <f>SL!Z23</f>
        <v>2782.85</v>
      </c>
      <c r="R23" s="92">
        <f>SL!AA23</f>
        <v>6199.12</v>
      </c>
      <c r="S23" s="91">
        <f>SL!AB23</f>
        <v>1.01</v>
      </c>
      <c r="T23" s="71">
        <f t="shared" si="2"/>
        <v>0.448910490521235</v>
      </c>
      <c r="U23" s="72">
        <f t="shared" si="3"/>
        <v>0.00990372772289671</v>
      </c>
      <c r="V23" s="72">
        <f t="shared" si="4"/>
        <v>0.0920957215373459</v>
      </c>
      <c r="W23" s="73">
        <f t="shared" si="5"/>
        <v>10.9561023622047</v>
      </c>
      <c r="X23" s="96">
        <f t="shared" si="6"/>
        <v>0.0733899330441826</v>
      </c>
    </row>
    <row r="24" customHeight="1" spans="1:24">
      <c r="A24" s="61" t="s">
        <v>124</v>
      </c>
      <c r="B24" s="89" t="s">
        <v>125</v>
      </c>
      <c r="C24" s="90">
        <f>SL!C24</f>
        <v>464</v>
      </c>
      <c r="D24" s="91">
        <f>SL!D24</f>
        <v>441</v>
      </c>
      <c r="E24" s="64">
        <f>SL!E24</f>
        <v>9746.86</v>
      </c>
      <c r="F24" s="65">
        <v>1350</v>
      </c>
      <c r="G24" s="66">
        <v>4147</v>
      </c>
      <c r="H24" s="67">
        <v>5497</v>
      </c>
      <c r="I24" s="66">
        <v>1726</v>
      </c>
      <c r="J24" s="66">
        <v>5652</v>
      </c>
      <c r="K24" s="68">
        <v>7378</v>
      </c>
      <c r="L24" s="69">
        <f t="shared" si="8"/>
        <v>0.0802255775877752</v>
      </c>
      <c r="M24" s="94">
        <f t="shared" si="7"/>
        <v>0.305368087773909</v>
      </c>
      <c r="N24" s="91">
        <f>SL!W24</f>
        <v>236690</v>
      </c>
      <c r="O24" s="91">
        <f>SL!X24</f>
        <v>2806</v>
      </c>
      <c r="P24" s="91">
        <f>SL!Y24</f>
        <v>277</v>
      </c>
      <c r="Q24" s="91">
        <f>SL!Z24</f>
        <v>2976.38</v>
      </c>
      <c r="R24" s="92">
        <f>SL!AA24</f>
        <v>6103.54</v>
      </c>
      <c r="S24" s="91">
        <f>SL!AB24</f>
        <v>1.06</v>
      </c>
      <c r="T24" s="71">
        <f t="shared" si="2"/>
        <v>0.487648151728341</v>
      </c>
      <c r="U24" s="72">
        <f t="shared" si="3"/>
        <v>0.0118551692086696</v>
      </c>
      <c r="V24" s="72">
        <f t="shared" si="4"/>
        <v>0.0987170349251604</v>
      </c>
      <c r="W24" s="73">
        <f t="shared" si="5"/>
        <v>10.7450541516245</v>
      </c>
      <c r="X24" s="96">
        <f t="shared" si="6"/>
        <v>0.0733899330441826</v>
      </c>
    </row>
    <row r="25" customHeight="1" spans="1:24">
      <c r="A25" s="61" t="s">
        <v>128</v>
      </c>
      <c r="B25" s="89" t="s">
        <v>129</v>
      </c>
      <c r="C25" s="90">
        <f>SL!C25</f>
        <v>486</v>
      </c>
      <c r="D25" s="91">
        <f>SL!D25</f>
        <v>465</v>
      </c>
      <c r="E25" s="64">
        <f>SL!E25</f>
        <v>11015.19</v>
      </c>
      <c r="F25" s="65">
        <v>1656</v>
      </c>
      <c r="G25" s="66">
        <v>5293</v>
      </c>
      <c r="H25" s="67">
        <v>6949</v>
      </c>
      <c r="I25" s="66">
        <v>2163</v>
      </c>
      <c r="J25" s="66">
        <v>7216</v>
      </c>
      <c r="K25" s="68">
        <v>9379</v>
      </c>
      <c r="L25" s="69">
        <f t="shared" si="8"/>
        <v>0.0669161030364081</v>
      </c>
      <c r="M25" s="94">
        <f t="shared" si="7"/>
        <v>0.283745446061303</v>
      </c>
      <c r="N25" s="91">
        <f>SL!W25</f>
        <v>303852</v>
      </c>
      <c r="O25" s="91">
        <f>SL!X25</f>
        <v>2994</v>
      </c>
      <c r="P25" s="91">
        <f>SL!Y25</f>
        <v>311</v>
      </c>
      <c r="Q25" s="91">
        <f>SL!Z25</f>
        <v>3125.51</v>
      </c>
      <c r="R25" s="92">
        <f>SL!AA25</f>
        <v>7326.12</v>
      </c>
      <c r="S25" s="91">
        <f>SL!AB25</f>
        <v>1.04</v>
      </c>
      <c r="T25" s="71">
        <f t="shared" si="2"/>
        <v>0.426625553498987</v>
      </c>
      <c r="U25" s="72">
        <f t="shared" si="3"/>
        <v>0.00985348130010663</v>
      </c>
      <c r="V25" s="72">
        <f t="shared" si="4"/>
        <v>0.103874415497662</v>
      </c>
      <c r="W25" s="73">
        <f t="shared" si="5"/>
        <v>10.0498713826367</v>
      </c>
      <c r="X25" s="96">
        <f t="shared" si="6"/>
        <v>0.0733899330441826</v>
      </c>
    </row>
    <row r="26" customHeight="1" spans="1:24">
      <c r="A26" s="61" t="s">
        <v>130</v>
      </c>
      <c r="B26" s="89" t="s">
        <v>131</v>
      </c>
      <c r="C26" s="90">
        <f>SL!C26</f>
        <v>416</v>
      </c>
      <c r="D26" s="91">
        <f>SL!D26</f>
        <v>391</v>
      </c>
      <c r="E26" s="64">
        <f>SL!E26</f>
        <v>10020.4</v>
      </c>
      <c r="F26" s="65">
        <v>1542</v>
      </c>
      <c r="G26" s="66">
        <v>4679</v>
      </c>
      <c r="H26" s="67">
        <v>6221</v>
      </c>
      <c r="I26" s="66">
        <v>2049</v>
      </c>
      <c r="J26" s="66">
        <v>6323</v>
      </c>
      <c r="K26" s="68">
        <v>8372</v>
      </c>
      <c r="L26" s="69">
        <f t="shared" si="8"/>
        <v>0.0628516315704871</v>
      </c>
      <c r="M26" s="94">
        <f t="shared" si="7"/>
        <v>0.276367210889785</v>
      </c>
      <c r="N26" s="91">
        <f>SL!W26</f>
        <v>258909</v>
      </c>
      <c r="O26" s="91">
        <f>SL!X26</f>
        <v>2637</v>
      </c>
      <c r="P26" s="91">
        <f>SL!Y26</f>
        <v>238</v>
      </c>
      <c r="Q26" s="91">
        <f>SL!Z26</f>
        <v>2769.31</v>
      </c>
      <c r="R26" s="92">
        <f>SL!AA26</f>
        <v>5998.55</v>
      </c>
      <c r="S26" s="91">
        <f>SL!AB26</f>
        <v>1.05</v>
      </c>
      <c r="T26" s="71">
        <f t="shared" si="2"/>
        <v>0.46166323528186</v>
      </c>
      <c r="U26" s="72">
        <f t="shared" si="3"/>
        <v>0.0101850457110413</v>
      </c>
      <c r="V26" s="72">
        <f t="shared" si="4"/>
        <v>0.0902540766021995</v>
      </c>
      <c r="W26" s="73">
        <f t="shared" si="5"/>
        <v>11.635756302521</v>
      </c>
      <c r="X26" s="96">
        <f t="shared" si="6"/>
        <v>0.0733899330441826</v>
      </c>
    </row>
    <row r="27" customHeight="1" spans="1:24">
      <c r="A27" s="61" t="s">
        <v>133</v>
      </c>
      <c r="B27" s="89" t="s">
        <v>134</v>
      </c>
      <c r="C27" s="90">
        <f>SL!C27</f>
        <v>348</v>
      </c>
      <c r="D27" s="91">
        <f>SL!D27</f>
        <v>338</v>
      </c>
      <c r="E27" s="64">
        <f>SL!E27</f>
        <v>8556.44</v>
      </c>
      <c r="F27" s="65">
        <v>1099</v>
      </c>
      <c r="G27" s="66">
        <v>3480</v>
      </c>
      <c r="H27" s="67">
        <v>4579</v>
      </c>
      <c r="I27" s="66">
        <v>1443</v>
      </c>
      <c r="J27" s="66">
        <v>4697</v>
      </c>
      <c r="K27" s="68">
        <v>6140</v>
      </c>
      <c r="L27" s="69">
        <f t="shared" si="8"/>
        <v>0.0738152435029482</v>
      </c>
      <c r="M27" s="94">
        <f t="shared" si="7"/>
        <v>0.275415944014099</v>
      </c>
      <c r="N27" s="91">
        <f>SL!W27</f>
        <v>235160</v>
      </c>
      <c r="O27" s="91">
        <f>SL!X27</f>
        <v>2259</v>
      </c>
      <c r="P27" s="91">
        <f>SL!Y27</f>
        <v>186</v>
      </c>
      <c r="Q27" s="91">
        <f>SL!Z27</f>
        <v>2356.58</v>
      </c>
      <c r="R27" s="92">
        <f>SL!AA27</f>
        <v>4686.72</v>
      </c>
      <c r="S27" s="91">
        <f>SL!AB27</f>
        <v>1.04</v>
      </c>
      <c r="T27" s="71">
        <f t="shared" si="2"/>
        <v>0.502820736037143</v>
      </c>
      <c r="U27" s="72">
        <f t="shared" si="3"/>
        <v>0.00960622554856268</v>
      </c>
      <c r="V27" s="72">
        <f t="shared" si="4"/>
        <v>0.0823373173970783</v>
      </c>
      <c r="W27" s="73">
        <f t="shared" si="5"/>
        <v>12.6697849462366</v>
      </c>
      <c r="X27" s="96">
        <f t="shared" si="6"/>
        <v>0.0733899330441826</v>
      </c>
    </row>
    <row r="28" customHeight="1" spans="1:24">
      <c r="A28" s="61" t="s">
        <v>136</v>
      </c>
      <c r="B28" s="89" t="s">
        <v>137</v>
      </c>
      <c r="C28" s="90">
        <f>SL!C28</f>
        <v>390</v>
      </c>
      <c r="D28" s="91">
        <f>SL!D28</f>
        <v>356</v>
      </c>
      <c r="E28" s="64">
        <f>SL!E28</f>
        <v>8924.45</v>
      </c>
      <c r="F28" s="65">
        <v>1446</v>
      </c>
      <c r="G28" s="66">
        <v>4445</v>
      </c>
      <c r="H28" s="67">
        <v>5891</v>
      </c>
      <c r="I28" s="66">
        <v>1852</v>
      </c>
      <c r="J28" s="66">
        <v>5705</v>
      </c>
      <c r="K28" s="68">
        <v>7557</v>
      </c>
      <c r="L28" s="69">
        <f t="shared" si="8"/>
        <v>0.060431166185707</v>
      </c>
      <c r="M28" s="94">
        <f t="shared" si="7"/>
        <v>0.285852909703119</v>
      </c>
      <c r="N28" s="91">
        <f>SL!W28</f>
        <v>246122</v>
      </c>
      <c r="O28" s="91">
        <f>SL!X28</f>
        <v>2473</v>
      </c>
      <c r="P28" s="91">
        <f>SL!Y28</f>
        <v>200</v>
      </c>
      <c r="Q28" s="91">
        <f>SL!Z28</f>
        <v>2551.08</v>
      </c>
      <c r="R28" s="92">
        <f>SL!AA28</f>
        <v>4818.21</v>
      </c>
      <c r="S28" s="91">
        <f>SL!AB28</f>
        <v>1.03</v>
      </c>
      <c r="T28" s="71">
        <f t="shared" si="2"/>
        <v>0.529466337083689</v>
      </c>
      <c r="U28" s="72">
        <f t="shared" si="3"/>
        <v>0.0100478624422035</v>
      </c>
      <c r="V28" s="72">
        <f t="shared" si="4"/>
        <v>0.0808734330772341</v>
      </c>
      <c r="W28" s="73">
        <f t="shared" si="5"/>
        <v>12.7554</v>
      </c>
      <c r="X28" s="96">
        <f t="shared" si="6"/>
        <v>0.0733899330441826</v>
      </c>
    </row>
    <row r="29" customHeight="1" spans="1:24">
      <c r="A29" s="61" t="s">
        <v>139</v>
      </c>
      <c r="B29" s="89" t="s">
        <v>140</v>
      </c>
      <c r="C29" s="90">
        <f>SL!C29</f>
        <v>414</v>
      </c>
      <c r="D29" s="91">
        <f>SL!D29</f>
        <v>390</v>
      </c>
      <c r="E29" s="64">
        <f>SL!E29</f>
        <v>9670.56</v>
      </c>
      <c r="F29" s="65">
        <v>1514</v>
      </c>
      <c r="G29" s="66">
        <v>4399</v>
      </c>
      <c r="H29" s="67">
        <v>5913</v>
      </c>
      <c r="I29" s="66">
        <v>1938</v>
      </c>
      <c r="J29" s="66">
        <v>5736</v>
      </c>
      <c r="K29" s="68">
        <v>7674</v>
      </c>
      <c r="L29" s="69">
        <f t="shared" si="8"/>
        <v>0.0659563673262303</v>
      </c>
      <c r="M29" s="94">
        <f t="shared" si="7"/>
        <v>0.258339744544266</v>
      </c>
      <c r="N29" s="91">
        <f>SL!W29</f>
        <v>224859</v>
      </c>
      <c r="O29" s="91">
        <f>SL!X29</f>
        <v>2444</v>
      </c>
      <c r="P29" s="91">
        <f>SL!Y29</f>
        <v>236</v>
      </c>
      <c r="Q29" s="91">
        <f>SL!Z29</f>
        <v>2498.29</v>
      </c>
      <c r="R29" s="92">
        <f>SL!AA29</f>
        <v>5740.71</v>
      </c>
      <c r="S29" s="91">
        <f>SL!AB29</f>
        <v>1.02</v>
      </c>
      <c r="T29" s="71">
        <f t="shared" si="2"/>
        <v>0.435188330363317</v>
      </c>
      <c r="U29" s="72">
        <f t="shared" si="3"/>
        <v>0.010869033483205</v>
      </c>
      <c r="V29" s="72">
        <f t="shared" si="4"/>
        <v>0.0965630114566285</v>
      </c>
      <c r="W29" s="73">
        <f t="shared" si="5"/>
        <v>10.5859745762712</v>
      </c>
      <c r="X29" s="96">
        <f t="shared" si="6"/>
        <v>0.0733899330441826</v>
      </c>
    </row>
    <row r="30" customHeight="1" spans="1:24">
      <c r="A30" s="61" t="s">
        <v>142</v>
      </c>
      <c r="B30" s="89" t="s">
        <v>143</v>
      </c>
      <c r="C30" s="90">
        <f>SL!C30</f>
        <v>463</v>
      </c>
      <c r="D30" s="91">
        <f>SL!D30</f>
        <v>435</v>
      </c>
      <c r="E30" s="64">
        <f>SL!E30</f>
        <v>11347.24</v>
      </c>
      <c r="F30" s="65">
        <v>1342</v>
      </c>
      <c r="G30" s="66">
        <v>4862</v>
      </c>
      <c r="H30" s="67">
        <v>6204</v>
      </c>
      <c r="I30" s="66">
        <v>1700</v>
      </c>
      <c r="J30" s="66">
        <v>6273</v>
      </c>
      <c r="K30" s="68">
        <v>7973</v>
      </c>
      <c r="L30" s="69">
        <f t="shared" si="8"/>
        <v>0.0701160541586073</v>
      </c>
      <c r="M30" s="94">
        <f t="shared" si="7"/>
        <v>0.241443734335398</v>
      </c>
      <c r="N30" s="91">
        <f>SL!W30</f>
        <v>250034</v>
      </c>
      <c r="O30" s="91">
        <f>SL!X30</f>
        <v>2650</v>
      </c>
      <c r="P30" s="91">
        <f>SL!Y30</f>
        <v>284</v>
      </c>
      <c r="Q30" s="91">
        <f>SL!Z30</f>
        <v>2739.72</v>
      </c>
      <c r="R30" s="92">
        <f>SL!AA30</f>
        <v>7513.18</v>
      </c>
      <c r="S30" s="91">
        <f>SL!AB30</f>
        <v>1.03</v>
      </c>
      <c r="T30" s="71">
        <f t="shared" si="2"/>
        <v>0.364655179298247</v>
      </c>
      <c r="U30" s="72">
        <f t="shared" si="3"/>
        <v>0.0105985585960309</v>
      </c>
      <c r="V30" s="72">
        <f t="shared" si="4"/>
        <v>0.107169811320755</v>
      </c>
      <c r="W30" s="73">
        <f t="shared" si="5"/>
        <v>9.6469014084507</v>
      </c>
      <c r="X30" s="96">
        <f t="shared" si="6"/>
        <v>0.0733899330441826</v>
      </c>
    </row>
    <row r="31" customHeight="1" spans="1:24">
      <c r="A31" s="61" t="s">
        <v>144</v>
      </c>
      <c r="B31" s="89" t="s">
        <v>145</v>
      </c>
      <c r="C31" s="90">
        <f>SL!C31</f>
        <v>373</v>
      </c>
      <c r="D31" s="91">
        <f>SL!D31</f>
        <v>360</v>
      </c>
      <c r="E31" s="64">
        <f>SL!E31</f>
        <v>9134.48</v>
      </c>
      <c r="F31" s="65">
        <v>1166</v>
      </c>
      <c r="G31" s="66">
        <v>3741</v>
      </c>
      <c r="H31" s="67">
        <v>4907</v>
      </c>
      <c r="I31" s="66">
        <v>1481</v>
      </c>
      <c r="J31" s="66">
        <v>5044</v>
      </c>
      <c r="K31" s="68">
        <v>6525</v>
      </c>
      <c r="L31" s="69">
        <f t="shared" si="8"/>
        <v>0.0733645812105156</v>
      </c>
      <c r="M31" s="94">
        <f t="shared" si="7"/>
        <v>0.272921939727275</v>
      </c>
      <c r="N31" s="91">
        <f>SL!W31</f>
        <v>329751</v>
      </c>
      <c r="O31" s="91">
        <f>SL!X31</f>
        <v>2477</v>
      </c>
      <c r="P31" s="91">
        <f>SL!Y31</f>
        <v>213</v>
      </c>
      <c r="Q31" s="91">
        <f>SL!Z31</f>
        <v>2493</v>
      </c>
      <c r="R31" s="92">
        <f>SL!AA31</f>
        <v>5394.2</v>
      </c>
      <c r="S31" s="91">
        <f>SL!AB31</f>
        <v>1.01</v>
      </c>
      <c r="T31" s="71">
        <f t="shared" si="2"/>
        <v>0.462163064031738</v>
      </c>
      <c r="U31" s="72">
        <f t="shared" si="3"/>
        <v>0.00751172854669129</v>
      </c>
      <c r="V31" s="72">
        <f t="shared" si="4"/>
        <v>0.0859911182882519</v>
      </c>
      <c r="W31" s="73">
        <f t="shared" si="5"/>
        <v>11.7042253521127</v>
      </c>
      <c r="X31" s="96">
        <f t="shared" si="6"/>
        <v>0.0733899330441826</v>
      </c>
    </row>
    <row r="32" customHeight="1" spans="1:24">
      <c r="A32" s="61" t="s">
        <v>147</v>
      </c>
      <c r="B32" s="89" t="s">
        <v>148</v>
      </c>
      <c r="C32" s="90">
        <f>SL!C32</f>
        <v>415</v>
      </c>
      <c r="D32" s="91">
        <f>SL!D32</f>
        <v>392</v>
      </c>
      <c r="E32" s="64">
        <f>SL!E32</f>
        <v>10098.35</v>
      </c>
      <c r="F32" s="65">
        <v>1342</v>
      </c>
      <c r="G32" s="66">
        <v>4833</v>
      </c>
      <c r="H32" s="67">
        <v>6175</v>
      </c>
      <c r="I32" s="66">
        <v>1748</v>
      </c>
      <c r="J32" s="66">
        <v>6259</v>
      </c>
      <c r="K32" s="68">
        <v>8007</v>
      </c>
      <c r="L32" s="69">
        <f t="shared" si="8"/>
        <v>0.0634817813765182</v>
      </c>
      <c r="M32" s="94">
        <f t="shared" si="7"/>
        <v>0.276549139215812</v>
      </c>
      <c r="N32" s="91">
        <f>SL!W32</f>
        <v>550872</v>
      </c>
      <c r="O32" s="91">
        <f>SL!X32</f>
        <v>2687</v>
      </c>
      <c r="P32" s="91">
        <f>SL!Y32</f>
        <v>242</v>
      </c>
      <c r="Q32" s="91">
        <f>SL!Z32</f>
        <v>2792.69</v>
      </c>
      <c r="R32" s="92">
        <f>SL!AA32</f>
        <v>6031.52</v>
      </c>
      <c r="S32" s="91">
        <f>SL!AB32</f>
        <v>1.04</v>
      </c>
      <c r="T32" s="71">
        <f t="shared" si="2"/>
        <v>0.463015956176884</v>
      </c>
      <c r="U32" s="72">
        <f t="shared" si="3"/>
        <v>0.00487772114030119</v>
      </c>
      <c r="V32" s="72">
        <f t="shared" si="4"/>
        <v>0.0900632675846669</v>
      </c>
      <c r="W32" s="73">
        <f t="shared" si="5"/>
        <v>11.540041322314</v>
      </c>
      <c r="X32" s="96">
        <f t="shared" si="6"/>
        <v>0.0733899330441826</v>
      </c>
    </row>
    <row r="33" customHeight="1" spans="1:24">
      <c r="A33" s="61" t="s">
        <v>150</v>
      </c>
      <c r="B33" s="89" t="s">
        <v>151</v>
      </c>
      <c r="C33" s="90">
        <f>SL!C33</f>
        <v>400</v>
      </c>
      <c r="D33" s="91">
        <f>SL!D33</f>
        <v>382</v>
      </c>
      <c r="E33" s="64">
        <f>SL!E33</f>
        <v>9152.47</v>
      </c>
      <c r="F33" s="65">
        <v>1370</v>
      </c>
      <c r="G33" s="66">
        <v>4569</v>
      </c>
      <c r="H33" s="67">
        <v>5939</v>
      </c>
      <c r="I33" s="66">
        <v>1781</v>
      </c>
      <c r="J33" s="66">
        <v>5983</v>
      </c>
      <c r="K33" s="68">
        <v>7764</v>
      </c>
      <c r="L33" s="69">
        <f t="shared" si="8"/>
        <v>0.0643205926923724</v>
      </c>
      <c r="M33" s="94">
        <f t="shared" si="7"/>
        <v>0.308542939774727</v>
      </c>
      <c r="N33" s="91">
        <f>SL!W33</f>
        <v>261666</v>
      </c>
      <c r="O33" s="91">
        <f>SL!X33</f>
        <v>2721</v>
      </c>
      <c r="P33" s="91">
        <f>SL!Y33</f>
        <v>238</v>
      </c>
      <c r="Q33" s="91">
        <f>SL!Z33</f>
        <v>2823.93</v>
      </c>
      <c r="R33" s="92">
        <f>SL!AA33</f>
        <v>5786.5</v>
      </c>
      <c r="S33" s="91">
        <f>SL!AB33</f>
        <v>1.04</v>
      </c>
      <c r="T33" s="71">
        <f t="shared" si="2"/>
        <v>0.488020392292405</v>
      </c>
      <c r="U33" s="72">
        <f t="shared" si="3"/>
        <v>0.0103987526082869</v>
      </c>
      <c r="V33" s="72">
        <f t="shared" si="4"/>
        <v>0.0874678427048879</v>
      </c>
      <c r="W33" s="73">
        <f t="shared" si="5"/>
        <v>11.8652521008403</v>
      </c>
      <c r="X33" s="96">
        <f t="shared" si="6"/>
        <v>0.0733899330441826</v>
      </c>
    </row>
    <row r="34" customHeight="1" spans="1:24">
      <c r="A34" s="61" t="s">
        <v>154</v>
      </c>
      <c r="B34" s="89" t="s">
        <v>155</v>
      </c>
      <c r="C34" s="90">
        <f>SL!C34</f>
        <v>429</v>
      </c>
      <c r="D34" s="91">
        <f>SL!D34</f>
        <v>395</v>
      </c>
      <c r="E34" s="64">
        <f>SL!E34</f>
        <v>10442.62</v>
      </c>
      <c r="F34" s="65">
        <v>1422</v>
      </c>
      <c r="G34" s="66">
        <v>4334</v>
      </c>
      <c r="H34" s="67">
        <v>5756</v>
      </c>
      <c r="I34" s="66">
        <v>1833</v>
      </c>
      <c r="J34" s="66">
        <v>5582</v>
      </c>
      <c r="K34" s="68">
        <v>7415</v>
      </c>
      <c r="L34" s="69">
        <f t="shared" si="8"/>
        <v>0.0686240444753301</v>
      </c>
      <c r="M34" s="94">
        <f t="shared" si="7"/>
        <v>0.257682458999753</v>
      </c>
      <c r="N34" s="91">
        <f>SL!W34</f>
        <v>238222</v>
      </c>
      <c r="O34" s="91">
        <f>SL!X34</f>
        <v>2771</v>
      </c>
      <c r="P34" s="91">
        <f>SL!Y34</f>
        <v>254</v>
      </c>
      <c r="Q34" s="91">
        <f>SL!Z34</f>
        <v>2690.88</v>
      </c>
      <c r="R34" s="92">
        <f>SL!AA34</f>
        <v>6334.77</v>
      </c>
      <c r="S34" s="91">
        <f>SL!AB34</f>
        <v>0.97</v>
      </c>
      <c r="T34" s="71">
        <f t="shared" si="2"/>
        <v>0.424779431613145</v>
      </c>
      <c r="U34" s="72">
        <f t="shared" si="3"/>
        <v>0.0116320071194096</v>
      </c>
      <c r="V34" s="72">
        <f t="shared" si="4"/>
        <v>0.0916636593287622</v>
      </c>
      <c r="W34" s="73">
        <f t="shared" si="5"/>
        <v>10.5940157480315</v>
      </c>
      <c r="X34" s="96">
        <f t="shared" si="6"/>
        <v>0.0733899330441826</v>
      </c>
    </row>
    <row r="35" customHeight="1" spans="1:24">
      <c r="A35" s="61" t="s">
        <v>156</v>
      </c>
      <c r="B35" s="89" t="s">
        <v>157</v>
      </c>
      <c r="C35" s="90">
        <f>SL!C35</f>
        <v>411</v>
      </c>
      <c r="D35" s="91">
        <f>SL!D35</f>
        <v>383</v>
      </c>
      <c r="E35" s="64">
        <f>SL!E35</f>
        <v>10097.4</v>
      </c>
      <c r="F35" s="65">
        <v>1450</v>
      </c>
      <c r="G35" s="66">
        <v>4359</v>
      </c>
      <c r="H35" s="67">
        <v>5809</v>
      </c>
      <c r="I35" s="66">
        <v>1861</v>
      </c>
      <c r="J35" s="66">
        <v>5689</v>
      </c>
      <c r="K35" s="68">
        <v>7550</v>
      </c>
      <c r="L35" s="69">
        <f t="shared" si="8"/>
        <v>0.065932174212429</v>
      </c>
      <c r="M35" s="94">
        <f t="shared" si="7"/>
        <v>0.291335393269555</v>
      </c>
      <c r="N35" s="91">
        <f>SL!W35</f>
        <v>309763</v>
      </c>
      <c r="O35" s="91">
        <f>SL!X35</f>
        <v>3025</v>
      </c>
      <c r="P35" s="91">
        <f>SL!Y35</f>
        <v>240</v>
      </c>
      <c r="Q35" s="91">
        <f>SL!Z35</f>
        <v>2941.73</v>
      </c>
      <c r="R35" s="92">
        <f>SL!AA35</f>
        <v>6135.47</v>
      </c>
      <c r="S35" s="91">
        <f>SL!AB35</f>
        <v>0.97</v>
      </c>
      <c r="T35" s="71">
        <f t="shared" si="2"/>
        <v>0.479462861035911</v>
      </c>
      <c r="U35" s="72">
        <f t="shared" si="3"/>
        <v>0.00976553042164494</v>
      </c>
      <c r="V35" s="72">
        <f t="shared" si="4"/>
        <v>0.0793388429752066</v>
      </c>
      <c r="W35" s="73">
        <f t="shared" si="5"/>
        <v>12.2572083333333</v>
      </c>
      <c r="X35" s="96">
        <f t="shared" si="6"/>
        <v>0.0733899330441826</v>
      </c>
    </row>
    <row r="36" customHeight="1" spans="1:24">
      <c r="A36" s="61" t="s">
        <v>158</v>
      </c>
      <c r="B36" s="89" t="s">
        <v>159</v>
      </c>
      <c r="C36" s="90">
        <f>SL!C36</f>
        <v>403</v>
      </c>
      <c r="D36" s="91">
        <f>SL!D36</f>
        <v>379</v>
      </c>
      <c r="E36" s="64">
        <f>SL!E36</f>
        <v>9785.09</v>
      </c>
      <c r="F36" s="65">
        <v>1373</v>
      </c>
      <c r="G36" s="66">
        <v>4466</v>
      </c>
      <c r="H36" s="67">
        <v>5839</v>
      </c>
      <c r="I36" s="66">
        <v>1713</v>
      </c>
      <c r="J36" s="66">
        <v>5717</v>
      </c>
      <c r="K36" s="68">
        <v>7430</v>
      </c>
      <c r="L36" s="69">
        <f t="shared" si="8"/>
        <v>0.0649083747216989</v>
      </c>
      <c r="M36" s="94">
        <f t="shared" si="7"/>
        <v>0.290031057455782</v>
      </c>
      <c r="N36" s="91">
        <f>SL!W36</f>
        <v>259867</v>
      </c>
      <c r="O36" s="91">
        <f>SL!X36</f>
        <v>2668</v>
      </c>
      <c r="P36" s="91">
        <f>SL!Y36</f>
        <v>250</v>
      </c>
      <c r="Q36" s="91">
        <f>SL!Z36</f>
        <v>2837.98</v>
      </c>
      <c r="R36" s="92">
        <f>SL!AA36</f>
        <v>6226.65</v>
      </c>
      <c r="S36" s="91">
        <f>SL!AB36</f>
        <v>1.06</v>
      </c>
      <c r="T36" s="71">
        <f t="shared" ref="T36:T67" si="9">Q36/R36</f>
        <v>0.455779592557796</v>
      </c>
      <c r="U36" s="72">
        <f t="shared" ref="U36:U67" si="10">O36/N36</f>
        <v>0.0102667903196635</v>
      </c>
      <c r="V36" s="72">
        <f t="shared" ref="V36:V67" si="11">P36/O36</f>
        <v>0.0937031484257871</v>
      </c>
      <c r="W36" s="73">
        <f t="shared" ref="W36:W67" si="12">Q36/P36</f>
        <v>11.35192</v>
      </c>
      <c r="X36" s="96">
        <f t="shared" si="6"/>
        <v>0.0733899330441826</v>
      </c>
    </row>
    <row r="37" customHeight="1" spans="1:24">
      <c r="A37" s="61" t="s">
        <v>160</v>
      </c>
      <c r="B37" s="89" t="s">
        <v>161</v>
      </c>
      <c r="C37" s="90">
        <f>SL!C37</f>
        <v>419</v>
      </c>
      <c r="D37" s="91">
        <f>SL!D37</f>
        <v>402</v>
      </c>
      <c r="E37" s="64">
        <f>SL!E37</f>
        <v>9316.53</v>
      </c>
      <c r="F37" s="65">
        <v>1462</v>
      </c>
      <c r="G37" s="66">
        <v>4371</v>
      </c>
      <c r="H37" s="67">
        <v>5833</v>
      </c>
      <c r="I37" s="66">
        <v>1883</v>
      </c>
      <c r="J37" s="66">
        <v>5742</v>
      </c>
      <c r="K37" s="68">
        <v>7625</v>
      </c>
      <c r="L37" s="69">
        <f t="shared" si="8"/>
        <v>0.0689182238985085</v>
      </c>
      <c r="M37" s="94">
        <f t="shared" si="7"/>
        <v>0.29661365336665</v>
      </c>
      <c r="N37" s="91">
        <f>SL!W37</f>
        <v>254466</v>
      </c>
      <c r="O37" s="91">
        <f>SL!X37</f>
        <v>2593</v>
      </c>
      <c r="P37" s="91">
        <f>SL!Y37</f>
        <v>263</v>
      </c>
      <c r="Q37" s="91">
        <f>SL!Z37</f>
        <v>2763.41</v>
      </c>
      <c r="R37" s="92">
        <f>SL!AA37</f>
        <v>5980.15</v>
      </c>
      <c r="S37" s="91">
        <f>SL!AB37</f>
        <v>1.07</v>
      </c>
      <c r="T37" s="71">
        <f t="shared" si="9"/>
        <v>0.462097104587678</v>
      </c>
      <c r="U37" s="72">
        <f t="shared" si="10"/>
        <v>0.0101899664395243</v>
      </c>
      <c r="V37" s="72">
        <f t="shared" si="11"/>
        <v>0.101426918627073</v>
      </c>
      <c r="W37" s="73">
        <f t="shared" si="12"/>
        <v>10.5072623574144</v>
      </c>
      <c r="X37" s="96">
        <f t="shared" si="6"/>
        <v>0.0733899330441826</v>
      </c>
    </row>
    <row r="38" customHeight="1" spans="1:24">
      <c r="A38" s="61" t="s">
        <v>162</v>
      </c>
      <c r="B38" s="89" t="s">
        <v>163</v>
      </c>
      <c r="C38" s="90">
        <f>SL!C38</f>
        <v>392</v>
      </c>
      <c r="D38" s="91">
        <f>SL!D38</f>
        <v>375</v>
      </c>
      <c r="E38" s="64">
        <f>SL!E38</f>
        <v>8810.43</v>
      </c>
      <c r="F38" s="65">
        <v>1237</v>
      </c>
      <c r="G38" s="66">
        <v>4324</v>
      </c>
      <c r="H38" s="67">
        <v>5561</v>
      </c>
      <c r="I38" s="66">
        <v>1552</v>
      </c>
      <c r="J38" s="66">
        <v>5650</v>
      </c>
      <c r="K38" s="68">
        <v>7202</v>
      </c>
      <c r="L38" s="69">
        <f t="shared" si="8"/>
        <v>0.0674339147635317</v>
      </c>
      <c r="M38" s="94">
        <f t="shared" si="7"/>
        <v>0.328130409071975</v>
      </c>
      <c r="N38" s="91">
        <f>SL!W38</f>
        <v>231377</v>
      </c>
      <c r="O38" s="91">
        <f>SL!X38</f>
        <v>2629</v>
      </c>
      <c r="P38" s="91">
        <f>SL!Y38</f>
        <v>285</v>
      </c>
      <c r="Q38" s="91">
        <f>SL!Z38</f>
        <v>2890.97</v>
      </c>
      <c r="R38" s="92">
        <f>SL!AA38</f>
        <v>6529.11</v>
      </c>
      <c r="S38" s="91">
        <f>SL!AB38</f>
        <v>1.1</v>
      </c>
      <c r="T38" s="71">
        <f t="shared" si="9"/>
        <v>0.442781634862945</v>
      </c>
      <c r="U38" s="72">
        <f t="shared" si="10"/>
        <v>0.0113624085367171</v>
      </c>
      <c r="V38" s="72">
        <f t="shared" si="11"/>
        <v>0.108406238113351</v>
      </c>
      <c r="W38" s="73">
        <f t="shared" si="12"/>
        <v>10.1437543859649</v>
      </c>
      <c r="X38" s="96">
        <f t="shared" si="6"/>
        <v>0.0733899330441826</v>
      </c>
    </row>
    <row r="39" customHeight="1" spans="1:24">
      <c r="A39" s="61" t="s">
        <v>165</v>
      </c>
      <c r="B39" s="61" t="s">
        <v>166</v>
      </c>
      <c r="C39" s="90">
        <f>SL!C39</f>
        <v>542</v>
      </c>
      <c r="D39" s="91">
        <f>SL!D39</f>
        <v>508</v>
      </c>
      <c r="E39" s="64">
        <f>SL!E39</f>
        <v>10601.36</v>
      </c>
      <c r="F39" s="65">
        <v>1294</v>
      </c>
      <c r="G39" s="66">
        <v>4591</v>
      </c>
      <c r="H39" s="67">
        <v>5885</v>
      </c>
      <c r="I39" s="66">
        <v>1724</v>
      </c>
      <c r="J39" s="66">
        <v>6141</v>
      </c>
      <c r="K39" s="68">
        <v>7865</v>
      </c>
      <c r="L39" s="69">
        <f t="shared" si="8"/>
        <v>0.086321155480034</v>
      </c>
      <c r="M39" s="94">
        <f t="shared" si="7"/>
        <v>0.258195174958684</v>
      </c>
      <c r="N39" s="91">
        <f>SL!W39</f>
        <v>226717</v>
      </c>
      <c r="O39" s="91">
        <f>SL!X39</f>
        <v>2425</v>
      </c>
      <c r="P39" s="91">
        <f>SL!Y39</f>
        <v>297</v>
      </c>
      <c r="Q39" s="91">
        <f>SL!Z39</f>
        <v>2737.22</v>
      </c>
      <c r="R39" s="92">
        <f>SL!AA39</f>
        <v>6015.47</v>
      </c>
      <c r="S39" s="91">
        <f>SL!AB39</f>
        <v>1.13</v>
      </c>
      <c r="T39" s="71">
        <f t="shared" si="9"/>
        <v>0.455030114022678</v>
      </c>
      <c r="U39" s="72">
        <f t="shared" si="10"/>
        <v>0.0106961542363387</v>
      </c>
      <c r="V39" s="72">
        <f t="shared" si="11"/>
        <v>0.122474226804124</v>
      </c>
      <c r="W39" s="73">
        <f t="shared" si="12"/>
        <v>9.21622895622895</v>
      </c>
      <c r="X39" s="96">
        <f t="shared" si="6"/>
        <v>0.0733899330441826</v>
      </c>
    </row>
    <row r="40" customHeight="1" spans="1:24">
      <c r="A40" s="61" t="s">
        <v>167</v>
      </c>
      <c r="B40" s="61" t="s">
        <v>168</v>
      </c>
      <c r="C40" s="90">
        <f>SL!C40</f>
        <v>735</v>
      </c>
      <c r="D40" s="91">
        <f>SL!D40</f>
        <v>694</v>
      </c>
      <c r="E40" s="64">
        <f>SL!E40</f>
        <v>14720.75</v>
      </c>
      <c r="F40" s="65">
        <v>1980</v>
      </c>
      <c r="G40" s="66">
        <v>7095</v>
      </c>
      <c r="H40" s="67">
        <v>9075</v>
      </c>
      <c r="I40" s="66">
        <v>2615</v>
      </c>
      <c r="J40" s="66">
        <v>9426</v>
      </c>
      <c r="K40" s="68">
        <v>12041</v>
      </c>
      <c r="L40" s="69">
        <f t="shared" si="8"/>
        <v>0.0764738292011019</v>
      </c>
      <c r="M40" s="94">
        <f t="shared" si="7"/>
        <v>0.274893602567804</v>
      </c>
      <c r="N40" s="91">
        <f>SL!W40</f>
        <v>331218</v>
      </c>
      <c r="O40" s="91">
        <f>SL!X40</f>
        <v>3643</v>
      </c>
      <c r="P40" s="91">
        <f>SL!Y40</f>
        <v>465</v>
      </c>
      <c r="Q40" s="91">
        <f>SL!Z40</f>
        <v>4046.64</v>
      </c>
      <c r="R40" s="92">
        <f>SL!AA40</f>
        <v>9606.34</v>
      </c>
      <c r="S40" s="91">
        <f>SL!AB40</f>
        <v>1.11</v>
      </c>
      <c r="T40" s="71">
        <f t="shared" si="9"/>
        <v>0.421246801591449</v>
      </c>
      <c r="U40" s="72">
        <f t="shared" si="10"/>
        <v>0.0109987983744845</v>
      </c>
      <c r="V40" s="72">
        <f t="shared" si="11"/>
        <v>0.127642053252814</v>
      </c>
      <c r="W40" s="73">
        <f t="shared" si="12"/>
        <v>8.70245161290322</v>
      </c>
      <c r="X40" s="96">
        <f t="shared" si="6"/>
        <v>0.0733899330441826</v>
      </c>
    </row>
    <row r="41" customHeight="1" spans="1:24">
      <c r="A41" s="61" t="s">
        <v>169</v>
      </c>
      <c r="B41" s="61" t="s">
        <v>170</v>
      </c>
      <c r="C41" s="90">
        <f>SL!C41</f>
        <v>425</v>
      </c>
      <c r="D41" s="91">
        <f>SL!D41</f>
        <v>403</v>
      </c>
      <c r="E41" s="64">
        <f>SL!E41</f>
        <v>10003.3</v>
      </c>
      <c r="F41" s="65">
        <v>1490</v>
      </c>
      <c r="G41" s="66">
        <v>5048</v>
      </c>
      <c r="H41" s="67">
        <v>6538</v>
      </c>
      <c r="I41" s="66">
        <v>1902</v>
      </c>
      <c r="J41" s="66">
        <v>6463</v>
      </c>
      <c r="K41" s="68">
        <v>8365</v>
      </c>
      <c r="L41" s="69">
        <f t="shared" si="8"/>
        <v>0.0616396451514225</v>
      </c>
      <c r="M41" s="94">
        <f t="shared" si="7"/>
        <v>0.241832195375526</v>
      </c>
      <c r="N41" s="91">
        <f>SL!W41</f>
        <v>199964</v>
      </c>
      <c r="O41" s="91">
        <f>SL!X41</f>
        <v>2365</v>
      </c>
      <c r="P41" s="91">
        <f>SL!Y41</f>
        <v>251</v>
      </c>
      <c r="Q41" s="91">
        <f>SL!Z41</f>
        <v>2419.12</v>
      </c>
      <c r="R41" s="92">
        <f>SL!AA41</f>
        <v>6289.86</v>
      </c>
      <c r="S41" s="91" t="str">
        <f>SL!AB41</f>
        <v>‎1.02</v>
      </c>
      <c r="T41" s="71">
        <f t="shared" si="9"/>
        <v>0.384606334640199</v>
      </c>
      <c r="U41" s="72">
        <f t="shared" si="10"/>
        <v>0.011827128883199</v>
      </c>
      <c r="V41" s="72">
        <f t="shared" si="11"/>
        <v>0.106131078224101</v>
      </c>
      <c r="W41" s="73">
        <f t="shared" si="12"/>
        <v>9.63792828685259</v>
      </c>
      <c r="X41" s="96">
        <f t="shared" si="6"/>
        <v>0.0733899330441826</v>
      </c>
    </row>
    <row r="42" customHeight="1" spans="1:24">
      <c r="A42" s="61" t="s">
        <v>172</v>
      </c>
      <c r="B42" s="61" t="s">
        <v>173</v>
      </c>
      <c r="C42" s="90">
        <f>SL!C42</f>
        <v>383</v>
      </c>
      <c r="D42" s="91">
        <f>SL!D42</f>
        <v>366</v>
      </c>
      <c r="E42" s="64">
        <f>SL!E42</f>
        <v>9301.87</v>
      </c>
      <c r="F42" s="65">
        <v>1287</v>
      </c>
      <c r="G42" s="66">
        <v>4069</v>
      </c>
      <c r="H42" s="67">
        <v>5356</v>
      </c>
      <c r="I42" s="66">
        <v>1678</v>
      </c>
      <c r="J42" s="66">
        <v>5298</v>
      </c>
      <c r="K42" s="68">
        <v>6976</v>
      </c>
      <c r="L42" s="69">
        <f t="shared" si="8"/>
        <v>0.0683345780433159</v>
      </c>
      <c r="M42" s="94">
        <f t="shared" si="7"/>
        <v>0.250479742245376</v>
      </c>
      <c r="N42" s="91">
        <f>SL!W42</f>
        <v>200165</v>
      </c>
      <c r="O42" s="91">
        <f>SL!X42</f>
        <v>2315</v>
      </c>
      <c r="P42" s="91">
        <f>SL!Y42</f>
        <v>231</v>
      </c>
      <c r="Q42" s="91">
        <f>SL!Z42</f>
        <v>2329.93</v>
      </c>
      <c r="R42" s="92">
        <f>SL!AA42</f>
        <v>5705.61</v>
      </c>
      <c r="S42" s="91">
        <f>SL!AB42</f>
        <v>1.01</v>
      </c>
      <c r="T42" s="71">
        <f t="shared" si="9"/>
        <v>0.408357739137445</v>
      </c>
      <c r="U42" s="72">
        <f t="shared" si="10"/>
        <v>0.0115654584967402</v>
      </c>
      <c r="V42" s="72">
        <f t="shared" si="11"/>
        <v>0.0997840172786177</v>
      </c>
      <c r="W42" s="73">
        <f t="shared" si="12"/>
        <v>10.0862770562771</v>
      </c>
      <c r="X42" s="96">
        <f t="shared" si="6"/>
        <v>0.0733899330441826</v>
      </c>
    </row>
    <row r="43" customHeight="1" spans="1:24">
      <c r="A43" s="61" t="s">
        <v>175</v>
      </c>
      <c r="B43" s="61" t="s">
        <v>176</v>
      </c>
      <c r="C43" s="90">
        <f>SL!C43</f>
        <v>434</v>
      </c>
      <c r="D43" s="91">
        <f>SL!D43</f>
        <v>403</v>
      </c>
      <c r="E43" s="64">
        <f>SL!E43</f>
        <v>10601.18</v>
      </c>
      <c r="F43" s="65">
        <v>1221</v>
      </c>
      <c r="G43" s="66">
        <v>3812</v>
      </c>
      <c r="H43" s="67">
        <v>5033</v>
      </c>
      <c r="I43" s="66">
        <v>1553</v>
      </c>
      <c r="J43" s="66">
        <v>5013</v>
      </c>
      <c r="K43" s="68">
        <v>6566</v>
      </c>
      <c r="L43" s="69">
        <f t="shared" si="8"/>
        <v>0.080071527915756</v>
      </c>
      <c r="M43" s="94">
        <f t="shared" si="7"/>
        <v>0.241268424835726</v>
      </c>
      <c r="N43" s="91">
        <f>SL!W43</f>
        <v>212393</v>
      </c>
      <c r="O43" s="91">
        <f>SL!X43</f>
        <v>2508</v>
      </c>
      <c r="P43" s="91">
        <f>SL!Y43</f>
        <v>226</v>
      </c>
      <c r="Q43" s="91">
        <f>SL!Z43</f>
        <v>2557.73</v>
      </c>
      <c r="R43" s="92">
        <f>SL!AA43</f>
        <v>5663.04</v>
      </c>
      <c r="S43" s="91">
        <f>SL!AB43</f>
        <v>1.02</v>
      </c>
      <c r="T43" s="71">
        <f t="shared" si="9"/>
        <v>0.451653175679494</v>
      </c>
      <c r="U43" s="72">
        <f t="shared" si="10"/>
        <v>0.0118082987669085</v>
      </c>
      <c r="V43" s="72">
        <f t="shared" si="11"/>
        <v>0.0901116427432217</v>
      </c>
      <c r="W43" s="73">
        <f t="shared" si="12"/>
        <v>11.317389380531</v>
      </c>
      <c r="X43" s="96">
        <f t="shared" si="6"/>
        <v>0.0733899330441826</v>
      </c>
    </row>
    <row r="44" customHeight="1" spans="1:24">
      <c r="A44" s="61" t="s">
        <v>177</v>
      </c>
      <c r="B44" s="61" t="s">
        <v>178</v>
      </c>
      <c r="C44" s="90">
        <f>SL!C44</f>
        <v>446</v>
      </c>
      <c r="D44" s="91">
        <f>SL!D44</f>
        <v>414</v>
      </c>
      <c r="E44" s="64">
        <f>SL!E44</f>
        <v>10895.07</v>
      </c>
      <c r="F44" s="65">
        <v>1178</v>
      </c>
      <c r="G44" s="66">
        <v>4037</v>
      </c>
      <c r="H44" s="67">
        <v>5215</v>
      </c>
      <c r="I44" s="66">
        <v>1535</v>
      </c>
      <c r="J44" s="66">
        <v>5413</v>
      </c>
      <c r="K44" s="68">
        <v>6948</v>
      </c>
      <c r="L44" s="69">
        <f t="shared" si="8"/>
        <v>0.0793863854266539</v>
      </c>
      <c r="M44" s="94">
        <f t="shared" si="7"/>
        <v>0.246425218011449</v>
      </c>
      <c r="N44" s="91">
        <f>SL!W44</f>
        <v>224947</v>
      </c>
      <c r="O44" s="91">
        <f>SL!X44</f>
        <v>2644</v>
      </c>
      <c r="P44" s="91">
        <f>SL!Y44</f>
        <v>272</v>
      </c>
      <c r="Q44" s="91">
        <f>SL!Z44</f>
        <v>2684.82</v>
      </c>
      <c r="R44" s="92">
        <f>SL!AA44</f>
        <v>7063.61</v>
      </c>
      <c r="S44" s="91">
        <f>SL!AB44</f>
        <v>1.02</v>
      </c>
      <c r="T44" s="71">
        <f t="shared" si="9"/>
        <v>0.380091766108265</v>
      </c>
      <c r="U44" s="72">
        <f t="shared" si="10"/>
        <v>0.011753879802798</v>
      </c>
      <c r="V44" s="72">
        <f t="shared" si="11"/>
        <v>0.102874432677761</v>
      </c>
      <c r="W44" s="73">
        <f t="shared" si="12"/>
        <v>9.87066176470588</v>
      </c>
      <c r="X44" s="96">
        <f t="shared" si="6"/>
        <v>0.0733899330441826</v>
      </c>
    </row>
    <row r="45" customHeight="1" spans="1:24">
      <c r="A45" s="61" t="s">
        <v>179</v>
      </c>
      <c r="B45" s="61" t="s">
        <v>180</v>
      </c>
      <c r="C45" s="90">
        <f>SL!C45</f>
        <v>495</v>
      </c>
      <c r="D45" s="91">
        <f>SL!D45</f>
        <v>453</v>
      </c>
      <c r="E45" s="64">
        <f>SL!E45</f>
        <v>12053.79</v>
      </c>
      <c r="F45" s="65">
        <v>1104</v>
      </c>
      <c r="G45" s="66">
        <v>4199</v>
      </c>
      <c r="H45" s="67">
        <v>5303</v>
      </c>
      <c r="I45" s="66">
        <v>1415</v>
      </c>
      <c r="J45" s="66">
        <v>5673</v>
      </c>
      <c r="K45" s="68">
        <v>7088</v>
      </c>
      <c r="L45" s="69">
        <f t="shared" si="8"/>
        <v>0.0854233452762587</v>
      </c>
      <c r="M45" s="94">
        <f t="shared" si="7"/>
        <v>0.22418591994717</v>
      </c>
      <c r="N45" s="91">
        <f>SL!W45</f>
        <v>237482</v>
      </c>
      <c r="O45" s="91">
        <f>SL!X45</f>
        <v>2677</v>
      </c>
      <c r="P45" s="91">
        <f>SL!Y45</f>
        <v>293</v>
      </c>
      <c r="Q45" s="91">
        <f>SL!Z45</f>
        <v>2702.29</v>
      </c>
      <c r="R45" s="92">
        <f>SL!AA45</f>
        <v>7963.35</v>
      </c>
      <c r="S45" s="91">
        <f>SL!AB45</f>
        <v>1.01</v>
      </c>
      <c r="T45" s="71">
        <f t="shared" si="9"/>
        <v>0.339340855293312</v>
      </c>
      <c r="U45" s="72">
        <f t="shared" si="10"/>
        <v>0.0112724332791538</v>
      </c>
      <c r="V45" s="72">
        <f t="shared" si="11"/>
        <v>0.109450877848338</v>
      </c>
      <c r="W45" s="73">
        <f t="shared" si="12"/>
        <v>9.22283276450512</v>
      </c>
      <c r="X45" s="96">
        <f t="shared" si="6"/>
        <v>0.0733899330441826</v>
      </c>
    </row>
    <row r="46" customHeight="1" spans="1:24">
      <c r="A46" s="61" t="s">
        <v>181</v>
      </c>
      <c r="B46" s="61" t="s">
        <v>182</v>
      </c>
      <c r="C46" s="90">
        <f>SL!C46</f>
        <v>534</v>
      </c>
      <c r="D46" s="91">
        <f>SL!D46</f>
        <v>510</v>
      </c>
      <c r="E46" s="64">
        <f>SL!E46</f>
        <v>13028.96</v>
      </c>
      <c r="F46" s="65">
        <v>1307</v>
      </c>
      <c r="G46" s="66">
        <v>3932</v>
      </c>
      <c r="H46" s="67">
        <v>5239</v>
      </c>
      <c r="I46" s="66">
        <v>1718</v>
      </c>
      <c r="J46" s="66">
        <v>5246</v>
      </c>
      <c r="K46" s="68">
        <v>6964</v>
      </c>
      <c r="L46" s="69">
        <f t="shared" si="8"/>
        <v>0.0973468219125787</v>
      </c>
      <c r="M46" s="94">
        <f t="shared" si="7"/>
        <v>0.223007822573713</v>
      </c>
      <c r="N46" s="91">
        <f>SL!W46</f>
        <v>259814</v>
      </c>
      <c r="O46" s="91">
        <f>SL!X46</f>
        <v>3020</v>
      </c>
      <c r="P46" s="91">
        <f>SL!Y46</f>
        <v>304</v>
      </c>
      <c r="Q46" s="91">
        <f>SL!Z46</f>
        <v>2905.56</v>
      </c>
      <c r="R46" s="92">
        <f>SL!AA46</f>
        <v>7714.5</v>
      </c>
      <c r="S46" s="91">
        <f>SL!AB46</f>
        <v>0.96</v>
      </c>
      <c r="T46" s="71">
        <f t="shared" si="9"/>
        <v>0.376636204549874</v>
      </c>
      <c r="U46" s="72">
        <f t="shared" si="10"/>
        <v>0.011623700031561</v>
      </c>
      <c r="V46" s="72">
        <f t="shared" si="11"/>
        <v>0.100662251655629</v>
      </c>
      <c r="W46" s="73">
        <f t="shared" si="12"/>
        <v>9.55776315789474</v>
      </c>
      <c r="X46" s="96">
        <f t="shared" si="6"/>
        <v>0.0733899330441826</v>
      </c>
    </row>
    <row r="47" customHeight="1" spans="1:24">
      <c r="A47" s="61" t="s">
        <v>183</v>
      </c>
      <c r="B47" s="61" t="s">
        <v>184</v>
      </c>
      <c r="C47" s="90">
        <f>SL!C47</f>
        <v>450</v>
      </c>
      <c r="D47" s="91">
        <f>SL!D47</f>
        <v>433</v>
      </c>
      <c r="E47" s="64">
        <f>SL!E47</f>
        <v>10903.7</v>
      </c>
      <c r="F47" s="65">
        <v>1439</v>
      </c>
      <c r="G47" s="66">
        <v>4645</v>
      </c>
      <c r="H47" s="67">
        <v>6084</v>
      </c>
      <c r="I47" s="66">
        <v>1882</v>
      </c>
      <c r="J47" s="66">
        <v>6155</v>
      </c>
      <c r="K47" s="68">
        <v>8037</v>
      </c>
      <c r="L47" s="69">
        <f t="shared" si="8"/>
        <v>0.0711702827087442</v>
      </c>
      <c r="M47" s="94">
        <f t="shared" si="7"/>
        <v>0.249340132248686</v>
      </c>
      <c r="N47" s="91">
        <f>SL!W47</f>
        <v>229696</v>
      </c>
      <c r="O47" s="91">
        <f>SL!X47</f>
        <v>2721</v>
      </c>
      <c r="P47" s="91">
        <f>SL!Y47</f>
        <v>244</v>
      </c>
      <c r="Q47" s="91">
        <f>SL!Z47</f>
        <v>2718.73</v>
      </c>
      <c r="R47" s="92">
        <f>SL!AA47</f>
        <v>6153.29</v>
      </c>
      <c r="S47" s="91">
        <f>SL!AB47</f>
        <v>1</v>
      </c>
      <c r="T47" s="71">
        <f t="shared" si="9"/>
        <v>0.441833555707597</v>
      </c>
      <c r="U47" s="72">
        <f t="shared" si="10"/>
        <v>0.0118460922262469</v>
      </c>
      <c r="V47" s="72">
        <f t="shared" si="11"/>
        <v>0.089672914369717</v>
      </c>
      <c r="W47" s="73">
        <f t="shared" si="12"/>
        <v>11.1423360655738</v>
      </c>
      <c r="X47" s="96">
        <f t="shared" si="6"/>
        <v>0.0733899330441826</v>
      </c>
    </row>
    <row r="48" customHeight="1" spans="1:24">
      <c r="A48" s="61" t="s">
        <v>185</v>
      </c>
      <c r="B48" s="61" t="s">
        <v>186</v>
      </c>
      <c r="C48" s="90">
        <f>SL!C48</f>
        <v>445</v>
      </c>
      <c r="D48" s="91">
        <f>SL!D48</f>
        <v>430</v>
      </c>
      <c r="E48" s="64">
        <f>SL!E48</f>
        <v>10693.07</v>
      </c>
      <c r="F48" s="65">
        <v>1104</v>
      </c>
      <c r="G48" s="66">
        <v>3940</v>
      </c>
      <c r="H48" s="67">
        <v>5044</v>
      </c>
      <c r="I48" s="66">
        <v>1497</v>
      </c>
      <c r="J48" s="66">
        <v>5069</v>
      </c>
      <c r="K48" s="68">
        <v>6566</v>
      </c>
      <c r="L48" s="69">
        <f t="shared" si="8"/>
        <v>0.0852498017446471</v>
      </c>
      <c r="M48" s="94">
        <f t="shared" si="7"/>
        <v>0.250314455998137</v>
      </c>
      <c r="N48" s="91">
        <f>SL!W48</f>
        <v>216007</v>
      </c>
      <c r="O48" s="91">
        <f>SL!X48</f>
        <v>2646</v>
      </c>
      <c r="P48" s="91">
        <f>SL!Y48</f>
        <v>254</v>
      </c>
      <c r="Q48" s="91">
        <f>SL!Z48</f>
        <v>2676.63</v>
      </c>
      <c r="R48" s="92">
        <f>SL!AA48</f>
        <v>6219.58</v>
      </c>
      <c r="S48" s="91">
        <f>SL!AB48</f>
        <v>1.01</v>
      </c>
      <c r="T48" s="71">
        <f t="shared" si="9"/>
        <v>0.430355425929082</v>
      </c>
      <c r="U48" s="72">
        <f t="shared" si="10"/>
        <v>0.0122496030221243</v>
      </c>
      <c r="V48" s="72">
        <f t="shared" si="11"/>
        <v>0.0959939531368103</v>
      </c>
      <c r="W48" s="73">
        <f t="shared" si="12"/>
        <v>10.5379133858268</v>
      </c>
      <c r="X48" s="96">
        <f t="shared" si="6"/>
        <v>0.0733899330441826</v>
      </c>
    </row>
    <row r="49" customHeight="1" spans="1:24">
      <c r="A49" s="61" t="s">
        <v>187</v>
      </c>
      <c r="B49" s="61" t="s">
        <v>188</v>
      </c>
      <c r="C49" s="90">
        <f>SL!C49</f>
        <v>483</v>
      </c>
      <c r="D49" s="91">
        <f>SL!D49</f>
        <v>451</v>
      </c>
      <c r="E49" s="64">
        <f>SL!E49</f>
        <v>11272.09</v>
      </c>
      <c r="F49" s="65">
        <v>1196</v>
      </c>
      <c r="G49" s="66">
        <v>3689</v>
      </c>
      <c r="H49" s="67">
        <v>4885</v>
      </c>
      <c r="I49" s="66">
        <v>1649</v>
      </c>
      <c r="J49" s="66">
        <v>4893</v>
      </c>
      <c r="K49" s="68">
        <v>6542</v>
      </c>
      <c r="L49" s="69">
        <f t="shared" si="8"/>
        <v>0.0923234390992835</v>
      </c>
      <c r="M49" s="94">
        <f t="shared" si="7"/>
        <v>0.236846050732384</v>
      </c>
      <c r="N49" s="91">
        <f>SL!W49</f>
        <v>219327</v>
      </c>
      <c r="O49" s="91">
        <f>SL!X49</f>
        <v>2570</v>
      </c>
      <c r="P49" s="91">
        <f>SL!Y49</f>
        <v>273</v>
      </c>
      <c r="Q49" s="91">
        <f>SL!Z49</f>
        <v>2669.75</v>
      </c>
      <c r="R49" s="92">
        <f>SL!AA49</f>
        <v>6719.65</v>
      </c>
      <c r="S49" s="91">
        <f>SL!AB49</f>
        <v>1.04</v>
      </c>
      <c r="T49" s="71">
        <f t="shared" si="9"/>
        <v>0.397304919155016</v>
      </c>
      <c r="U49" s="72">
        <f t="shared" si="10"/>
        <v>0.0117176635799514</v>
      </c>
      <c r="V49" s="72">
        <f t="shared" si="11"/>
        <v>0.106225680933852</v>
      </c>
      <c r="W49" s="73">
        <f t="shared" si="12"/>
        <v>9.77930402930403</v>
      </c>
      <c r="X49" s="96">
        <f t="shared" si="6"/>
        <v>0.0733899330441826</v>
      </c>
    </row>
    <row r="50" customHeight="1" spans="1:24">
      <c r="A50" s="61" t="s">
        <v>189</v>
      </c>
      <c r="B50" s="61" t="s">
        <v>190</v>
      </c>
      <c r="C50" s="90">
        <f>SL!C50</f>
        <v>493</v>
      </c>
      <c r="D50" s="91">
        <f>SL!D50</f>
        <v>465</v>
      </c>
      <c r="E50" s="64">
        <f>SL!E50</f>
        <v>11222.27</v>
      </c>
      <c r="F50" s="65">
        <v>1451</v>
      </c>
      <c r="G50" s="66">
        <v>3935</v>
      </c>
      <c r="H50" s="67">
        <v>5386</v>
      </c>
      <c r="I50" s="66">
        <v>2088</v>
      </c>
      <c r="J50" s="66">
        <v>4933</v>
      </c>
      <c r="K50" s="68">
        <v>7021</v>
      </c>
      <c r="L50" s="69">
        <f t="shared" si="8"/>
        <v>0.0863349424433717</v>
      </c>
      <c r="M50" s="94">
        <f t="shared" si="7"/>
        <v>0.253425554722886</v>
      </c>
      <c r="N50" s="91">
        <f>SL!W50</f>
        <v>231757</v>
      </c>
      <c r="O50" s="91">
        <f>SL!X50</f>
        <v>2741</v>
      </c>
      <c r="P50" s="91">
        <f>SL!Y50</f>
        <v>278</v>
      </c>
      <c r="Q50" s="91">
        <f>SL!Z50</f>
        <v>2844.01</v>
      </c>
      <c r="R50" s="92">
        <f>SL!AA50</f>
        <v>6674.3</v>
      </c>
      <c r="S50" s="91">
        <f>SL!AB50</f>
        <v>1.04</v>
      </c>
      <c r="T50" s="71">
        <f t="shared" si="9"/>
        <v>0.426113599928082</v>
      </c>
      <c r="U50" s="72">
        <f t="shared" si="10"/>
        <v>0.0118270429803631</v>
      </c>
      <c r="V50" s="72">
        <f t="shared" si="11"/>
        <v>0.101422838380153</v>
      </c>
      <c r="W50" s="73">
        <f t="shared" si="12"/>
        <v>10.2302517985612</v>
      </c>
      <c r="X50" s="96">
        <f t="shared" si="6"/>
        <v>0.0733899330441826</v>
      </c>
    </row>
    <row r="51" customHeight="1" spans="1:24">
      <c r="A51" s="61" t="s">
        <v>191</v>
      </c>
      <c r="B51" s="61" t="s">
        <v>192</v>
      </c>
      <c r="C51" s="90">
        <f>SL!C51</f>
        <v>389</v>
      </c>
      <c r="D51" s="91">
        <f>SL!D51</f>
        <v>372</v>
      </c>
      <c r="E51" s="64">
        <f>SL!E51</f>
        <v>9211.49</v>
      </c>
      <c r="F51" s="65">
        <v>1382</v>
      </c>
      <c r="G51" s="66">
        <v>3594</v>
      </c>
      <c r="H51" s="67">
        <v>4976</v>
      </c>
      <c r="I51" s="66">
        <v>1945</v>
      </c>
      <c r="J51" s="66">
        <v>4637</v>
      </c>
      <c r="K51" s="68">
        <v>6582</v>
      </c>
      <c r="L51" s="69">
        <f t="shared" ref="L51:L75" si="13">D51/H51</f>
        <v>0.0747588424437299</v>
      </c>
      <c r="M51" s="94">
        <f t="shared" ref="M51:M75" si="14">Q51/E51</f>
        <v>0.264010491245173</v>
      </c>
      <c r="N51" s="91">
        <f>SL!W51</f>
        <v>205001</v>
      </c>
      <c r="O51" s="91">
        <f>SL!X51</f>
        <v>2296</v>
      </c>
      <c r="P51" s="91">
        <f>SL!Y51</f>
        <v>216</v>
      </c>
      <c r="Q51" s="91">
        <f>SL!Z51</f>
        <v>2431.93</v>
      </c>
      <c r="R51" s="92">
        <f>SL!AA51</f>
        <v>5333.28</v>
      </c>
      <c r="S51" s="91">
        <f>SL!AB51</f>
        <v>1.06</v>
      </c>
      <c r="T51" s="71">
        <f t="shared" si="9"/>
        <v>0.455991434914349</v>
      </c>
      <c r="U51" s="72">
        <f t="shared" si="10"/>
        <v>0.0111999453661202</v>
      </c>
      <c r="V51" s="72">
        <f t="shared" si="11"/>
        <v>0.0940766550522648</v>
      </c>
      <c r="W51" s="73">
        <f t="shared" si="12"/>
        <v>11.2589351851852</v>
      </c>
      <c r="X51" s="96">
        <f t="shared" si="6"/>
        <v>0.0733899330441826</v>
      </c>
    </row>
    <row r="52" customHeight="1" spans="1:24">
      <c r="A52" s="61" t="s">
        <v>193</v>
      </c>
      <c r="B52" s="61" t="s">
        <v>194</v>
      </c>
      <c r="C52" s="90">
        <f>SL!C52</f>
        <v>488</v>
      </c>
      <c r="D52" s="91">
        <f>SL!D52</f>
        <v>459</v>
      </c>
      <c r="E52" s="64">
        <f>SL!E52</f>
        <v>10739.43</v>
      </c>
      <c r="F52" s="65">
        <v>1832</v>
      </c>
      <c r="G52" s="66">
        <v>4530</v>
      </c>
      <c r="H52" s="67">
        <v>6362</v>
      </c>
      <c r="I52" s="66">
        <v>2408</v>
      </c>
      <c r="J52" s="66">
        <v>5792</v>
      </c>
      <c r="K52" s="68">
        <v>8200</v>
      </c>
      <c r="L52" s="69">
        <f t="shared" si="13"/>
        <v>0.0721471235460547</v>
      </c>
      <c r="M52" s="94">
        <f t="shared" si="14"/>
        <v>0.275136576149758</v>
      </c>
      <c r="N52" s="91">
        <f>SL!W52</f>
        <v>215670</v>
      </c>
      <c r="O52" s="91">
        <f>SL!X52</f>
        <v>2743</v>
      </c>
      <c r="P52" s="91">
        <f>SL!Y52</f>
        <v>300</v>
      </c>
      <c r="Q52" s="91">
        <f>SL!Z52</f>
        <v>2954.81</v>
      </c>
      <c r="R52" s="92">
        <f>SL!AA52</f>
        <v>6866.78</v>
      </c>
      <c r="S52" s="91">
        <f>SL!AB52</f>
        <v>1.08</v>
      </c>
      <c r="T52" s="71">
        <f t="shared" si="9"/>
        <v>0.430305033800413</v>
      </c>
      <c r="U52" s="72">
        <f t="shared" si="10"/>
        <v>0.0127185051235684</v>
      </c>
      <c r="V52" s="72">
        <f t="shared" si="11"/>
        <v>0.1093693036821</v>
      </c>
      <c r="W52" s="73">
        <f t="shared" si="12"/>
        <v>9.84936666666667</v>
      </c>
      <c r="X52" s="96">
        <f t="shared" si="6"/>
        <v>0.0733899330441826</v>
      </c>
    </row>
    <row r="53" customHeight="1" spans="1:24">
      <c r="A53" s="61" t="s">
        <v>195</v>
      </c>
      <c r="B53" s="61" t="s">
        <v>196</v>
      </c>
      <c r="C53" s="90">
        <f>SL!C53</f>
        <v>620</v>
      </c>
      <c r="D53" s="91">
        <f>SL!D53</f>
        <v>584</v>
      </c>
      <c r="E53" s="64">
        <f>SL!E53</f>
        <v>12681.75</v>
      </c>
      <c r="F53" s="65">
        <v>1617</v>
      </c>
      <c r="G53" s="66">
        <v>4619</v>
      </c>
      <c r="H53" s="67">
        <v>6236</v>
      </c>
      <c r="I53" s="66">
        <v>2139</v>
      </c>
      <c r="J53" s="66">
        <v>6049</v>
      </c>
      <c r="K53" s="68">
        <v>8188</v>
      </c>
      <c r="L53" s="69">
        <f t="shared" si="13"/>
        <v>0.0936497754971135</v>
      </c>
      <c r="M53" s="94">
        <f t="shared" si="14"/>
        <v>0.254379718887378</v>
      </c>
      <c r="N53" s="91">
        <f>SL!W53</f>
        <v>245287</v>
      </c>
      <c r="O53" s="91">
        <f>SL!X53</f>
        <v>2996</v>
      </c>
      <c r="P53" s="91">
        <f>SL!Y53</f>
        <v>391</v>
      </c>
      <c r="Q53" s="91">
        <f>SL!Z53</f>
        <v>3225.98</v>
      </c>
      <c r="R53" s="92">
        <f>SL!AA53</f>
        <v>8335.08</v>
      </c>
      <c r="S53" s="91">
        <f>SL!AB53</f>
        <v>1.08</v>
      </c>
      <c r="T53" s="71">
        <f t="shared" si="9"/>
        <v>0.387036477154388</v>
      </c>
      <c r="U53" s="72">
        <f t="shared" si="10"/>
        <v>0.0122142632915727</v>
      </c>
      <c r="V53" s="72">
        <f t="shared" si="11"/>
        <v>0.130507343124166</v>
      </c>
      <c r="W53" s="73">
        <f t="shared" si="12"/>
        <v>8.25058823529412</v>
      </c>
      <c r="X53" s="96">
        <f t="shared" si="6"/>
        <v>0.0733899330441826</v>
      </c>
    </row>
    <row r="54" customHeight="1" spans="1:24">
      <c r="A54" s="61" t="s">
        <v>198</v>
      </c>
      <c r="B54" s="61" t="s">
        <v>199</v>
      </c>
      <c r="C54" s="90">
        <f>SL!C54</f>
        <v>436</v>
      </c>
      <c r="D54" s="91">
        <f>SL!D54</f>
        <v>415</v>
      </c>
      <c r="E54" s="64">
        <f>SL!E54</f>
        <v>9798.42</v>
      </c>
      <c r="F54" s="65">
        <v>1310</v>
      </c>
      <c r="G54" s="66">
        <v>3620</v>
      </c>
      <c r="H54" s="67">
        <v>4930</v>
      </c>
      <c r="I54" s="66">
        <v>1713</v>
      </c>
      <c r="J54" s="66">
        <v>4572</v>
      </c>
      <c r="K54" s="68">
        <v>6285</v>
      </c>
      <c r="L54" s="69">
        <f t="shared" si="13"/>
        <v>0.0841784989858012</v>
      </c>
      <c r="M54" s="94">
        <f t="shared" si="14"/>
        <v>0.245933528058605</v>
      </c>
      <c r="N54" s="91">
        <f>SL!W54</f>
        <v>221059</v>
      </c>
      <c r="O54" s="91">
        <f>SL!X54</f>
        <v>2304</v>
      </c>
      <c r="P54" s="91">
        <f>SL!Y54</f>
        <v>269</v>
      </c>
      <c r="Q54" s="91">
        <f>SL!Z54</f>
        <v>2409.76</v>
      </c>
      <c r="R54" s="92">
        <f>SL!AA54</f>
        <v>6239.78</v>
      </c>
      <c r="S54" s="91">
        <f>SL!AB54</f>
        <v>1.05</v>
      </c>
      <c r="T54" s="71">
        <f t="shared" si="9"/>
        <v>0.386193102961963</v>
      </c>
      <c r="U54" s="72">
        <f t="shared" si="10"/>
        <v>0.0104225568739567</v>
      </c>
      <c r="V54" s="72">
        <f t="shared" si="11"/>
        <v>0.116753472222222</v>
      </c>
      <c r="W54" s="73">
        <f t="shared" si="12"/>
        <v>8.9582156133829</v>
      </c>
      <c r="X54" s="96">
        <f t="shared" si="6"/>
        <v>0.0733899330441826</v>
      </c>
    </row>
    <row r="55" customHeight="1" spans="1:24">
      <c r="A55" s="61" t="s">
        <v>200</v>
      </c>
      <c r="B55" s="61" t="s">
        <v>201</v>
      </c>
      <c r="C55" s="90">
        <f>SL!C55</f>
        <v>424</v>
      </c>
      <c r="D55" s="91">
        <f>SL!D55</f>
        <v>408</v>
      </c>
      <c r="E55" s="64">
        <f>SL!E55</f>
        <v>9547.58</v>
      </c>
      <c r="F55" s="65">
        <v>1367</v>
      </c>
      <c r="G55" s="66">
        <v>4020</v>
      </c>
      <c r="H55" s="67">
        <v>5387</v>
      </c>
      <c r="I55" s="66">
        <v>1752</v>
      </c>
      <c r="J55" s="66">
        <v>5033</v>
      </c>
      <c r="K55" s="68">
        <v>6785</v>
      </c>
      <c r="L55" s="69">
        <f t="shared" si="13"/>
        <v>0.0757378875069612</v>
      </c>
      <c r="M55" s="94">
        <f t="shared" si="14"/>
        <v>0.258882355528836</v>
      </c>
      <c r="N55" s="91">
        <f>SL!W55</f>
        <v>224559</v>
      </c>
      <c r="O55" s="91">
        <f>SL!X55</f>
        <v>2317</v>
      </c>
      <c r="P55" s="91">
        <f>SL!Y55</f>
        <v>249</v>
      </c>
      <c r="Q55" s="91">
        <f>SL!Z55</f>
        <v>2471.7</v>
      </c>
      <c r="R55" s="92">
        <f>SL!AA55</f>
        <v>5757.73</v>
      </c>
      <c r="S55" s="91">
        <f>SL!AB55</f>
        <v>1.07</v>
      </c>
      <c r="T55" s="71">
        <f t="shared" si="9"/>
        <v>0.429283762871826</v>
      </c>
      <c r="U55" s="72">
        <f t="shared" si="10"/>
        <v>0.0103180010598551</v>
      </c>
      <c r="V55" s="72">
        <f t="shared" si="11"/>
        <v>0.107466551575313</v>
      </c>
      <c r="W55" s="73">
        <f t="shared" si="12"/>
        <v>9.92650602409639</v>
      </c>
      <c r="X55" s="96">
        <f t="shared" si="6"/>
        <v>0.0733899330441826</v>
      </c>
    </row>
    <row r="56" customHeight="1" spans="1:24">
      <c r="A56" s="61" t="s">
        <v>202</v>
      </c>
      <c r="B56" s="61" t="s">
        <v>203</v>
      </c>
      <c r="C56" s="90">
        <f>SL!C56</f>
        <v>469</v>
      </c>
      <c r="D56" s="91">
        <f>SL!D56</f>
        <v>450</v>
      </c>
      <c r="E56" s="64">
        <f>SL!E56</f>
        <v>10255.03</v>
      </c>
      <c r="F56" s="65">
        <v>1258</v>
      </c>
      <c r="G56" s="66">
        <v>3365</v>
      </c>
      <c r="H56" s="67">
        <v>4623</v>
      </c>
      <c r="I56" s="66">
        <v>1678</v>
      </c>
      <c r="J56" s="66">
        <v>4317</v>
      </c>
      <c r="K56" s="68">
        <v>5995</v>
      </c>
      <c r="L56" s="69">
        <f t="shared" si="13"/>
        <v>0.0973393900064893</v>
      </c>
      <c r="M56" s="94">
        <f t="shared" si="14"/>
        <v>0.245237702863863</v>
      </c>
      <c r="N56" s="91">
        <f>SL!W56</f>
        <v>211588</v>
      </c>
      <c r="O56" s="91">
        <f>SL!X56</f>
        <v>2321</v>
      </c>
      <c r="P56" s="91">
        <f>SL!Y56</f>
        <v>265</v>
      </c>
      <c r="Q56" s="91">
        <f>SL!Z56</f>
        <v>2514.92</v>
      </c>
      <c r="R56" s="92">
        <f>SL!AA56</f>
        <v>5934.57</v>
      </c>
      <c r="S56" s="91">
        <f>SL!AB56</f>
        <v>1.08</v>
      </c>
      <c r="T56" s="71">
        <f t="shared" si="9"/>
        <v>0.423774595295026</v>
      </c>
      <c r="U56" s="72">
        <f t="shared" si="10"/>
        <v>0.0109694311586668</v>
      </c>
      <c r="V56" s="72">
        <f t="shared" si="11"/>
        <v>0.114174924601465</v>
      </c>
      <c r="W56" s="73">
        <f t="shared" si="12"/>
        <v>9.4902641509434</v>
      </c>
      <c r="X56" s="96">
        <f t="shared" si="6"/>
        <v>0.0733899330441826</v>
      </c>
    </row>
    <row r="57" customHeight="1" spans="1:24">
      <c r="A57" s="61" t="s">
        <v>205</v>
      </c>
      <c r="B57" s="61" t="s">
        <v>206</v>
      </c>
      <c r="C57" s="90">
        <f>SL!C57</f>
        <v>427</v>
      </c>
      <c r="D57" s="91">
        <f>SL!D57</f>
        <v>397</v>
      </c>
      <c r="E57" s="64">
        <f>SL!E57</f>
        <v>9395.43</v>
      </c>
      <c r="F57" s="65">
        <v>1438</v>
      </c>
      <c r="G57" s="66">
        <v>4009</v>
      </c>
      <c r="H57" s="67">
        <v>5447</v>
      </c>
      <c r="I57" s="66">
        <v>1905</v>
      </c>
      <c r="J57" s="66">
        <v>5298</v>
      </c>
      <c r="K57" s="68">
        <v>7203</v>
      </c>
      <c r="L57" s="69">
        <f t="shared" si="13"/>
        <v>0.072884156416376</v>
      </c>
      <c r="M57" s="94">
        <f t="shared" si="14"/>
        <v>0.316239916640324</v>
      </c>
      <c r="N57" s="91">
        <f>SL!W57</f>
        <v>247317</v>
      </c>
      <c r="O57" s="91">
        <f>SL!X57</f>
        <v>2759</v>
      </c>
      <c r="P57" s="91">
        <f>SL!Y57</f>
        <v>305</v>
      </c>
      <c r="Q57" s="91">
        <f>SL!Z57</f>
        <v>2971.21</v>
      </c>
      <c r="R57" s="92">
        <f>SL!AA57</f>
        <v>6972.09</v>
      </c>
      <c r="S57" s="91">
        <f>SL!AB57</f>
        <v>1.08</v>
      </c>
      <c r="T57" s="71">
        <f t="shared" si="9"/>
        <v>0.426157723150447</v>
      </c>
      <c r="U57" s="72">
        <f t="shared" si="10"/>
        <v>0.0111557232216144</v>
      </c>
      <c r="V57" s="72">
        <f t="shared" si="11"/>
        <v>0.110547299746285</v>
      </c>
      <c r="W57" s="73">
        <f t="shared" si="12"/>
        <v>9.74167213114754</v>
      </c>
      <c r="X57" s="96">
        <f t="shared" si="6"/>
        <v>0.0733899330441826</v>
      </c>
    </row>
    <row r="58" customHeight="1" spans="1:24">
      <c r="A58" s="61" t="s">
        <v>208</v>
      </c>
      <c r="B58" s="61" t="s">
        <v>209</v>
      </c>
      <c r="C58" s="90">
        <f>SL!C58</f>
        <v>446</v>
      </c>
      <c r="D58" s="91">
        <f>SL!D58</f>
        <v>427</v>
      </c>
      <c r="E58" s="64">
        <f>SL!E58</f>
        <v>9900.95</v>
      </c>
      <c r="F58" s="65">
        <v>1156</v>
      </c>
      <c r="G58" s="66">
        <v>3062</v>
      </c>
      <c r="H58" s="67">
        <v>4218</v>
      </c>
      <c r="I58" s="66">
        <v>1640</v>
      </c>
      <c r="J58" s="66">
        <v>4073</v>
      </c>
      <c r="K58" s="68">
        <v>5713</v>
      </c>
      <c r="L58" s="69">
        <f t="shared" si="13"/>
        <v>0.101232811759128</v>
      </c>
      <c r="M58" s="94">
        <f t="shared" si="14"/>
        <v>0.276505789848449</v>
      </c>
      <c r="N58" s="91">
        <f>SL!W58</f>
        <v>199927</v>
      </c>
      <c r="O58" s="91">
        <f>SL!X58</f>
        <v>2528</v>
      </c>
      <c r="P58" s="91">
        <f>SL!Y58</f>
        <v>269</v>
      </c>
      <c r="Q58" s="91">
        <f>SL!Z58</f>
        <v>2737.67</v>
      </c>
      <c r="R58" s="92">
        <f>SL!AA58</f>
        <v>6107.72</v>
      </c>
      <c r="S58" s="91">
        <f>SL!AB58</f>
        <v>1.08</v>
      </c>
      <c r="T58" s="71">
        <f t="shared" si="9"/>
        <v>0.448231091143667</v>
      </c>
      <c r="U58" s="72">
        <f t="shared" si="10"/>
        <v>0.0126446152845789</v>
      </c>
      <c r="V58" s="72">
        <f t="shared" si="11"/>
        <v>0.106408227848101</v>
      </c>
      <c r="W58" s="73">
        <f t="shared" si="12"/>
        <v>10.1772118959108</v>
      </c>
      <c r="X58" s="96">
        <f t="shared" si="6"/>
        <v>0.0733899330441826</v>
      </c>
    </row>
    <row r="59" customHeight="1" spans="1:24">
      <c r="A59" s="61" t="s">
        <v>210</v>
      </c>
      <c r="B59" s="61" t="s">
        <v>211</v>
      </c>
      <c r="C59" s="90">
        <f>SL!C59</f>
        <v>513</v>
      </c>
      <c r="D59" s="91">
        <f>SL!D59</f>
        <v>470</v>
      </c>
      <c r="E59" s="64">
        <f>SL!E59</f>
        <v>9750.77</v>
      </c>
      <c r="F59" s="65">
        <v>1355</v>
      </c>
      <c r="G59" s="66">
        <v>3876</v>
      </c>
      <c r="H59" s="67">
        <v>5231</v>
      </c>
      <c r="I59" s="66">
        <v>1848</v>
      </c>
      <c r="J59" s="66">
        <v>5032</v>
      </c>
      <c r="K59" s="68">
        <v>6880</v>
      </c>
      <c r="L59" s="69">
        <f t="shared" si="13"/>
        <v>0.0898489772510036</v>
      </c>
      <c r="M59" s="94">
        <f t="shared" si="14"/>
        <v>0.280131722930599</v>
      </c>
      <c r="N59" s="91">
        <f>SL!W59</f>
        <v>204331</v>
      </c>
      <c r="O59" s="91">
        <f>SL!X59</f>
        <v>2582</v>
      </c>
      <c r="P59" s="91">
        <f>SL!Y59</f>
        <v>288</v>
      </c>
      <c r="Q59" s="91">
        <f>SL!Z59</f>
        <v>2731.5</v>
      </c>
      <c r="R59" s="92">
        <f>SL!AA59</f>
        <v>6068.95</v>
      </c>
      <c r="S59" s="91">
        <f>SL!AB59</f>
        <v>1.06</v>
      </c>
      <c r="T59" s="71">
        <f t="shared" si="9"/>
        <v>0.450077855312698</v>
      </c>
      <c r="U59" s="72">
        <f t="shared" si="10"/>
        <v>0.0126363596321655</v>
      </c>
      <c r="V59" s="72">
        <f t="shared" si="11"/>
        <v>0.11154144074361</v>
      </c>
      <c r="W59" s="73">
        <f t="shared" si="12"/>
        <v>9.484375</v>
      </c>
      <c r="X59" s="96">
        <f t="shared" si="6"/>
        <v>0.0733899330441826</v>
      </c>
    </row>
    <row r="60" customHeight="1" spans="1:24">
      <c r="A60" s="61" t="s">
        <v>213</v>
      </c>
      <c r="B60" s="61" t="s">
        <v>214</v>
      </c>
      <c r="C60" s="90">
        <f>SL!C60</f>
        <v>657</v>
      </c>
      <c r="D60" s="91">
        <f>SL!D60</f>
        <v>602</v>
      </c>
      <c r="E60" s="64">
        <f>SL!E60</f>
        <v>11504.01</v>
      </c>
      <c r="F60" s="65">
        <v>1590</v>
      </c>
      <c r="G60" s="66">
        <v>5036</v>
      </c>
      <c r="H60" s="67">
        <v>6626</v>
      </c>
      <c r="I60" s="66">
        <v>2032</v>
      </c>
      <c r="J60" s="66">
        <v>6566</v>
      </c>
      <c r="K60" s="68">
        <v>8598</v>
      </c>
      <c r="L60" s="69">
        <f t="shared" si="13"/>
        <v>0.0908542106851796</v>
      </c>
      <c r="M60" s="94">
        <f t="shared" si="14"/>
        <v>0.247844881915089</v>
      </c>
      <c r="N60" s="91">
        <f>SL!W60</f>
        <v>282183</v>
      </c>
      <c r="O60" s="91">
        <f>SL!X60</f>
        <v>2800</v>
      </c>
      <c r="P60" s="91">
        <f>SL!Y60</f>
        <v>350</v>
      </c>
      <c r="Q60" s="91">
        <f>SL!Z60</f>
        <v>2851.21</v>
      </c>
      <c r="R60" s="92">
        <f>SL!AA60</f>
        <v>6592.86</v>
      </c>
      <c r="S60" s="91">
        <f>SL!AB60</f>
        <v>1.02</v>
      </c>
      <c r="T60" s="71">
        <f t="shared" si="9"/>
        <v>0.432469368377305</v>
      </c>
      <c r="U60" s="72">
        <f t="shared" si="10"/>
        <v>0.00992263885492748</v>
      </c>
      <c r="V60" s="72">
        <f t="shared" si="11"/>
        <v>0.125</v>
      </c>
      <c r="W60" s="73">
        <f t="shared" si="12"/>
        <v>8.14631428571429</v>
      </c>
      <c r="X60" s="96">
        <f t="shared" si="6"/>
        <v>0.0733899330441826</v>
      </c>
    </row>
    <row r="61" customHeight="1" spans="1:24">
      <c r="A61" s="61" t="s">
        <v>216</v>
      </c>
      <c r="B61" s="61" t="s">
        <v>217</v>
      </c>
      <c r="C61" s="90">
        <f>SL!C61</f>
        <v>465</v>
      </c>
      <c r="D61" s="91">
        <f>SL!D61</f>
        <v>434</v>
      </c>
      <c r="E61" s="64">
        <f>SL!E61</f>
        <v>9735.19</v>
      </c>
      <c r="F61" s="65">
        <v>1394</v>
      </c>
      <c r="G61" s="66">
        <v>4012</v>
      </c>
      <c r="H61" s="67">
        <v>5406</v>
      </c>
      <c r="I61" s="66">
        <v>1813</v>
      </c>
      <c r="J61" s="66">
        <v>5244</v>
      </c>
      <c r="K61" s="68">
        <v>7057</v>
      </c>
      <c r="L61" s="69">
        <f t="shared" si="13"/>
        <v>0.0802811690714021</v>
      </c>
      <c r="M61" s="94">
        <f t="shared" si="14"/>
        <v>0.234014949887984</v>
      </c>
      <c r="N61" s="91">
        <f>SL!W61</f>
        <v>256847</v>
      </c>
      <c r="O61" s="91">
        <f>SL!X61</f>
        <v>2300</v>
      </c>
      <c r="P61" s="91">
        <f>SL!Y61</f>
        <v>258</v>
      </c>
      <c r="Q61" s="91">
        <f>SL!Z61</f>
        <v>2278.18</v>
      </c>
      <c r="R61" s="92">
        <f>SL!AA61</f>
        <v>5682.17</v>
      </c>
      <c r="S61" s="91">
        <f>SL!AB61</f>
        <v>0.99</v>
      </c>
      <c r="T61" s="71">
        <f t="shared" si="9"/>
        <v>0.400934854113833</v>
      </c>
      <c r="U61" s="72">
        <f t="shared" si="10"/>
        <v>0.00895474737878971</v>
      </c>
      <c r="V61" s="72">
        <f t="shared" si="11"/>
        <v>0.112173913043478</v>
      </c>
      <c r="W61" s="73">
        <f t="shared" si="12"/>
        <v>8.83015503875969</v>
      </c>
      <c r="X61" s="96">
        <f t="shared" si="6"/>
        <v>0.0733899330441826</v>
      </c>
    </row>
    <row r="62" customHeight="1" spans="1:24">
      <c r="A62" s="61" t="s">
        <v>219</v>
      </c>
      <c r="B62" s="61" t="s">
        <v>220</v>
      </c>
      <c r="C62" s="90">
        <f>SL!C62</f>
        <v>424</v>
      </c>
      <c r="D62" s="91">
        <f>SL!D62</f>
        <v>407</v>
      </c>
      <c r="E62" s="64">
        <f>SL!E62</f>
        <v>9207.37</v>
      </c>
      <c r="F62" s="65">
        <v>1380</v>
      </c>
      <c r="G62" s="66">
        <v>3731</v>
      </c>
      <c r="H62" s="67">
        <v>5111</v>
      </c>
      <c r="I62" s="66">
        <v>1764</v>
      </c>
      <c r="J62" s="66">
        <v>4846</v>
      </c>
      <c r="K62" s="68">
        <v>6610</v>
      </c>
      <c r="L62" s="69">
        <f t="shared" si="13"/>
        <v>0.0796321659166504</v>
      </c>
      <c r="M62" s="94">
        <f t="shared" si="14"/>
        <v>0.228333389447801</v>
      </c>
      <c r="N62" s="91">
        <f>SL!W62</f>
        <v>220903</v>
      </c>
      <c r="O62" s="91">
        <f>SL!X62</f>
        <v>2078</v>
      </c>
      <c r="P62" s="91">
        <f>SL!Y62</f>
        <v>224</v>
      </c>
      <c r="Q62" s="91">
        <f>SL!Z62</f>
        <v>2102.35</v>
      </c>
      <c r="R62" s="92">
        <f>SL!AA62</f>
        <v>5024.18</v>
      </c>
      <c r="S62" s="91">
        <f>SL!AB62</f>
        <v>1.01</v>
      </c>
      <c r="T62" s="71">
        <f t="shared" si="9"/>
        <v>0.41844639324228</v>
      </c>
      <c r="U62" s="72">
        <f t="shared" si="10"/>
        <v>0.00940684372779003</v>
      </c>
      <c r="V62" s="72">
        <f t="shared" si="11"/>
        <v>0.107795957651588</v>
      </c>
      <c r="W62" s="73">
        <f t="shared" si="12"/>
        <v>9.38549107142857</v>
      </c>
      <c r="X62" s="96">
        <f t="shared" si="6"/>
        <v>0.0733899330441826</v>
      </c>
    </row>
    <row r="63" customHeight="1" spans="1:24">
      <c r="A63" s="61" t="s">
        <v>221</v>
      </c>
      <c r="B63" s="61" t="s">
        <v>222</v>
      </c>
      <c r="C63" s="90">
        <f>SL!C63</f>
        <v>436</v>
      </c>
      <c r="D63" s="91">
        <f>SL!D63</f>
        <v>423</v>
      </c>
      <c r="E63" s="64">
        <f>SL!E63</f>
        <v>9711.06</v>
      </c>
      <c r="F63" s="65">
        <v>994</v>
      </c>
      <c r="G63" s="66">
        <v>3138</v>
      </c>
      <c r="H63" s="67">
        <v>4132</v>
      </c>
      <c r="I63" s="66">
        <v>1246</v>
      </c>
      <c r="J63" s="66">
        <v>4110</v>
      </c>
      <c r="K63" s="68">
        <v>5356</v>
      </c>
      <c r="L63" s="69">
        <f t="shared" si="13"/>
        <v>0.102371732817038</v>
      </c>
      <c r="M63" s="94">
        <f t="shared" si="14"/>
        <v>0.20300770461721</v>
      </c>
      <c r="N63" s="91">
        <f>SL!W63</f>
        <v>216381</v>
      </c>
      <c r="O63" s="91">
        <f>SL!X63</f>
        <v>1885</v>
      </c>
      <c r="P63" s="91">
        <f>SL!Y63</f>
        <v>231</v>
      </c>
      <c r="Q63" s="91">
        <f>SL!Z63</f>
        <v>1971.42</v>
      </c>
      <c r="R63" s="92">
        <f>SL!AA63</f>
        <v>5377.07</v>
      </c>
      <c r="S63" s="91">
        <f>SL!AB63</f>
        <v>1.05</v>
      </c>
      <c r="T63" s="71">
        <f t="shared" si="9"/>
        <v>0.366634616994014</v>
      </c>
      <c r="U63" s="72">
        <f t="shared" si="10"/>
        <v>0.00871148575891599</v>
      </c>
      <c r="V63" s="72">
        <f t="shared" si="11"/>
        <v>0.122546419098143</v>
      </c>
      <c r="W63" s="73">
        <f t="shared" si="12"/>
        <v>8.53428571428571</v>
      </c>
      <c r="X63" s="96">
        <f t="shared" si="6"/>
        <v>0.0733899330441826</v>
      </c>
    </row>
    <row r="64" customHeight="1" spans="1:24">
      <c r="A64" s="61" t="s">
        <v>223</v>
      </c>
      <c r="B64" s="61" t="s">
        <v>224</v>
      </c>
      <c r="C64" s="90">
        <f>SL!C64</f>
        <v>323</v>
      </c>
      <c r="D64" s="91">
        <f>SL!D64</f>
        <v>303</v>
      </c>
      <c r="E64" s="64">
        <f>SL!E64</f>
        <v>7223.97</v>
      </c>
      <c r="F64" s="65">
        <v>839</v>
      </c>
      <c r="G64" s="66">
        <v>2640</v>
      </c>
      <c r="H64" s="67">
        <v>3479</v>
      </c>
      <c r="I64" s="66">
        <v>1083</v>
      </c>
      <c r="J64" s="66">
        <v>3304</v>
      </c>
      <c r="K64" s="68">
        <v>4387</v>
      </c>
      <c r="L64" s="69">
        <f t="shared" si="13"/>
        <v>0.0870939925265881</v>
      </c>
      <c r="M64" s="94">
        <f t="shared" si="14"/>
        <v>0.231140217913419</v>
      </c>
      <c r="N64" s="91">
        <f>SL!W64</f>
        <v>180451</v>
      </c>
      <c r="O64" s="91">
        <f>SL!X64</f>
        <v>1670</v>
      </c>
      <c r="P64" s="91">
        <f>SL!Y64</f>
        <v>160</v>
      </c>
      <c r="Q64" s="91">
        <f>SL!Z64</f>
        <v>1669.75</v>
      </c>
      <c r="R64" s="92">
        <f>SL!AA64</f>
        <v>3746.85</v>
      </c>
      <c r="S64" s="91">
        <f>SL!AB64</f>
        <v>1</v>
      </c>
      <c r="T64" s="71">
        <f t="shared" si="9"/>
        <v>0.44564100511096</v>
      </c>
      <c r="U64" s="72">
        <f t="shared" si="10"/>
        <v>0.00925458988866784</v>
      </c>
      <c r="V64" s="72">
        <f t="shared" si="11"/>
        <v>0.0958083832335329</v>
      </c>
      <c r="W64" s="73">
        <f t="shared" si="12"/>
        <v>10.4359375</v>
      </c>
      <c r="X64" s="96">
        <f t="shared" si="6"/>
        <v>0.0733899330441826</v>
      </c>
    </row>
    <row r="65" customHeight="1" spans="1:24">
      <c r="A65" s="79" t="s">
        <v>226</v>
      </c>
      <c r="B65" s="80" t="s">
        <v>227</v>
      </c>
      <c r="C65" s="90">
        <f>SL!C65</f>
        <v>434</v>
      </c>
      <c r="D65" s="91">
        <f>SL!D65</f>
        <v>393</v>
      </c>
      <c r="E65" s="64">
        <f>SL!E65</f>
        <v>10244.5</v>
      </c>
      <c r="F65" s="65">
        <v>1226</v>
      </c>
      <c r="G65" s="66">
        <v>4029</v>
      </c>
      <c r="H65" s="67">
        <v>5255</v>
      </c>
      <c r="I65" s="66">
        <v>1612</v>
      </c>
      <c r="J65" s="66">
        <v>5046</v>
      </c>
      <c r="K65" s="68">
        <v>6658</v>
      </c>
      <c r="L65" s="69">
        <f t="shared" si="13"/>
        <v>0.0747859181731684</v>
      </c>
      <c r="M65" s="94">
        <f t="shared" si="14"/>
        <v>0.199020938064327</v>
      </c>
      <c r="N65" s="91">
        <f>SL!W65</f>
        <v>229389</v>
      </c>
      <c r="O65" s="91">
        <f>SL!X65</f>
        <v>2108</v>
      </c>
      <c r="P65" s="91">
        <f>SL!Y65</f>
        <v>228</v>
      </c>
      <c r="Q65" s="91">
        <f>SL!Z65</f>
        <v>2038.87</v>
      </c>
      <c r="R65" s="92">
        <f>SL!AA65</f>
        <v>5774.96</v>
      </c>
      <c r="S65" s="91">
        <f>SL!AB65</f>
        <v>0.97</v>
      </c>
      <c r="T65" s="71">
        <f t="shared" si="9"/>
        <v>0.353053527643481</v>
      </c>
      <c r="U65" s="72">
        <f t="shared" si="10"/>
        <v>0.00918962984275619</v>
      </c>
      <c r="V65" s="72">
        <f t="shared" si="11"/>
        <v>0.108159392789374</v>
      </c>
      <c r="W65" s="73">
        <f t="shared" si="12"/>
        <v>8.94241228070175</v>
      </c>
      <c r="X65" s="96">
        <f t="shared" si="6"/>
        <v>0.0733899330441826</v>
      </c>
    </row>
    <row r="66" customHeight="1" spans="1:24">
      <c r="A66" s="61" t="s">
        <v>228</v>
      </c>
      <c r="B66" s="81" t="s">
        <v>229</v>
      </c>
      <c r="C66" s="90">
        <f>SL!C66</f>
        <v>444</v>
      </c>
      <c r="D66" s="91">
        <f>SL!D66</f>
        <v>417</v>
      </c>
      <c r="E66" s="64">
        <f>SL!E66</f>
        <v>10786.89</v>
      </c>
      <c r="F66" s="65">
        <v>380</v>
      </c>
      <c r="G66" s="66">
        <v>4593</v>
      </c>
      <c r="H66" s="67">
        <v>5973</v>
      </c>
      <c r="I66" s="66">
        <v>1701</v>
      </c>
      <c r="J66" s="66">
        <v>5810</v>
      </c>
      <c r="K66" s="68">
        <v>7511</v>
      </c>
      <c r="L66" s="69">
        <f t="shared" si="13"/>
        <v>0.0698141637368157</v>
      </c>
      <c r="M66" s="94">
        <f t="shared" si="14"/>
        <v>0.213517519878297</v>
      </c>
      <c r="N66" s="91">
        <f>SL!W66</f>
        <v>215591</v>
      </c>
      <c r="O66" s="91">
        <f>SL!X66</f>
        <v>2375</v>
      </c>
      <c r="P66" s="91">
        <f>SL!Y66</f>
        <v>253</v>
      </c>
      <c r="Q66" s="91">
        <f>SL!Z66</f>
        <v>2303.19</v>
      </c>
      <c r="R66" s="92">
        <f>SL!AA66</f>
        <v>6318.58</v>
      </c>
      <c r="S66" s="91">
        <f>SL!AB66</f>
        <v>0.97</v>
      </c>
      <c r="T66" s="71">
        <f t="shared" si="9"/>
        <v>0.364510697023698</v>
      </c>
      <c r="U66" s="72">
        <f t="shared" si="10"/>
        <v>0.0110162298055114</v>
      </c>
      <c r="V66" s="72">
        <f t="shared" si="11"/>
        <v>0.106526315789474</v>
      </c>
      <c r="W66" s="73">
        <f t="shared" si="12"/>
        <v>9.10351778656126</v>
      </c>
      <c r="X66" s="96">
        <f t="shared" si="6"/>
        <v>0.0733899330441826</v>
      </c>
    </row>
    <row r="67" customHeight="1" spans="1:24">
      <c r="A67" s="61" t="s">
        <v>230</v>
      </c>
      <c r="B67" s="81" t="s">
        <v>231</v>
      </c>
      <c r="C67" s="90">
        <f>SL!C67</f>
        <v>429</v>
      </c>
      <c r="D67" s="91">
        <f>SL!D67</f>
        <v>419</v>
      </c>
      <c r="E67" s="64">
        <f>SL!E67</f>
        <v>10511.13</v>
      </c>
      <c r="F67" s="65">
        <v>1154</v>
      </c>
      <c r="G67" s="66">
        <v>3625</v>
      </c>
      <c r="H67" s="67">
        <v>4779</v>
      </c>
      <c r="I67" s="66">
        <v>1476</v>
      </c>
      <c r="J67" s="66">
        <v>4572</v>
      </c>
      <c r="K67" s="68">
        <v>6048</v>
      </c>
      <c r="L67" s="69">
        <f t="shared" si="13"/>
        <v>0.0876752458673363</v>
      </c>
      <c r="M67" s="94">
        <f t="shared" si="14"/>
        <v>0.204909462636272</v>
      </c>
      <c r="N67" s="91">
        <f>SL!W67</f>
        <v>185443</v>
      </c>
      <c r="O67" s="91">
        <f>SL!X67</f>
        <v>2245</v>
      </c>
      <c r="P67" s="91">
        <f>SL!Y67</f>
        <v>277</v>
      </c>
      <c r="Q67" s="91">
        <f>SL!Z67</f>
        <v>2153.83</v>
      </c>
      <c r="R67" s="92">
        <f>SL!AA67</f>
        <v>6835.68</v>
      </c>
      <c r="S67" s="91">
        <f>SL!AB67</f>
        <v>0.96</v>
      </c>
      <c r="T67" s="71">
        <f t="shared" si="9"/>
        <v>0.315086428855652</v>
      </c>
      <c r="U67" s="72">
        <f t="shared" si="10"/>
        <v>0.0121061458237841</v>
      </c>
      <c r="V67" s="72">
        <f t="shared" si="11"/>
        <v>0.123385300668151</v>
      </c>
      <c r="W67" s="73">
        <f t="shared" si="12"/>
        <v>7.775559566787</v>
      </c>
      <c r="X67" s="96">
        <f t="shared" si="6"/>
        <v>0.0733899330441826</v>
      </c>
    </row>
    <row r="68" customHeight="1" spans="1:24">
      <c r="A68" s="61" t="s">
        <v>232</v>
      </c>
      <c r="B68" s="81" t="s">
        <v>233</v>
      </c>
      <c r="C68" s="90">
        <f>SL!C68</f>
        <v>401</v>
      </c>
      <c r="D68" s="91">
        <f>SL!D68</f>
        <v>371</v>
      </c>
      <c r="E68" s="64">
        <f>SL!E68</f>
        <v>8847.55</v>
      </c>
      <c r="F68" s="65">
        <v>1497</v>
      </c>
      <c r="G68" s="66">
        <v>5021</v>
      </c>
      <c r="H68" s="67">
        <v>6518</v>
      </c>
      <c r="I68" s="66">
        <v>2026</v>
      </c>
      <c r="J68" s="66">
        <v>6436</v>
      </c>
      <c r="K68" s="68">
        <v>8462</v>
      </c>
      <c r="L68" s="69">
        <f t="shared" si="13"/>
        <v>0.0569193003988954</v>
      </c>
      <c r="M68" s="94">
        <f t="shared" si="14"/>
        <v>0.227395154590819</v>
      </c>
      <c r="N68" s="91">
        <f>SL!W68</f>
        <v>281209</v>
      </c>
      <c r="O68" s="91">
        <f>SL!X68</f>
        <v>2093</v>
      </c>
      <c r="P68" s="91">
        <f>SL!Y68</f>
        <v>210</v>
      </c>
      <c r="Q68" s="91">
        <f>SL!Z68</f>
        <v>2011.89</v>
      </c>
      <c r="R68" s="92">
        <f>SL!AA68</f>
        <v>5176.69</v>
      </c>
      <c r="S68" s="91">
        <f>SL!AB68</f>
        <v>0.96</v>
      </c>
      <c r="T68" s="71">
        <f t="shared" ref="T68:T75" si="15">Q68/R68</f>
        <v>0.388644094971884</v>
      </c>
      <c r="U68" s="72">
        <f t="shared" ref="U68:U75" si="16">O68/N68</f>
        <v>0.00744286278177441</v>
      </c>
      <c r="V68" s="72">
        <f t="shared" ref="V68:V75" si="17">P68/O68</f>
        <v>0.100334448160535</v>
      </c>
      <c r="W68" s="73">
        <f t="shared" ref="W68:W75" si="18">Q68/P68</f>
        <v>9.58042857142857</v>
      </c>
      <c r="X68" s="96">
        <f t="shared" si="6"/>
        <v>0.0733899330441826</v>
      </c>
    </row>
    <row r="69" customHeight="1" spans="1:24">
      <c r="A69" s="61" t="s">
        <v>236</v>
      </c>
      <c r="B69" s="81" t="s">
        <v>237</v>
      </c>
      <c r="C69" s="90">
        <f>SL!C69</f>
        <v>524</v>
      </c>
      <c r="D69" s="91">
        <f>SL!D69</f>
        <v>498</v>
      </c>
      <c r="E69" s="64">
        <f>SL!E69</f>
        <v>11077.72</v>
      </c>
      <c r="F69" s="65">
        <v>1633</v>
      </c>
      <c r="G69" s="66">
        <v>5705</v>
      </c>
      <c r="H69" s="67">
        <v>7338</v>
      </c>
      <c r="I69" s="66">
        <v>2070</v>
      </c>
      <c r="J69" s="66">
        <v>7291</v>
      </c>
      <c r="K69" s="68">
        <v>9361</v>
      </c>
      <c r="L69" s="69">
        <f t="shared" si="13"/>
        <v>0.0678659035159444</v>
      </c>
      <c r="M69" s="94">
        <f t="shared" si="14"/>
        <v>0.202173371415779</v>
      </c>
      <c r="N69" s="91">
        <f>SL!W69</f>
        <v>320616</v>
      </c>
      <c r="O69" s="91">
        <f>SL!X69</f>
        <v>2314</v>
      </c>
      <c r="P69" s="91">
        <f>SL!Y69</f>
        <v>300</v>
      </c>
      <c r="Q69" s="91">
        <f>SL!Z69</f>
        <v>2239.62</v>
      </c>
      <c r="R69" s="92">
        <f>SL!AA69</f>
        <v>6515.16</v>
      </c>
      <c r="S69" s="91">
        <f>SL!AB69</f>
        <v>0.97</v>
      </c>
      <c r="T69" s="71">
        <f t="shared" si="15"/>
        <v>0.343755180225812</v>
      </c>
      <c r="U69" s="72">
        <f t="shared" si="16"/>
        <v>0.00721735658856701</v>
      </c>
      <c r="V69" s="72">
        <f t="shared" si="17"/>
        <v>0.129645635263613</v>
      </c>
      <c r="W69" s="73">
        <f t="shared" si="18"/>
        <v>7.4654</v>
      </c>
      <c r="X69" s="96">
        <f t="shared" si="6"/>
        <v>0.0733899330441826</v>
      </c>
    </row>
    <row r="70" customHeight="1" spans="1:24">
      <c r="A70" s="61" t="s">
        <v>240</v>
      </c>
      <c r="B70" s="81" t="s">
        <v>241</v>
      </c>
      <c r="C70" s="90">
        <f>SL!C70</f>
        <v>486</v>
      </c>
      <c r="D70" s="91">
        <f>SL!D70</f>
        <v>450</v>
      </c>
      <c r="E70" s="64">
        <f>SL!E70</f>
        <v>10769.75</v>
      </c>
      <c r="F70" s="65">
        <v>1601</v>
      </c>
      <c r="G70" s="66">
        <v>5248</v>
      </c>
      <c r="H70" s="67">
        <v>6849</v>
      </c>
      <c r="I70" s="66">
        <v>2034</v>
      </c>
      <c r="J70" s="66">
        <v>6588</v>
      </c>
      <c r="K70" s="68">
        <v>8622</v>
      </c>
      <c r="L70" s="69">
        <f t="shared" si="13"/>
        <v>0.0657030223390276</v>
      </c>
      <c r="M70" s="94">
        <f t="shared" si="14"/>
        <v>0.226169595394508</v>
      </c>
      <c r="N70" s="91">
        <f>SL!W70</f>
        <v>224056</v>
      </c>
      <c r="O70" s="91">
        <f>SL!X70</f>
        <v>2432</v>
      </c>
      <c r="P70" s="91">
        <f>SL!Y70</f>
        <v>261</v>
      </c>
      <c r="Q70" s="91">
        <f>SL!Z70</f>
        <v>2435.79</v>
      </c>
      <c r="R70" s="92">
        <f>SL!AA70</f>
        <v>6049.84</v>
      </c>
      <c r="S70" s="91">
        <f>SL!AB70</f>
        <v>1</v>
      </c>
      <c r="T70" s="71">
        <f t="shared" si="15"/>
        <v>0.402620565171971</v>
      </c>
      <c r="U70" s="72">
        <f t="shared" si="16"/>
        <v>0.0108544292498304</v>
      </c>
      <c r="V70" s="72">
        <f t="shared" si="17"/>
        <v>0.107319078947368</v>
      </c>
      <c r="W70" s="73">
        <f t="shared" si="18"/>
        <v>9.33252873563218</v>
      </c>
      <c r="X70" s="96">
        <f t="shared" si="6"/>
        <v>0.0733899330441826</v>
      </c>
    </row>
    <row r="71" customHeight="1" spans="1:24">
      <c r="A71" s="61" t="s">
        <v>244</v>
      </c>
      <c r="B71" s="81" t="s">
        <v>245</v>
      </c>
      <c r="C71" s="90">
        <f>SL!C71</f>
        <v>495</v>
      </c>
      <c r="D71" s="91">
        <f>SL!D71</f>
        <v>481</v>
      </c>
      <c r="E71" s="64">
        <f>SL!E71</f>
        <v>10972.88</v>
      </c>
      <c r="F71" s="65">
        <v>1391</v>
      </c>
      <c r="G71" s="66">
        <v>4674</v>
      </c>
      <c r="H71" s="67">
        <v>6065</v>
      </c>
      <c r="I71" s="66">
        <v>1790</v>
      </c>
      <c r="J71" s="66">
        <v>5968</v>
      </c>
      <c r="K71" s="68">
        <v>7758</v>
      </c>
      <c r="L71" s="69">
        <f t="shared" si="13"/>
        <v>0.0793075020610058</v>
      </c>
      <c r="M71" s="94">
        <f t="shared" si="14"/>
        <v>0.227934689889983</v>
      </c>
      <c r="N71" s="91">
        <f>SL!W71</f>
        <v>192638</v>
      </c>
      <c r="O71" s="91">
        <f>SL!X71</f>
        <v>2449</v>
      </c>
      <c r="P71" s="91">
        <f>SL!Y71</f>
        <v>333</v>
      </c>
      <c r="Q71" s="91">
        <f>SL!Z71</f>
        <v>2501.1</v>
      </c>
      <c r="R71" s="92">
        <f>SL!AA71</f>
        <v>7556.87</v>
      </c>
      <c r="S71" s="91">
        <f>SL!AB71</f>
        <v>1.02</v>
      </c>
      <c r="T71" s="71">
        <f t="shared" si="15"/>
        <v>0.330970362067893</v>
      </c>
      <c r="U71" s="72">
        <f t="shared" si="16"/>
        <v>0.0127129642126683</v>
      </c>
      <c r="V71" s="72">
        <f t="shared" si="17"/>
        <v>0.135973866884443</v>
      </c>
      <c r="W71" s="73">
        <f t="shared" si="18"/>
        <v>7.51081081081081</v>
      </c>
      <c r="X71" s="96">
        <f t="shared" si="6"/>
        <v>0.0733899330441826</v>
      </c>
    </row>
    <row r="72" customHeight="1" spans="1:24">
      <c r="A72" s="61" t="s">
        <v>247</v>
      </c>
      <c r="B72" s="81" t="s">
        <v>248</v>
      </c>
      <c r="C72" s="90">
        <f>SL!C72</f>
        <v>580</v>
      </c>
      <c r="D72" s="91">
        <f>SL!D72</f>
        <v>546</v>
      </c>
      <c r="E72" s="64">
        <f>SL!E72</f>
        <v>12876</v>
      </c>
      <c r="F72" s="65">
        <v>1497</v>
      </c>
      <c r="G72" s="66">
        <v>5021</v>
      </c>
      <c r="H72" s="67">
        <v>6518</v>
      </c>
      <c r="I72" s="66">
        <v>2026</v>
      </c>
      <c r="J72" s="66">
        <v>6436</v>
      </c>
      <c r="K72" s="68">
        <v>8462</v>
      </c>
      <c r="L72" s="69">
        <f t="shared" si="13"/>
        <v>0.0837680270021479</v>
      </c>
      <c r="M72" s="94">
        <f t="shared" si="14"/>
        <v>0.232306616961789</v>
      </c>
      <c r="N72" s="91">
        <f>SL!W72</f>
        <v>222786</v>
      </c>
      <c r="O72" s="91">
        <f>SL!X72</f>
        <v>2899</v>
      </c>
      <c r="P72" s="91">
        <f>SL!Y72</f>
        <v>342</v>
      </c>
      <c r="Q72" s="91">
        <f>SL!Z72</f>
        <v>2991.18</v>
      </c>
      <c r="R72" s="92">
        <f>SL!AA72</f>
        <v>7818.94</v>
      </c>
      <c r="S72" s="91">
        <f>SL!AB72</f>
        <v>1.03</v>
      </c>
      <c r="T72" s="71">
        <f t="shared" si="15"/>
        <v>0.382555691692224</v>
      </c>
      <c r="U72" s="72">
        <f t="shared" si="16"/>
        <v>0.01301248731967</v>
      </c>
      <c r="V72" s="72">
        <f t="shared" si="17"/>
        <v>0.11797171438427</v>
      </c>
      <c r="W72" s="73">
        <f t="shared" si="18"/>
        <v>8.74614035087719</v>
      </c>
      <c r="X72" s="96">
        <f t="shared" si="6"/>
        <v>0.0733899330441826</v>
      </c>
    </row>
    <row r="73" customHeight="1" spans="1:24">
      <c r="A73" s="61" t="s">
        <v>250</v>
      </c>
      <c r="B73" s="81" t="s">
        <v>251</v>
      </c>
      <c r="C73" s="90">
        <f>SL!C73</f>
        <v>596</v>
      </c>
      <c r="D73" s="91">
        <f>SL!D73</f>
        <v>558</v>
      </c>
      <c r="E73" s="64">
        <f>SL!E73</f>
        <v>13082.03</v>
      </c>
      <c r="F73" s="65">
        <v>1497</v>
      </c>
      <c r="G73" s="66">
        <v>5021</v>
      </c>
      <c r="H73" s="67">
        <v>6518</v>
      </c>
      <c r="I73" s="66">
        <v>2026</v>
      </c>
      <c r="J73" s="66">
        <v>6436</v>
      </c>
      <c r="K73" s="68">
        <v>8462</v>
      </c>
      <c r="L73" s="69">
        <f t="shared" si="13"/>
        <v>0.0856090825406566</v>
      </c>
      <c r="M73" s="94">
        <f t="shared" si="14"/>
        <v>0.193529597470729</v>
      </c>
      <c r="N73" s="91">
        <f>SL!W73</f>
        <v>211323</v>
      </c>
      <c r="O73" s="91">
        <f>SL!X73</f>
        <v>2479</v>
      </c>
      <c r="P73" s="91">
        <f>SL!Y73</f>
        <v>338</v>
      </c>
      <c r="Q73" s="91">
        <f>SL!Z73</f>
        <v>2531.76</v>
      </c>
      <c r="R73" s="92">
        <f>SL!AA73</f>
        <v>7647</v>
      </c>
      <c r="S73" s="91">
        <f>SL!AB73</f>
        <v>1.02</v>
      </c>
      <c r="T73" s="71">
        <f t="shared" si="15"/>
        <v>0.331078854452727</v>
      </c>
      <c r="U73" s="72">
        <f t="shared" si="16"/>
        <v>0.0117308575024962</v>
      </c>
      <c r="V73" s="72">
        <f t="shared" si="17"/>
        <v>0.136345300524405</v>
      </c>
      <c r="W73" s="73">
        <f t="shared" si="18"/>
        <v>7.49041420118343</v>
      </c>
      <c r="X73" s="96">
        <f>$L$75</f>
        <v>0.0733899330441826</v>
      </c>
    </row>
    <row r="74" customHeight="1" spans="1:24">
      <c r="A74" s="61" t="s">
        <v>254</v>
      </c>
      <c r="B74" s="81" t="s">
        <v>255</v>
      </c>
      <c r="C74" s="90">
        <f>SL!C74</f>
        <v>489</v>
      </c>
      <c r="D74" s="91">
        <f>SL!D74</f>
        <v>463</v>
      </c>
      <c r="E74" s="64">
        <f>SL!E74</f>
        <v>10803.14</v>
      </c>
      <c r="F74" s="65">
        <v>1497</v>
      </c>
      <c r="G74" s="66">
        <v>5021</v>
      </c>
      <c r="H74" s="67">
        <v>6518</v>
      </c>
      <c r="I74" s="66">
        <v>2026</v>
      </c>
      <c r="J74" s="66">
        <v>6436</v>
      </c>
      <c r="K74" s="68">
        <v>8462</v>
      </c>
      <c r="L74" s="69">
        <f t="shared" si="13"/>
        <v>0.0710340595274624</v>
      </c>
      <c r="M74" s="94">
        <f t="shared" si="14"/>
        <v>0.221529110980696</v>
      </c>
      <c r="N74" s="91">
        <f>SL!W74</f>
        <v>191264</v>
      </c>
      <c r="O74" s="91">
        <f>SL!X74</f>
        <v>2364</v>
      </c>
      <c r="P74" s="91">
        <f>SL!Y74</f>
        <v>284</v>
      </c>
      <c r="Q74" s="91">
        <f>SL!Z74</f>
        <v>2393.21</v>
      </c>
      <c r="R74" s="92">
        <f>SL!AA74</f>
        <v>6412.56</v>
      </c>
      <c r="S74" s="91">
        <f>SL!AB74</f>
        <v>1.01</v>
      </c>
      <c r="T74" s="71">
        <f t="shared" si="15"/>
        <v>0.373206644460247</v>
      </c>
      <c r="U74" s="72">
        <f t="shared" si="16"/>
        <v>0.0123598795382299</v>
      </c>
      <c r="V74" s="72">
        <f t="shared" si="17"/>
        <v>0.120135363790186</v>
      </c>
      <c r="W74" s="73">
        <f t="shared" si="18"/>
        <v>8.42679577464789</v>
      </c>
      <c r="X74" s="96">
        <f>$L$75</f>
        <v>0.0733899330441826</v>
      </c>
    </row>
    <row r="75" customHeight="1" spans="1:24">
      <c r="A75" t="s">
        <v>270</v>
      </c>
      <c r="B75" s="1"/>
      <c r="C75" s="97">
        <f>SL!C78</f>
        <v>31980</v>
      </c>
      <c r="D75" s="98">
        <f>SUBTOTAL(109,表3_3212[订单量])</f>
        <v>28630</v>
      </c>
      <c r="E75" s="99">
        <f>SL!E78</f>
        <v>720639.24</v>
      </c>
      <c r="F75" s="100">
        <f>SUBTOTAL(109,表3_3212[Sessions-Browser])</f>
        <v>93372</v>
      </c>
      <c r="G75" s="101">
        <f>SUBTOTAL(109,表3_3212[Sessions-Mobile])</f>
        <v>295736</v>
      </c>
      <c r="H75" s="101">
        <f>SUBTOTAL(109,表3_3212[Sessions-Total])</f>
        <v>390108</v>
      </c>
      <c r="I75" s="101">
        <f>SUBTOTAL(109,表3_3212[PV-Browser])</f>
        <v>122952</v>
      </c>
      <c r="J75" s="102">
        <f>SUBTOTAL(109,表3_3212[PV-Mobile])</f>
        <v>388394</v>
      </c>
      <c r="K75" s="103">
        <f>SUBTOTAL(101,表3_3212[PV-Total])</f>
        <v>7202.05633802817</v>
      </c>
      <c r="L75" s="104">
        <f t="shared" si="13"/>
        <v>0.0733899330441826</v>
      </c>
      <c r="M75" s="85">
        <f t="shared" si="14"/>
        <v>0.245176560188424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176683.85</v>
      </c>
      <c r="R75" s="1">
        <f>SUBTOTAL(109,表3_3212[广告销售额])</f>
        <v>419266.34</v>
      </c>
      <c r="S75" s="16">
        <f>SUBTOTAL(101,表3_3212[CPC])</f>
        <v>1.02366666666667</v>
      </c>
      <c r="T75" s="71">
        <f t="shared" si="15"/>
        <v>0.421411959758086</v>
      </c>
      <c r="U75" s="72">
        <f t="shared" si="16"/>
        <v>0.0104846265626939</v>
      </c>
      <c r="V75" s="72">
        <f t="shared" si="17"/>
        <v>0.101781596907199</v>
      </c>
      <c r="W75" s="73">
        <f t="shared" si="18"/>
        <v>10.0314455231931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ignoredErrors>
    <ignoredError sqref="I22:I26 I28:I35 I19:K21 I4:I18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75"/>
  <sheetViews>
    <sheetView workbookViewId="0">
      <pane xSplit="2" ySplit="3" topLeftCell="C6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423</v>
      </c>
      <c r="D1" s="26"/>
      <c r="E1" s="27"/>
      <c r="F1" s="28" t="s">
        <v>434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40</v>
      </c>
      <c r="D4" s="91">
        <v>37</v>
      </c>
      <c r="E4" s="64">
        <v>949.6</v>
      </c>
      <c r="F4" s="65">
        <v>173</v>
      </c>
      <c r="G4" s="66">
        <v>369</v>
      </c>
      <c r="H4" s="67">
        <v>542</v>
      </c>
      <c r="I4" s="66">
        <v>209</v>
      </c>
      <c r="J4" s="66">
        <v>472</v>
      </c>
      <c r="K4" s="68">
        <v>681</v>
      </c>
      <c r="L4" s="69">
        <f t="shared" ref="L4:L35" si="0">D4/H4</f>
        <v>0.0682656826568266</v>
      </c>
      <c r="M4" s="94">
        <f t="shared" ref="M4:M35" si="1">Q4/E4</f>
        <v>0.344197556866049</v>
      </c>
      <c r="N4" s="91">
        <v>54006</v>
      </c>
      <c r="O4" s="91">
        <v>248</v>
      </c>
      <c r="P4" s="91">
        <v>29</v>
      </c>
      <c r="Q4" s="91">
        <v>326.85</v>
      </c>
      <c r="R4" s="92">
        <v>710.7</v>
      </c>
      <c r="S4" s="91">
        <v>1.32</v>
      </c>
      <c r="T4" s="71">
        <f t="shared" ref="T4:T35" si="2">Q4/R4</f>
        <v>0.459898691430984</v>
      </c>
      <c r="U4" s="72">
        <f t="shared" ref="U4:U35" si="3">O4/N4</f>
        <v>0.00459208236121912</v>
      </c>
      <c r="V4" s="72">
        <f t="shared" ref="V4:V35" si="4">P4/O4</f>
        <v>0.116935483870968</v>
      </c>
      <c r="W4" s="73">
        <f t="shared" ref="W4:W35" si="5">Q4/P4</f>
        <v>11.2706896551724</v>
      </c>
    </row>
    <row r="5" customHeight="1" spans="1:23">
      <c r="A5" s="93" t="s">
        <v>71</v>
      </c>
      <c r="B5" s="90" t="s">
        <v>72</v>
      </c>
      <c r="C5" s="90">
        <v>58</v>
      </c>
      <c r="D5" s="91">
        <v>55</v>
      </c>
      <c r="E5" s="64">
        <v>1371.42</v>
      </c>
      <c r="F5" s="65">
        <v>217</v>
      </c>
      <c r="G5" s="66">
        <v>334</v>
      </c>
      <c r="H5" s="67">
        <v>551</v>
      </c>
      <c r="I5" s="66">
        <v>277</v>
      </c>
      <c r="J5" s="66">
        <v>455</v>
      </c>
      <c r="K5" s="68">
        <v>73</v>
      </c>
      <c r="L5" s="69">
        <f t="shared" si="0"/>
        <v>0.0998185117967332</v>
      </c>
      <c r="M5" s="94">
        <f t="shared" si="1"/>
        <v>0.22456286185122</v>
      </c>
      <c r="N5" s="91">
        <v>55780</v>
      </c>
      <c r="O5" s="91">
        <v>231</v>
      </c>
      <c r="P5" s="91">
        <v>33</v>
      </c>
      <c r="Q5" s="91">
        <v>307.97</v>
      </c>
      <c r="R5" s="92">
        <v>819.65</v>
      </c>
      <c r="S5" s="91">
        <v>1.33</v>
      </c>
      <c r="T5" s="71">
        <f t="shared" si="2"/>
        <v>0.37573354480571</v>
      </c>
      <c r="U5" s="72">
        <f t="shared" si="3"/>
        <v>0.00414126927214055</v>
      </c>
      <c r="V5" s="72">
        <f t="shared" si="4"/>
        <v>0.142857142857143</v>
      </c>
      <c r="W5" s="73">
        <f t="shared" si="5"/>
        <v>9.33242424242424</v>
      </c>
    </row>
    <row r="6" customHeight="1" spans="1:23">
      <c r="A6" s="93" t="s">
        <v>73</v>
      </c>
      <c r="B6" s="90" t="s">
        <v>74</v>
      </c>
      <c r="C6" s="90">
        <v>44</v>
      </c>
      <c r="D6" s="91">
        <v>42</v>
      </c>
      <c r="E6" s="64">
        <v>1044.56</v>
      </c>
      <c r="F6" s="65">
        <v>239</v>
      </c>
      <c r="G6" s="66">
        <v>464</v>
      </c>
      <c r="H6" s="67">
        <v>703</v>
      </c>
      <c r="I6" s="66">
        <v>286</v>
      </c>
      <c r="J6" s="66">
        <v>609</v>
      </c>
      <c r="K6" s="68">
        <v>895</v>
      </c>
      <c r="L6" s="69">
        <f t="shared" si="0"/>
        <v>0.0597439544807966</v>
      </c>
      <c r="M6" s="94">
        <f t="shared" si="1"/>
        <v>0.446542084705522</v>
      </c>
      <c r="N6" s="91">
        <v>80855</v>
      </c>
      <c r="O6" s="91">
        <v>306</v>
      </c>
      <c r="P6" s="91">
        <v>30</v>
      </c>
      <c r="Q6" s="91">
        <v>466.44</v>
      </c>
      <c r="R6" s="92">
        <v>708.7</v>
      </c>
      <c r="S6" s="91">
        <v>1.52</v>
      </c>
      <c r="T6" s="71">
        <f t="shared" si="2"/>
        <v>0.658162833356851</v>
      </c>
      <c r="U6" s="72">
        <f t="shared" si="3"/>
        <v>0.00378455259415002</v>
      </c>
      <c r="V6" s="72">
        <f t="shared" si="4"/>
        <v>0.0980392156862745</v>
      </c>
      <c r="W6" s="73">
        <f t="shared" si="5"/>
        <v>15.548</v>
      </c>
    </row>
    <row r="7" customHeight="1" spans="1:23">
      <c r="A7" s="93" t="s">
        <v>76</v>
      </c>
      <c r="B7" s="90" t="s">
        <v>77</v>
      </c>
      <c r="C7" s="90">
        <v>57</v>
      </c>
      <c r="D7" s="91">
        <v>55</v>
      </c>
      <c r="E7" s="64">
        <v>1343.43</v>
      </c>
      <c r="F7" s="65">
        <v>249</v>
      </c>
      <c r="G7" s="66">
        <v>459</v>
      </c>
      <c r="H7" s="67">
        <v>708</v>
      </c>
      <c r="I7" s="66">
        <v>314</v>
      </c>
      <c r="J7" s="66">
        <v>601</v>
      </c>
      <c r="K7" s="68">
        <v>915</v>
      </c>
      <c r="L7" s="69">
        <f t="shared" si="0"/>
        <v>0.077683615819209</v>
      </c>
      <c r="M7" s="94">
        <f t="shared" si="1"/>
        <v>0.38619057189433</v>
      </c>
      <c r="N7" s="91">
        <v>107755</v>
      </c>
      <c r="O7" s="91">
        <v>336</v>
      </c>
      <c r="P7" s="91">
        <v>35</v>
      </c>
      <c r="Q7" s="91">
        <v>518.82</v>
      </c>
      <c r="R7" s="92">
        <v>815.65</v>
      </c>
      <c r="S7" s="91">
        <v>1.54</v>
      </c>
      <c r="T7" s="71">
        <f t="shared" si="2"/>
        <v>0.63608165266965</v>
      </c>
      <c r="U7" s="72">
        <f t="shared" si="3"/>
        <v>0.00311818477100831</v>
      </c>
      <c r="V7" s="72">
        <f t="shared" si="4"/>
        <v>0.104166666666667</v>
      </c>
      <c r="W7" s="73">
        <f t="shared" si="5"/>
        <v>14.8234285714286</v>
      </c>
    </row>
    <row r="8" customHeight="1" spans="1:23">
      <c r="A8" s="93" t="s">
        <v>79</v>
      </c>
      <c r="B8" s="90" t="s">
        <v>80</v>
      </c>
      <c r="C8" s="90">
        <v>47</v>
      </c>
      <c r="D8" s="91">
        <v>46</v>
      </c>
      <c r="E8" s="64">
        <v>1107.53</v>
      </c>
      <c r="F8" s="65">
        <v>215</v>
      </c>
      <c r="G8" s="66">
        <v>403</v>
      </c>
      <c r="H8" s="67">
        <v>618</v>
      </c>
      <c r="I8" s="66">
        <v>274</v>
      </c>
      <c r="J8" s="66">
        <v>508</v>
      </c>
      <c r="K8" s="68">
        <v>782</v>
      </c>
      <c r="L8" s="69">
        <f t="shared" si="0"/>
        <v>0.0744336569579288</v>
      </c>
      <c r="M8" s="94">
        <f t="shared" si="1"/>
        <v>0.345453396296263</v>
      </c>
      <c r="N8" s="91">
        <v>70831</v>
      </c>
      <c r="O8" s="91">
        <v>276</v>
      </c>
      <c r="P8" s="91">
        <v>25</v>
      </c>
      <c r="Q8" s="91">
        <v>382.6</v>
      </c>
      <c r="R8" s="92">
        <v>591.75</v>
      </c>
      <c r="S8" s="91">
        <v>1.39</v>
      </c>
      <c r="T8" s="71">
        <f t="shared" si="2"/>
        <v>0.646556822982679</v>
      </c>
      <c r="U8" s="72">
        <f t="shared" si="3"/>
        <v>0.00389659894678884</v>
      </c>
      <c r="V8" s="72">
        <f t="shared" si="4"/>
        <v>0.0905797101449275</v>
      </c>
      <c r="W8" s="73">
        <f t="shared" si="5"/>
        <v>15.304</v>
      </c>
    </row>
    <row r="9" customHeight="1" spans="1:23">
      <c r="A9" s="93" t="s">
        <v>81</v>
      </c>
      <c r="B9" s="90" t="s">
        <v>82</v>
      </c>
      <c r="C9" s="90">
        <v>69</v>
      </c>
      <c r="D9" s="91">
        <v>66</v>
      </c>
      <c r="E9" s="64">
        <v>1634.31</v>
      </c>
      <c r="F9" s="65">
        <v>218</v>
      </c>
      <c r="G9" s="66">
        <v>431</v>
      </c>
      <c r="H9" s="67">
        <v>649</v>
      </c>
      <c r="I9" s="66">
        <v>286</v>
      </c>
      <c r="J9" s="66">
        <v>561</v>
      </c>
      <c r="K9" s="68">
        <v>847</v>
      </c>
      <c r="L9" s="69">
        <f t="shared" si="0"/>
        <v>0.101694915254237</v>
      </c>
      <c r="M9" s="94">
        <f t="shared" si="1"/>
        <v>0.248649277064939</v>
      </c>
      <c r="N9" s="91">
        <v>76019</v>
      </c>
      <c r="O9" s="91">
        <v>284</v>
      </c>
      <c r="P9" s="91">
        <v>36</v>
      </c>
      <c r="Q9" s="91">
        <v>406.37</v>
      </c>
      <c r="R9" s="92">
        <v>847.84</v>
      </c>
      <c r="S9" s="91">
        <v>1.43</v>
      </c>
      <c r="T9" s="71">
        <f t="shared" si="2"/>
        <v>0.479300339686733</v>
      </c>
      <c r="U9" s="72">
        <f t="shared" si="3"/>
        <v>0.0037359081282311</v>
      </c>
      <c r="V9" s="72">
        <f t="shared" si="4"/>
        <v>0.126760563380282</v>
      </c>
      <c r="W9" s="73">
        <f t="shared" si="5"/>
        <v>11.2880555555556</v>
      </c>
    </row>
    <row r="10" customHeight="1" spans="1:23">
      <c r="A10" s="93" t="s">
        <v>84</v>
      </c>
      <c r="B10" s="90" t="s">
        <v>85</v>
      </c>
      <c r="C10" s="90">
        <v>78</v>
      </c>
      <c r="D10" s="91">
        <v>76</v>
      </c>
      <c r="E10" s="64">
        <v>1727.32</v>
      </c>
      <c r="F10" s="65">
        <v>274</v>
      </c>
      <c r="G10" s="66">
        <v>551</v>
      </c>
      <c r="H10" s="67">
        <v>825</v>
      </c>
      <c r="I10" s="66">
        <v>335</v>
      </c>
      <c r="J10" s="66">
        <v>671</v>
      </c>
      <c r="K10" s="68">
        <v>1006</v>
      </c>
      <c r="L10" s="69">
        <f t="shared" si="0"/>
        <v>0.0921212121212121</v>
      </c>
      <c r="M10" s="94">
        <f t="shared" si="1"/>
        <v>0.294687724335966</v>
      </c>
      <c r="N10" s="91">
        <v>95228</v>
      </c>
      <c r="O10" s="91">
        <v>359</v>
      </c>
      <c r="P10" s="91">
        <v>47</v>
      </c>
      <c r="Q10" s="91">
        <v>509.02</v>
      </c>
      <c r="R10" s="92">
        <v>1027.73</v>
      </c>
      <c r="S10" s="91">
        <v>1.42</v>
      </c>
      <c r="T10" s="71">
        <f t="shared" si="2"/>
        <v>0.495285726795948</v>
      </c>
      <c r="U10" s="72">
        <f t="shared" si="3"/>
        <v>0.00376989960935859</v>
      </c>
      <c r="V10" s="72">
        <f t="shared" si="4"/>
        <v>0.13091922005571</v>
      </c>
      <c r="W10" s="73">
        <f t="shared" si="5"/>
        <v>10.8302127659574</v>
      </c>
    </row>
    <row r="11" customHeight="1" spans="1:23">
      <c r="A11" s="61" t="s">
        <v>86</v>
      </c>
      <c r="B11" s="89" t="s">
        <v>87</v>
      </c>
      <c r="C11" s="90">
        <v>44</v>
      </c>
      <c r="D11" s="91">
        <v>42</v>
      </c>
      <c r="E11" s="64">
        <v>940.06</v>
      </c>
      <c r="F11" s="65">
        <v>164</v>
      </c>
      <c r="G11" s="66">
        <v>246</v>
      </c>
      <c r="H11" s="67">
        <v>410</v>
      </c>
      <c r="I11" s="66">
        <v>214</v>
      </c>
      <c r="J11" s="66">
        <v>309</v>
      </c>
      <c r="K11" s="68">
        <v>523</v>
      </c>
      <c r="L11" s="69">
        <f t="shared" si="0"/>
        <v>0.102439024390244</v>
      </c>
      <c r="M11" s="94">
        <f t="shared" si="1"/>
        <v>0.288385847711848</v>
      </c>
      <c r="N11" s="91">
        <v>38905</v>
      </c>
      <c r="O11" s="91">
        <v>205</v>
      </c>
      <c r="P11" s="91">
        <v>20</v>
      </c>
      <c r="Q11" s="91">
        <v>271.1</v>
      </c>
      <c r="R11" s="92">
        <v>450.69</v>
      </c>
      <c r="S11" s="91">
        <v>1.32</v>
      </c>
      <c r="T11" s="71">
        <f t="shared" si="2"/>
        <v>0.601522110541614</v>
      </c>
      <c r="U11" s="72">
        <f t="shared" si="3"/>
        <v>0.00526924559825215</v>
      </c>
      <c r="V11" s="72">
        <f t="shared" si="4"/>
        <v>0.0975609756097561</v>
      </c>
      <c r="W11" s="73">
        <f t="shared" si="5"/>
        <v>13.555</v>
      </c>
    </row>
    <row r="12" customHeight="1" spans="1:23">
      <c r="A12" s="61" t="s">
        <v>89</v>
      </c>
      <c r="B12" s="89" t="s">
        <v>90</v>
      </c>
      <c r="C12" s="90">
        <v>40</v>
      </c>
      <c r="D12" s="91">
        <v>40</v>
      </c>
      <c r="E12" s="64">
        <v>853.7</v>
      </c>
      <c r="F12" s="65">
        <v>163</v>
      </c>
      <c r="G12" s="66">
        <v>386</v>
      </c>
      <c r="H12" s="67">
        <v>549</v>
      </c>
      <c r="I12" s="66">
        <v>199</v>
      </c>
      <c r="J12" s="66">
        <v>486</v>
      </c>
      <c r="K12" s="68">
        <v>68</v>
      </c>
      <c r="L12" s="69">
        <f t="shared" si="0"/>
        <v>0.0728597449908925</v>
      </c>
      <c r="M12" s="94">
        <f t="shared" si="1"/>
        <v>0.297961813283355</v>
      </c>
      <c r="N12" s="91">
        <v>33555</v>
      </c>
      <c r="O12" s="91">
        <v>218</v>
      </c>
      <c r="P12" s="91">
        <v>23</v>
      </c>
      <c r="Q12" s="91">
        <v>254.37</v>
      </c>
      <c r="R12" s="92">
        <v>485.47</v>
      </c>
      <c r="S12" s="91">
        <v>1.16</v>
      </c>
      <c r="T12" s="71">
        <f t="shared" si="2"/>
        <v>0.523966465487054</v>
      </c>
      <c r="U12" s="72">
        <f t="shared" si="3"/>
        <v>0.00649679630457458</v>
      </c>
      <c r="V12" s="72">
        <f t="shared" si="4"/>
        <v>0.105504587155963</v>
      </c>
      <c r="W12" s="73">
        <f t="shared" si="5"/>
        <v>11.0595652173913</v>
      </c>
    </row>
    <row r="13" customHeight="1" spans="1:23">
      <c r="A13" s="93" t="s">
        <v>92</v>
      </c>
      <c r="B13" s="90" t="s">
        <v>93</v>
      </c>
      <c r="C13" s="90">
        <v>32</v>
      </c>
      <c r="D13" s="91">
        <v>31</v>
      </c>
      <c r="E13" s="64">
        <v>760.68</v>
      </c>
      <c r="F13" s="65">
        <v>183</v>
      </c>
      <c r="G13" s="66">
        <v>301</v>
      </c>
      <c r="H13" s="67">
        <v>484</v>
      </c>
      <c r="I13" s="66">
        <v>240</v>
      </c>
      <c r="J13" s="66">
        <v>384</v>
      </c>
      <c r="K13" s="68">
        <v>624</v>
      </c>
      <c r="L13" s="69">
        <f t="shared" si="0"/>
        <v>0.0640495867768595</v>
      </c>
      <c r="M13" s="94">
        <f t="shared" si="1"/>
        <v>0.304753641478677</v>
      </c>
      <c r="N13" s="91">
        <v>32697</v>
      </c>
      <c r="O13" s="91">
        <v>197</v>
      </c>
      <c r="P13" s="91">
        <v>20</v>
      </c>
      <c r="Q13" s="91">
        <v>231.82</v>
      </c>
      <c r="R13" s="92">
        <v>475.8</v>
      </c>
      <c r="S13" s="91">
        <v>1.16</v>
      </c>
      <c r="T13" s="71">
        <f t="shared" si="2"/>
        <v>0.487221521647751</v>
      </c>
      <c r="U13" s="72">
        <f t="shared" si="3"/>
        <v>0.00602501758571123</v>
      </c>
      <c r="V13" s="72">
        <f t="shared" si="4"/>
        <v>0.101522842639594</v>
      </c>
      <c r="W13" s="73">
        <f t="shared" si="5"/>
        <v>11.591</v>
      </c>
    </row>
    <row r="14" customHeight="1" spans="1:23">
      <c r="A14" s="61" t="s">
        <v>95</v>
      </c>
      <c r="B14" s="89" t="s">
        <v>96</v>
      </c>
      <c r="C14" s="90">
        <v>39</v>
      </c>
      <c r="D14" s="91">
        <v>37</v>
      </c>
      <c r="E14" s="64">
        <v>898.21</v>
      </c>
      <c r="F14" s="65">
        <v>211</v>
      </c>
      <c r="G14" s="66">
        <v>435</v>
      </c>
      <c r="H14" s="67">
        <v>646</v>
      </c>
      <c r="I14" s="66">
        <v>262</v>
      </c>
      <c r="J14" s="66">
        <v>559</v>
      </c>
      <c r="K14" s="68">
        <v>821</v>
      </c>
      <c r="L14" s="69">
        <f t="shared" si="0"/>
        <v>0.0572755417956656</v>
      </c>
      <c r="M14" s="94">
        <f t="shared" si="1"/>
        <v>0.258091092283542</v>
      </c>
      <c r="N14" s="91">
        <v>32697</v>
      </c>
      <c r="O14" s="91">
        <v>197</v>
      </c>
      <c r="P14" s="91">
        <v>20</v>
      </c>
      <c r="Q14" s="91">
        <v>231.82</v>
      </c>
      <c r="R14" s="92">
        <v>475.8</v>
      </c>
      <c r="S14" s="91">
        <v>1.16</v>
      </c>
      <c r="T14" s="71">
        <f t="shared" si="2"/>
        <v>0.487221521647751</v>
      </c>
      <c r="U14" s="72">
        <f t="shared" si="3"/>
        <v>0.00602501758571123</v>
      </c>
      <c r="V14" s="72">
        <f t="shared" si="4"/>
        <v>0.101522842639594</v>
      </c>
      <c r="W14" s="73">
        <f t="shared" si="5"/>
        <v>11.591</v>
      </c>
    </row>
    <row r="15" customHeight="1" spans="1:23">
      <c r="A15" s="93" t="s">
        <v>98</v>
      </c>
      <c r="B15" s="90" t="s">
        <v>99</v>
      </c>
      <c r="C15" s="90">
        <v>45</v>
      </c>
      <c r="D15" s="91">
        <v>42</v>
      </c>
      <c r="E15" s="64">
        <v>1008.55</v>
      </c>
      <c r="F15" s="65">
        <v>161</v>
      </c>
      <c r="G15" s="66">
        <v>384</v>
      </c>
      <c r="H15" s="67">
        <v>545</v>
      </c>
      <c r="I15" s="66">
        <v>206</v>
      </c>
      <c r="J15" s="66">
        <v>477</v>
      </c>
      <c r="K15" s="68">
        <v>683</v>
      </c>
      <c r="L15" s="69">
        <f t="shared" si="0"/>
        <v>0.0770642201834862</v>
      </c>
      <c r="M15" s="94">
        <f t="shared" si="1"/>
        <v>0.347935154429627</v>
      </c>
      <c r="N15" s="91">
        <v>76033</v>
      </c>
      <c r="O15" s="91">
        <v>299</v>
      </c>
      <c r="P15" s="91">
        <v>25</v>
      </c>
      <c r="Q15" s="91">
        <v>350.91</v>
      </c>
      <c r="R15" s="92">
        <v>682.89</v>
      </c>
      <c r="S15" s="91">
        <v>1.17</v>
      </c>
      <c r="T15" s="71">
        <f t="shared" si="2"/>
        <v>0.513860211747134</v>
      </c>
      <c r="U15" s="72">
        <f t="shared" si="3"/>
        <v>0.00393250299212184</v>
      </c>
      <c r="V15" s="72">
        <f t="shared" si="4"/>
        <v>0.0836120401337793</v>
      </c>
      <c r="W15" s="73">
        <f t="shared" si="5"/>
        <v>14.0364</v>
      </c>
    </row>
    <row r="16" customHeight="1" spans="1:23">
      <c r="A16" s="61" t="s">
        <v>101</v>
      </c>
      <c r="B16" s="89" t="s">
        <v>102</v>
      </c>
      <c r="C16" s="90">
        <v>57</v>
      </c>
      <c r="D16" s="91">
        <v>57</v>
      </c>
      <c r="E16" s="64">
        <v>1219.83</v>
      </c>
      <c r="F16" s="65">
        <v>206</v>
      </c>
      <c r="G16" s="66">
        <v>466</v>
      </c>
      <c r="H16" s="67">
        <v>672</v>
      </c>
      <c r="I16" s="66">
        <v>243</v>
      </c>
      <c r="J16" s="66">
        <v>586</v>
      </c>
      <c r="K16" s="68">
        <v>829</v>
      </c>
      <c r="L16" s="69">
        <f t="shared" si="0"/>
        <v>0.0848214285714286</v>
      </c>
      <c r="M16" s="94">
        <f t="shared" si="1"/>
        <v>0.252330242738742</v>
      </c>
      <c r="N16" s="91">
        <v>48720</v>
      </c>
      <c r="O16" s="91">
        <v>267</v>
      </c>
      <c r="P16" s="91">
        <v>35</v>
      </c>
      <c r="Q16" s="91">
        <v>307.8</v>
      </c>
      <c r="R16" s="92">
        <v>754.86</v>
      </c>
      <c r="S16" s="91">
        <v>1.15</v>
      </c>
      <c r="T16" s="71">
        <f t="shared" si="2"/>
        <v>0.407757729910182</v>
      </c>
      <c r="U16" s="72">
        <f t="shared" si="3"/>
        <v>0.00548029556650246</v>
      </c>
      <c r="V16" s="72">
        <f t="shared" si="4"/>
        <v>0.131086142322097</v>
      </c>
      <c r="W16" s="73">
        <f t="shared" si="5"/>
        <v>8.79428571428572</v>
      </c>
    </row>
    <row r="17" customHeight="1" spans="1:23">
      <c r="A17" s="61" t="s">
        <v>104</v>
      </c>
      <c r="B17" s="89" t="s">
        <v>105</v>
      </c>
      <c r="C17" s="90">
        <v>68</v>
      </c>
      <c r="D17" s="91">
        <v>57</v>
      </c>
      <c r="E17" s="64">
        <v>1559.92</v>
      </c>
      <c r="F17" s="65">
        <v>217</v>
      </c>
      <c r="G17" s="66">
        <v>479</v>
      </c>
      <c r="H17" s="67">
        <v>696</v>
      </c>
      <c r="I17" s="66">
        <v>277</v>
      </c>
      <c r="J17" s="66">
        <v>611</v>
      </c>
      <c r="K17" s="68">
        <v>888</v>
      </c>
      <c r="L17" s="69">
        <f t="shared" si="0"/>
        <v>0.0818965517241379</v>
      </c>
      <c r="M17" s="94">
        <f t="shared" si="1"/>
        <v>0.205997743474024</v>
      </c>
      <c r="N17" s="91">
        <v>47496</v>
      </c>
      <c r="O17" s="91">
        <v>291</v>
      </c>
      <c r="P17" s="91">
        <v>39</v>
      </c>
      <c r="Q17" s="91">
        <v>321.34</v>
      </c>
      <c r="R17" s="92">
        <v>1029.05</v>
      </c>
      <c r="S17" s="91">
        <v>1.1</v>
      </c>
      <c r="T17" s="71">
        <f t="shared" si="2"/>
        <v>0.312268597249891</v>
      </c>
      <c r="U17" s="72">
        <f t="shared" si="3"/>
        <v>0.00612683173319859</v>
      </c>
      <c r="V17" s="72">
        <f t="shared" si="4"/>
        <v>0.134020618556701</v>
      </c>
      <c r="W17" s="73">
        <f t="shared" si="5"/>
        <v>8.23948717948718</v>
      </c>
    </row>
    <row r="18" customHeight="1" spans="1:23">
      <c r="A18" s="61" t="s">
        <v>107</v>
      </c>
      <c r="B18" s="89" t="s">
        <v>108</v>
      </c>
      <c r="C18" s="90">
        <v>38</v>
      </c>
      <c r="D18" s="91">
        <v>36</v>
      </c>
      <c r="E18" s="64">
        <v>900.62</v>
      </c>
      <c r="F18" s="65">
        <v>195</v>
      </c>
      <c r="G18" s="66">
        <v>374</v>
      </c>
      <c r="H18" s="67">
        <v>569</v>
      </c>
      <c r="I18" s="66">
        <v>245</v>
      </c>
      <c r="J18" s="66">
        <v>475</v>
      </c>
      <c r="K18" s="68">
        <v>720</v>
      </c>
      <c r="L18" s="69">
        <f t="shared" si="0"/>
        <v>0.0632688927943761</v>
      </c>
      <c r="M18" s="94">
        <f t="shared" si="1"/>
        <v>0.315282805178655</v>
      </c>
      <c r="N18" s="91">
        <v>43873</v>
      </c>
      <c r="O18" s="91">
        <v>252</v>
      </c>
      <c r="P18" s="91">
        <v>18</v>
      </c>
      <c r="Q18" s="91">
        <v>283.95</v>
      </c>
      <c r="R18" s="92">
        <v>454.81</v>
      </c>
      <c r="S18" s="91">
        <v>1.13</v>
      </c>
      <c r="T18" s="71">
        <f t="shared" si="2"/>
        <v>0.624326641894417</v>
      </c>
      <c r="U18" s="72">
        <f t="shared" si="3"/>
        <v>0.00574385157158161</v>
      </c>
      <c r="V18" s="72">
        <f t="shared" si="4"/>
        <v>0.0714285714285714</v>
      </c>
      <c r="W18" s="73">
        <f t="shared" si="5"/>
        <v>15.775</v>
      </c>
    </row>
    <row r="19" customHeight="1" spans="1:23">
      <c r="A19" s="61" t="s">
        <v>110</v>
      </c>
      <c r="B19" s="89" t="s">
        <v>111</v>
      </c>
      <c r="C19" s="90">
        <f>Toy!C19</f>
        <v>37</v>
      </c>
      <c r="D19" s="91">
        <f>Toy!D19</f>
        <v>37</v>
      </c>
      <c r="E19" s="64">
        <f>Toy!E19</f>
        <v>855.64</v>
      </c>
      <c r="F19" s="65">
        <v>233</v>
      </c>
      <c r="G19" s="66">
        <v>372</v>
      </c>
      <c r="H19" s="67">
        <v>605</v>
      </c>
      <c r="I19" s="66">
        <v>297</v>
      </c>
      <c r="J19" s="66">
        <v>455</v>
      </c>
      <c r="K19" s="68">
        <v>752</v>
      </c>
      <c r="L19" s="69">
        <f t="shared" si="0"/>
        <v>0.0611570247933884</v>
      </c>
      <c r="M19" s="94">
        <f t="shared" si="1"/>
        <v>0.30954607077743</v>
      </c>
      <c r="N19" s="91">
        <f>Toy!W19</f>
        <v>49981</v>
      </c>
      <c r="O19" s="91">
        <f>Toy!X19</f>
        <v>235</v>
      </c>
      <c r="P19" s="91">
        <f>Toy!Y19</f>
        <v>25</v>
      </c>
      <c r="Q19" s="91">
        <f>Toy!Z19</f>
        <v>264.86</v>
      </c>
      <c r="R19" s="92">
        <f>Toy!AA19</f>
        <v>592.75</v>
      </c>
      <c r="S19" s="91">
        <f>Toy!AB19</f>
        <v>1.13</v>
      </c>
      <c r="T19" s="71">
        <f t="shared" si="2"/>
        <v>0.446832560101223</v>
      </c>
      <c r="U19" s="72">
        <f t="shared" si="3"/>
        <v>0.004701786678938</v>
      </c>
      <c r="V19" s="72">
        <f t="shared" si="4"/>
        <v>0.106382978723404</v>
      </c>
      <c r="W19" s="73">
        <f t="shared" si="5"/>
        <v>10.5944</v>
      </c>
    </row>
    <row r="20" customHeight="1" spans="1:23">
      <c r="A20" s="61" t="s">
        <v>113</v>
      </c>
      <c r="B20" s="89" t="s">
        <v>114</v>
      </c>
      <c r="C20" s="90">
        <f>Toy!C20</f>
        <v>48</v>
      </c>
      <c r="D20" s="91">
        <f>Toy!D20</f>
        <v>46</v>
      </c>
      <c r="E20" s="64">
        <f>Toy!E20</f>
        <v>1142.52</v>
      </c>
      <c r="F20" s="65">
        <v>128</v>
      </c>
      <c r="G20" s="66">
        <v>383</v>
      </c>
      <c r="H20" s="67">
        <v>511</v>
      </c>
      <c r="I20" s="66">
        <v>160</v>
      </c>
      <c r="J20" s="66">
        <v>484</v>
      </c>
      <c r="K20" s="68">
        <v>644</v>
      </c>
      <c r="L20" s="69">
        <f t="shared" si="0"/>
        <v>0.0900195694716243</v>
      </c>
      <c r="M20" s="94">
        <f t="shared" si="1"/>
        <v>0.173064804117215</v>
      </c>
      <c r="N20" s="91">
        <f>Toy!W20</f>
        <v>30704</v>
      </c>
      <c r="O20" s="91">
        <f>Toy!X20</f>
        <v>193</v>
      </c>
      <c r="P20" s="91">
        <f>Toy!Y20</f>
        <v>25</v>
      </c>
      <c r="Q20" s="91">
        <f>Toy!Z20</f>
        <v>197.73</v>
      </c>
      <c r="R20" s="92">
        <f>Toy!AA20</f>
        <v>620.64</v>
      </c>
      <c r="S20" s="91">
        <f>Toy!AB20</f>
        <v>1.02</v>
      </c>
      <c r="T20" s="71">
        <f t="shared" si="2"/>
        <v>0.318590487238979</v>
      </c>
      <c r="U20" s="72">
        <f t="shared" si="3"/>
        <v>0.00628582595101615</v>
      </c>
      <c r="V20" s="72">
        <f t="shared" si="4"/>
        <v>0.129533678756477</v>
      </c>
      <c r="W20" s="73">
        <f t="shared" si="5"/>
        <v>7.9092</v>
      </c>
    </row>
    <row r="21" customHeight="1" spans="1:23">
      <c r="A21" s="61" t="s">
        <v>115</v>
      </c>
      <c r="B21" s="89" t="s">
        <v>116</v>
      </c>
      <c r="C21" s="90">
        <f>Toy!C21</f>
        <v>34</v>
      </c>
      <c r="D21" s="91">
        <f>Toy!D21</f>
        <v>33</v>
      </c>
      <c r="E21" s="64">
        <f>Toy!E21</f>
        <v>806.66</v>
      </c>
      <c r="F21" s="65">
        <v>215</v>
      </c>
      <c r="G21" s="66">
        <v>422</v>
      </c>
      <c r="H21" s="67">
        <v>637</v>
      </c>
      <c r="I21" s="66">
        <v>242</v>
      </c>
      <c r="J21" s="66">
        <v>514</v>
      </c>
      <c r="K21" s="68">
        <v>756</v>
      </c>
      <c r="L21" s="69">
        <f t="shared" si="0"/>
        <v>0.0518053375196232</v>
      </c>
      <c r="M21" s="94">
        <f t="shared" si="1"/>
        <v>0.285956908734783</v>
      </c>
      <c r="N21" s="91">
        <f>Toy!W21</f>
        <v>32552</v>
      </c>
      <c r="O21" s="91">
        <f>Toy!X21</f>
        <v>215</v>
      </c>
      <c r="P21" s="91">
        <f>Toy!Y21</f>
        <v>24</v>
      </c>
      <c r="Q21" s="91">
        <f>Toy!Z21</f>
        <v>230.67</v>
      </c>
      <c r="R21" s="92">
        <f>Toy!AA21</f>
        <v>584.85</v>
      </c>
      <c r="S21" s="91">
        <f>Toy!AB21</f>
        <v>1.07</v>
      </c>
      <c r="T21" s="71">
        <f t="shared" si="2"/>
        <v>0.39440882277507</v>
      </c>
      <c r="U21" s="72">
        <f t="shared" si="3"/>
        <v>0.00660481690833129</v>
      </c>
      <c r="V21" s="72">
        <f t="shared" si="4"/>
        <v>0.111627906976744</v>
      </c>
      <c r="W21" s="73">
        <f t="shared" si="5"/>
        <v>9.61125</v>
      </c>
    </row>
    <row r="22" customHeight="1" spans="1:23">
      <c r="A22" s="61" t="s">
        <v>118</v>
      </c>
      <c r="B22" s="89" t="s">
        <v>119</v>
      </c>
      <c r="C22" s="90">
        <f>Toy!C22</f>
        <v>38</v>
      </c>
      <c r="D22" s="91">
        <f>Toy!D22</f>
        <v>36</v>
      </c>
      <c r="E22" s="64">
        <f>Toy!E22</f>
        <v>902.62</v>
      </c>
      <c r="F22" s="65">
        <v>194</v>
      </c>
      <c r="G22" s="66">
        <v>297</v>
      </c>
      <c r="H22" s="67">
        <v>491</v>
      </c>
      <c r="I22" s="66">
        <v>236</v>
      </c>
      <c r="J22" s="66">
        <v>385</v>
      </c>
      <c r="K22" s="68">
        <v>621</v>
      </c>
      <c r="L22" s="69">
        <f t="shared" si="0"/>
        <v>0.0733197556008147</v>
      </c>
      <c r="M22" s="94">
        <f t="shared" si="1"/>
        <v>0.203308147393144</v>
      </c>
      <c r="N22" s="91">
        <f>Toy!W22</f>
        <v>30728</v>
      </c>
      <c r="O22" s="91">
        <f>Toy!X22</f>
        <v>173</v>
      </c>
      <c r="P22" s="91">
        <f>Toy!Y22</f>
        <v>19</v>
      </c>
      <c r="Q22" s="91">
        <f>Toy!Z22</f>
        <v>183.51</v>
      </c>
      <c r="R22" s="92">
        <f>Toy!AA22</f>
        <v>472.8</v>
      </c>
      <c r="S22" s="91">
        <f>Toy!AB22</f>
        <v>1.06</v>
      </c>
      <c r="T22" s="71">
        <f t="shared" si="2"/>
        <v>0.388134517766497</v>
      </c>
      <c r="U22" s="72">
        <f t="shared" si="3"/>
        <v>0.00563004425930747</v>
      </c>
      <c r="V22" s="72">
        <f t="shared" si="4"/>
        <v>0.109826589595376</v>
      </c>
      <c r="W22" s="73">
        <f t="shared" si="5"/>
        <v>9.65842105263158</v>
      </c>
    </row>
    <row r="23" customHeight="1" spans="1:23">
      <c r="A23" s="61" t="s">
        <v>121</v>
      </c>
      <c r="B23" s="89" t="s">
        <v>122</v>
      </c>
      <c r="C23" s="90">
        <f>Toy!C23</f>
        <v>41</v>
      </c>
      <c r="D23" s="91">
        <f>Toy!D23</f>
        <v>40</v>
      </c>
      <c r="E23" s="64">
        <f>Toy!E23</f>
        <v>972.59</v>
      </c>
      <c r="F23" s="65">
        <v>156</v>
      </c>
      <c r="G23" s="66">
        <v>252</v>
      </c>
      <c r="H23" s="67">
        <v>408</v>
      </c>
      <c r="I23" s="66">
        <v>190</v>
      </c>
      <c r="J23" s="66">
        <v>313</v>
      </c>
      <c r="K23" s="68">
        <v>503</v>
      </c>
      <c r="L23" s="69">
        <f t="shared" si="0"/>
        <v>0.0980392156862745</v>
      </c>
      <c r="M23" s="94">
        <f t="shared" si="1"/>
        <v>0.280385362794189</v>
      </c>
      <c r="N23" s="91">
        <f>Toy!W23</f>
        <v>35047</v>
      </c>
      <c r="O23" s="91">
        <f>Toy!X23</f>
        <v>253</v>
      </c>
      <c r="P23" s="91">
        <f>Toy!Y23</f>
        <v>28</v>
      </c>
      <c r="Q23" s="91">
        <f>Toy!Z23</f>
        <v>272.7</v>
      </c>
      <c r="R23" s="92">
        <f>Toy!AA23</f>
        <v>653.71</v>
      </c>
      <c r="S23" s="91">
        <f>Toy!AB23</f>
        <v>1.11</v>
      </c>
      <c r="T23" s="71">
        <f t="shared" si="2"/>
        <v>0.417157455140659</v>
      </c>
      <c r="U23" s="72">
        <f t="shared" si="3"/>
        <v>0.00721887750734728</v>
      </c>
      <c r="V23" s="72">
        <f t="shared" si="4"/>
        <v>0.110671936758893</v>
      </c>
      <c r="W23" s="73">
        <f t="shared" si="5"/>
        <v>9.73928571428571</v>
      </c>
    </row>
    <row r="24" customHeight="1" spans="1:23">
      <c r="A24" s="61" t="s">
        <v>124</v>
      </c>
      <c r="B24" s="89" t="s">
        <v>125</v>
      </c>
      <c r="C24" s="90">
        <f>Toy!C24</f>
        <v>56</v>
      </c>
      <c r="D24" s="91">
        <f>Toy!D24</f>
        <v>53</v>
      </c>
      <c r="E24" s="64">
        <f>Toy!E24</f>
        <v>1151.05</v>
      </c>
      <c r="F24" s="65">
        <v>167</v>
      </c>
      <c r="G24" s="66">
        <v>392</v>
      </c>
      <c r="H24" s="67">
        <v>559</v>
      </c>
      <c r="I24" s="66">
        <v>216</v>
      </c>
      <c r="J24" s="66">
        <v>479</v>
      </c>
      <c r="K24" s="68">
        <v>695</v>
      </c>
      <c r="L24" s="69">
        <f t="shared" si="0"/>
        <v>0.0948121645796064</v>
      </c>
      <c r="M24" s="94">
        <f t="shared" si="1"/>
        <v>0.257417140871378</v>
      </c>
      <c r="N24" s="91">
        <f>Toy!W24</f>
        <v>41621</v>
      </c>
      <c r="O24" s="91">
        <f>Toy!X24</f>
        <v>248</v>
      </c>
      <c r="P24" s="91">
        <f>Toy!Y24</f>
        <v>32</v>
      </c>
      <c r="Q24" s="91">
        <f>Toy!Z24</f>
        <v>296.3</v>
      </c>
      <c r="R24" s="92">
        <f>Toy!AA24</f>
        <v>681.37</v>
      </c>
      <c r="S24" s="91">
        <f>Toy!AB24</f>
        <v>1.19</v>
      </c>
      <c r="T24" s="71">
        <f t="shared" si="2"/>
        <v>0.434859180768158</v>
      </c>
      <c r="U24" s="72">
        <f t="shared" si="3"/>
        <v>0.00595853054948223</v>
      </c>
      <c r="V24" s="72">
        <f t="shared" si="4"/>
        <v>0.129032258064516</v>
      </c>
      <c r="W24" s="73">
        <f t="shared" si="5"/>
        <v>9.259375</v>
      </c>
    </row>
    <row r="25" customHeight="1" spans="1:23">
      <c r="A25" s="61" t="s">
        <v>128</v>
      </c>
      <c r="B25" s="89" t="s">
        <v>129</v>
      </c>
      <c r="C25" s="90">
        <f>Toy!C25</f>
        <v>30</v>
      </c>
      <c r="D25" s="91">
        <f>Toy!D25</f>
        <v>29</v>
      </c>
      <c r="E25" s="64">
        <f>Toy!E25</f>
        <v>686.7</v>
      </c>
      <c r="F25" s="65">
        <v>138</v>
      </c>
      <c r="G25" s="66">
        <v>238</v>
      </c>
      <c r="H25" s="67">
        <v>376</v>
      </c>
      <c r="I25" s="66">
        <v>184</v>
      </c>
      <c r="J25" s="66">
        <v>323</v>
      </c>
      <c r="K25" s="68">
        <v>507</v>
      </c>
      <c r="L25" s="69">
        <f t="shared" si="0"/>
        <v>0.0771276595744681</v>
      </c>
      <c r="M25" s="94">
        <f t="shared" si="1"/>
        <v>0.265880297072958</v>
      </c>
      <c r="N25" s="91">
        <f>Toy!W25</f>
        <v>18306</v>
      </c>
      <c r="O25" s="91">
        <f>Toy!X25</f>
        <v>158</v>
      </c>
      <c r="P25" s="91">
        <f>Toy!Y25</f>
        <v>15</v>
      </c>
      <c r="Q25" s="91">
        <f>Toy!Z25</f>
        <v>182.58</v>
      </c>
      <c r="R25" s="92">
        <f>Toy!AA25</f>
        <v>347.8</v>
      </c>
      <c r="S25" s="91">
        <f>Toy!AB25</f>
        <v>1.16</v>
      </c>
      <c r="T25" s="71">
        <f t="shared" si="2"/>
        <v>0.524956871765382</v>
      </c>
      <c r="U25" s="72">
        <f t="shared" si="3"/>
        <v>0.00863104992898503</v>
      </c>
      <c r="V25" s="72">
        <f t="shared" si="4"/>
        <v>0.0949367088607595</v>
      </c>
      <c r="W25" s="73">
        <f t="shared" si="5"/>
        <v>12.172</v>
      </c>
    </row>
    <row r="26" customHeight="1" spans="1:23">
      <c r="A26" s="61" t="s">
        <v>130</v>
      </c>
      <c r="B26" s="89" t="s">
        <v>131</v>
      </c>
      <c r="C26" s="90">
        <f>Toy!C26</f>
        <v>40</v>
      </c>
      <c r="D26" s="91">
        <f>Toy!D26</f>
        <v>38</v>
      </c>
      <c r="E26" s="64">
        <f>Toy!E26</f>
        <v>956.6</v>
      </c>
      <c r="F26" s="65">
        <v>116</v>
      </c>
      <c r="G26" s="66">
        <v>212</v>
      </c>
      <c r="H26" s="67">
        <v>328</v>
      </c>
      <c r="I26" s="66">
        <v>143</v>
      </c>
      <c r="J26" s="66">
        <v>303</v>
      </c>
      <c r="K26" s="68">
        <v>446</v>
      </c>
      <c r="L26" s="69">
        <f t="shared" si="0"/>
        <v>0.115853658536585</v>
      </c>
      <c r="M26" s="94">
        <f t="shared" si="1"/>
        <v>0.177670917833995</v>
      </c>
      <c r="N26" s="91">
        <f>Toy!W26</f>
        <v>18638</v>
      </c>
      <c r="O26" s="91">
        <f>Toy!X26</f>
        <v>148</v>
      </c>
      <c r="P26" s="91">
        <f>Toy!Y26</f>
        <v>25</v>
      </c>
      <c r="Q26" s="91">
        <f>Toy!Z26</f>
        <v>169.96</v>
      </c>
      <c r="R26" s="92">
        <f>Toy!AA26</f>
        <v>622.64</v>
      </c>
      <c r="S26" s="91">
        <f>Toy!AB26</f>
        <v>1.11</v>
      </c>
      <c r="T26" s="71">
        <f t="shared" si="2"/>
        <v>0.272966722343569</v>
      </c>
      <c r="U26" s="72">
        <f t="shared" si="3"/>
        <v>0.00794076617662839</v>
      </c>
      <c r="V26" s="72">
        <f t="shared" si="4"/>
        <v>0.168918918918919</v>
      </c>
      <c r="W26" s="73">
        <f t="shared" si="5"/>
        <v>6.7984</v>
      </c>
    </row>
    <row r="27" customHeight="1" spans="1:23">
      <c r="A27" s="61" t="s">
        <v>133</v>
      </c>
      <c r="B27" s="89" t="s">
        <v>134</v>
      </c>
      <c r="C27" s="90">
        <f>Toy!C27</f>
        <v>22</v>
      </c>
      <c r="D27" s="91">
        <f>Toy!D27</f>
        <v>22</v>
      </c>
      <c r="E27" s="64">
        <f>Toy!E27</f>
        <v>524.78</v>
      </c>
      <c r="F27" s="65">
        <v>90</v>
      </c>
      <c r="G27" s="66">
        <v>235</v>
      </c>
      <c r="H27" s="67">
        <v>325</v>
      </c>
      <c r="I27" s="66">
        <v>112</v>
      </c>
      <c r="J27" s="66">
        <v>308</v>
      </c>
      <c r="K27" s="68">
        <v>420</v>
      </c>
      <c r="L27" s="69">
        <f t="shared" si="0"/>
        <v>0.0676923076923077</v>
      </c>
      <c r="M27" s="94">
        <f t="shared" si="1"/>
        <v>0.312740577003697</v>
      </c>
      <c r="N27" s="91">
        <f>Toy!W27</f>
        <v>29556</v>
      </c>
      <c r="O27" s="91">
        <f>Toy!X27</f>
        <v>160</v>
      </c>
      <c r="P27" s="91">
        <f>Toy!Y27</f>
        <v>15</v>
      </c>
      <c r="Q27" s="91">
        <f>Toy!Z27</f>
        <v>164.12</v>
      </c>
      <c r="R27" s="92">
        <f>Toy!AA27</f>
        <v>356.85</v>
      </c>
      <c r="S27" s="91">
        <f>Toy!AB27</f>
        <v>1.03</v>
      </c>
      <c r="T27" s="71">
        <f t="shared" si="2"/>
        <v>0.459913128765588</v>
      </c>
      <c r="U27" s="72">
        <f t="shared" si="3"/>
        <v>0.00541345242928678</v>
      </c>
      <c r="V27" s="72">
        <f t="shared" si="4"/>
        <v>0.09375</v>
      </c>
      <c r="W27" s="73">
        <f t="shared" si="5"/>
        <v>10.9413333333333</v>
      </c>
    </row>
    <row r="28" customHeight="1" spans="1:23">
      <c r="A28" s="61" t="s">
        <v>136</v>
      </c>
      <c r="B28" s="89" t="s">
        <v>137</v>
      </c>
      <c r="C28" s="90">
        <f>Toy!C28</f>
        <v>22</v>
      </c>
      <c r="D28" s="91">
        <f>Toy!D28</f>
        <v>22</v>
      </c>
      <c r="E28" s="64">
        <f>Toy!E28</f>
        <v>522.78</v>
      </c>
      <c r="F28" s="65">
        <v>198</v>
      </c>
      <c r="G28" s="66">
        <v>412</v>
      </c>
      <c r="H28" s="67">
        <v>610</v>
      </c>
      <c r="I28" s="66">
        <v>259</v>
      </c>
      <c r="J28" s="66">
        <v>482</v>
      </c>
      <c r="K28" s="68">
        <v>741</v>
      </c>
      <c r="L28" s="69">
        <f t="shared" si="0"/>
        <v>0.0360655737704918</v>
      </c>
      <c r="M28" s="94">
        <f t="shared" si="1"/>
        <v>0.446401928153334</v>
      </c>
      <c r="N28" s="91">
        <f>Toy!W28</f>
        <v>36296</v>
      </c>
      <c r="O28" s="91">
        <f>Toy!X28</f>
        <v>220</v>
      </c>
      <c r="P28" s="91">
        <f>Toy!Y28</f>
        <v>13</v>
      </c>
      <c r="Q28" s="91">
        <f>Toy!Z28</f>
        <v>233.37</v>
      </c>
      <c r="R28" s="92">
        <f>Toy!AA28</f>
        <v>307.87</v>
      </c>
      <c r="S28" s="91">
        <f>Toy!AB28</f>
        <v>1.06</v>
      </c>
      <c r="T28" s="71">
        <f t="shared" si="2"/>
        <v>0.758014746483906</v>
      </c>
      <c r="U28" s="72">
        <f t="shared" si="3"/>
        <v>0.00606127396958343</v>
      </c>
      <c r="V28" s="72">
        <f t="shared" si="4"/>
        <v>0.0590909090909091</v>
      </c>
      <c r="W28" s="73">
        <f t="shared" si="5"/>
        <v>17.9515384615385</v>
      </c>
    </row>
    <row r="29" customHeight="1" spans="1:23">
      <c r="A29" s="61" t="s">
        <v>139</v>
      </c>
      <c r="B29" s="89" t="s">
        <v>140</v>
      </c>
      <c r="C29" s="90">
        <f>Toy!C29</f>
        <v>50</v>
      </c>
      <c r="D29" s="91">
        <f>Toy!D29</f>
        <v>49</v>
      </c>
      <c r="E29" s="64">
        <f>Toy!E29</f>
        <v>1190.5</v>
      </c>
      <c r="F29" s="65">
        <v>187</v>
      </c>
      <c r="G29" s="66">
        <v>331</v>
      </c>
      <c r="H29" s="67">
        <v>518</v>
      </c>
      <c r="I29" s="66">
        <v>222</v>
      </c>
      <c r="J29" s="66">
        <v>384</v>
      </c>
      <c r="K29" s="68">
        <v>606</v>
      </c>
      <c r="L29" s="69">
        <f t="shared" si="0"/>
        <v>0.0945945945945946</v>
      </c>
      <c r="M29" s="94">
        <f t="shared" si="1"/>
        <v>0.168719025619488</v>
      </c>
      <c r="N29" s="91">
        <f>Toy!W29</f>
        <v>30152</v>
      </c>
      <c r="O29" s="91">
        <f>Toy!X29</f>
        <v>181</v>
      </c>
      <c r="P29" s="91">
        <f>Toy!Y29</f>
        <v>35</v>
      </c>
      <c r="Q29" s="91">
        <f>Toy!Z29</f>
        <v>200.86</v>
      </c>
      <c r="R29" s="92">
        <f>Toy!AA29</f>
        <v>831.65</v>
      </c>
      <c r="S29" s="91">
        <f>Toy!AB29</f>
        <v>1.11</v>
      </c>
      <c r="T29" s="71">
        <f t="shared" si="2"/>
        <v>0.241519870137678</v>
      </c>
      <c r="U29" s="72">
        <f t="shared" si="3"/>
        <v>0.00600291854603343</v>
      </c>
      <c r="V29" s="72">
        <f t="shared" si="4"/>
        <v>0.193370165745856</v>
      </c>
      <c r="W29" s="73">
        <f t="shared" si="5"/>
        <v>5.73885714285714</v>
      </c>
    </row>
    <row r="30" customHeight="1" spans="1:23">
      <c r="A30" s="61" t="s">
        <v>142</v>
      </c>
      <c r="B30" s="89" t="s">
        <v>143</v>
      </c>
      <c r="C30" s="90">
        <f>Toy!C30</f>
        <v>44</v>
      </c>
      <c r="D30" s="91">
        <f>Toy!D30</f>
        <v>44</v>
      </c>
      <c r="E30" s="64">
        <f>Toy!E30</f>
        <v>1067.55</v>
      </c>
      <c r="F30" s="65">
        <v>101</v>
      </c>
      <c r="G30" s="66">
        <v>294</v>
      </c>
      <c r="H30" s="67">
        <v>395</v>
      </c>
      <c r="I30" s="66">
        <v>130</v>
      </c>
      <c r="J30" s="66">
        <v>338</v>
      </c>
      <c r="K30" s="68">
        <v>468</v>
      </c>
      <c r="L30" s="69">
        <f t="shared" si="0"/>
        <v>0.111392405063291</v>
      </c>
      <c r="M30" s="94">
        <f t="shared" si="1"/>
        <v>0.181068802398014</v>
      </c>
      <c r="N30" s="91">
        <f>Toy!W30</f>
        <v>27516</v>
      </c>
      <c r="O30" s="91">
        <f>Toy!X30</f>
        <v>177</v>
      </c>
      <c r="P30" s="91">
        <f>Toy!Y30</f>
        <v>24</v>
      </c>
      <c r="Q30" s="91">
        <f>Toy!Z30</f>
        <v>193.3</v>
      </c>
      <c r="R30" s="92">
        <f>Toy!AA30</f>
        <v>568.76</v>
      </c>
      <c r="S30" s="91">
        <f>Toy!AB30</f>
        <v>1.09</v>
      </c>
      <c r="T30" s="71">
        <f t="shared" si="2"/>
        <v>0.33986215626978</v>
      </c>
      <c r="U30" s="72">
        <f t="shared" si="3"/>
        <v>0.00643262102049717</v>
      </c>
      <c r="V30" s="72">
        <f t="shared" si="4"/>
        <v>0.135593220338983</v>
      </c>
      <c r="W30" s="73">
        <f t="shared" si="5"/>
        <v>8.05416666666667</v>
      </c>
    </row>
    <row r="31" customHeight="1" spans="1:23">
      <c r="A31" s="61" t="s">
        <v>144</v>
      </c>
      <c r="B31" s="89" t="s">
        <v>145</v>
      </c>
      <c r="C31" s="90">
        <f>Toy!C31</f>
        <v>49</v>
      </c>
      <c r="D31" s="91">
        <f>Toy!D31</f>
        <v>47</v>
      </c>
      <c r="E31" s="64">
        <f>Toy!E31</f>
        <v>1169.51</v>
      </c>
      <c r="F31" s="65">
        <v>97</v>
      </c>
      <c r="G31" s="66">
        <v>180</v>
      </c>
      <c r="H31" s="67">
        <v>277</v>
      </c>
      <c r="I31" s="66">
        <v>160</v>
      </c>
      <c r="J31" s="66">
        <v>222</v>
      </c>
      <c r="K31" s="68">
        <v>382</v>
      </c>
      <c r="L31" s="69">
        <f t="shared" si="0"/>
        <v>0.169675090252708</v>
      </c>
      <c r="M31" s="94">
        <f t="shared" si="1"/>
        <v>0.165282896255697</v>
      </c>
      <c r="N31" s="91">
        <f>Toy!W31</f>
        <v>27516</v>
      </c>
      <c r="O31" s="91">
        <f>Toy!X31</f>
        <v>177</v>
      </c>
      <c r="P31" s="91">
        <f>Toy!Y31</f>
        <v>24</v>
      </c>
      <c r="Q31" s="91">
        <f>Toy!Z31</f>
        <v>193.3</v>
      </c>
      <c r="R31" s="92">
        <f>Toy!AA31</f>
        <v>568.76</v>
      </c>
      <c r="S31" s="91">
        <f>Toy!AB31</f>
        <v>1.09</v>
      </c>
      <c r="T31" s="71">
        <f t="shared" si="2"/>
        <v>0.33986215626978</v>
      </c>
      <c r="U31" s="72">
        <f t="shared" si="3"/>
        <v>0.00643262102049717</v>
      </c>
      <c r="V31" s="72">
        <f t="shared" si="4"/>
        <v>0.135593220338983</v>
      </c>
      <c r="W31" s="73">
        <f t="shared" si="5"/>
        <v>8.05416666666667</v>
      </c>
    </row>
    <row r="32" customHeight="1" spans="1:23">
      <c r="A32" s="61" t="s">
        <v>147</v>
      </c>
      <c r="B32" s="89" t="s">
        <v>148</v>
      </c>
      <c r="C32" s="90">
        <f>Toy!C32</f>
        <v>42</v>
      </c>
      <c r="D32" s="91">
        <f>Toy!D32</f>
        <v>42</v>
      </c>
      <c r="E32" s="64">
        <f>Toy!E32</f>
        <v>1002.58</v>
      </c>
      <c r="F32" s="65">
        <v>161</v>
      </c>
      <c r="G32" s="66">
        <v>326</v>
      </c>
      <c r="H32" s="67">
        <v>487</v>
      </c>
      <c r="I32" s="66">
        <v>194</v>
      </c>
      <c r="J32" s="66">
        <v>394</v>
      </c>
      <c r="K32" s="68">
        <v>588</v>
      </c>
      <c r="L32" s="69">
        <f t="shared" si="0"/>
        <v>0.0862422997946612</v>
      </c>
      <c r="M32" s="94">
        <f t="shared" si="1"/>
        <v>0.161852420754454</v>
      </c>
      <c r="N32" s="91">
        <f>Toy!W32</f>
        <v>25169</v>
      </c>
      <c r="O32" s="91">
        <f>Toy!X32</f>
        <v>167</v>
      </c>
      <c r="P32" s="91">
        <f>Toy!Y32</f>
        <v>25</v>
      </c>
      <c r="Q32" s="91">
        <f>Toy!Z32</f>
        <v>162.27</v>
      </c>
      <c r="R32" s="92">
        <f>Toy!AA32</f>
        <v>597.86</v>
      </c>
      <c r="S32" s="91">
        <f>Toy!AB32</f>
        <v>0.97</v>
      </c>
      <c r="T32" s="71">
        <f t="shared" si="2"/>
        <v>0.27141805773927</v>
      </c>
      <c r="U32" s="72">
        <f t="shared" si="3"/>
        <v>0.0066351464102666</v>
      </c>
      <c r="V32" s="72">
        <f t="shared" si="4"/>
        <v>0.149700598802395</v>
      </c>
      <c r="W32" s="73">
        <f t="shared" si="5"/>
        <v>6.4908</v>
      </c>
    </row>
    <row r="33" customHeight="1" spans="1:23">
      <c r="A33" s="61" t="s">
        <v>150</v>
      </c>
      <c r="B33" s="89" t="s">
        <v>151</v>
      </c>
      <c r="C33" s="90">
        <f>Toy!C33</f>
        <v>56</v>
      </c>
      <c r="D33" s="91">
        <f>Toy!D33</f>
        <v>54</v>
      </c>
      <c r="E33" s="64">
        <f>Toy!E33</f>
        <v>1200.94</v>
      </c>
      <c r="F33" s="65">
        <v>192</v>
      </c>
      <c r="G33" s="66">
        <v>485</v>
      </c>
      <c r="H33" s="67">
        <v>677</v>
      </c>
      <c r="I33" s="66">
        <v>239</v>
      </c>
      <c r="J33" s="66">
        <v>622</v>
      </c>
      <c r="K33" s="68">
        <v>861</v>
      </c>
      <c r="L33" s="69">
        <f t="shared" si="0"/>
        <v>0.0797636632200886</v>
      </c>
      <c r="M33" s="94">
        <f t="shared" si="1"/>
        <v>0.234333105733842</v>
      </c>
      <c r="N33" s="91">
        <f>Toy!W33</f>
        <v>30427</v>
      </c>
      <c r="O33" s="91">
        <f>Toy!X33</f>
        <v>255</v>
      </c>
      <c r="P33" s="91">
        <f>Toy!Y33</f>
        <v>40</v>
      </c>
      <c r="Q33" s="91">
        <f>Toy!Z33</f>
        <v>281.42</v>
      </c>
      <c r="R33" s="92">
        <f>Toy!AA33</f>
        <v>845.31</v>
      </c>
      <c r="S33" s="91">
        <f>Toy!AB33</f>
        <v>1.1</v>
      </c>
      <c r="T33" s="71">
        <f t="shared" si="2"/>
        <v>0.332919284049639</v>
      </c>
      <c r="U33" s="72">
        <f t="shared" si="3"/>
        <v>0.0083807144969928</v>
      </c>
      <c r="V33" s="72">
        <f t="shared" si="4"/>
        <v>0.156862745098039</v>
      </c>
      <c r="W33" s="73">
        <f t="shared" si="5"/>
        <v>7.0355</v>
      </c>
    </row>
    <row r="34" customHeight="1" spans="1:23">
      <c r="A34" s="61" t="s">
        <v>154</v>
      </c>
      <c r="B34" s="89" t="s">
        <v>155</v>
      </c>
      <c r="C34" s="90">
        <f>Toy!C34</f>
        <v>80</v>
      </c>
      <c r="D34" s="91">
        <f>Toy!D34</f>
        <v>73</v>
      </c>
      <c r="E34" s="64">
        <f>Toy!E34</f>
        <v>1609.14</v>
      </c>
      <c r="F34" s="65">
        <v>195</v>
      </c>
      <c r="G34" s="66">
        <v>455</v>
      </c>
      <c r="H34" s="67">
        <v>650</v>
      </c>
      <c r="I34" s="66">
        <v>236</v>
      </c>
      <c r="J34" s="66">
        <v>565</v>
      </c>
      <c r="K34" s="68">
        <v>801</v>
      </c>
      <c r="L34" s="69">
        <f t="shared" si="0"/>
        <v>0.112307692307692</v>
      </c>
      <c r="M34" s="94">
        <f t="shared" si="1"/>
        <v>0.195918316616329</v>
      </c>
      <c r="N34" s="91">
        <f>Toy!W34</f>
        <v>35717</v>
      </c>
      <c r="O34" s="91">
        <f>Toy!X34</f>
        <v>282</v>
      </c>
      <c r="P34" s="91">
        <f>Toy!Y34</f>
        <v>42</v>
      </c>
      <c r="Q34" s="91">
        <f>Toy!Z34</f>
        <v>315.26</v>
      </c>
      <c r="R34" s="92">
        <f>Toy!AA34</f>
        <v>847.04</v>
      </c>
      <c r="S34" s="91">
        <f>Toy!AB34</f>
        <v>1.12</v>
      </c>
      <c r="T34" s="71">
        <f t="shared" si="2"/>
        <v>0.372190215338119</v>
      </c>
      <c r="U34" s="72">
        <f t="shared" si="3"/>
        <v>0.00789539994960383</v>
      </c>
      <c r="V34" s="72">
        <f t="shared" si="4"/>
        <v>0.148936170212766</v>
      </c>
      <c r="W34" s="73">
        <f t="shared" si="5"/>
        <v>7.50619047619048</v>
      </c>
    </row>
    <row r="35" customHeight="1" spans="1:23">
      <c r="A35" s="61" t="s">
        <v>156</v>
      </c>
      <c r="B35" s="89" t="s">
        <v>157</v>
      </c>
      <c r="C35" s="90">
        <f>Toy!C35</f>
        <v>55</v>
      </c>
      <c r="D35" s="91">
        <f>Toy!D35</f>
        <v>52</v>
      </c>
      <c r="E35" s="64">
        <f>Toy!E35</f>
        <v>1205.75</v>
      </c>
      <c r="F35" s="65">
        <v>181</v>
      </c>
      <c r="G35" s="66">
        <v>408</v>
      </c>
      <c r="H35" s="67">
        <v>589</v>
      </c>
      <c r="I35" s="66">
        <v>211</v>
      </c>
      <c r="J35" s="66">
        <v>498</v>
      </c>
      <c r="K35" s="68">
        <v>709</v>
      </c>
      <c r="L35" s="69">
        <f t="shared" si="0"/>
        <v>0.0882852292020374</v>
      </c>
      <c r="M35" s="94">
        <f t="shared" si="1"/>
        <v>0.219763632593821</v>
      </c>
      <c r="N35" s="91">
        <f>Toy!W35</f>
        <v>24731</v>
      </c>
      <c r="O35" s="91">
        <f>Toy!X35</f>
        <v>249</v>
      </c>
      <c r="P35" s="91">
        <f>Toy!Y35</f>
        <v>39</v>
      </c>
      <c r="Q35" s="91">
        <f>Toy!Z35</f>
        <v>264.98</v>
      </c>
      <c r="R35" s="92">
        <f>Toy!AA35</f>
        <v>920.08</v>
      </c>
      <c r="S35" s="91">
        <f>Toy!AB35</f>
        <v>1.06</v>
      </c>
      <c r="T35" s="71">
        <f t="shared" si="2"/>
        <v>0.287996695939484</v>
      </c>
      <c r="U35" s="72">
        <f t="shared" si="3"/>
        <v>0.0100683352876956</v>
      </c>
      <c r="V35" s="72">
        <f t="shared" si="4"/>
        <v>0.156626506024096</v>
      </c>
      <c r="W35" s="73">
        <f t="shared" si="5"/>
        <v>6.79435897435897</v>
      </c>
    </row>
    <row r="36" customHeight="1" spans="1:23">
      <c r="A36" s="61" t="s">
        <v>158</v>
      </c>
      <c r="B36" s="89" t="s">
        <v>159</v>
      </c>
      <c r="C36" s="90">
        <f>Toy!C36</f>
        <v>63</v>
      </c>
      <c r="D36" s="91">
        <f>Toy!D36</f>
        <v>62</v>
      </c>
      <c r="E36" s="64">
        <f>Toy!E36</f>
        <v>1371.33</v>
      </c>
      <c r="F36" s="65">
        <v>161</v>
      </c>
      <c r="G36" s="66">
        <v>383</v>
      </c>
      <c r="H36" s="67">
        <v>544</v>
      </c>
      <c r="I36" s="66">
        <v>214</v>
      </c>
      <c r="J36" s="66">
        <v>461</v>
      </c>
      <c r="K36" s="68">
        <v>675</v>
      </c>
      <c r="L36" s="69">
        <f t="shared" ref="L36:L67" si="6">D36/H36</f>
        <v>0.113970588235294</v>
      </c>
      <c r="M36" s="94">
        <f t="shared" ref="M36:M67" si="7">Q36/E36</f>
        <v>0.157073789678633</v>
      </c>
      <c r="N36" s="91">
        <f>Toy!W36</f>
        <v>23646</v>
      </c>
      <c r="O36" s="91">
        <f>Toy!X36</f>
        <v>200</v>
      </c>
      <c r="P36" s="91">
        <f>Toy!Y36</f>
        <v>32</v>
      </c>
      <c r="Q36" s="91">
        <f>Toy!Z36</f>
        <v>215.4</v>
      </c>
      <c r="R36" s="92">
        <f>Toy!AA36</f>
        <v>694.66</v>
      </c>
      <c r="S36" s="91">
        <f>Toy!AB36</f>
        <v>1.08</v>
      </c>
      <c r="T36" s="71">
        <f t="shared" ref="T36:T67" si="8">Q36/R36</f>
        <v>0.310079751245214</v>
      </c>
      <c r="U36" s="72">
        <f t="shared" ref="U36:U67" si="9">O36/N36</f>
        <v>0.00845809016324114</v>
      </c>
      <c r="V36" s="72">
        <f t="shared" ref="V36:V67" si="10">P36/O36</f>
        <v>0.16</v>
      </c>
      <c r="W36" s="73">
        <f t="shared" ref="W36:W67" si="11">Q36/P36</f>
        <v>6.73125</v>
      </c>
    </row>
    <row r="37" customHeight="1" spans="1:23">
      <c r="A37" s="61" t="s">
        <v>160</v>
      </c>
      <c r="B37" s="89" t="s">
        <v>161</v>
      </c>
      <c r="C37" s="90">
        <f>Toy!C37</f>
        <v>47</v>
      </c>
      <c r="D37" s="91">
        <f>Toy!D37</f>
        <v>47</v>
      </c>
      <c r="E37" s="64">
        <f>Toy!E37</f>
        <v>1055.77</v>
      </c>
      <c r="F37" s="65">
        <v>216</v>
      </c>
      <c r="G37" s="66">
        <v>373</v>
      </c>
      <c r="H37" s="67">
        <v>589</v>
      </c>
      <c r="I37" s="66">
        <v>261</v>
      </c>
      <c r="J37" s="66">
        <v>437</v>
      </c>
      <c r="K37" s="68">
        <v>698</v>
      </c>
      <c r="L37" s="69">
        <f t="shared" si="6"/>
        <v>0.0797962648556876</v>
      </c>
      <c r="M37" s="94">
        <f t="shared" si="7"/>
        <v>0.217121153281491</v>
      </c>
      <c r="N37" s="91">
        <f>Toy!W37</f>
        <v>24533</v>
      </c>
      <c r="O37" s="91">
        <f>Toy!X37</f>
        <v>218</v>
      </c>
      <c r="P37" s="91">
        <f>Toy!Y37</f>
        <v>32</v>
      </c>
      <c r="Q37" s="91">
        <f>Toy!Z37</f>
        <v>229.23</v>
      </c>
      <c r="R37" s="92">
        <f>Toy!AA37</f>
        <v>714.53</v>
      </c>
      <c r="S37" s="91">
        <f>Toy!AB37</f>
        <v>1.05</v>
      </c>
      <c r="T37" s="71">
        <f t="shared" si="8"/>
        <v>0.320812282199488</v>
      </c>
      <c r="U37" s="72">
        <f t="shared" si="9"/>
        <v>0.00888599029878123</v>
      </c>
      <c r="V37" s="72">
        <f t="shared" si="10"/>
        <v>0.146788990825688</v>
      </c>
      <c r="W37" s="73">
        <f t="shared" si="11"/>
        <v>7.1634375</v>
      </c>
    </row>
    <row r="38" customHeight="1" spans="1:23">
      <c r="A38" s="61" t="s">
        <v>162</v>
      </c>
      <c r="B38" s="89" t="s">
        <v>163</v>
      </c>
      <c r="C38" s="90">
        <f>Toy!C38</f>
        <v>47</v>
      </c>
      <c r="D38" s="91">
        <f>Toy!D38</f>
        <v>45</v>
      </c>
      <c r="E38" s="64">
        <f>Toy!E38</f>
        <v>993.62</v>
      </c>
      <c r="F38" s="65">
        <v>145</v>
      </c>
      <c r="G38" s="66">
        <v>484</v>
      </c>
      <c r="H38" s="67">
        <v>629</v>
      </c>
      <c r="I38" s="66">
        <v>177</v>
      </c>
      <c r="J38" s="66">
        <v>589</v>
      </c>
      <c r="K38" s="68">
        <v>766</v>
      </c>
      <c r="L38" s="69">
        <f t="shared" si="6"/>
        <v>0.0715421303656598</v>
      </c>
      <c r="M38" s="94">
        <f t="shared" si="7"/>
        <v>0.237525412129385</v>
      </c>
      <c r="N38" s="91">
        <f>Toy!W38</f>
        <v>21172</v>
      </c>
      <c r="O38" s="91">
        <f>Toy!X38</f>
        <v>214</v>
      </c>
      <c r="P38" s="91">
        <f>Toy!Y38</f>
        <v>31</v>
      </c>
      <c r="Q38" s="91">
        <f>Toy!Z38</f>
        <v>236.01</v>
      </c>
      <c r="R38" s="92">
        <f>Toy!AA38</f>
        <v>665.06</v>
      </c>
      <c r="S38" s="91">
        <f>Toy!AB38</f>
        <v>1.1</v>
      </c>
      <c r="T38" s="71">
        <f t="shared" si="8"/>
        <v>0.354870237271825</v>
      </c>
      <c r="U38" s="72">
        <f t="shared" si="9"/>
        <v>0.0101076894010958</v>
      </c>
      <c r="V38" s="72">
        <f t="shared" si="10"/>
        <v>0.144859813084112</v>
      </c>
      <c r="W38" s="73">
        <f t="shared" si="11"/>
        <v>7.61322580645161</v>
      </c>
    </row>
    <row r="39" customHeight="1" spans="1:23">
      <c r="A39" s="61" t="s">
        <v>165</v>
      </c>
      <c r="B39" s="61" t="s">
        <v>166</v>
      </c>
      <c r="C39" s="90">
        <f>Toy!C39</f>
        <v>51</v>
      </c>
      <c r="D39" s="91">
        <f>Toy!D39</f>
        <v>46</v>
      </c>
      <c r="E39" s="64">
        <f>Toy!E39</f>
        <v>967.06</v>
      </c>
      <c r="F39" s="65">
        <v>135</v>
      </c>
      <c r="G39" s="66">
        <v>352</v>
      </c>
      <c r="H39" s="67">
        <v>487</v>
      </c>
      <c r="I39" s="66">
        <v>165</v>
      </c>
      <c r="J39" s="66">
        <v>434</v>
      </c>
      <c r="K39" s="68">
        <v>599</v>
      </c>
      <c r="L39" s="69">
        <f t="shared" si="6"/>
        <v>0.0944558521560575</v>
      </c>
      <c r="M39" s="94">
        <f t="shared" si="7"/>
        <v>0.249405414348644</v>
      </c>
      <c r="N39" s="91">
        <f>Toy!W39</f>
        <v>20363</v>
      </c>
      <c r="O39" s="91">
        <f>Toy!X39</f>
        <v>187</v>
      </c>
      <c r="P39" s="91">
        <f>Toy!Y39</f>
        <v>22</v>
      </c>
      <c r="Q39" s="91">
        <f>Toy!Z39</f>
        <v>241.19</v>
      </c>
      <c r="R39" s="92">
        <f>Toy!AA39</f>
        <v>469.42</v>
      </c>
      <c r="S39" s="91">
        <f>Toy!AB39</f>
        <v>1.29</v>
      </c>
      <c r="T39" s="71">
        <f t="shared" si="8"/>
        <v>0.513804269098036</v>
      </c>
      <c r="U39" s="72">
        <f t="shared" si="9"/>
        <v>0.00918332269311987</v>
      </c>
      <c r="V39" s="72">
        <f t="shared" si="10"/>
        <v>0.117647058823529</v>
      </c>
      <c r="W39" s="73">
        <f t="shared" si="11"/>
        <v>10.9631818181818</v>
      </c>
    </row>
    <row r="40" customHeight="1" spans="1:23">
      <c r="A40" s="61" t="s">
        <v>167</v>
      </c>
      <c r="B40" s="61" t="s">
        <v>168</v>
      </c>
      <c r="C40" s="90">
        <f>Toy!C40</f>
        <v>68</v>
      </c>
      <c r="D40" s="91">
        <f>Toy!D40</f>
        <v>63</v>
      </c>
      <c r="E40" s="64">
        <f>Toy!E40</f>
        <v>1333.48</v>
      </c>
      <c r="F40" s="65">
        <v>210</v>
      </c>
      <c r="G40" s="66">
        <v>512</v>
      </c>
      <c r="H40" s="67">
        <v>722</v>
      </c>
      <c r="I40" s="66">
        <v>252</v>
      </c>
      <c r="J40" s="66">
        <v>627</v>
      </c>
      <c r="K40" s="68">
        <v>879</v>
      </c>
      <c r="L40" s="69">
        <f t="shared" si="6"/>
        <v>0.0872576177285319</v>
      </c>
      <c r="M40" s="94">
        <f t="shared" si="7"/>
        <v>0.246850346461889</v>
      </c>
      <c r="N40" s="91">
        <f>Toy!W40</f>
        <v>27726</v>
      </c>
      <c r="O40" s="91">
        <f>Toy!X40</f>
        <v>262</v>
      </c>
      <c r="P40" s="91">
        <f>Toy!Y40</f>
        <v>35</v>
      </c>
      <c r="Q40" s="91">
        <f>Toy!Z40</f>
        <v>329.17</v>
      </c>
      <c r="R40" s="92">
        <f>Toy!AA40</f>
        <v>735.36</v>
      </c>
      <c r="S40" s="91">
        <f>Toy!AB40</f>
        <v>1.26</v>
      </c>
      <c r="T40" s="71">
        <f t="shared" si="8"/>
        <v>0.447631092254134</v>
      </c>
      <c r="U40" s="72">
        <f t="shared" si="9"/>
        <v>0.00944961408064632</v>
      </c>
      <c r="V40" s="72">
        <f t="shared" si="10"/>
        <v>0.133587786259542</v>
      </c>
      <c r="W40" s="73">
        <f t="shared" si="11"/>
        <v>9.40485714285714</v>
      </c>
    </row>
    <row r="41" customHeight="1" spans="1:23">
      <c r="A41" s="61" t="s">
        <v>169</v>
      </c>
      <c r="B41" s="61" t="s">
        <v>170</v>
      </c>
      <c r="C41" s="90">
        <f>Toy!C41</f>
        <v>56</v>
      </c>
      <c r="D41" s="91">
        <f>Toy!D41</f>
        <v>52</v>
      </c>
      <c r="E41" s="64">
        <f>Toy!E41</f>
        <v>1253.65</v>
      </c>
      <c r="F41" s="65">
        <v>188</v>
      </c>
      <c r="G41" s="66">
        <v>429</v>
      </c>
      <c r="H41" s="67">
        <v>617</v>
      </c>
      <c r="I41" s="66">
        <v>234</v>
      </c>
      <c r="J41" s="66">
        <v>498</v>
      </c>
      <c r="K41" s="68">
        <v>732</v>
      </c>
      <c r="L41" s="69">
        <f t="shared" si="6"/>
        <v>0.0842787682333874</v>
      </c>
      <c r="M41" s="94">
        <f t="shared" si="7"/>
        <v>0.205910740637339</v>
      </c>
      <c r="N41" s="91">
        <f>Toy!W41</f>
        <v>19871</v>
      </c>
      <c r="O41" s="91">
        <f>Toy!X41</f>
        <v>226</v>
      </c>
      <c r="P41" s="91">
        <f>Toy!Y41</f>
        <v>35</v>
      </c>
      <c r="Q41" s="91">
        <f>Toy!Z41</f>
        <v>258.14</v>
      </c>
      <c r="R41" s="92">
        <f>Toy!AA41</f>
        <v>824.14</v>
      </c>
      <c r="S41" s="91">
        <f>Toy!AB41</f>
        <v>1.14</v>
      </c>
      <c r="T41" s="71">
        <f t="shared" si="8"/>
        <v>0.313223481447327</v>
      </c>
      <c r="U41" s="72">
        <f t="shared" si="9"/>
        <v>0.0113733581601329</v>
      </c>
      <c r="V41" s="72">
        <f t="shared" si="10"/>
        <v>0.154867256637168</v>
      </c>
      <c r="W41" s="73">
        <f t="shared" si="11"/>
        <v>7.37542857142857</v>
      </c>
    </row>
    <row r="42" customHeight="1" spans="1:23">
      <c r="A42" s="61" t="s">
        <v>172</v>
      </c>
      <c r="B42" s="61" t="s">
        <v>173</v>
      </c>
      <c r="C42" s="90">
        <f>Toy!C42</f>
        <v>74</v>
      </c>
      <c r="D42" s="91">
        <f>Toy!D42</f>
        <v>72</v>
      </c>
      <c r="E42" s="64">
        <f>Toy!E42</f>
        <v>1502.9</v>
      </c>
      <c r="F42" s="65">
        <v>208</v>
      </c>
      <c r="G42" s="66">
        <v>541</v>
      </c>
      <c r="H42" s="67">
        <v>749</v>
      </c>
      <c r="I42" s="66">
        <v>254</v>
      </c>
      <c r="J42" s="66">
        <v>643</v>
      </c>
      <c r="K42" s="68">
        <v>897</v>
      </c>
      <c r="L42" s="69">
        <f t="shared" si="6"/>
        <v>0.096128170894526</v>
      </c>
      <c r="M42" s="94">
        <f t="shared" si="7"/>
        <v>0.219921485128751</v>
      </c>
      <c r="N42" s="91">
        <f>Toy!W42</f>
        <v>26370</v>
      </c>
      <c r="O42" s="91">
        <f>Toy!X42</f>
        <v>294</v>
      </c>
      <c r="P42" s="91">
        <f>Toy!Y42</f>
        <v>45</v>
      </c>
      <c r="Q42" s="91">
        <f>Toy!Z42</f>
        <v>330.52</v>
      </c>
      <c r="R42" s="92">
        <f>Toy!AA42</f>
        <v>986.95</v>
      </c>
      <c r="S42" s="91">
        <f>Toy!AB42</f>
        <v>1.12</v>
      </c>
      <c r="T42" s="71">
        <f t="shared" si="8"/>
        <v>0.334890318658493</v>
      </c>
      <c r="U42" s="72">
        <f t="shared" si="9"/>
        <v>0.0111490329920364</v>
      </c>
      <c r="V42" s="72">
        <f t="shared" si="10"/>
        <v>0.153061224489796</v>
      </c>
      <c r="W42" s="73">
        <f t="shared" si="11"/>
        <v>7.34488888888889</v>
      </c>
    </row>
    <row r="43" customHeight="1" spans="1:23">
      <c r="A43" s="61" t="s">
        <v>175</v>
      </c>
      <c r="B43" s="61" t="s">
        <v>176</v>
      </c>
      <c r="C43" s="90">
        <f>Toy!C43</f>
        <v>44</v>
      </c>
      <c r="D43" s="91">
        <f>Toy!D43</f>
        <v>44</v>
      </c>
      <c r="E43" s="64">
        <f>Toy!E43</f>
        <v>1057.76</v>
      </c>
      <c r="F43" s="65">
        <v>164</v>
      </c>
      <c r="G43" s="66">
        <v>331</v>
      </c>
      <c r="H43" s="67">
        <v>495</v>
      </c>
      <c r="I43" s="66">
        <v>184</v>
      </c>
      <c r="J43" s="66">
        <v>402</v>
      </c>
      <c r="K43" s="68">
        <v>586</v>
      </c>
      <c r="L43" s="69">
        <f t="shared" si="6"/>
        <v>0.0888888888888889</v>
      </c>
      <c r="M43" s="94">
        <f t="shared" si="7"/>
        <v>0.26670511269097</v>
      </c>
      <c r="N43" s="91">
        <f>Toy!W43</f>
        <v>25424</v>
      </c>
      <c r="O43" s="91">
        <f>Toy!X43</f>
        <v>250</v>
      </c>
      <c r="P43" s="91">
        <f>Toy!Y43</f>
        <v>25</v>
      </c>
      <c r="Q43" s="91">
        <f>Toy!Z43</f>
        <v>282.11</v>
      </c>
      <c r="R43" s="92">
        <f>Toy!AA43</f>
        <v>588.75</v>
      </c>
      <c r="S43" s="91">
        <f>Toy!AB43</f>
        <v>1.13</v>
      </c>
      <c r="T43" s="71">
        <f t="shared" si="8"/>
        <v>0.479167728237792</v>
      </c>
      <c r="U43" s="72">
        <f t="shared" si="9"/>
        <v>0.00983322844556325</v>
      </c>
      <c r="V43" s="72">
        <f t="shared" si="10"/>
        <v>0.1</v>
      </c>
      <c r="W43" s="73">
        <f t="shared" si="11"/>
        <v>11.2844</v>
      </c>
    </row>
    <row r="44" customHeight="1" spans="1:23">
      <c r="A44" s="61" t="s">
        <v>177</v>
      </c>
      <c r="B44" s="61" t="s">
        <v>178</v>
      </c>
      <c r="C44" s="90">
        <f>Toy!C44</f>
        <v>60</v>
      </c>
      <c r="D44" s="91">
        <f>Toy!D44</f>
        <v>60</v>
      </c>
      <c r="E44" s="64">
        <f>Toy!E44</f>
        <v>1272.53</v>
      </c>
      <c r="F44" s="65">
        <v>185</v>
      </c>
      <c r="G44" s="66">
        <v>469</v>
      </c>
      <c r="H44" s="67">
        <v>654</v>
      </c>
      <c r="I44" s="66">
        <v>233</v>
      </c>
      <c r="J44" s="66">
        <v>583</v>
      </c>
      <c r="K44" s="68">
        <v>816</v>
      </c>
      <c r="L44" s="69">
        <f t="shared" si="6"/>
        <v>0.0917431192660551</v>
      </c>
      <c r="M44" s="94">
        <f t="shared" si="7"/>
        <v>0.263875900764619</v>
      </c>
      <c r="N44" s="91">
        <f>Toy!W44</f>
        <v>23851</v>
      </c>
      <c r="O44" s="91">
        <f>Toy!X44</f>
        <v>295</v>
      </c>
      <c r="P44" s="91">
        <f>Toy!Y44</f>
        <v>40</v>
      </c>
      <c r="Q44" s="91">
        <f>Toy!Z44</f>
        <v>335.79</v>
      </c>
      <c r="R44" s="92">
        <f>Toy!AA44</f>
        <v>842.42</v>
      </c>
      <c r="S44" s="91">
        <f>Toy!AB44</f>
        <v>1.14</v>
      </c>
      <c r="T44" s="71">
        <f t="shared" si="8"/>
        <v>0.398601647634197</v>
      </c>
      <c r="U44" s="72">
        <f t="shared" si="9"/>
        <v>0.0123684541528657</v>
      </c>
      <c r="V44" s="72">
        <f t="shared" si="10"/>
        <v>0.135593220338983</v>
      </c>
      <c r="W44" s="73">
        <f t="shared" si="11"/>
        <v>8.39475</v>
      </c>
    </row>
    <row r="45" customHeight="1" spans="1:23">
      <c r="A45" s="61" t="s">
        <v>179</v>
      </c>
      <c r="B45" s="61" t="s">
        <v>180</v>
      </c>
      <c r="C45" s="90">
        <f>Toy!C45</f>
        <v>57</v>
      </c>
      <c r="D45" s="91">
        <f>Toy!D45</f>
        <v>56</v>
      </c>
      <c r="E45" s="64">
        <f>Toy!E45</f>
        <v>1193.34</v>
      </c>
      <c r="F45" s="65">
        <v>182</v>
      </c>
      <c r="G45" s="66">
        <v>402</v>
      </c>
      <c r="H45" s="67">
        <v>584</v>
      </c>
      <c r="I45" s="66">
        <v>224</v>
      </c>
      <c r="J45" s="66">
        <v>492</v>
      </c>
      <c r="K45" s="68">
        <v>716</v>
      </c>
      <c r="L45" s="69">
        <f t="shared" si="6"/>
        <v>0.0958904109589041</v>
      </c>
      <c r="M45" s="94">
        <f t="shared" si="7"/>
        <v>0.24663549365646</v>
      </c>
      <c r="N45" s="91">
        <f>Toy!W45</f>
        <v>22921</v>
      </c>
      <c r="O45" s="91">
        <f>Toy!X45</f>
        <v>255</v>
      </c>
      <c r="P45" s="91">
        <f>Toy!Y45</f>
        <v>36</v>
      </c>
      <c r="Q45" s="91">
        <f>Toy!Z45</f>
        <v>294.32</v>
      </c>
      <c r="R45" s="92">
        <f>Toy!AA45</f>
        <v>772.76</v>
      </c>
      <c r="S45" s="91">
        <f>Toy!AB45</f>
        <v>1.15</v>
      </c>
      <c r="T45" s="71">
        <f t="shared" si="8"/>
        <v>0.380868574978001</v>
      </c>
      <c r="U45" s="72">
        <f t="shared" si="9"/>
        <v>0.0111251690589416</v>
      </c>
      <c r="V45" s="72">
        <f t="shared" si="10"/>
        <v>0.141176470588235</v>
      </c>
      <c r="W45" s="73">
        <f t="shared" si="11"/>
        <v>8.17555555555555</v>
      </c>
    </row>
    <row r="46" customHeight="1" spans="1:23">
      <c r="A46" s="61" t="s">
        <v>181</v>
      </c>
      <c r="B46" s="61" t="s">
        <v>182</v>
      </c>
      <c r="C46" s="90">
        <f>Toy!C46</f>
        <v>92</v>
      </c>
      <c r="D46" s="91">
        <f>Toy!D46</f>
        <v>90</v>
      </c>
      <c r="E46" s="64">
        <f>Toy!E46</f>
        <v>1872.8</v>
      </c>
      <c r="F46" s="65">
        <v>144</v>
      </c>
      <c r="G46" s="66">
        <v>460</v>
      </c>
      <c r="H46" s="67">
        <v>604</v>
      </c>
      <c r="I46" s="66">
        <v>185</v>
      </c>
      <c r="J46" s="66">
        <v>555</v>
      </c>
      <c r="K46" s="68">
        <v>740</v>
      </c>
      <c r="L46" s="69">
        <f t="shared" si="6"/>
        <v>0.149006622516556</v>
      </c>
      <c r="M46" s="94">
        <f t="shared" si="7"/>
        <v>0.186693720632208</v>
      </c>
      <c r="N46" s="91">
        <f>Toy!W46</f>
        <v>36290</v>
      </c>
      <c r="O46" s="91">
        <f>Toy!X46</f>
        <v>334</v>
      </c>
      <c r="P46" s="91">
        <f>Toy!Y46</f>
        <v>57</v>
      </c>
      <c r="Q46" s="91">
        <f>Toy!Z46</f>
        <v>349.64</v>
      </c>
      <c r="R46" s="92">
        <f>Toy!AA46</f>
        <v>1161.87</v>
      </c>
      <c r="S46" s="91">
        <f>Toy!AB46</f>
        <v>1.05</v>
      </c>
      <c r="T46" s="71">
        <f t="shared" si="8"/>
        <v>0.300928675325122</v>
      </c>
      <c r="U46" s="72">
        <f t="shared" si="9"/>
        <v>0.00920363736566547</v>
      </c>
      <c r="V46" s="72">
        <f t="shared" si="10"/>
        <v>0.170658682634731</v>
      </c>
      <c r="W46" s="73">
        <f t="shared" si="11"/>
        <v>6.1340350877193</v>
      </c>
    </row>
    <row r="47" customHeight="1" spans="1:23">
      <c r="A47" s="61" t="s">
        <v>183</v>
      </c>
      <c r="B47" s="61" t="s">
        <v>184</v>
      </c>
      <c r="C47" s="90">
        <f>Toy!C47</f>
        <v>65</v>
      </c>
      <c r="D47" s="91">
        <f>Toy!D47</f>
        <v>65</v>
      </c>
      <c r="E47" s="64">
        <f>Toy!E47</f>
        <v>1337.59</v>
      </c>
      <c r="F47" s="65">
        <v>214</v>
      </c>
      <c r="G47" s="66">
        <v>398</v>
      </c>
      <c r="H47" s="67">
        <v>612</v>
      </c>
      <c r="I47" s="66">
        <v>264</v>
      </c>
      <c r="J47" s="66">
        <v>474</v>
      </c>
      <c r="K47" s="68">
        <v>738</v>
      </c>
      <c r="L47" s="69">
        <f t="shared" si="6"/>
        <v>0.106209150326797</v>
      </c>
      <c r="M47" s="94">
        <f t="shared" si="7"/>
        <v>0.222848555985018</v>
      </c>
      <c r="N47" s="91">
        <f>Toy!W47</f>
        <v>26377</v>
      </c>
      <c r="O47" s="91">
        <f>Toy!X47</f>
        <v>253</v>
      </c>
      <c r="P47" s="91">
        <f>Toy!Y47</f>
        <v>36</v>
      </c>
      <c r="Q47" s="91">
        <f>Toy!Z47</f>
        <v>298.08</v>
      </c>
      <c r="R47" s="92">
        <f>Toy!AA47</f>
        <v>741.06</v>
      </c>
      <c r="S47" s="91">
        <f>Toy!AB47</f>
        <v>1.18</v>
      </c>
      <c r="T47" s="71">
        <f t="shared" si="8"/>
        <v>0.402234636871508</v>
      </c>
      <c r="U47" s="72">
        <f t="shared" si="9"/>
        <v>0.00959168972968874</v>
      </c>
      <c r="V47" s="72">
        <f t="shared" si="10"/>
        <v>0.142292490118577</v>
      </c>
      <c r="W47" s="73">
        <f t="shared" si="11"/>
        <v>8.28</v>
      </c>
    </row>
    <row r="48" customHeight="1" spans="1:23">
      <c r="A48" s="61" t="s">
        <v>185</v>
      </c>
      <c r="B48" s="61" t="s">
        <v>186</v>
      </c>
      <c r="C48" s="90">
        <f>Toy!C48</f>
        <v>51</v>
      </c>
      <c r="D48" s="91">
        <f>Toy!D48</f>
        <v>49</v>
      </c>
      <c r="E48" s="64">
        <f>Toy!E48</f>
        <v>1027.52</v>
      </c>
      <c r="F48" s="65">
        <v>184</v>
      </c>
      <c r="G48" s="66">
        <v>367</v>
      </c>
      <c r="H48" s="67">
        <v>551</v>
      </c>
      <c r="I48" s="66">
        <v>224</v>
      </c>
      <c r="J48" s="66">
        <v>451</v>
      </c>
      <c r="K48" s="68">
        <v>675</v>
      </c>
      <c r="L48" s="69">
        <f t="shared" si="6"/>
        <v>0.088929219600726</v>
      </c>
      <c r="M48" s="94">
        <f t="shared" si="7"/>
        <v>0.278330348800997</v>
      </c>
      <c r="N48" s="91">
        <f>Toy!W48</f>
        <v>24380</v>
      </c>
      <c r="O48" s="91">
        <f>Toy!X48</f>
        <v>242</v>
      </c>
      <c r="P48" s="91">
        <f>Toy!Y48</f>
        <v>24</v>
      </c>
      <c r="Q48" s="91">
        <f>Toy!Z48</f>
        <v>285.99</v>
      </c>
      <c r="R48" s="92">
        <f>Toy!AA48</f>
        <v>509.27</v>
      </c>
      <c r="S48" s="91">
        <f>Toy!AB48</f>
        <v>1.18</v>
      </c>
      <c r="T48" s="71">
        <f t="shared" si="8"/>
        <v>0.561568519645767</v>
      </c>
      <c r="U48" s="72">
        <f t="shared" si="9"/>
        <v>0.00992616899097621</v>
      </c>
      <c r="V48" s="72">
        <f t="shared" si="10"/>
        <v>0.0991735537190083</v>
      </c>
      <c r="W48" s="73">
        <f t="shared" si="11"/>
        <v>11.91625</v>
      </c>
    </row>
    <row r="49" customHeight="1" spans="1:23">
      <c r="A49" s="61" t="s">
        <v>187</v>
      </c>
      <c r="B49" s="61" t="s">
        <v>188</v>
      </c>
      <c r="C49" s="90">
        <f>Toy!C49</f>
        <v>63</v>
      </c>
      <c r="D49" s="91">
        <f>Toy!D49</f>
        <v>61</v>
      </c>
      <c r="E49" s="64">
        <f>Toy!E49</f>
        <v>1222.09</v>
      </c>
      <c r="F49" s="65">
        <v>172</v>
      </c>
      <c r="G49" s="66">
        <v>369</v>
      </c>
      <c r="H49" s="67">
        <v>541</v>
      </c>
      <c r="I49" s="66">
        <v>202</v>
      </c>
      <c r="J49" s="66">
        <v>458</v>
      </c>
      <c r="K49" s="68">
        <v>660</v>
      </c>
      <c r="L49" s="69">
        <f t="shared" si="6"/>
        <v>0.11275415896488</v>
      </c>
      <c r="M49" s="94">
        <f t="shared" si="7"/>
        <v>0.266805227110933</v>
      </c>
      <c r="N49" s="91">
        <f>Toy!W49</f>
        <v>26878</v>
      </c>
      <c r="O49" s="91">
        <f>Toy!X49</f>
        <v>275</v>
      </c>
      <c r="P49" s="91">
        <f>Toy!Y49</f>
        <v>32</v>
      </c>
      <c r="Q49" s="91">
        <f>Toy!Z49</f>
        <v>326.06</v>
      </c>
      <c r="R49" s="92">
        <f>Toy!AA49</f>
        <v>642.23</v>
      </c>
      <c r="S49" s="91">
        <f>Toy!AB49</f>
        <v>1.19</v>
      </c>
      <c r="T49" s="71">
        <f t="shared" si="8"/>
        <v>0.507699733740249</v>
      </c>
      <c r="U49" s="72">
        <f t="shared" si="9"/>
        <v>0.0102314160279783</v>
      </c>
      <c r="V49" s="72">
        <f t="shared" si="10"/>
        <v>0.116363636363636</v>
      </c>
      <c r="W49" s="73">
        <f t="shared" si="11"/>
        <v>10.189375</v>
      </c>
    </row>
    <row r="50" customHeight="1" spans="1:23">
      <c r="A50" s="61" t="s">
        <v>189</v>
      </c>
      <c r="B50" s="61" t="s">
        <v>190</v>
      </c>
      <c r="C50" s="90">
        <f>Toy!C50</f>
        <v>78</v>
      </c>
      <c r="D50" s="91">
        <f>Toy!D50</f>
        <v>75</v>
      </c>
      <c r="E50" s="64">
        <f>Toy!E50</f>
        <v>1503.54</v>
      </c>
      <c r="F50" s="65">
        <v>168</v>
      </c>
      <c r="G50" s="66">
        <v>478</v>
      </c>
      <c r="H50" s="67">
        <v>646</v>
      </c>
      <c r="I50" s="66">
        <v>203</v>
      </c>
      <c r="J50" s="66">
        <v>568</v>
      </c>
      <c r="K50" s="68">
        <v>771</v>
      </c>
      <c r="L50" s="69">
        <f t="shared" si="6"/>
        <v>0.11609907120743</v>
      </c>
      <c r="M50" s="94">
        <f t="shared" si="7"/>
        <v>0.241110978091704</v>
      </c>
      <c r="N50" s="91">
        <f>Toy!W50</f>
        <v>43106</v>
      </c>
      <c r="O50" s="91">
        <f>Toy!X50</f>
        <v>313</v>
      </c>
      <c r="P50" s="91">
        <f>Toy!Y50</f>
        <v>42</v>
      </c>
      <c r="Q50" s="91">
        <f>Toy!Z50</f>
        <v>362.52</v>
      </c>
      <c r="R50" s="92">
        <f>Toy!AA50</f>
        <v>828.53</v>
      </c>
      <c r="S50" s="91">
        <f>Toy!AB50</f>
        <v>1.16</v>
      </c>
      <c r="T50" s="71">
        <f t="shared" si="8"/>
        <v>0.437546015231796</v>
      </c>
      <c r="U50" s="72">
        <f t="shared" si="9"/>
        <v>0.00726117013872779</v>
      </c>
      <c r="V50" s="72">
        <f t="shared" si="10"/>
        <v>0.134185303514377</v>
      </c>
      <c r="W50" s="73">
        <f t="shared" si="11"/>
        <v>8.63142857142857</v>
      </c>
    </row>
    <row r="51" customHeight="1" spans="1:23">
      <c r="A51" s="61" t="s">
        <v>191</v>
      </c>
      <c r="B51" s="61" t="s">
        <v>192</v>
      </c>
      <c r="C51" s="90">
        <f>Toy!C51</f>
        <v>55</v>
      </c>
      <c r="D51" s="91">
        <f>Toy!D51</f>
        <v>51</v>
      </c>
      <c r="E51" s="64">
        <f>Toy!E51</f>
        <v>1128.94</v>
      </c>
      <c r="F51" s="65">
        <v>139</v>
      </c>
      <c r="G51" s="66">
        <v>443</v>
      </c>
      <c r="H51" s="67">
        <v>582</v>
      </c>
      <c r="I51" s="66">
        <v>165</v>
      </c>
      <c r="J51" s="66">
        <v>505</v>
      </c>
      <c r="K51" s="68">
        <v>670</v>
      </c>
      <c r="L51" s="69">
        <f t="shared" si="6"/>
        <v>0.0876288659793814</v>
      </c>
      <c r="M51" s="94">
        <f t="shared" si="7"/>
        <v>0.276790617747622</v>
      </c>
      <c r="N51" s="91">
        <f>Toy!W51</f>
        <v>36559</v>
      </c>
      <c r="O51" s="91">
        <f>Toy!X51</f>
        <v>274</v>
      </c>
      <c r="P51" s="91">
        <f>Toy!Y51</f>
        <v>31</v>
      </c>
      <c r="Q51" s="91">
        <f>Toy!Z51</f>
        <v>312.48</v>
      </c>
      <c r="R51" s="92">
        <f>Toy!AA51</f>
        <v>663.58</v>
      </c>
      <c r="S51" s="91">
        <f>Toy!AB51</f>
        <v>1.14</v>
      </c>
      <c r="T51" s="71">
        <f t="shared" si="8"/>
        <v>0.47090026824196</v>
      </c>
      <c r="U51" s="72">
        <f t="shared" si="9"/>
        <v>0.00749473453869088</v>
      </c>
      <c r="V51" s="72">
        <f t="shared" si="10"/>
        <v>0.113138686131387</v>
      </c>
      <c r="W51" s="73">
        <f t="shared" si="11"/>
        <v>10.08</v>
      </c>
    </row>
    <row r="52" customHeight="1" spans="1:23">
      <c r="A52" s="61" t="s">
        <v>193</v>
      </c>
      <c r="B52" s="61" t="s">
        <v>194</v>
      </c>
      <c r="C52" s="90">
        <f>Toy!C52</f>
        <v>61</v>
      </c>
      <c r="D52" s="91">
        <f>Toy!D52</f>
        <v>58</v>
      </c>
      <c r="E52" s="64">
        <f>Toy!E52</f>
        <v>1450.54</v>
      </c>
      <c r="F52" s="65">
        <v>237</v>
      </c>
      <c r="G52" s="66">
        <v>453</v>
      </c>
      <c r="H52" s="67">
        <v>690</v>
      </c>
      <c r="I52" s="66">
        <v>290</v>
      </c>
      <c r="J52" s="66">
        <v>528</v>
      </c>
      <c r="K52" s="68">
        <v>818</v>
      </c>
      <c r="L52" s="69">
        <f t="shared" si="6"/>
        <v>0.0840579710144927</v>
      </c>
      <c r="M52" s="94">
        <f t="shared" si="7"/>
        <v>0.220903939222634</v>
      </c>
      <c r="N52" s="91">
        <f>Toy!W52</f>
        <v>65756</v>
      </c>
      <c r="O52" s="91">
        <f>Toy!X52</f>
        <v>281</v>
      </c>
      <c r="P52" s="91">
        <f>Toy!Y52</f>
        <v>49</v>
      </c>
      <c r="Q52" s="91">
        <f>Toy!Z52</f>
        <v>320.43</v>
      </c>
      <c r="R52" s="92">
        <f>Toy!AA52</f>
        <v>1172.1</v>
      </c>
      <c r="S52" s="91">
        <f>Toy!AB52</f>
        <v>1.14</v>
      </c>
      <c r="T52" s="71">
        <f t="shared" si="8"/>
        <v>0.273381110826721</v>
      </c>
      <c r="U52" s="72">
        <f t="shared" si="9"/>
        <v>0.0042733742928402</v>
      </c>
      <c r="V52" s="72">
        <f t="shared" si="10"/>
        <v>0.174377224199288</v>
      </c>
      <c r="W52" s="73">
        <f t="shared" si="11"/>
        <v>6.53938775510204</v>
      </c>
    </row>
    <row r="53" customHeight="1" spans="1:23">
      <c r="A53" s="61" t="s">
        <v>195</v>
      </c>
      <c r="B53" s="61" t="s">
        <v>196</v>
      </c>
      <c r="C53" s="90">
        <f>Toy!C53</f>
        <v>109</v>
      </c>
      <c r="D53" s="91">
        <f>Toy!D53</f>
        <v>103</v>
      </c>
      <c r="E53" s="64">
        <f>Toy!E53</f>
        <v>2018.2</v>
      </c>
      <c r="F53" s="65">
        <v>262</v>
      </c>
      <c r="G53" s="66">
        <v>513</v>
      </c>
      <c r="H53" s="67">
        <v>775</v>
      </c>
      <c r="I53" s="66">
        <v>326</v>
      </c>
      <c r="J53" s="66">
        <v>613</v>
      </c>
      <c r="K53" s="68">
        <v>939</v>
      </c>
      <c r="L53" s="69">
        <f t="shared" si="6"/>
        <v>0.132903225806452</v>
      </c>
      <c r="M53" s="94">
        <f t="shared" si="7"/>
        <v>0.171960162521058</v>
      </c>
      <c r="N53" s="91">
        <f>Toy!W53</f>
        <v>38519</v>
      </c>
      <c r="O53" s="91">
        <f>Toy!X53</f>
        <v>293</v>
      </c>
      <c r="P53" s="91">
        <f>Toy!Y53</f>
        <v>47</v>
      </c>
      <c r="Q53" s="91">
        <f>Toy!Z53</f>
        <v>347.05</v>
      </c>
      <c r="R53" s="92">
        <f>Toy!AA53</f>
        <v>959.53</v>
      </c>
      <c r="S53" s="91">
        <f>Toy!AB53</f>
        <v>1.18</v>
      </c>
      <c r="T53" s="71">
        <f t="shared" si="8"/>
        <v>0.361687492835034</v>
      </c>
      <c r="U53" s="72">
        <f t="shared" si="9"/>
        <v>0.00760663568628469</v>
      </c>
      <c r="V53" s="72">
        <f t="shared" si="10"/>
        <v>0.160409556313993</v>
      </c>
      <c r="W53" s="73">
        <f t="shared" si="11"/>
        <v>7.38404255319149</v>
      </c>
    </row>
    <row r="54" customHeight="1" spans="1:23">
      <c r="A54" s="61" t="s">
        <v>198</v>
      </c>
      <c r="B54" s="61" t="s">
        <v>199</v>
      </c>
      <c r="C54" s="90">
        <f>Toy!C54</f>
        <v>67</v>
      </c>
      <c r="D54" s="91">
        <f>Toy!D54</f>
        <v>67</v>
      </c>
      <c r="E54" s="64">
        <f>Toy!E54</f>
        <v>1412.71</v>
      </c>
      <c r="F54" s="65">
        <v>195</v>
      </c>
      <c r="G54" s="66">
        <v>436</v>
      </c>
      <c r="H54" s="67">
        <v>631</v>
      </c>
      <c r="I54" s="66">
        <v>243</v>
      </c>
      <c r="J54" s="66">
        <v>505</v>
      </c>
      <c r="K54" s="68">
        <v>748</v>
      </c>
      <c r="L54" s="69">
        <f t="shared" si="6"/>
        <v>0.106180665610143</v>
      </c>
      <c r="M54" s="94">
        <f t="shared" si="7"/>
        <v>0.237628387991874</v>
      </c>
      <c r="N54" s="91">
        <f>Toy!W54</f>
        <v>90691</v>
      </c>
      <c r="O54" s="91">
        <f>Toy!X54</f>
        <v>287</v>
      </c>
      <c r="P54" s="91">
        <f>Toy!Y54</f>
        <v>40</v>
      </c>
      <c r="Q54" s="91">
        <f>Toy!Z54</f>
        <v>335.7</v>
      </c>
      <c r="R54" s="92">
        <f>Toy!AA54</f>
        <v>854.36</v>
      </c>
      <c r="S54" s="91">
        <f>Toy!AB54</f>
        <v>1.17</v>
      </c>
      <c r="T54" s="71">
        <f t="shared" si="8"/>
        <v>0.392925698768669</v>
      </c>
      <c r="U54" s="72">
        <f t="shared" si="9"/>
        <v>0.00316459185586221</v>
      </c>
      <c r="V54" s="72">
        <f t="shared" si="10"/>
        <v>0.139372822299652</v>
      </c>
      <c r="W54" s="73">
        <f t="shared" si="11"/>
        <v>8.3925</v>
      </c>
    </row>
    <row r="55" customHeight="1" spans="1:23">
      <c r="A55" s="61" t="s">
        <v>200</v>
      </c>
      <c r="B55" s="61" t="s">
        <v>201</v>
      </c>
      <c r="C55" s="90">
        <f>Toy!C55</f>
        <v>58</v>
      </c>
      <c r="D55" s="91">
        <f>Toy!D55</f>
        <v>58</v>
      </c>
      <c r="E55" s="64">
        <f>Toy!E55</f>
        <v>1164.1</v>
      </c>
      <c r="F55" s="65">
        <v>206</v>
      </c>
      <c r="G55" s="66">
        <v>380</v>
      </c>
      <c r="H55" s="67">
        <v>586</v>
      </c>
      <c r="I55" s="66">
        <v>256</v>
      </c>
      <c r="J55" s="66">
        <v>452</v>
      </c>
      <c r="K55" s="68">
        <v>708</v>
      </c>
      <c r="L55" s="69">
        <f t="shared" si="6"/>
        <v>0.0989761092150171</v>
      </c>
      <c r="M55" s="94">
        <f t="shared" si="7"/>
        <v>0.246722790138304</v>
      </c>
      <c r="N55" s="91">
        <f>Toy!W55</f>
        <v>24156</v>
      </c>
      <c r="O55" s="91">
        <f>Toy!X55</f>
        <v>255</v>
      </c>
      <c r="P55" s="91">
        <f>Toy!Y55</f>
        <v>43</v>
      </c>
      <c r="Q55" s="91">
        <f>Toy!Z55</f>
        <v>287.21</v>
      </c>
      <c r="R55" s="92">
        <f>Toy!AA55</f>
        <v>871.76</v>
      </c>
      <c r="S55" s="91">
        <f>Toy!AB55</f>
        <v>1.13</v>
      </c>
      <c r="T55" s="71">
        <f t="shared" si="8"/>
        <v>0.329459943103606</v>
      </c>
      <c r="U55" s="72">
        <f t="shared" si="9"/>
        <v>0.0105563835072032</v>
      </c>
      <c r="V55" s="72">
        <f t="shared" si="10"/>
        <v>0.168627450980392</v>
      </c>
      <c r="W55" s="73">
        <f t="shared" si="11"/>
        <v>6.67930232558139</v>
      </c>
    </row>
    <row r="56" customHeight="1" spans="1:23">
      <c r="A56" s="61" t="s">
        <v>202</v>
      </c>
      <c r="B56" s="61" t="s">
        <v>203</v>
      </c>
      <c r="C56" s="90">
        <f>Toy!C56</f>
        <v>70</v>
      </c>
      <c r="D56" s="91">
        <f>Toy!D56</f>
        <v>69</v>
      </c>
      <c r="E56" s="64">
        <f>Toy!E56</f>
        <v>1562.73</v>
      </c>
      <c r="F56" s="65">
        <v>238</v>
      </c>
      <c r="G56" s="66">
        <v>434</v>
      </c>
      <c r="H56" s="67">
        <v>672</v>
      </c>
      <c r="I56" s="66">
        <v>296</v>
      </c>
      <c r="J56" s="66">
        <v>517</v>
      </c>
      <c r="K56" s="68">
        <v>813</v>
      </c>
      <c r="L56" s="69">
        <f t="shared" si="6"/>
        <v>0.102678571428571</v>
      </c>
      <c r="M56" s="94">
        <f t="shared" si="7"/>
        <v>0.156188209095621</v>
      </c>
      <c r="N56" s="91">
        <f>Toy!W56</f>
        <v>23268</v>
      </c>
      <c r="O56" s="91">
        <f>Toy!X56</f>
        <v>218</v>
      </c>
      <c r="P56" s="91">
        <f>Toy!Y56</f>
        <v>37</v>
      </c>
      <c r="Q56" s="91">
        <f>Toy!Z56</f>
        <v>244.08</v>
      </c>
      <c r="R56" s="92">
        <f>Toy!AA56</f>
        <v>869.19</v>
      </c>
      <c r="S56" s="91">
        <f>Toy!AB56</f>
        <v>1.12</v>
      </c>
      <c r="T56" s="71">
        <f t="shared" si="8"/>
        <v>0.280813170883236</v>
      </c>
      <c r="U56" s="72">
        <f t="shared" si="9"/>
        <v>0.00936909059652742</v>
      </c>
      <c r="V56" s="72">
        <f t="shared" si="10"/>
        <v>0.169724770642202</v>
      </c>
      <c r="W56" s="73">
        <f t="shared" si="11"/>
        <v>6.59675675675676</v>
      </c>
    </row>
    <row r="57" customHeight="1" spans="1:23">
      <c r="A57" s="61" t="s">
        <v>205</v>
      </c>
      <c r="B57" s="61" t="s">
        <v>206</v>
      </c>
      <c r="C57" s="90">
        <f>Toy!C57</f>
        <v>58</v>
      </c>
      <c r="D57" s="91">
        <f>Toy!D57</f>
        <v>49</v>
      </c>
      <c r="E57" s="64">
        <f>Toy!E57</f>
        <v>1247.35</v>
      </c>
      <c r="F57" s="65">
        <v>246</v>
      </c>
      <c r="G57" s="66">
        <v>381</v>
      </c>
      <c r="H57" s="67">
        <v>627</v>
      </c>
      <c r="I57" s="66">
        <v>299</v>
      </c>
      <c r="J57" s="66">
        <v>504</v>
      </c>
      <c r="K57" s="68">
        <v>803</v>
      </c>
      <c r="L57" s="69">
        <f t="shared" si="6"/>
        <v>0.0781499202551834</v>
      </c>
      <c r="M57" s="94">
        <f t="shared" si="7"/>
        <v>0.234064216138213</v>
      </c>
      <c r="N57" s="91">
        <f>Toy!W57</f>
        <v>26402</v>
      </c>
      <c r="O57" s="91">
        <f>Toy!X57</f>
        <v>271</v>
      </c>
      <c r="P57" s="91">
        <f>Toy!Y57</f>
        <v>29</v>
      </c>
      <c r="Q57" s="91">
        <f>Toy!Z57</f>
        <v>291.96</v>
      </c>
      <c r="R57" s="92">
        <f>Toy!AA57</f>
        <v>762.41</v>
      </c>
      <c r="S57" s="91">
        <f>Toy!AB57</f>
        <v>1.08</v>
      </c>
      <c r="T57" s="71">
        <f t="shared" si="8"/>
        <v>0.382943560551409</v>
      </c>
      <c r="U57" s="72">
        <f t="shared" si="9"/>
        <v>0.0102643739110673</v>
      </c>
      <c r="V57" s="72">
        <f t="shared" si="10"/>
        <v>0.107011070110701</v>
      </c>
      <c r="W57" s="73">
        <f t="shared" si="11"/>
        <v>10.0675862068966</v>
      </c>
    </row>
    <row r="58" customHeight="1" spans="1:23">
      <c r="A58" s="61" t="s">
        <v>208</v>
      </c>
      <c r="B58" s="61" t="s">
        <v>209</v>
      </c>
      <c r="C58" s="90">
        <f>Toy!C58</f>
        <v>57</v>
      </c>
      <c r="D58" s="91">
        <f>Toy!D58</f>
        <v>56</v>
      </c>
      <c r="E58" s="64">
        <f>Toy!E58</f>
        <v>1188.24</v>
      </c>
      <c r="F58" s="65">
        <v>186</v>
      </c>
      <c r="G58" s="66">
        <v>347</v>
      </c>
      <c r="H58" s="67">
        <v>533</v>
      </c>
      <c r="I58" s="66">
        <v>240</v>
      </c>
      <c r="J58" s="66">
        <v>434</v>
      </c>
      <c r="K58" s="68">
        <v>674</v>
      </c>
      <c r="L58" s="69">
        <f t="shared" si="6"/>
        <v>0.105065666041276</v>
      </c>
      <c r="M58" s="94">
        <f t="shared" si="7"/>
        <v>0.222034269171211</v>
      </c>
      <c r="N58" s="91">
        <f>Toy!W58</f>
        <v>28684</v>
      </c>
      <c r="O58" s="91">
        <f>Toy!X58</f>
        <v>246</v>
      </c>
      <c r="P58" s="91">
        <f>Toy!Y58</f>
        <v>23</v>
      </c>
      <c r="Q58" s="91">
        <f>Toy!Z58</f>
        <v>263.83</v>
      </c>
      <c r="R58" s="92">
        <f>Toy!AA58</f>
        <v>479.39</v>
      </c>
      <c r="S58" s="91">
        <f>Toy!AB58</f>
        <v>1.07</v>
      </c>
      <c r="T58" s="71">
        <f t="shared" si="8"/>
        <v>0.550345230396963</v>
      </c>
      <c r="U58" s="72">
        <f t="shared" si="9"/>
        <v>0.00857620973364942</v>
      </c>
      <c r="V58" s="72">
        <f t="shared" si="10"/>
        <v>0.0934959349593496</v>
      </c>
      <c r="W58" s="73">
        <f t="shared" si="11"/>
        <v>11.4708695652174</v>
      </c>
    </row>
    <row r="59" customHeight="1" spans="1:23">
      <c r="A59" s="61" t="s">
        <v>210</v>
      </c>
      <c r="B59" s="61" t="s">
        <v>211</v>
      </c>
      <c r="C59" s="90">
        <f>Toy!C59</f>
        <v>71</v>
      </c>
      <c r="D59" s="91">
        <f>Toy!D59</f>
        <v>69</v>
      </c>
      <c r="E59" s="64">
        <f>Toy!E59</f>
        <v>1383.36</v>
      </c>
      <c r="F59" s="65">
        <v>208</v>
      </c>
      <c r="G59" s="66">
        <v>459</v>
      </c>
      <c r="H59" s="67">
        <v>667</v>
      </c>
      <c r="I59" s="66">
        <v>250</v>
      </c>
      <c r="J59" s="66">
        <v>539</v>
      </c>
      <c r="K59" s="68">
        <v>789</v>
      </c>
      <c r="L59" s="69">
        <f t="shared" si="6"/>
        <v>0.103448275862069</v>
      </c>
      <c r="M59" s="94">
        <f t="shared" si="7"/>
        <v>0.240161635438353</v>
      </c>
      <c r="N59" s="91">
        <f>Toy!W59</f>
        <v>45929</v>
      </c>
      <c r="O59" s="91">
        <f>Toy!X59</f>
        <v>291</v>
      </c>
      <c r="P59" s="91">
        <f>Toy!Y59</f>
        <v>38</v>
      </c>
      <c r="Q59" s="91">
        <f>Toy!Z59</f>
        <v>332.23</v>
      </c>
      <c r="R59" s="92">
        <f>Toy!AA59</f>
        <v>744.98</v>
      </c>
      <c r="S59" s="91">
        <f>Toy!AB59</f>
        <v>1.14</v>
      </c>
      <c r="T59" s="71">
        <f t="shared" si="8"/>
        <v>0.445958280759215</v>
      </c>
      <c r="U59" s="72">
        <f t="shared" si="9"/>
        <v>0.00633586622830891</v>
      </c>
      <c r="V59" s="72">
        <f t="shared" si="10"/>
        <v>0.130584192439863</v>
      </c>
      <c r="W59" s="73">
        <f t="shared" si="11"/>
        <v>8.74289473684211</v>
      </c>
    </row>
    <row r="60" customHeight="1" spans="1:23">
      <c r="A60" s="61" t="s">
        <v>213</v>
      </c>
      <c r="B60" s="61" t="s">
        <v>214</v>
      </c>
      <c r="C60" s="90">
        <f>Toy!C60</f>
        <v>99</v>
      </c>
      <c r="D60" s="91">
        <f>Toy!D60</f>
        <v>95</v>
      </c>
      <c r="E60" s="64">
        <f>Toy!E60</f>
        <v>1788.96</v>
      </c>
      <c r="F60" s="65">
        <v>259</v>
      </c>
      <c r="G60" s="66">
        <v>572</v>
      </c>
      <c r="H60" s="67">
        <v>831</v>
      </c>
      <c r="I60" s="66">
        <v>374</v>
      </c>
      <c r="J60" s="66">
        <v>676</v>
      </c>
      <c r="K60" s="68">
        <v>1050</v>
      </c>
      <c r="L60" s="69">
        <f t="shared" si="6"/>
        <v>0.114320096269555</v>
      </c>
      <c r="M60" s="94">
        <f t="shared" si="7"/>
        <v>0.209814640908684</v>
      </c>
      <c r="N60" s="91">
        <f>Toy!W60</f>
        <v>44421</v>
      </c>
      <c r="O60" s="91">
        <f>Toy!X60</f>
        <v>318</v>
      </c>
      <c r="P60" s="91">
        <f>Toy!Y60</f>
        <v>61</v>
      </c>
      <c r="Q60" s="91">
        <f>Toy!Z60</f>
        <v>375.35</v>
      </c>
      <c r="R60" s="92">
        <f>Toy!AA60</f>
        <v>1132.56</v>
      </c>
      <c r="S60" s="91">
        <f>Toy!AB60</f>
        <v>1.18</v>
      </c>
      <c r="T60" s="71">
        <f t="shared" si="8"/>
        <v>0.331417320053684</v>
      </c>
      <c r="U60" s="72">
        <f t="shared" si="9"/>
        <v>0.00715877625447424</v>
      </c>
      <c r="V60" s="72">
        <f t="shared" si="10"/>
        <v>0.191823899371069</v>
      </c>
      <c r="W60" s="73">
        <f t="shared" si="11"/>
        <v>6.15327868852459</v>
      </c>
    </row>
    <row r="61" customHeight="1" spans="1:23">
      <c r="A61" s="61" t="s">
        <v>216</v>
      </c>
      <c r="B61" s="61" t="s">
        <v>217</v>
      </c>
      <c r="C61" s="90">
        <f>Toy!C61</f>
        <v>84</v>
      </c>
      <c r="D61" s="91">
        <f>Toy!D61</f>
        <v>84</v>
      </c>
      <c r="E61" s="64">
        <f>Toy!E61</f>
        <v>1677.33</v>
      </c>
      <c r="F61" s="65">
        <v>301</v>
      </c>
      <c r="G61" s="66">
        <v>803</v>
      </c>
      <c r="H61" s="67">
        <v>1104</v>
      </c>
      <c r="I61" s="66">
        <v>374</v>
      </c>
      <c r="J61" s="66">
        <v>965</v>
      </c>
      <c r="K61" s="68">
        <v>1339</v>
      </c>
      <c r="L61" s="69">
        <f t="shared" si="6"/>
        <v>0.0760869565217391</v>
      </c>
      <c r="M61" s="94">
        <f t="shared" si="7"/>
        <v>0.268504110699743</v>
      </c>
      <c r="N61" s="91">
        <f>Toy!W61</f>
        <v>52639</v>
      </c>
      <c r="O61" s="91">
        <f>Toy!X61</f>
        <v>394</v>
      </c>
      <c r="P61" s="91">
        <f>Toy!Y61</f>
        <v>40</v>
      </c>
      <c r="Q61" s="91">
        <f>Toy!Z61</f>
        <v>450.37</v>
      </c>
      <c r="R61" s="92">
        <f>Toy!AA61</f>
        <v>833.79</v>
      </c>
      <c r="S61" s="91">
        <f>Toy!AB61</f>
        <v>1.14</v>
      </c>
      <c r="T61" s="71">
        <f t="shared" si="8"/>
        <v>0.540147998896605</v>
      </c>
      <c r="U61" s="72">
        <f t="shared" si="9"/>
        <v>0.00748494462280818</v>
      </c>
      <c r="V61" s="72">
        <f t="shared" si="10"/>
        <v>0.101522842639594</v>
      </c>
      <c r="W61" s="73">
        <f t="shared" si="11"/>
        <v>11.25925</v>
      </c>
    </row>
    <row r="62" customHeight="1" spans="1:23">
      <c r="A62" s="61" t="s">
        <v>219</v>
      </c>
      <c r="B62" s="61" t="s">
        <v>220</v>
      </c>
      <c r="C62" s="90">
        <f>Toy!C62</f>
        <v>90</v>
      </c>
      <c r="D62" s="91">
        <f>Toy!D62</f>
        <v>89</v>
      </c>
      <c r="E62" s="64">
        <f>Toy!E62</f>
        <v>1842.65</v>
      </c>
      <c r="F62" s="65">
        <v>225</v>
      </c>
      <c r="G62" s="66">
        <v>709</v>
      </c>
      <c r="H62" s="67">
        <v>934</v>
      </c>
      <c r="I62" s="66">
        <v>276</v>
      </c>
      <c r="J62" s="66">
        <v>872</v>
      </c>
      <c r="K62" s="68">
        <v>1148</v>
      </c>
      <c r="L62" s="69">
        <f t="shared" si="6"/>
        <v>0.0952890792291221</v>
      </c>
      <c r="M62" s="94">
        <f t="shared" si="7"/>
        <v>0.227872900442298</v>
      </c>
      <c r="N62" s="91">
        <f>Toy!W62</f>
        <v>57766</v>
      </c>
      <c r="O62" s="91">
        <f>Toy!X62</f>
        <v>358</v>
      </c>
      <c r="P62" s="91">
        <f>Toy!Y62</f>
        <v>41</v>
      </c>
      <c r="Q62" s="91">
        <f>Toy!Z62</f>
        <v>419.89</v>
      </c>
      <c r="R62" s="92">
        <f>Toy!AA62</f>
        <v>835.95</v>
      </c>
      <c r="S62" s="91">
        <f>Toy!AB62</f>
        <v>1.17</v>
      </c>
      <c r="T62" s="71">
        <f t="shared" si="8"/>
        <v>0.502290806866439</v>
      </c>
      <c r="U62" s="72">
        <f t="shared" si="9"/>
        <v>0.00619741716580688</v>
      </c>
      <c r="V62" s="72">
        <f t="shared" si="10"/>
        <v>0.114525139664804</v>
      </c>
      <c r="W62" s="73">
        <f t="shared" si="11"/>
        <v>10.2412195121951</v>
      </c>
    </row>
    <row r="63" customHeight="1" spans="1:23">
      <c r="A63" s="61" t="s">
        <v>221</v>
      </c>
      <c r="B63" s="61" t="s">
        <v>222</v>
      </c>
      <c r="C63" s="90">
        <f>Toy!C63</f>
        <v>76</v>
      </c>
      <c r="D63" s="91">
        <f>Toy!D63</f>
        <v>76</v>
      </c>
      <c r="E63" s="64">
        <f>Toy!E63</f>
        <v>1555.45</v>
      </c>
      <c r="F63" s="65">
        <v>255</v>
      </c>
      <c r="G63" s="66">
        <v>712</v>
      </c>
      <c r="H63" s="67">
        <v>967</v>
      </c>
      <c r="I63" s="66">
        <v>312</v>
      </c>
      <c r="J63" s="66">
        <v>857</v>
      </c>
      <c r="K63" s="68">
        <v>1169</v>
      </c>
      <c r="L63" s="69">
        <f t="shared" si="6"/>
        <v>0.078593588417787</v>
      </c>
      <c r="M63" s="94">
        <f t="shared" si="7"/>
        <v>0.350548072904947</v>
      </c>
      <c r="N63" s="91">
        <f>Toy!W63</f>
        <v>65627</v>
      </c>
      <c r="O63" s="91">
        <f>Toy!X63</f>
        <v>464</v>
      </c>
      <c r="P63" s="91">
        <f>Toy!Y63</f>
        <v>42</v>
      </c>
      <c r="Q63" s="91">
        <f>Toy!Z63</f>
        <v>545.26</v>
      </c>
      <c r="R63" s="92">
        <f>Toy!AA63</f>
        <v>876.16</v>
      </c>
      <c r="S63" s="91">
        <f>Toy!AB63</f>
        <v>1.18</v>
      </c>
      <c r="T63" s="71">
        <f t="shared" si="8"/>
        <v>0.622329254930606</v>
      </c>
      <c r="U63" s="72">
        <f t="shared" si="9"/>
        <v>0.0070702607158639</v>
      </c>
      <c r="V63" s="72">
        <f t="shared" si="10"/>
        <v>0.0905172413793103</v>
      </c>
      <c r="W63" s="73">
        <f t="shared" si="11"/>
        <v>12.982380952381</v>
      </c>
    </row>
    <row r="64" customHeight="1" spans="1:23">
      <c r="A64" s="61" t="s">
        <v>223</v>
      </c>
      <c r="B64" s="61" t="s">
        <v>224</v>
      </c>
      <c r="C64" s="90">
        <f>Toy!C64</f>
        <v>57</v>
      </c>
      <c r="D64" s="91">
        <f>Toy!D64</f>
        <v>54</v>
      </c>
      <c r="E64" s="64">
        <f>Toy!E64</f>
        <v>1144.73</v>
      </c>
      <c r="F64" s="65">
        <v>183</v>
      </c>
      <c r="G64" s="66">
        <v>365</v>
      </c>
      <c r="H64" s="67">
        <v>548</v>
      </c>
      <c r="I64" s="66">
        <v>219</v>
      </c>
      <c r="J64" s="66">
        <v>452</v>
      </c>
      <c r="K64" s="68">
        <v>671</v>
      </c>
      <c r="L64" s="69">
        <f t="shared" si="6"/>
        <v>0.0985401459854015</v>
      </c>
      <c r="M64" s="94">
        <f t="shared" si="7"/>
        <v>0.25700383496545</v>
      </c>
      <c r="N64" s="91">
        <f>Toy!W64</f>
        <v>40516</v>
      </c>
      <c r="O64" s="91">
        <f>Toy!X64</f>
        <v>266</v>
      </c>
      <c r="P64" s="91">
        <f>Toy!Y64</f>
        <v>29</v>
      </c>
      <c r="Q64" s="91">
        <f>Toy!Z64</f>
        <v>294.2</v>
      </c>
      <c r="R64" s="92">
        <f>Toy!AA64</f>
        <v>594.12</v>
      </c>
      <c r="S64" s="91">
        <f>Toy!AB64</f>
        <v>1.11</v>
      </c>
      <c r="T64" s="71">
        <f t="shared" si="8"/>
        <v>0.495186157678583</v>
      </c>
      <c r="U64" s="72">
        <f t="shared" si="9"/>
        <v>0.00656530753282654</v>
      </c>
      <c r="V64" s="72">
        <f t="shared" si="10"/>
        <v>0.109022556390977</v>
      </c>
      <c r="W64" s="73">
        <f t="shared" si="11"/>
        <v>10.1448275862069</v>
      </c>
    </row>
    <row r="65" customHeight="1" spans="1:23">
      <c r="A65" s="79" t="s">
        <v>226</v>
      </c>
      <c r="B65" s="80" t="s">
        <v>227</v>
      </c>
      <c r="C65" s="90">
        <f>Toy!C65</f>
        <v>73</v>
      </c>
      <c r="D65" s="91">
        <f>Toy!D65</f>
        <v>72</v>
      </c>
      <c r="E65" s="64">
        <f>Toy!E65</f>
        <v>1581.15</v>
      </c>
      <c r="F65" s="65">
        <v>190</v>
      </c>
      <c r="G65" s="66">
        <v>567</v>
      </c>
      <c r="H65" s="67">
        <v>757</v>
      </c>
      <c r="I65" s="66">
        <v>237</v>
      </c>
      <c r="J65" s="66">
        <v>688</v>
      </c>
      <c r="K65" s="68">
        <v>925</v>
      </c>
      <c r="L65" s="69">
        <f t="shared" si="6"/>
        <v>0.095112285336856</v>
      </c>
      <c r="M65" s="94">
        <f t="shared" si="7"/>
        <v>0.23292540239699</v>
      </c>
      <c r="N65" s="91">
        <f>Toy!W65</f>
        <v>45474</v>
      </c>
      <c r="O65" s="91">
        <f>Toy!X65</f>
        <v>332</v>
      </c>
      <c r="P65" s="91">
        <f>Toy!Y65</f>
        <v>37</v>
      </c>
      <c r="Q65" s="91">
        <f>Toy!Z65</f>
        <v>368.29</v>
      </c>
      <c r="R65" s="92">
        <f>Toy!AA65</f>
        <v>793.82</v>
      </c>
      <c r="S65" s="91">
        <f>Toy!AB65</f>
        <v>1.11</v>
      </c>
      <c r="T65" s="71">
        <f t="shared" si="8"/>
        <v>0.463946486609055</v>
      </c>
      <c r="U65" s="72">
        <f t="shared" si="9"/>
        <v>0.00730087522540353</v>
      </c>
      <c r="V65" s="72">
        <f t="shared" si="10"/>
        <v>0.11144578313253</v>
      </c>
      <c r="W65" s="73">
        <f t="shared" si="11"/>
        <v>9.95378378378378</v>
      </c>
    </row>
    <row r="66" customHeight="1" spans="1:23">
      <c r="A66" s="61" t="s">
        <v>228</v>
      </c>
      <c r="B66" s="81" t="s">
        <v>229</v>
      </c>
      <c r="C66" s="90">
        <f>Toy!C66</f>
        <v>86</v>
      </c>
      <c r="D66" s="91">
        <f>Toy!D66</f>
        <v>85</v>
      </c>
      <c r="E66" s="64">
        <f>Toy!E66</f>
        <v>1716.64</v>
      </c>
      <c r="F66" s="65">
        <v>268</v>
      </c>
      <c r="G66" s="66">
        <v>696</v>
      </c>
      <c r="H66" s="67">
        <v>964</v>
      </c>
      <c r="I66" s="66">
        <v>318</v>
      </c>
      <c r="J66" s="66">
        <v>840</v>
      </c>
      <c r="K66" s="68">
        <v>1158</v>
      </c>
      <c r="L66" s="69">
        <f t="shared" si="6"/>
        <v>0.0881742738589212</v>
      </c>
      <c r="M66" s="94">
        <f t="shared" si="7"/>
        <v>0.24182123217448</v>
      </c>
      <c r="N66" s="91">
        <f>Toy!W66</f>
        <v>48458</v>
      </c>
      <c r="O66" s="91">
        <f>Toy!X66</f>
        <v>384</v>
      </c>
      <c r="P66" s="91">
        <f>Toy!Y66</f>
        <v>62</v>
      </c>
      <c r="Q66" s="91">
        <f>Toy!Z66</f>
        <v>415.12</v>
      </c>
      <c r="R66" s="92">
        <f>Toy!AA66</f>
        <v>1245.44</v>
      </c>
      <c r="S66" s="91">
        <f>Toy!AB66</f>
        <v>1.08</v>
      </c>
      <c r="T66" s="71">
        <f t="shared" si="8"/>
        <v>0.333311921891059</v>
      </c>
      <c r="U66" s="72">
        <f t="shared" si="9"/>
        <v>0.00792438812992695</v>
      </c>
      <c r="V66" s="72">
        <f t="shared" si="10"/>
        <v>0.161458333333333</v>
      </c>
      <c r="W66" s="73">
        <f t="shared" si="11"/>
        <v>6.69548387096774</v>
      </c>
    </row>
    <row r="67" customHeight="1" spans="1:23">
      <c r="A67" s="61" t="s">
        <v>230</v>
      </c>
      <c r="B67" s="81" t="s">
        <v>231</v>
      </c>
      <c r="C67" s="90">
        <f>Toy!C67</f>
        <v>103</v>
      </c>
      <c r="D67" s="91">
        <f>Toy!D67</f>
        <v>98</v>
      </c>
      <c r="E67" s="64">
        <f>Toy!E67</f>
        <v>2156.64</v>
      </c>
      <c r="F67" s="65">
        <v>351</v>
      </c>
      <c r="G67" s="66">
        <v>712</v>
      </c>
      <c r="H67" s="67">
        <v>1063</v>
      </c>
      <c r="I67" s="66">
        <v>451</v>
      </c>
      <c r="J67" s="66">
        <v>872</v>
      </c>
      <c r="K67" s="68">
        <v>1323</v>
      </c>
      <c r="L67" s="69">
        <f t="shared" si="6"/>
        <v>0.0921919096895579</v>
      </c>
      <c r="M67" s="94">
        <f t="shared" si="7"/>
        <v>0.209761480822019</v>
      </c>
      <c r="N67" s="91">
        <f>Toy!W67</f>
        <v>51795</v>
      </c>
      <c r="O67" s="91">
        <f>Toy!X67</f>
        <v>408</v>
      </c>
      <c r="P67" s="91">
        <f>Toy!Y67</f>
        <v>65</v>
      </c>
      <c r="Q67" s="91">
        <f>Toy!Z67</f>
        <v>452.38</v>
      </c>
      <c r="R67" s="92">
        <f>Toy!AA67</f>
        <v>1441.69</v>
      </c>
      <c r="S67" s="91">
        <f>Toy!AB67</f>
        <v>1.11</v>
      </c>
      <c r="T67" s="71">
        <f t="shared" si="8"/>
        <v>0.313784516782387</v>
      </c>
      <c r="U67" s="72">
        <f t="shared" si="9"/>
        <v>0.00787720822473212</v>
      </c>
      <c r="V67" s="72">
        <f t="shared" si="10"/>
        <v>0.159313725490196</v>
      </c>
      <c r="W67" s="73">
        <f t="shared" si="11"/>
        <v>6.95969230769231</v>
      </c>
    </row>
    <row r="68" customHeight="1" spans="1:23">
      <c r="A68" s="61" t="s">
        <v>232</v>
      </c>
      <c r="B68" s="81" t="s">
        <v>233</v>
      </c>
      <c r="C68" s="90">
        <f>Toy!C68</f>
        <v>95</v>
      </c>
      <c r="D68" s="91">
        <f>Toy!D68</f>
        <v>94</v>
      </c>
      <c r="E68" s="64">
        <f>Toy!E68</f>
        <v>1930.2</v>
      </c>
      <c r="F68" s="65">
        <v>290</v>
      </c>
      <c r="G68" s="66">
        <v>652</v>
      </c>
      <c r="H68" s="67">
        <v>942</v>
      </c>
      <c r="I68" s="66">
        <v>354</v>
      </c>
      <c r="J68" s="66">
        <v>788</v>
      </c>
      <c r="K68" s="68">
        <v>1142</v>
      </c>
      <c r="L68" s="69">
        <f t="shared" ref="L68:L74" si="12">D68/H68</f>
        <v>0.0997876857749469</v>
      </c>
      <c r="M68" s="94">
        <f t="shared" ref="M68:M75" si="13">Q68/E68</f>
        <v>0.212149000103616</v>
      </c>
      <c r="N68" s="91">
        <f>Toy!W68</f>
        <v>43943</v>
      </c>
      <c r="O68" s="91">
        <f>Toy!X68</f>
        <v>379</v>
      </c>
      <c r="P68" s="91">
        <f>Toy!Y68</f>
        <v>62</v>
      </c>
      <c r="Q68" s="91">
        <f>Toy!Z68</f>
        <v>409.49</v>
      </c>
      <c r="R68" s="92">
        <f>Toy!AA68</f>
        <v>1231.78</v>
      </c>
      <c r="S68" s="91">
        <f>Toy!AB68</f>
        <v>1.08</v>
      </c>
      <c r="T68" s="71">
        <f t="shared" ref="T68:T75" si="14">Q68/R68</f>
        <v>0.332437610612285</v>
      </c>
      <c r="U68" s="72">
        <f t="shared" ref="U68:U74" si="15">O68/N68</f>
        <v>0.00862480941219307</v>
      </c>
      <c r="V68" s="72">
        <f t="shared" ref="V68:V74" si="16">P68/O68</f>
        <v>0.163588390501319</v>
      </c>
      <c r="W68" s="73">
        <f t="shared" ref="W68:W74" si="17">Q68/P68</f>
        <v>6.60467741935484</v>
      </c>
    </row>
    <row r="69" customHeight="1" spans="1:23">
      <c r="A69" s="61" t="s">
        <v>236</v>
      </c>
      <c r="B69" s="81" t="s">
        <v>237</v>
      </c>
      <c r="C69" s="90">
        <f>Toy!C69</f>
        <v>74</v>
      </c>
      <c r="D69" s="91">
        <f>Toy!D69</f>
        <v>73</v>
      </c>
      <c r="E69" s="64">
        <f>Toy!E69</f>
        <v>1633.68</v>
      </c>
      <c r="F69" s="65">
        <v>304</v>
      </c>
      <c r="G69" s="66">
        <v>540</v>
      </c>
      <c r="H69" s="67">
        <v>844</v>
      </c>
      <c r="I69" s="66">
        <v>402</v>
      </c>
      <c r="J69" s="66">
        <v>658</v>
      </c>
      <c r="K69" s="68">
        <v>1060</v>
      </c>
      <c r="L69" s="69">
        <f t="shared" si="12"/>
        <v>0.0864928909952607</v>
      </c>
      <c r="M69" s="94">
        <f t="shared" si="13"/>
        <v>0.23476445815582</v>
      </c>
      <c r="N69" s="91">
        <f>Toy!W69</f>
        <v>45625</v>
      </c>
      <c r="O69" s="91">
        <f>Toy!X69</f>
        <v>348</v>
      </c>
      <c r="P69" s="91">
        <f>Toy!Y69</f>
        <v>46</v>
      </c>
      <c r="Q69" s="91">
        <f>Toy!Z69</f>
        <v>383.53</v>
      </c>
      <c r="R69" s="92">
        <f>Toy!AA69</f>
        <v>1062.24</v>
      </c>
      <c r="S69" s="91">
        <f>Toy!AB69</f>
        <v>1.1</v>
      </c>
      <c r="T69" s="71">
        <f t="shared" si="14"/>
        <v>0.361057764723603</v>
      </c>
      <c r="U69" s="72">
        <f t="shared" si="15"/>
        <v>0.00762739726027397</v>
      </c>
      <c r="V69" s="72">
        <f t="shared" si="16"/>
        <v>0.132183908045977</v>
      </c>
      <c r="W69" s="73">
        <f t="shared" si="17"/>
        <v>8.33760869565217</v>
      </c>
    </row>
    <row r="70" customHeight="1" spans="1:23">
      <c r="A70" s="61" t="s">
        <v>240</v>
      </c>
      <c r="B70" s="81" t="s">
        <v>241</v>
      </c>
      <c r="C70" s="90">
        <f>Toy!C70</f>
        <v>67</v>
      </c>
      <c r="D70" s="91">
        <f>Toy!D70</f>
        <v>67</v>
      </c>
      <c r="E70" s="64">
        <f>Toy!E70</f>
        <v>1357.41</v>
      </c>
      <c r="F70" s="65">
        <v>265</v>
      </c>
      <c r="G70" s="66">
        <v>508</v>
      </c>
      <c r="H70" s="67">
        <v>773</v>
      </c>
      <c r="I70" s="66">
        <v>340</v>
      </c>
      <c r="J70" s="66">
        <v>599</v>
      </c>
      <c r="K70" s="68">
        <v>939</v>
      </c>
      <c r="L70" s="69">
        <f t="shared" si="12"/>
        <v>0.0866752910737387</v>
      </c>
      <c r="M70" s="94">
        <f t="shared" si="13"/>
        <v>0.271023493270272</v>
      </c>
      <c r="N70" s="91">
        <f>Toy!W70</f>
        <v>33253</v>
      </c>
      <c r="O70" s="91">
        <f>Toy!X70</f>
        <v>336</v>
      </c>
      <c r="P70" s="91">
        <f>Toy!Y70</f>
        <v>39</v>
      </c>
      <c r="Q70" s="91">
        <f>Toy!Z70</f>
        <v>367.89</v>
      </c>
      <c r="R70" s="92">
        <f>Toy!AA70</f>
        <v>800.46</v>
      </c>
      <c r="S70" s="91">
        <f>Toy!AB70</f>
        <v>1.09</v>
      </c>
      <c r="T70" s="71">
        <f t="shared" si="14"/>
        <v>0.459598231017165</v>
      </c>
      <c r="U70" s="72">
        <f t="shared" si="15"/>
        <v>0.0101043514870839</v>
      </c>
      <c r="V70" s="72">
        <f t="shared" si="16"/>
        <v>0.116071428571429</v>
      </c>
      <c r="W70" s="73">
        <f t="shared" si="17"/>
        <v>9.43307692307692</v>
      </c>
    </row>
    <row r="71" customHeight="1" spans="1:23">
      <c r="A71" s="61" t="s">
        <v>244</v>
      </c>
      <c r="B71" s="81" t="s">
        <v>245</v>
      </c>
      <c r="C71" s="90">
        <f>Toy!C71</f>
        <v>96</v>
      </c>
      <c r="D71" s="91">
        <f>Toy!D71</f>
        <v>90</v>
      </c>
      <c r="E71" s="64">
        <f>Toy!E71</f>
        <v>1904.88</v>
      </c>
      <c r="F71" s="65">
        <v>249</v>
      </c>
      <c r="G71" s="66">
        <v>610</v>
      </c>
      <c r="H71" s="67">
        <v>859</v>
      </c>
      <c r="I71" s="66">
        <v>293</v>
      </c>
      <c r="J71" s="66">
        <v>725</v>
      </c>
      <c r="K71" s="68">
        <v>1018</v>
      </c>
      <c r="L71" s="69">
        <f t="shared" si="12"/>
        <v>0.10477299185099</v>
      </c>
      <c r="M71" s="94">
        <f t="shared" si="13"/>
        <v>0.208559069337701</v>
      </c>
      <c r="N71" s="91">
        <f>Toy!W71</f>
        <v>32333</v>
      </c>
      <c r="O71" s="91">
        <f>Toy!X71</f>
        <v>358</v>
      </c>
      <c r="P71" s="91">
        <f>Toy!Y71</f>
        <v>51</v>
      </c>
      <c r="Q71" s="91">
        <f>Toy!Z71</f>
        <v>397.28</v>
      </c>
      <c r="R71" s="92">
        <f>Toy!AA71</f>
        <v>1014.02</v>
      </c>
      <c r="S71" s="91">
        <f>Toy!AB71</f>
        <v>1.11</v>
      </c>
      <c r="T71" s="71">
        <f t="shared" si="14"/>
        <v>0.391787144237786</v>
      </c>
      <c r="U71" s="72">
        <f t="shared" si="15"/>
        <v>0.0110722790956608</v>
      </c>
      <c r="V71" s="72">
        <f t="shared" si="16"/>
        <v>0.142458100558659</v>
      </c>
      <c r="W71" s="73">
        <f t="shared" si="17"/>
        <v>7.78980392156863</v>
      </c>
    </row>
    <row r="72" customHeight="1" spans="1:23">
      <c r="A72" s="61" t="s">
        <v>247</v>
      </c>
      <c r="B72" s="81" t="s">
        <v>248</v>
      </c>
      <c r="C72" s="90">
        <f>Toy!C72</f>
        <v>101</v>
      </c>
      <c r="D72" s="91">
        <f>Toy!D72</f>
        <v>98</v>
      </c>
      <c r="E72" s="64">
        <f>Toy!E72</f>
        <v>2018.13</v>
      </c>
      <c r="F72" s="65">
        <v>191</v>
      </c>
      <c r="G72" s="66">
        <v>530</v>
      </c>
      <c r="H72" s="67">
        <v>721</v>
      </c>
      <c r="I72" s="66">
        <v>237</v>
      </c>
      <c r="J72" s="66">
        <v>631</v>
      </c>
      <c r="K72" s="68">
        <v>868</v>
      </c>
      <c r="L72" s="69">
        <f t="shared" si="12"/>
        <v>0.135922330097087</v>
      </c>
      <c r="M72" s="94">
        <f t="shared" si="13"/>
        <v>0.183491648208986</v>
      </c>
      <c r="N72" s="91">
        <f>Toy!W72</f>
        <v>34909</v>
      </c>
      <c r="O72" s="91">
        <f>Toy!X72</f>
        <v>348</v>
      </c>
      <c r="P72" s="91">
        <f>Toy!Y72</f>
        <v>55</v>
      </c>
      <c r="Q72" s="91">
        <f>Toy!Z72</f>
        <v>370.31</v>
      </c>
      <c r="R72" s="92">
        <f>Toy!AA72</f>
        <v>1089.75</v>
      </c>
      <c r="S72" s="91">
        <f>Toy!AB72</f>
        <v>1.06</v>
      </c>
      <c r="T72" s="71">
        <f t="shared" si="14"/>
        <v>0.339811883459509</v>
      </c>
      <c r="U72" s="72">
        <f t="shared" si="15"/>
        <v>0.00996877596035406</v>
      </c>
      <c r="V72" s="72">
        <f t="shared" si="16"/>
        <v>0.158045977011494</v>
      </c>
      <c r="W72" s="73">
        <f t="shared" si="17"/>
        <v>6.73290909090909</v>
      </c>
    </row>
    <row r="73" customHeight="1" spans="1:23">
      <c r="A73" s="61" t="s">
        <v>250</v>
      </c>
      <c r="B73" s="81" t="s">
        <v>251</v>
      </c>
      <c r="C73" s="90">
        <f>Toy!C73</f>
        <v>88</v>
      </c>
      <c r="D73" s="91">
        <f>Toy!D73</f>
        <v>86</v>
      </c>
      <c r="E73" s="64">
        <f>Toy!E73</f>
        <v>1839.22</v>
      </c>
      <c r="F73" s="65">
        <v>191</v>
      </c>
      <c r="G73" s="66">
        <v>530</v>
      </c>
      <c r="H73" s="67">
        <v>721</v>
      </c>
      <c r="I73" s="66">
        <v>237</v>
      </c>
      <c r="J73" s="66">
        <v>631</v>
      </c>
      <c r="K73" s="68">
        <v>868</v>
      </c>
      <c r="L73" s="69">
        <f t="shared" si="12"/>
        <v>0.119278779472954</v>
      </c>
      <c r="M73" s="94">
        <f t="shared" si="13"/>
        <v>0.216744054544861</v>
      </c>
      <c r="N73" s="91">
        <f>Toy!W73</f>
        <v>33036</v>
      </c>
      <c r="O73" s="91">
        <f>Toy!X73</f>
        <v>366</v>
      </c>
      <c r="P73" s="91">
        <f>Toy!Y73</f>
        <v>53</v>
      </c>
      <c r="Q73" s="91">
        <f>Toy!Z73</f>
        <v>398.64</v>
      </c>
      <c r="R73" s="92">
        <f>Toy!AA73</f>
        <v>1167.43</v>
      </c>
      <c r="S73" s="91">
        <f>Toy!AB73</f>
        <v>1.09</v>
      </c>
      <c r="T73" s="71">
        <f t="shared" si="14"/>
        <v>0.341468010929992</v>
      </c>
      <c r="U73" s="72">
        <f t="shared" si="15"/>
        <v>0.0110788231020705</v>
      </c>
      <c r="V73" s="72">
        <f t="shared" si="16"/>
        <v>0.144808743169399</v>
      </c>
      <c r="W73" s="73">
        <f t="shared" si="17"/>
        <v>7.52150943396226</v>
      </c>
    </row>
    <row r="74" customHeight="1" spans="1:23">
      <c r="A74" s="61" t="s">
        <v>254</v>
      </c>
      <c r="B74" s="81" t="s">
        <v>255</v>
      </c>
      <c r="C74" s="90">
        <f>Toy!C74</f>
        <v>65</v>
      </c>
      <c r="D74" s="91">
        <f>Toy!D74</f>
        <v>63</v>
      </c>
      <c r="E74" s="64">
        <f>Toy!E74</f>
        <v>1508.03</v>
      </c>
      <c r="F74" s="65">
        <v>191</v>
      </c>
      <c r="G74" s="66">
        <v>530</v>
      </c>
      <c r="H74" s="67">
        <v>721</v>
      </c>
      <c r="I74" s="66">
        <v>237</v>
      </c>
      <c r="J74" s="66">
        <v>631</v>
      </c>
      <c r="K74" s="68">
        <v>868</v>
      </c>
      <c r="L74" s="69">
        <f t="shared" si="12"/>
        <v>0.087378640776699</v>
      </c>
      <c r="M74" s="94">
        <f t="shared" si="13"/>
        <v>0.211620458478943</v>
      </c>
      <c r="N74" s="91">
        <f>Toy!W74</f>
        <v>37841</v>
      </c>
      <c r="O74" s="91">
        <f>Toy!X74</f>
        <v>307</v>
      </c>
      <c r="P74" s="91">
        <f>Toy!Y74</f>
        <v>29</v>
      </c>
      <c r="Q74" s="91">
        <f>Toy!Z74</f>
        <v>319.13</v>
      </c>
      <c r="R74" s="92">
        <f>Toy!AA74</f>
        <v>697.45</v>
      </c>
      <c r="S74" s="91">
        <f>Toy!AB74</f>
        <v>1.04</v>
      </c>
      <c r="T74" s="71">
        <f t="shared" si="14"/>
        <v>0.457566850670299</v>
      </c>
      <c r="U74" s="72">
        <f t="shared" si="15"/>
        <v>0.00811289342247826</v>
      </c>
      <c r="V74" s="72">
        <f t="shared" si="16"/>
        <v>0.0944625407166124</v>
      </c>
      <c r="W74" s="73">
        <f t="shared" si="17"/>
        <v>11.0044827586207</v>
      </c>
    </row>
    <row r="75" customHeight="1" spans="1:23">
      <c r="A75" t="s">
        <v>270</v>
      </c>
      <c r="B75" s="1"/>
      <c r="C75" s="1">
        <f>SUBTOTAL(109,表3_3254[销量])</f>
        <v>4276</v>
      </c>
      <c r="D75" s="1">
        <f>SUBTOTAL(109,表3_3254[订单量])</f>
        <v>4127</v>
      </c>
      <c r="E75" s="82">
        <f>SUBTOTAL(109,表3_3254[销售额])</f>
        <v>91463.9</v>
      </c>
      <c r="F75" s="1">
        <f>SUBTOTAL(101,表3_3254[Sessions-Browser])</f>
        <v>199.154929577465</v>
      </c>
      <c r="G75" s="83">
        <f>SUBTOTAL(101,表3_3254[Sessions-Mobile])</f>
        <v>436.704225352113</v>
      </c>
      <c r="H75" s="83">
        <f>SUBTOTAL(101,表3_3254[Sessions-Total])</f>
        <v>635.859154929577</v>
      </c>
      <c r="I75" s="83">
        <f>SUBTOTAL(101,表3_3254[PV-Browser])</f>
        <v>247.887323943662</v>
      </c>
      <c r="J75" s="84">
        <f>SUBTOTAL(101,表3_3254[PV-Mobile])</f>
        <v>535.028169014084</v>
      </c>
      <c r="K75" s="84">
        <f>SUBTOTAL(101,表3_3254[PV-Total])</f>
        <v>764.943661971831</v>
      </c>
      <c r="L75" s="85">
        <f>SUBTOTAL(101,表3_3254[CVR])</f>
        <v>0.0918344511653081</v>
      </c>
      <c r="M75" s="85">
        <f t="shared" si="13"/>
        <v>0.241129451073046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22054.64</v>
      </c>
      <c r="R75" s="1">
        <f>SUBTOTAL(109,表3_3254[广告销售额])</f>
        <v>54123.1</v>
      </c>
      <c r="S75" s="16">
        <f>SUBTOTAL(101,表3_3254[CPC])</f>
        <v>1.15239436619718</v>
      </c>
      <c r="T75" s="86">
        <f t="shared" si="14"/>
        <v>0.407490332224133</v>
      </c>
      <c r="U75" s="87">
        <f t="shared" ref="U75:W75" si="18">O75/N75</f>
        <v>0.00666418381495411</v>
      </c>
      <c r="V75" s="87">
        <f t="shared" si="18"/>
        <v>0.128981476622763</v>
      </c>
      <c r="W75" s="88">
        <f t="shared" si="18"/>
        <v>8.97259560618389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workbookViewId="0">
      <pane xSplit="2" ySplit="3" topLeftCell="C7" activePane="bottomRight" state="frozen"/>
      <selection/>
      <selection pane="topRight"/>
      <selection pane="bottomLeft"/>
      <selection pane="bottomRight" activeCell="E3" sqref="E$1:E$1048576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423</v>
      </c>
      <c r="D1" s="26"/>
      <c r="E1" s="27"/>
      <c r="F1" s="28" t="s">
        <v>434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210</v>
      </c>
      <c r="B4" s="61" t="s">
        <v>211</v>
      </c>
      <c r="C4" s="62">
        <f>ToyDH!C4</f>
        <v>30</v>
      </c>
      <c r="D4" s="63">
        <f>ToyDH!D4</f>
        <v>29</v>
      </c>
      <c r="E4" s="64">
        <f>ToyDH!E4</f>
        <v>496.01</v>
      </c>
      <c r="F4" s="65">
        <v>64</v>
      </c>
      <c r="G4" s="66">
        <v>149</v>
      </c>
      <c r="H4" s="67">
        <v>213</v>
      </c>
      <c r="I4" s="66">
        <v>80</v>
      </c>
      <c r="J4" s="66">
        <v>187</v>
      </c>
      <c r="K4" s="68">
        <v>267</v>
      </c>
      <c r="L4" s="69">
        <f t="shared" ref="L4:L19" si="0">D4/H4</f>
        <v>0.136150234741784</v>
      </c>
      <c r="M4" s="94">
        <f t="shared" ref="M4:M20" si="1">Q4/E4</f>
        <v>0.173786818814137</v>
      </c>
      <c r="N4" s="63">
        <f>ToyDH!W4</f>
        <v>9139</v>
      </c>
      <c r="O4" s="63">
        <f>ToyDH!X4</f>
        <v>73</v>
      </c>
      <c r="P4" s="63">
        <f>ToyDH!Y4</f>
        <v>20</v>
      </c>
      <c r="Q4" s="63">
        <f>ToyDH!Z4</f>
        <v>86.2</v>
      </c>
      <c r="R4" s="63">
        <f>ToyDH!AA4</f>
        <v>357.27</v>
      </c>
      <c r="S4" s="63">
        <f>ToyDH!AB4</f>
        <v>1.18</v>
      </c>
      <c r="T4" s="71">
        <f t="shared" ref="T4:T20" si="2">Q4/R4</f>
        <v>0.241274106418115</v>
      </c>
      <c r="U4" s="72">
        <f t="shared" ref="U4:W4" si="3">O4/N4</f>
        <v>0.00798774482985009</v>
      </c>
      <c r="V4" s="72">
        <f t="shared" si="3"/>
        <v>0.273972602739726</v>
      </c>
      <c r="W4" s="73">
        <f t="shared" si="3"/>
        <v>4.31</v>
      </c>
    </row>
    <row r="5" customHeight="1" spans="1:23">
      <c r="A5" s="61" t="s">
        <v>213</v>
      </c>
      <c r="B5" s="61" t="s">
        <v>214</v>
      </c>
      <c r="C5" s="62">
        <f>ToyDH!C5</f>
        <v>27</v>
      </c>
      <c r="D5" s="63">
        <f>ToyDH!D5</f>
        <v>26</v>
      </c>
      <c r="E5" s="64">
        <f>ToyDH!E5</f>
        <v>441.96</v>
      </c>
      <c r="F5" s="65">
        <v>89</v>
      </c>
      <c r="G5" s="66">
        <v>226</v>
      </c>
      <c r="H5" s="67">
        <v>315</v>
      </c>
      <c r="I5" s="66">
        <v>115</v>
      </c>
      <c r="J5" s="66">
        <v>288</v>
      </c>
      <c r="K5" s="68">
        <v>403</v>
      </c>
      <c r="L5" s="69">
        <f t="shared" si="0"/>
        <v>0.0825396825396825</v>
      </c>
      <c r="M5" s="94">
        <f t="shared" si="1"/>
        <v>0.209611729568287</v>
      </c>
      <c r="N5" s="63">
        <f>ToyDH!W5</f>
        <v>12451</v>
      </c>
      <c r="O5" s="63">
        <f>ToyDH!X5</f>
        <v>88</v>
      </c>
      <c r="P5" s="63">
        <f>ToyDH!Y5</f>
        <v>14</v>
      </c>
      <c r="Q5" s="63">
        <f>ToyDH!Z5</f>
        <v>92.64</v>
      </c>
      <c r="R5" s="63">
        <f>ToyDH!AA5</f>
        <v>230.67</v>
      </c>
      <c r="S5" s="63">
        <f>ToyDH!AB5</f>
        <v>1.05</v>
      </c>
      <c r="T5" s="71">
        <f t="shared" si="2"/>
        <v>0.401612693458187</v>
      </c>
      <c r="U5" s="72">
        <f t="shared" ref="U5:W5" si="4">O5/N5</f>
        <v>0.00706770540518834</v>
      </c>
      <c r="V5" s="72">
        <f t="shared" si="4"/>
        <v>0.159090909090909</v>
      </c>
      <c r="W5" s="73">
        <f t="shared" si="4"/>
        <v>6.61714285714286</v>
      </c>
    </row>
    <row r="6" customHeight="1" spans="1:23">
      <c r="A6" s="61" t="s">
        <v>216</v>
      </c>
      <c r="B6" s="61" t="s">
        <v>217</v>
      </c>
      <c r="C6" s="62">
        <f>ToyDH!C6</f>
        <v>19</v>
      </c>
      <c r="D6" s="63">
        <f>ToyDH!D6</f>
        <v>19</v>
      </c>
      <c r="E6" s="64">
        <f>ToyDH!E6</f>
        <v>439.19</v>
      </c>
      <c r="F6" s="65">
        <v>83</v>
      </c>
      <c r="G6" s="66">
        <v>158</v>
      </c>
      <c r="H6" s="67">
        <v>241</v>
      </c>
      <c r="I6" s="66">
        <v>98</v>
      </c>
      <c r="J6" s="66">
        <v>199</v>
      </c>
      <c r="K6" s="68">
        <v>297</v>
      </c>
      <c r="L6" s="69">
        <f t="shared" si="0"/>
        <v>0.0788381742738589</v>
      </c>
      <c r="M6" s="94">
        <f t="shared" si="1"/>
        <v>0.205696851021198</v>
      </c>
      <c r="N6" s="63">
        <f>ToyDH!W6</f>
        <v>20044</v>
      </c>
      <c r="O6" s="63">
        <f>ToyDH!X6</f>
        <v>87</v>
      </c>
      <c r="P6" s="63">
        <f>ToyDH!Y6</f>
        <v>14</v>
      </c>
      <c r="Q6" s="63">
        <f>ToyDH!Z6</f>
        <v>90.34</v>
      </c>
      <c r="R6" s="63">
        <f>ToyDH!AA6</f>
        <v>295.13</v>
      </c>
      <c r="S6" s="63">
        <f>ToyDH!AB6</f>
        <v>1.04</v>
      </c>
      <c r="T6" s="71">
        <f t="shared" si="2"/>
        <v>0.306102395554501</v>
      </c>
      <c r="U6" s="72">
        <f t="shared" ref="U6:W6" si="5">O6/N6</f>
        <v>0.00434045100778288</v>
      </c>
      <c r="V6" s="72">
        <f t="shared" si="5"/>
        <v>0.160919540229885</v>
      </c>
      <c r="W6" s="73">
        <f t="shared" si="5"/>
        <v>6.45285714285714</v>
      </c>
    </row>
    <row r="7" customHeight="1" spans="1:23">
      <c r="A7" s="61" t="s">
        <v>219</v>
      </c>
      <c r="B7" s="61" t="s">
        <v>220</v>
      </c>
      <c r="C7" s="62">
        <f>ToyDH!C7</f>
        <v>20</v>
      </c>
      <c r="D7" s="63">
        <f>ToyDH!D7</f>
        <v>20</v>
      </c>
      <c r="E7" s="64">
        <f>ToyDH!E7</f>
        <v>331.55</v>
      </c>
      <c r="F7" s="65">
        <v>94</v>
      </c>
      <c r="G7" s="66">
        <v>175</v>
      </c>
      <c r="H7" s="67">
        <v>269</v>
      </c>
      <c r="I7" s="66">
        <v>110</v>
      </c>
      <c r="J7" s="66">
        <v>208</v>
      </c>
      <c r="K7" s="68">
        <v>318</v>
      </c>
      <c r="L7" s="69">
        <f t="shared" si="0"/>
        <v>0.0743494423791822</v>
      </c>
      <c r="M7" s="94">
        <f t="shared" si="1"/>
        <v>0.278751319559644</v>
      </c>
      <c r="N7" s="63">
        <f>ToyDH!W7</f>
        <v>14676</v>
      </c>
      <c r="O7" s="63">
        <f>ToyDH!X7</f>
        <v>82</v>
      </c>
      <c r="P7" s="63">
        <f>ToyDH!Y7</f>
        <v>14</v>
      </c>
      <c r="Q7" s="63">
        <f>ToyDH!Z7</f>
        <v>92.42</v>
      </c>
      <c r="R7" s="63">
        <f>ToyDH!AA7</f>
        <v>228.76</v>
      </c>
      <c r="S7" s="63">
        <f>ToyDH!AB7</f>
        <v>1.13</v>
      </c>
      <c r="T7" s="71">
        <f t="shared" si="2"/>
        <v>0.404004196537856</v>
      </c>
      <c r="U7" s="72">
        <f t="shared" ref="U7:W7" si="6">O7/N7</f>
        <v>0.00558735350231671</v>
      </c>
      <c r="V7" s="72">
        <f t="shared" si="6"/>
        <v>0.170731707317073</v>
      </c>
      <c r="W7" s="73">
        <f t="shared" si="6"/>
        <v>6.60142857142857</v>
      </c>
    </row>
    <row r="8" customHeight="1" spans="1:23">
      <c r="A8" s="61" t="s">
        <v>221</v>
      </c>
      <c r="B8" s="61" t="s">
        <v>222</v>
      </c>
      <c r="C8" s="62">
        <f>ToyDH!C8</f>
        <v>26</v>
      </c>
      <c r="D8" s="63">
        <f>ToyDH!D8</f>
        <v>26</v>
      </c>
      <c r="E8" s="64">
        <f>ToyDH!E8</f>
        <v>501.24</v>
      </c>
      <c r="F8" s="65">
        <v>71</v>
      </c>
      <c r="G8" s="66">
        <v>170</v>
      </c>
      <c r="H8" s="67">
        <v>241</v>
      </c>
      <c r="I8" s="66">
        <v>88</v>
      </c>
      <c r="J8" s="66">
        <v>211</v>
      </c>
      <c r="K8" s="68">
        <v>299</v>
      </c>
      <c r="L8" s="69">
        <f t="shared" si="0"/>
        <v>0.107883817427386</v>
      </c>
      <c r="M8" s="94">
        <f t="shared" si="1"/>
        <v>0.244772963051632</v>
      </c>
      <c r="N8" s="63">
        <f>ToyDH!W8</f>
        <v>2533</v>
      </c>
      <c r="O8" s="63">
        <f>ToyDH!X8</f>
        <v>107</v>
      </c>
      <c r="P8" s="63">
        <f>ToyDH!Y8</f>
        <v>16</v>
      </c>
      <c r="Q8" s="63">
        <f>ToyDH!Z8</f>
        <v>122.69</v>
      </c>
      <c r="R8" s="63">
        <f>ToyDH!AA8</f>
        <v>284.15</v>
      </c>
      <c r="S8" s="63">
        <f>ToyDH!AB8</f>
        <v>1.15</v>
      </c>
      <c r="T8" s="71">
        <f t="shared" si="2"/>
        <v>0.431778989970086</v>
      </c>
      <c r="U8" s="72">
        <f t="shared" ref="U8:W8" si="7">O8/N8</f>
        <v>0.042242400315831</v>
      </c>
      <c r="V8" s="72">
        <f t="shared" si="7"/>
        <v>0.149532710280374</v>
      </c>
      <c r="W8" s="73">
        <f t="shared" si="7"/>
        <v>7.668125</v>
      </c>
    </row>
    <row r="9" customHeight="1" spans="1:23">
      <c r="A9" s="61" t="s">
        <v>223</v>
      </c>
      <c r="B9" s="61" t="s">
        <v>224</v>
      </c>
      <c r="C9" s="62">
        <f>ToyDH!C9</f>
        <v>12</v>
      </c>
      <c r="D9" s="63">
        <f>ToyDH!D9</f>
        <v>12</v>
      </c>
      <c r="E9" s="64">
        <f>ToyDH!E9</f>
        <v>278.37</v>
      </c>
      <c r="F9" s="65">
        <v>30</v>
      </c>
      <c r="G9" s="66">
        <v>111</v>
      </c>
      <c r="H9" s="67">
        <v>141</v>
      </c>
      <c r="I9" s="66">
        <v>32</v>
      </c>
      <c r="J9" s="66">
        <v>124</v>
      </c>
      <c r="K9" s="68">
        <v>156</v>
      </c>
      <c r="L9" s="69">
        <f t="shared" si="0"/>
        <v>0.0851063829787234</v>
      </c>
      <c r="M9" s="94">
        <f t="shared" si="1"/>
        <v>0.258684484678665</v>
      </c>
      <c r="N9" s="63">
        <f>ToyDH!W9</f>
        <v>12725</v>
      </c>
      <c r="O9" s="63">
        <f>ToyDH!X9</f>
        <v>68</v>
      </c>
      <c r="P9" s="63">
        <f>ToyDH!Y9</f>
        <v>10</v>
      </c>
      <c r="Q9" s="63">
        <f>ToyDH!Z9</f>
        <v>72.01</v>
      </c>
      <c r="R9" s="63">
        <f>ToyDH!AA9</f>
        <v>212.34</v>
      </c>
      <c r="S9" s="63">
        <f>ToyDH!AB9</f>
        <v>1.06</v>
      </c>
      <c r="T9" s="71">
        <f t="shared" si="2"/>
        <v>0.339125930112084</v>
      </c>
      <c r="U9" s="72">
        <f t="shared" ref="U9:W9" si="8">O9/N9</f>
        <v>0.00534381139489195</v>
      </c>
      <c r="V9" s="72">
        <f t="shared" si="8"/>
        <v>0.147058823529412</v>
      </c>
      <c r="W9" s="73">
        <f t="shared" si="8"/>
        <v>7.201</v>
      </c>
    </row>
    <row r="10" customHeight="1" spans="1:23">
      <c r="A10" s="79" t="s">
        <v>226</v>
      </c>
      <c r="B10" s="80" t="s">
        <v>227</v>
      </c>
      <c r="C10" s="62">
        <f>ToyDH!C10</f>
        <v>15</v>
      </c>
      <c r="D10" s="63">
        <f>ToyDH!D10</f>
        <v>15</v>
      </c>
      <c r="E10" s="64">
        <f>ToyDH!E10</f>
        <v>275.78</v>
      </c>
      <c r="F10" s="65">
        <v>48</v>
      </c>
      <c r="G10" s="66">
        <v>135</v>
      </c>
      <c r="H10" s="67">
        <v>183</v>
      </c>
      <c r="I10" s="66">
        <v>56</v>
      </c>
      <c r="J10" s="66">
        <v>173</v>
      </c>
      <c r="K10" s="68">
        <v>229</v>
      </c>
      <c r="L10" s="69">
        <f t="shared" si="0"/>
        <v>0.0819672131147541</v>
      </c>
      <c r="M10" s="94">
        <f t="shared" si="1"/>
        <v>0.309050692581043</v>
      </c>
      <c r="N10" s="63">
        <f>ToyDH!W10</f>
        <v>17816</v>
      </c>
      <c r="O10" s="63">
        <f>ToyDH!X10</f>
        <v>85</v>
      </c>
      <c r="P10" s="63">
        <f>ToyDH!Y10</f>
        <v>14</v>
      </c>
      <c r="Q10" s="63">
        <f>ToyDH!Z10</f>
        <v>85.23</v>
      </c>
      <c r="R10" s="63">
        <f>ToyDH!AA10</f>
        <v>245.19</v>
      </c>
      <c r="S10" s="63">
        <f>ToyDH!AB10</f>
        <v>1</v>
      </c>
      <c r="T10" s="71">
        <f t="shared" si="2"/>
        <v>0.347607977486847</v>
      </c>
      <c r="U10" s="72">
        <f t="shared" ref="U10:W10" si="9">O10/N10</f>
        <v>0.00477099236641221</v>
      </c>
      <c r="V10" s="72">
        <f t="shared" si="9"/>
        <v>0.164705882352941</v>
      </c>
      <c r="W10" s="73">
        <f t="shared" si="9"/>
        <v>6.08785714285714</v>
      </c>
    </row>
    <row r="11" customHeight="1" spans="1:23">
      <c r="A11" s="61" t="s">
        <v>228</v>
      </c>
      <c r="B11" s="81" t="s">
        <v>229</v>
      </c>
      <c r="C11" s="62">
        <f>ToyDH!C11</f>
        <v>16</v>
      </c>
      <c r="D11" s="63">
        <f>ToyDH!D11</f>
        <v>16</v>
      </c>
      <c r="E11" s="64">
        <f>ToyDH!E11</f>
        <v>333.46</v>
      </c>
      <c r="F11" s="65">
        <v>42</v>
      </c>
      <c r="G11" s="66">
        <v>143</v>
      </c>
      <c r="H11" s="67">
        <v>185</v>
      </c>
      <c r="I11" s="66">
        <v>54</v>
      </c>
      <c r="J11" s="66">
        <v>172</v>
      </c>
      <c r="K11" s="68">
        <v>226</v>
      </c>
      <c r="L11" s="69">
        <f t="shared" si="0"/>
        <v>0.0864864864864865</v>
      </c>
      <c r="M11" s="94">
        <f t="shared" si="1"/>
        <v>0.239818868829845</v>
      </c>
      <c r="N11" s="63">
        <f>ToyDH!W11</f>
        <v>13816</v>
      </c>
      <c r="O11" s="63">
        <f>ToyDH!X11</f>
        <v>84</v>
      </c>
      <c r="P11" s="63">
        <f>ToyDH!Y11</f>
        <v>14</v>
      </c>
      <c r="Q11" s="63">
        <f>ToyDH!Z11</f>
        <v>79.97</v>
      </c>
      <c r="R11" s="63">
        <f>ToyDH!AA11</f>
        <v>288.4</v>
      </c>
      <c r="S11" s="63">
        <f>ToyDH!AB11</f>
        <v>0.95</v>
      </c>
      <c r="T11" s="71">
        <f t="shared" si="2"/>
        <v>0.277288488210818</v>
      </c>
      <c r="U11" s="72">
        <f t="shared" ref="U11:W11" si="10">O11/N11</f>
        <v>0.0060799073537927</v>
      </c>
      <c r="V11" s="72">
        <f t="shared" si="10"/>
        <v>0.166666666666667</v>
      </c>
      <c r="W11" s="73">
        <f t="shared" si="10"/>
        <v>5.71214285714286</v>
      </c>
    </row>
    <row r="12" customHeight="1" spans="1:23">
      <c r="A12" s="61" t="s">
        <v>230</v>
      </c>
      <c r="B12" s="81" t="s">
        <v>231</v>
      </c>
      <c r="C12" s="62">
        <f>ToyDH!C12</f>
        <v>12</v>
      </c>
      <c r="D12" s="63">
        <f>ToyDH!D12</f>
        <v>12</v>
      </c>
      <c r="E12" s="64">
        <f>ToyDH!E12</f>
        <v>233.73</v>
      </c>
      <c r="F12" s="65">
        <v>65</v>
      </c>
      <c r="G12" s="66">
        <v>156</v>
      </c>
      <c r="H12" s="67">
        <v>221</v>
      </c>
      <c r="I12" s="66">
        <v>80</v>
      </c>
      <c r="J12" s="66">
        <v>187</v>
      </c>
      <c r="K12" s="68">
        <v>267</v>
      </c>
      <c r="L12" s="69">
        <f t="shared" si="0"/>
        <v>0.0542986425339367</v>
      </c>
      <c r="M12" s="94">
        <f t="shared" si="1"/>
        <v>0.375433192144782</v>
      </c>
      <c r="N12" s="63">
        <f>ToyDH!W12</f>
        <v>17964</v>
      </c>
      <c r="O12" s="63">
        <f>ToyDH!X12</f>
        <v>87</v>
      </c>
      <c r="P12" s="63">
        <f>ToyDH!Y12</f>
        <v>12</v>
      </c>
      <c r="Q12" s="63">
        <f>ToyDH!Z12</f>
        <v>87.75</v>
      </c>
      <c r="R12" s="63">
        <f>ToyDH!AA12</f>
        <v>226.09</v>
      </c>
      <c r="S12" s="63">
        <f>ToyDH!AB12</f>
        <v>1.01</v>
      </c>
      <c r="T12" s="71">
        <f t="shared" si="2"/>
        <v>0.388119775310717</v>
      </c>
      <c r="U12" s="72">
        <f t="shared" ref="U12:W12" si="11">O12/N12</f>
        <v>0.00484301937207749</v>
      </c>
      <c r="V12" s="72">
        <f t="shared" si="11"/>
        <v>0.137931034482759</v>
      </c>
      <c r="W12" s="73">
        <f t="shared" si="11"/>
        <v>7.3125</v>
      </c>
    </row>
    <row r="13" customHeight="1" spans="1:23">
      <c r="A13" s="61" t="s">
        <v>232</v>
      </c>
      <c r="B13" s="81" t="s">
        <v>233</v>
      </c>
      <c r="C13" s="62">
        <f>ToyDH!C13</f>
        <v>19</v>
      </c>
      <c r="D13" s="63">
        <f>ToyDH!D13</f>
        <v>18</v>
      </c>
      <c r="E13" s="64">
        <f>ToyDH!E13</f>
        <v>388.56</v>
      </c>
      <c r="F13" s="65">
        <v>61</v>
      </c>
      <c r="G13" s="66">
        <v>173</v>
      </c>
      <c r="H13" s="67">
        <v>234</v>
      </c>
      <c r="I13" s="66">
        <v>69</v>
      </c>
      <c r="J13" s="66">
        <v>218</v>
      </c>
      <c r="K13" s="68">
        <v>287</v>
      </c>
      <c r="L13" s="69">
        <f t="shared" si="0"/>
        <v>0.0769230769230769</v>
      </c>
      <c r="M13" s="94">
        <f t="shared" si="1"/>
        <v>0.249356598723492</v>
      </c>
      <c r="N13" s="63">
        <f>ToyDH!W13</f>
        <v>23192</v>
      </c>
      <c r="O13" s="63">
        <f>ToyDH!X13</f>
        <v>98</v>
      </c>
      <c r="P13" s="63">
        <f>ToyDH!Y13</f>
        <v>9</v>
      </c>
      <c r="Q13" s="63">
        <f>ToyDH!Z13</f>
        <v>96.89</v>
      </c>
      <c r="R13" s="63">
        <f>ToyDH!AA13</f>
        <v>188.15</v>
      </c>
      <c r="S13" s="63">
        <f>ToyDH!AB13</f>
        <v>0.99</v>
      </c>
      <c r="T13" s="71">
        <f t="shared" si="2"/>
        <v>0.514961466914696</v>
      </c>
      <c r="U13" s="72">
        <f t="shared" ref="U13:W13" si="12">O13/N13</f>
        <v>0.00422559503276992</v>
      </c>
      <c r="V13" s="72">
        <f t="shared" si="12"/>
        <v>0.0918367346938776</v>
      </c>
      <c r="W13" s="73">
        <f t="shared" si="12"/>
        <v>10.7655555555556</v>
      </c>
    </row>
    <row r="14" customHeight="1" spans="1:23">
      <c r="A14" s="61" t="s">
        <v>236</v>
      </c>
      <c r="B14" s="81" t="s">
        <v>237</v>
      </c>
      <c r="C14" s="62">
        <f>ToyDH!C14</f>
        <v>20</v>
      </c>
      <c r="D14" s="63">
        <f>ToyDH!D14</f>
        <v>20</v>
      </c>
      <c r="E14" s="64">
        <f>ToyDH!E14</f>
        <v>419.88</v>
      </c>
      <c r="F14" s="65">
        <v>61</v>
      </c>
      <c r="G14" s="66">
        <v>145</v>
      </c>
      <c r="H14" s="67">
        <v>206</v>
      </c>
      <c r="I14" s="66">
        <v>66</v>
      </c>
      <c r="J14" s="66">
        <v>181</v>
      </c>
      <c r="K14" s="68">
        <v>247</v>
      </c>
      <c r="L14" s="69">
        <f t="shared" si="0"/>
        <v>0.0970873786407767</v>
      </c>
      <c r="M14" s="94">
        <f t="shared" si="1"/>
        <v>0.189077831761456</v>
      </c>
      <c r="N14" s="63">
        <f>ToyDH!W14</f>
        <v>23242</v>
      </c>
      <c r="O14" s="63">
        <f>ToyDH!X14</f>
        <v>83</v>
      </c>
      <c r="P14" s="63">
        <f>ToyDH!Y14</f>
        <v>14</v>
      </c>
      <c r="Q14" s="63">
        <f>ToyDH!Z14</f>
        <v>79.39</v>
      </c>
      <c r="R14" s="63">
        <f>ToyDH!AA14</f>
        <v>303.18</v>
      </c>
      <c r="S14" s="63">
        <f>ToyDH!AB14</f>
        <v>0.96</v>
      </c>
      <c r="T14" s="71">
        <f t="shared" si="2"/>
        <v>0.261857642324692</v>
      </c>
      <c r="U14" s="72">
        <f t="shared" ref="U14:W14" si="13">O14/N14</f>
        <v>0.00357112124602014</v>
      </c>
      <c r="V14" s="72">
        <f t="shared" si="13"/>
        <v>0.168674698795181</v>
      </c>
      <c r="W14" s="73">
        <f t="shared" si="13"/>
        <v>5.67071428571429</v>
      </c>
    </row>
    <row r="15" customHeight="1" spans="1:23">
      <c r="A15" s="61" t="s">
        <v>240</v>
      </c>
      <c r="B15" s="81" t="s">
        <v>241</v>
      </c>
      <c r="C15" s="62">
        <f>ToyDH!C15</f>
        <v>13</v>
      </c>
      <c r="D15" s="63">
        <f>ToyDH!D15</f>
        <v>13</v>
      </c>
      <c r="E15" s="64">
        <f>ToyDH!E15</f>
        <v>264.1</v>
      </c>
      <c r="F15" s="65">
        <v>53</v>
      </c>
      <c r="G15" s="66">
        <v>136</v>
      </c>
      <c r="H15" s="67">
        <v>189</v>
      </c>
      <c r="I15" s="66">
        <v>61</v>
      </c>
      <c r="J15" s="66">
        <v>178</v>
      </c>
      <c r="K15" s="68">
        <v>239</v>
      </c>
      <c r="L15" s="69">
        <f t="shared" si="0"/>
        <v>0.0687830687830688</v>
      </c>
      <c r="M15" s="94">
        <f t="shared" si="1"/>
        <v>0.244982960999621</v>
      </c>
      <c r="N15" s="63">
        <f>ToyDH!W15</f>
        <v>11812</v>
      </c>
      <c r="O15" s="63">
        <f>ToyDH!X15</f>
        <v>72</v>
      </c>
      <c r="P15" s="63">
        <f>ToyDH!Y15</f>
        <v>5</v>
      </c>
      <c r="Q15" s="63">
        <f>ToyDH!Z15</f>
        <v>64.7</v>
      </c>
      <c r="R15" s="63">
        <f>ToyDH!AA15</f>
        <v>87.35</v>
      </c>
      <c r="S15" s="63">
        <f>ToyDH!AB15</f>
        <v>0.9</v>
      </c>
      <c r="T15" s="71">
        <f t="shared" si="2"/>
        <v>0.740698340011448</v>
      </c>
      <c r="U15" s="72">
        <f t="shared" ref="U15:W15" si="14">O15/N15</f>
        <v>0.00609549610565527</v>
      </c>
      <c r="V15" s="72">
        <f t="shared" si="14"/>
        <v>0.0694444444444444</v>
      </c>
      <c r="W15" s="73">
        <f t="shared" si="14"/>
        <v>12.94</v>
      </c>
    </row>
    <row r="16" customHeight="1" spans="1:23">
      <c r="A16" s="61" t="s">
        <v>244</v>
      </c>
      <c r="B16" s="81" t="s">
        <v>245</v>
      </c>
      <c r="C16" s="62">
        <f>ToyDH!C16</f>
        <v>21</v>
      </c>
      <c r="D16" s="63">
        <f>ToyDH!D16</f>
        <v>21</v>
      </c>
      <c r="E16" s="64">
        <f>ToyDH!E16</f>
        <v>403.08</v>
      </c>
      <c r="F16" s="65">
        <v>60</v>
      </c>
      <c r="G16" s="66">
        <v>198</v>
      </c>
      <c r="H16" s="67">
        <v>258</v>
      </c>
      <c r="I16" s="66">
        <v>70</v>
      </c>
      <c r="J16" s="66">
        <v>251</v>
      </c>
      <c r="K16" s="68">
        <v>321</v>
      </c>
      <c r="L16" s="69">
        <f t="shared" si="0"/>
        <v>0.0813953488372093</v>
      </c>
      <c r="M16" s="94">
        <f t="shared" si="1"/>
        <v>0.232162349905726</v>
      </c>
      <c r="N16" s="63">
        <f>ToyDH!W16</f>
        <v>13071</v>
      </c>
      <c r="O16" s="63">
        <f>ToyDH!X16</f>
        <v>97</v>
      </c>
      <c r="P16" s="63">
        <f>ToyDH!Y16</f>
        <v>20</v>
      </c>
      <c r="Q16" s="63">
        <f>ToyDH!Z16</f>
        <v>93.58</v>
      </c>
      <c r="R16" s="63">
        <f>ToyDH!AA16</f>
        <v>386.45</v>
      </c>
      <c r="S16" s="63">
        <f>ToyDH!AB16</f>
        <v>0.96</v>
      </c>
      <c r="T16" s="71">
        <f t="shared" si="2"/>
        <v>0.242152930521413</v>
      </c>
      <c r="U16" s="72">
        <f t="shared" ref="U16:W16" si="15">O16/N16</f>
        <v>0.00742100833907123</v>
      </c>
      <c r="V16" s="72">
        <f t="shared" si="15"/>
        <v>0.206185567010309</v>
      </c>
      <c r="W16" s="73">
        <f t="shared" si="15"/>
        <v>4.679</v>
      </c>
    </row>
    <row r="17" customHeight="1" spans="1:23">
      <c r="A17" s="61" t="s">
        <v>247</v>
      </c>
      <c r="B17" s="81" t="s">
        <v>248</v>
      </c>
      <c r="C17" s="62">
        <f>ToyDH!C17</f>
        <v>15</v>
      </c>
      <c r="D17" s="63">
        <f>ToyDH!D17</f>
        <v>15</v>
      </c>
      <c r="E17" s="64">
        <f>ToyDH!E17</f>
        <v>274.12</v>
      </c>
      <c r="F17" s="65">
        <v>54</v>
      </c>
      <c r="G17" s="66">
        <v>139</v>
      </c>
      <c r="H17" s="67">
        <v>193</v>
      </c>
      <c r="I17" s="66">
        <v>65</v>
      </c>
      <c r="J17" s="66">
        <v>156</v>
      </c>
      <c r="K17" s="68">
        <v>221</v>
      </c>
      <c r="L17" s="69">
        <f t="shared" si="0"/>
        <v>0.077720207253886</v>
      </c>
      <c r="M17" s="94">
        <f t="shared" si="1"/>
        <v>0.29114986137458</v>
      </c>
      <c r="N17" s="63">
        <f>ToyDH!W17</f>
        <v>17455</v>
      </c>
      <c r="O17" s="63">
        <f>ToyDH!X17</f>
        <v>78</v>
      </c>
      <c r="P17" s="63">
        <f>ToyDH!Y17</f>
        <v>6</v>
      </c>
      <c r="Q17" s="63">
        <f>ToyDH!Z17</f>
        <v>79.81</v>
      </c>
      <c r="R17" s="63">
        <f>ToyDH!AA17</f>
        <v>121.05</v>
      </c>
      <c r="S17" s="63">
        <f>ToyDH!AB17</f>
        <v>1.02</v>
      </c>
      <c r="T17" s="71">
        <f t="shared" si="2"/>
        <v>0.659314332920281</v>
      </c>
      <c r="U17" s="72">
        <f t="shared" ref="U17:W17" si="16">O17/N17</f>
        <v>0.00446863362933257</v>
      </c>
      <c r="V17" s="72">
        <f t="shared" si="16"/>
        <v>0.0769230769230769</v>
      </c>
      <c r="W17" s="73">
        <f t="shared" si="16"/>
        <v>13.3016666666667</v>
      </c>
    </row>
    <row r="18" customHeight="1" spans="1:23">
      <c r="A18" s="61" t="s">
        <v>250</v>
      </c>
      <c r="B18" s="81" t="s">
        <v>251</v>
      </c>
      <c r="C18" s="62">
        <f>ToyDH!C18</f>
        <v>26</v>
      </c>
      <c r="D18" s="63">
        <f>ToyDH!D18</f>
        <v>25</v>
      </c>
      <c r="E18" s="64">
        <f>ToyDH!E18</f>
        <v>490.43</v>
      </c>
      <c r="F18" s="65">
        <v>54</v>
      </c>
      <c r="G18" s="66">
        <v>139</v>
      </c>
      <c r="H18" s="67">
        <v>193</v>
      </c>
      <c r="I18" s="66">
        <v>65</v>
      </c>
      <c r="J18" s="66">
        <v>156</v>
      </c>
      <c r="K18" s="68">
        <v>221</v>
      </c>
      <c r="L18" s="69">
        <f t="shared" si="0"/>
        <v>0.129533678756477</v>
      </c>
      <c r="M18" s="94">
        <f t="shared" si="1"/>
        <v>0.231715025589789</v>
      </c>
      <c r="N18" s="63">
        <f>ToyDH!W18</f>
        <v>15771</v>
      </c>
      <c r="O18" s="63">
        <f>ToyDH!X18</f>
        <v>112</v>
      </c>
      <c r="P18" s="63">
        <f>ToyDH!Y18</f>
        <v>17</v>
      </c>
      <c r="Q18" s="63">
        <f>ToyDH!Z18</f>
        <v>113.64</v>
      </c>
      <c r="R18" s="63">
        <f>ToyDH!AA18</f>
        <v>312.7</v>
      </c>
      <c r="S18" s="63">
        <f>ToyDH!AB18</f>
        <v>1.01</v>
      </c>
      <c r="T18" s="71">
        <f t="shared" si="2"/>
        <v>0.363415414134954</v>
      </c>
      <c r="U18" s="72">
        <f t="shared" ref="U18:W18" si="17">O18/N18</f>
        <v>0.00710164225477142</v>
      </c>
      <c r="V18" s="72">
        <f t="shared" si="17"/>
        <v>0.151785714285714</v>
      </c>
      <c r="W18" s="73">
        <f t="shared" si="17"/>
        <v>6.68470588235294</v>
      </c>
    </row>
    <row r="19" customHeight="1" spans="1:23">
      <c r="A19" s="61" t="s">
        <v>254</v>
      </c>
      <c r="B19" s="81" t="s">
        <v>255</v>
      </c>
      <c r="C19" s="62">
        <f>ToyDH!C19</f>
        <v>23</v>
      </c>
      <c r="D19" s="63">
        <f>ToyDH!D19</f>
        <v>23</v>
      </c>
      <c r="E19" s="64">
        <f>ToyDH!E19</f>
        <v>482.48</v>
      </c>
      <c r="F19" s="65">
        <v>54</v>
      </c>
      <c r="G19" s="66">
        <v>139</v>
      </c>
      <c r="H19" s="67">
        <v>193</v>
      </c>
      <c r="I19" s="66">
        <v>65</v>
      </c>
      <c r="J19" s="66">
        <v>156</v>
      </c>
      <c r="K19" s="68">
        <v>221</v>
      </c>
      <c r="L19" s="69">
        <f t="shared" si="0"/>
        <v>0.119170984455959</v>
      </c>
      <c r="M19" s="94">
        <f t="shared" si="1"/>
        <v>0.183261482341237</v>
      </c>
      <c r="N19" s="63">
        <f>ToyDH!W19</f>
        <v>14434</v>
      </c>
      <c r="O19" s="63">
        <f>ToyDH!X19</f>
        <v>87</v>
      </c>
      <c r="P19" s="63">
        <f>ToyDH!Y19</f>
        <v>19</v>
      </c>
      <c r="Q19" s="63">
        <f>ToyDH!Z19</f>
        <v>88.42</v>
      </c>
      <c r="R19" s="63">
        <f>ToyDH!AA19</f>
        <v>455.05</v>
      </c>
      <c r="S19" s="63">
        <f>ToyDH!AB19</f>
        <v>1.02</v>
      </c>
      <c r="T19" s="71">
        <f t="shared" si="2"/>
        <v>0.194308317767278</v>
      </c>
      <c r="U19" s="72">
        <f t="shared" ref="U19:W19" si="18">O19/N19</f>
        <v>0.00602743522239158</v>
      </c>
      <c r="V19" s="72">
        <f t="shared" si="18"/>
        <v>0.218390804597701</v>
      </c>
      <c r="W19" s="73">
        <f t="shared" si="18"/>
        <v>4.65368421052632</v>
      </c>
    </row>
    <row r="20" customHeight="1" spans="1:23">
      <c r="A20" t="s">
        <v>270</v>
      </c>
      <c r="B20" s="1"/>
      <c r="C20" s="1">
        <f>SUBTOTAL(109,表3_325419[销量])</f>
        <v>314</v>
      </c>
      <c r="D20" s="1">
        <f>SUBTOTAL(109,表3_325419[订单量])</f>
        <v>310</v>
      </c>
      <c r="E20" s="82">
        <f>SUBTOTAL(109,表3_325419[销售额])</f>
        <v>6053.94</v>
      </c>
      <c r="F20" s="1">
        <f>SUBTOTAL(101,表3_325419[Sessions-Browser])</f>
        <v>61.4375</v>
      </c>
      <c r="G20" s="83">
        <f>SUBTOTAL(101,表3_325419[Sessions-Mobile])</f>
        <v>155.75</v>
      </c>
      <c r="H20" s="83">
        <f>SUBTOTAL(101,表3_325419[Sessions-Total])</f>
        <v>217.1875</v>
      </c>
      <c r="I20" s="83">
        <f>SUBTOTAL(101,表3_325419[PV-Browser])</f>
        <v>73.375</v>
      </c>
      <c r="J20" s="84">
        <f>SUBTOTAL(101,表3_325419[PV-Mobile])</f>
        <v>190.3125</v>
      </c>
      <c r="K20" s="84">
        <f>SUBTOTAL(101,表3_325419[PV-Total])</f>
        <v>263.6875</v>
      </c>
      <c r="L20" s="85">
        <f>SUBTOTAL(101,表3_325419[CVR])</f>
        <v>0.0898896137578905</v>
      </c>
      <c r="M20" s="85">
        <f t="shared" si="1"/>
        <v>0.235496222294902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4221.93</v>
      </c>
      <c r="S20" s="16">
        <f>SUBTOTAL(101,表3_325419[CPC])</f>
        <v>1.026875</v>
      </c>
      <c r="T20" s="86">
        <f t="shared" si="2"/>
        <v>0.337684423948289</v>
      </c>
      <c r="U20" s="87">
        <f t="shared" ref="U20:W20" si="19">O20/N20</f>
        <v>0.00577993761998159</v>
      </c>
      <c r="V20" s="87">
        <f t="shared" si="19"/>
        <v>0.157060518731988</v>
      </c>
      <c r="W20" s="88">
        <f t="shared" si="19"/>
        <v>6.53981651376147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W7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423</v>
      </c>
      <c r="D1" s="26"/>
      <c r="E1" s="27"/>
      <c r="F1" s="28" t="s">
        <v>434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93" t="s">
        <v>69</v>
      </c>
      <c r="B4" s="90" t="s">
        <v>70</v>
      </c>
      <c r="C4" s="90">
        <v>33</v>
      </c>
      <c r="D4" s="91">
        <v>33</v>
      </c>
      <c r="E4" s="64">
        <v>530.68</v>
      </c>
      <c r="F4" s="65">
        <v>144</v>
      </c>
      <c r="G4" s="66">
        <v>372</v>
      </c>
      <c r="H4" s="67">
        <v>516</v>
      </c>
      <c r="I4" s="66">
        <v>193</v>
      </c>
      <c r="J4" s="66">
        <v>523</v>
      </c>
      <c r="K4" s="68">
        <v>716</v>
      </c>
      <c r="L4" s="69">
        <f t="shared" ref="L4:L35" si="0">D4/H4</f>
        <v>0.063953488372093</v>
      </c>
      <c r="M4" s="94">
        <f t="shared" ref="M4:M35" si="1">Q4/E4</f>
        <v>0.544018994497626</v>
      </c>
      <c r="N4" s="91">
        <v>51372</v>
      </c>
      <c r="O4" s="91">
        <v>301</v>
      </c>
      <c r="P4" s="91">
        <v>26</v>
      </c>
      <c r="Q4" s="91">
        <v>288.7</v>
      </c>
      <c r="R4" s="92">
        <v>429.74</v>
      </c>
      <c r="S4" s="91">
        <v>0.96</v>
      </c>
      <c r="T4" s="71">
        <f t="shared" ref="T4:T35" si="2">Q4/R4</f>
        <v>0.671801554428259</v>
      </c>
      <c r="U4" s="72">
        <f t="shared" ref="U4:U35" si="3">O4/N4</f>
        <v>0.00585922292299307</v>
      </c>
      <c r="V4" s="72">
        <f t="shared" ref="V4:V35" si="4">P4/O4</f>
        <v>0.0863787375415282</v>
      </c>
      <c r="W4" s="73">
        <f t="shared" ref="W4:W35" si="5">Q4/P4</f>
        <v>11.1038461538462</v>
      </c>
    </row>
    <row r="5" customHeight="1" spans="1:23">
      <c r="A5" s="93" t="s">
        <v>71</v>
      </c>
      <c r="B5" s="90" t="s">
        <v>72</v>
      </c>
      <c r="C5" s="90">
        <v>29</v>
      </c>
      <c r="D5" s="91">
        <v>29</v>
      </c>
      <c r="E5" s="64">
        <v>493.21</v>
      </c>
      <c r="F5" s="65">
        <v>122</v>
      </c>
      <c r="G5" s="66">
        <v>283</v>
      </c>
      <c r="H5" s="67">
        <v>405</v>
      </c>
      <c r="I5" s="66">
        <v>166</v>
      </c>
      <c r="J5" s="66">
        <v>429</v>
      </c>
      <c r="K5" s="68">
        <v>595</v>
      </c>
      <c r="L5" s="69">
        <f t="shared" si="0"/>
        <v>0.0716049382716049</v>
      </c>
      <c r="M5" s="94">
        <f t="shared" si="1"/>
        <v>0.377790393544332</v>
      </c>
      <c r="N5" s="91">
        <v>30309</v>
      </c>
      <c r="O5" s="91">
        <v>207</v>
      </c>
      <c r="P5" s="91">
        <v>21</v>
      </c>
      <c r="Q5" s="91">
        <v>186.33</v>
      </c>
      <c r="R5" s="92">
        <v>354.29</v>
      </c>
      <c r="S5" s="91">
        <v>0.9</v>
      </c>
      <c r="T5" s="71">
        <f t="shared" si="2"/>
        <v>0.525925089615851</v>
      </c>
      <c r="U5" s="72">
        <f t="shared" si="3"/>
        <v>0.00682965455805206</v>
      </c>
      <c r="V5" s="72">
        <f t="shared" si="4"/>
        <v>0.101449275362319</v>
      </c>
      <c r="W5" s="73">
        <f t="shared" si="5"/>
        <v>8.87285714285714</v>
      </c>
    </row>
    <row r="6" customHeight="1" spans="1:23">
      <c r="A6" s="93" t="s">
        <v>73</v>
      </c>
      <c r="B6" s="90" t="s">
        <v>74</v>
      </c>
      <c r="C6" s="90">
        <v>11</v>
      </c>
      <c r="D6" s="91">
        <v>11</v>
      </c>
      <c r="E6" s="64">
        <v>201.48</v>
      </c>
      <c r="F6" s="65">
        <v>73</v>
      </c>
      <c r="G6" s="66">
        <v>162</v>
      </c>
      <c r="H6" s="67">
        <v>235</v>
      </c>
      <c r="I6" s="66">
        <v>121</v>
      </c>
      <c r="J6" s="66">
        <v>244</v>
      </c>
      <c r="K6" s="68">
        <v>365</v>
      </c>
      <c r="L6" s="69">
        <f t="shared" si="0"/>
        <v>0.0468085106382979</v>
      </c>
      <c r="M6" s="94">
        <f t="shared" si="1"/>
        <v>0.405747468731388</v>
      </c>
      <c r="N6" s="91">
        <v>19912</v>
      </c>
      <c r="O6" s="91">
        <v>103</v>
      </c>
      <c r="P6" s="91">
        <v>9</v>
      </c>
      <c r="Q6" s="91">
        <v>81.75</v>
      </c>
      <c r="R6" s="92">
        <v>163.5</v>
      </c>
      <c r="S6" s="91">
        <v>0.79</v>
      </c>
      <c r="T6" s="71">
        <f t="shared" si="2"/>
        <v>0.5</v>
      </c>
      <c r="U6" s="72">
        <f t="shared" si="3"/>
        <v>0.0051727601446364</v>
      </c>
      <c r="V6" s="72">
        <f t="shared" si="4"/>
        <v>0.087378640776699</v>
      </c>
      <c r="W6" s="73">
        <f t="shared" si="5"/>
        <v>9.08333333333333</v>
      </c>
    </row>
    <row r="7" customHeight="1" spans="1:23">
      <c r="A7" s="93" t="s">
        <v>76</v>
      </c>
      <c r="B7" s="90" t="s">
        <v>77</v>
      </c>
      <c r="C7" s="90">
        <v>32</v>
      </c>
      <c r="D7" s="91">
        <v>32</v>
      </c>
      <c r="E7" s="64">
        <v>534.08</v>
      </c>
      <c r="F7" s="65">
        <v>176</v>
      </c>
      <c r="G7" s="66">
        <v>333</v>
      </c>
      <c r="H7" s="67">
        <v>509</v>
      </c>
      <c r="I7" s="66">
        <v>247</v>
      </c>
      <c r="J7" s="66">
        <v>454</v>
      </c>
      <c r="K7" s="68">
        <v>701</v>
      </c>
      <c r="L7" s="69">
        <f t="shared" si="0"/>
        <v>0.0628683693516699</v>
      </c>
      <c r="M7" s="94">
        <f t="shared" si="1"/>
        <v>0.571187837028161</v>
      </c>
      <c r="N7" s="91">
        <v>37460</v>
      </c>
      <c r="O7" s="91">
        <v>295</v>
      </c>
      <c r="P7" s="91">
        <v>32</v>
      </c>
      <c r="Q7" s="91">
        <v>305.06</v>
      </c>
      <c r="R7" s="92">
        <v>554.77</v>
      </c>
      <c r="S7" s="91">
        <v>1.03</v>
      </c>
      <c r="T7" s="71">
        <f t="shared" si="2"/>
        <v>0.549885538150945</v>
      </c>
      <c r="U7" s="72">
        <f t="shared" si="3"/>
        <v>0.00787506673785371</v>
      </c>
      <c r="V7" s="72">
        <f t="shared" si="4"/>
        <v>0.108474576271186</v>
      </c>
      <c r="W7" s="73">
        <f t="shared" si="5"/>
        <v>9.533125</v>
      </c>
    </row>
    <row r="8" customHeight="1" spans="1:23">
      <c r="A8" s="93" t="s">
        <v>79</v>
      </c>
      <c r="B8" s="90" t="s">
        <v>80</v>
      </c>
      <c r="C8" s="90">
        <v>31</v>
      </c>
      <c r="D8" s="91">
        <v>29</v>
      </c>
      <c r="E8" s="64">
        <v>551.79</v>
      </c>
      <c r="F8" s="65">
        <v>157</v>
      </c>
      <c r="G8" s="66">
        <v>450</v>
      </c>
      <c r="H8" s="67">
        <v>607</v>
      </c>
      <c r="I8" s="66">
        <v>232</v>
      </c>
      <c r="J8" s="66">
        <v>618</v>
      </c>
      <c r="K8" s="68">
        <v>850</v>
      </c>
      <c r="L8" s="69">
        <f t="shared" si="0"/>
        <v>0.0477759472817133</v>
      </c>
      <c r="M8" s="94">
        <f t="shared" si="1"/>
        <v>0.546983453850197</v>
      </c>
      <c r="N8" s="91">
        <v>60281</v>
      </c>
      <c r="O8" s="91">
        <v>304</v>
      </c>
      <c r="P8" s="91">
        <v>21</v>
      </c>
      <c r="Q8" s="91">
        <v>301.82</v>
      </c>
      <c r="R8" s="92">
        <v>391.28</v>
      </c>
      <c r="S8" s="91">
        <v>0.99</v>
      </c>
      <c r="T8" s="71">
        <f t="shared" si="2"/>
        <v>0.771365773870374</v>
      </c>
      <c r="U8" s="72">
        <f t="shared" si="3"/>
        <v>0.00504304839003998</v>
      </c>
      <c r="V8" s="72">
        <f t="shared" si="4"/>
        <v>0.0690789473684211</v>
      </c>
      <c r="W8" s="73">
        <f t="shared" si="5"/>
        <v>14.372380952381</v>
      </c>
    </row>
    <row r="9" customHeight="1" spans="1:23">
      <c r="A9" s="93" t="s">
        <v>81</v>
      </c>
      <c r="B9" s="90" t="s">
        <v>82</v>
      </c>
      <c r="C9" s="90">
        <v>36</v>
      </c>
      <c r="D9" s="91">
        <v>36</v>
      </c>
      <c r="E9" s="64">
        <v>649.64</v>
      </c>
      <c r="F9" s="65">
        <v>191</v>
      </c>
      <c r="G9" s="66">
        <v>346</v>
      </c>
      <c r="H9" s="67">
        <v>537</v>
      </c>
      <c r="I9" s="66">
        <v>250</v>
      </c>
      <c r="J9" s="66">
        <v>501</v>
      </c>
      <c r="K9" s="68">
        <v>751</v>
      </c>
      <c r="L9" s="69">
        <f t="shared" si="0"/>
        <v>0.0670391061452514</v>
      </c>
      <c r="M9" s="94">
        <f t="shared" si="1"/>
        <v>0.39018533341543</v>
      </c>
      <c r="N9" s="91">
        <v>42587</v>
      </c>
      <c r="O9" s="91">
        <v>273</v>
      </c>
      <c r="P9" s="91">
        <v>24</v>
      </c>
      <c r="Q9" s="91">
        <v>253.48</v>
      </c>
      <c r="R9" s="92">
        <v>425.76</v>
      </c>
      <c r="S9" s="91">
        <v>0.93</v>
      </c>
      <c r="T9" s="71">
        <f t="shared" si="2"/>
        <v>0.595358887636227</v>
      </c>
      <c r="U9" s="72">
        <f t="shared" si="3"/>
        <v>0.00641040693169277</v>
      </c>
      <c r="V9" s="72">
        <f t="shared" si="4"/>
        <v>0.0879120879120879</v>
      </c>
      <c r="W9" s="73">
        <f t="shared" si="5"/>
        <v>10.5616666666667</v>
      </c>
    </row>
    <row r="10" customHeight="1" spans="1:23">
      <c r="A10" s="93" t="s">
        <v>84</v>
      </c>
      <c r="B10" s="90" t="s">
        <v>85</v>
      </c>
      <c r="C10" s="90">
        <v>75</v>
      </c>
      <c r="D10" s="91">
        <v>75</v>
      </c>
      <c r="E10" s="64">
        <v>1334.75</v>
      </c>
      <c r="F10" s="65">
        <v>196</v>
      </c>
      <c r="G10" s="66">
        <v>942</v>
      </c>
      <c r="H10" s="67">
        <v>1138</v>
      </c>
      <c r="I10" s="66">
        <v>278</v>
      </c>
      <c r="J10" s="66">
        <v>1192</v>
      </c>
      <c r="K10" s="68">
        <v>1470</v>
      </c>
      <c r="L10" s="69">
        <f t="shared" si="0"/>
        <v>0.0659050966608084</v>
      </c>
      <c r="M10" s="94">
        <f t="shared" si="1"/>
        <v>0.199265780108635</v>
      </c>
      <c r="N10" s="91">
        <v>61553</v>
      </c>
      <c r="O10" s="91">
        <v>276</v>
      </c>
      <c r="P10" s="91">
        <v>35</v>
      </c>
      <c r="Q10" s="91">
        <v>265.97</v>
      </c>
      <c r="R10" s="92">
        <v>627.65</v>
      </c>
      <c r="S10" s="91">
        <v>0.96</v>
      </c>
      <c r="T10" s="71">
        <f t="shared" si="2"/>
        <v>0.423755277622879</v>
      </c>
      <c r="U10" s="72">
        <f t="shared" si="3"/>
        <v>0.00448394066901694</v>
      </c>
      <c r="V10" s="72">
        <f t="shared" si="4"/>
        <v>0.126811594202899</v>
      </c>
      <c r="W10" s="73">
        <f t="shared" si="5"/>
        <v>7.59914285714286</v>
      </c>
    </row>
    <row r="11" customHeight="1" spans="1:23">
      <c r="A11" s="61" t="s">
        <v>86</v>
      </c>
      <c r="B11" s="89" t="s">
        <v>87</v>
      </c>
      <c r="C11" s="90">
        <v>24</v>
      </c>
      <c r="D11" s="91">
        <v>24</v>
      </c>
      <c r="E11" s="64">
        <v>435.77</v>
      </c>
      <c r="F11" s="65">
        <v>105</v>
      </c>
      <c r="G11" s="66">
        <v>341</v>
      </c>
      <c r="H11" s="67">
        <v>446</v>
      </c>
      <c r="I11" s="66">
        <v>157</v>
      </c>
      <c r="J11" s="66">
        <v>460</v>
      </c>
      <c r="K11" s="68">
        <v>617</v>
      </c>
      <c r="L11" s="69">
        <f t="shared" si="0"/>
        <v>0.0538116591928251</v>
      </c>
      <c r="M11" s="94">
        <f t="shared" si="1"/>
        <v>0.525988480161553</v>
      </c>
      <c r="N11" s="91">
        <v>41499</v>
      </c>
      <c r="O11" s="91">
        <v>243</v>
      </c>
      <c r="P11" s="91">
        <v>20</v>
      </c>
      <c r="Q11" s="91">
        <v>229.21</v>
      </c>
      <c r="R11" s="92">
        <v>413.09</v>
      </c>
      <c r="S11" s="91">
        <v>0.94</v>
      </c>
      <c r="T11" s="71">
        <f t="shared" si="2"/>
        <v>0.554866978140357</v>
      </c>
      <c r="U11" s="72">
        <f t="shared" si="3"/>
        <v>0.00585556278464541</v>
      </c>
      <c r="V11" s="72">
        <f t="shared" si="4"/>
        <v>0.0823045267489712</v>
      </c>
      <c r="W11" s="73">
        <f t="shared" si="5"/>
        <v>11.4605</v>
      </c>
    </row>
    <row r="12" customHeight="1" spans="1:23">
      <c r="A12" s="61" t="s">
        <v>89</v>
      </c>
      <c r="B12" s="89" t="s">
        <v>90</v>
      </c>
      <c r="C12" s="90">
        <v>50</v>
      </c>
      <c r="D12" s="91">
        <v>43</v>
      </c>
      <c r="E12" s="64">
        <v>864.14</v>
      </c>
      <c r="F12" s="65">
        <v>229</v>
      </c>
      <c r="G12" s="66">
        <v>579</v>
      </c>
      <c r="H12" s="67">
        <v>808</v>
      </c>
      <c r="I12" s="66">
        <v>302</v>
      </c>
      <c r="J12" s="66">
        <v>786</v>
      </c>
      <c r="K12" s="68">
        <v>1088</v>
      </c>
      <c r="L12" s="69">
        <f t="shared" si="0"/>
        <v>0.0532178217821782</v>
      </c>
      <c r="M12" s="94">
        <f t="shared" si="1"/>
        <v>0.46309625755086</v>
      </c>
      <c r="N12" s="91">
        <v>69054</v>
      </c>
      <c r="O12" s="91">
        <v>405</v>
      </c>
      <c r="P12" s="91">
        <v>37</v>
      </c>
      <c r="Q12" s="91">
        <v>400.18</v>
      </c>
      <c r="R12" s="92">
        <v>739.13</v>
      </c>
      <c r="S12" s="91">
        <v>0.99</v>
      </c>
      <c r="T12" s="71">
        <f t="shared" si="2"/>
        <v>0.54142031848254</v>
      </c>
      <c r="U12" s="72">
        <f t="shared" si="3"/>
        <v>0.00586497523677122</v>
      </c>
      <c r="V12" s="72">
        <f t="shared" si="4"/>
        <v>0.091358024691358</v>
      </c>
      <c r="W12" s="73">
        <f t="shared" si="5"/>
        <v>10.8156756756757</v>
      </c>
    </row>
    <row r="13" customHeight="1" spans="1:23">
      <c r="A13" s="93" t="s">
        <v>92</v>
      </c>
      <c r="B13" s="90" t="s">
        <v>93</v>
      </c>
      <c r="C13" s="90">
        <v>54</v>
      </c>
      <c r="D13" s="91">
        <v>54</v>
      </c>
      <c r="E13" s="64">
        <v>1130.06</v>
      </c>
      <c r="F13" s="65">
        <v>207</v>
      </c>
      <c r="G13" s="66">
        <v>408</v>
      </c>
      <c r="H13" s="67">
        <v>615</v>
      </c>
      <c r="I13" s="66">
        <v>322</v>
      </c>
      <c r="J13" s="66">
        <v>574</v>
      </c>
      <c r="K13" s="68">
        <v>896</v>
      </c>
      <c r="L13" s="69">
        <f t="shared" si="0"/>
        <v>0.0878048780487805</v>
      </c>
      <c r="M13" s="95">
        <f t="shared" si="1"/>
        <v>0.305010353432561</v>
      </c>
      <c r="N13" s="91">
        <v>48538</v>
      </c>
      <c r="O13" s="91">
        <v>311</v>
      </c>
      <c r="P13" s="91">
        <v>49</v>
      </c>
      <c r="Q13" s="91">
        <v>344.68</v>
      </c>
      <c r="R13" s="92">
        <v>1028.61</v>
      </c>
      <c r="S13" s="91">
        <v>1.11</v>
      </c>
      <c r="T13" s="71">
        <f t="shared" si="2"/>
        <v>0.335092989568447</v>
      </c>
      <c r="U13" s="72">
        <f t="shared" si="3"/>
        <v>0.00640735094153035</v>
      </c>
      <c r="V13" s="72">
        <f t="shared" si="4"/>
        <v>0.157556270096463</v>
      </c>
      <c r="W13" s="73">
        <f t="shared" si="5"/>
        <v>7.03428571428571</v>
      </c>
    </row>
    <row r="14" customHeight="1" spans="1:23">
      <c r="A14" s="61" t="s">
        <v>95</v>
      </c>
      <c r="B14" s="89" t="s">
        <v>96</v>
      </c>
      <c r="C14" s="90">
        <v>77</v>
      </c>
      <c r="D14" s="91">
        <v>75</v>
      </c>
      <c r="E14" s="64">
        <v>1527.91</v>
      </c>
      <c r="F14" s="65">
        <v>297</v>
      </c>
      <c r="G14" s="66">
        <v>823</v>
      </c>
      <c r="H14" s="67">
        <v>1120</v>
      </c>
      <c r="I14" s="66">
        <v>399</v>
      </c>
      <c r="J14" s="66">
        <v>1091</v>
      </c>
      <c r="K14" s="68">
        <v>1490</v>
      </c>
      <c r="L14" s="69">
        <f t="shared" si="0"/>
        <v>0.0669642857142857</v>
      </c>
      <c r="M14" s="70">
        <f t="shared" si="1"/>
        <v>0.46995569110746</v>
      </c>
      <c r="N14" s="91">
        <v>90016</v>
      </c>
      <c r="O14" s="91">
        <v>604</v>
      </c>
      <c r="P14" s="91">
        <v>59</v>
      </c>
      <c r="Q14" s="91">
        <v>718.05</v>
      </c>
      <c r="R14" s="92">
        <v>1195.65</v>
      </c>
      <c r="S14" s="91">
        <v>1.19</v>
      </c>
      <c r="T14" s="71">
        <f t="shared" si="2"/>
        <v>0.600552001003638</v>
      </c>
      <c r="U14" s="72">
        <f t="shared" si="3"/>
        <v>0.00670991823675791</v>
      </c>
      <c r="V14" s="72">
        <f t="shared" si="4"/>
        <v>0.097682119205298</v>
      </c>
      <c r="W14" s="73">
        <f t="shared" si="5"/>
        <v>12.1703389830508</v>
      </c>
    </row>
    <row r="15" customHeight="1" spans="1:23">
      <c r="A15" s="93" t="s">
        <v>98</v>
      </c>
      <c r="B15" s="90" t="s">
        <v>99</v>
      </c>
      <c r="C15" s="90">
        <v>69</v>
      </c>
      <c r="D15" s="91">
        <v>66</v>
      </c>
      <c r="E15" s="64">
        <v>1345.38</v>
      </c>
      <c r="F15" s="65">
        <v>178</v>
      </c>
      <c r="G15" s="66">
        <v>623</v>
      </c>
      <c r="H15" s="67">
        <v>801</v>
      </c>
      <c r="I15" s="66">
        <v>228</v>
      </c>
      <c r="J15" s="66">
        <v>819</v>
      </c>
      <c r="K15" s="68">
        <v>1047</v>
      </c>
      <c r="L15" s="69">
        <f t="shared" si="0"/>
        <v>0.0823970037453183</v>
      </c>
      <c r="M15" s="70">
        <f t="shared" si="1"/>
        <v>0.43744518277364</v>
      </c>
      <c r="N15" s="91">
        <v>64444</v>
      </c>
      <c r="O15" s="91">
        <v>508</v>
      </c>
      <c r="P15" s="91">
        <v>50</v>
      </c>
      <c r="Q15" s="91">
        <v>588.53</v>
      </c>
      <c r="R15" s="92">
        <v>1004.18</v>
      </c>
      <c r="S15" s="91">
        <v>1.16</v>
      </c>
      <c r="T15" s="71">
        <f t="shared" si="2"/>
        <v>0.586080184827421</v>
      </c>
      <c r="U15" s="72">
        <f t="shared" si="3"/>
        <v>0.00788281298491714</v>
      </c>
      <c r="V15" s="72">
        <f t="shared" si="4"/>
        <v>0.0984251968503937</v>
      </c>
      <c r="W15" s="73">
        <f t="shared" si="5"/>
        <v>11.7706</v>
      </c>
    </row>
    <row r="16" customHeight="1" spans="1:23">
      <c r="A16" s="61" t="s">
        <v>101</v>
      </c>
      <c r="B16" s="89" t="s">
        <v>102</v>
      </c>
      <c r="C16" s="90">
        <v>73</v>
      </c>
      <c r="D16" s="91">
        <v>73</v>
      </c>
      <c r="E16" s="64">
        <v>1344.51</v>
      </c>
      <c r="F16" s="65">
        <v>296</v>
      </c>
      <c r="G16" s="66">
        <v>798</v>
      </c>
      <c r="H16" s="67">
        <v>1094</v>
      </c>
      <c r="I16" s="66">
        <v>444</v>
      </c>
      <c r="J16" s="66">
        <v>1135</v>
      </c>
      <c r="K16" s="68">
        <v>1579</v>
      </c>
      <c r="L16" s="69">
        <f t="shared" si="0"/>
        <v>0.06672760511883</v>
      </c>
      <c r="M16" s="70">
        <f t="shared" si="1"/>
        <v>0.493406519847379</v>
      </c>
      <c r="N16" s="91">
        <v>67700</v>
      </c>
      <c r="O16" s="91">
        <v>587</v>
      </c>
      <c r="P16" s="91">
        <v>58</v>
      </c>
      <c r="Q16" s="91">
        <v>663.39</v>
      </c>
      <c r="R16" s="92">
        <v>1028.93</v>
      </c>
      <c r="S16" s="91">
        <v>1.13</v>
      </c>
      <c r="T16" s="71">
        <f t="shared" si="2"/>
        <v>0.644737737261038</v>
      </c>
      <c r="U16" s="72">
        <f t="shared" si="3"/>
        <v>0.00867060561299852</v>
      </c>
      <c r="V16" s="72">
        <f t="shared" si="4"/>
        <v>0.0988074957410562</v>
      </c>
      <c r="W16" s="73">
        <f t="shared" si="5"/>
        <v>11.4377586206897</v>
      </c>
    </row>
    <row r="17" customHeight="1" spans="1:23">
      <c r="A17" s="61" t="s">
        <v>104</v>
      </c>
      <c r="B17" s="89" t="s">
        <v>105</v>
      </c>
      <c r="C17" s="90">
        <v>43</v>
      </c>
      <c r="D17" s="91">
        <v>42</v>
      </c>
      <c r="E17" s="64">
        <v>808.16</v>
      </c>
      <c r="F17" s="65">
        <v>162</v>
      </c>
      <c r="G17" s="66">
        <v>578</v>
      </c>
      <c r="H17" s="67">
        <v>740</v>
      </c>
      <c r="I17" s="66">
        <v>214</v>
      </c>
      <c r="J17" s="66">
        <v>838</v>
      </c>
      <c r="K17" s="68">
        <v>1052</v>
      </c>
      <c r="L17" s="69">
        <f t="shared" si="0"/>
        <v>0.0567567567567568</v>
      </c>
      <c r="M17" s="70">
        <f t="shared" si="1"/>
        <v>0.528410215798852</v>
      </c>
      <c r="N17" s="91">
        <v>42564</v>
      </c>
      <c r="O17" s="91">
        <v>394</v>
      </c>
      <c r="P17" s="91">
        <v>34</v>
      </c>
      <c r="Q17" s="91">
        <v>427.04</v>
      </c>
      <c r="R17" s="92">
        <v>654.69</v>
      </c>
      <c r="S17" s="91">
        <v>1.08</v>
      </c>
      <c r="T17" s="71">
        <f t="shared" si="2"/>
        <v>0.652278177458034</v>
      </c>
      <c r="U17" s="72">
        <f t="shared" si="3"/>
        <v>0.00925664881120196</v>
      </c>
      <c r="V17" s="72">
        <f t="shared" si="4"/>
        <v>0.0862944162436548</v>
      </c>
      <c r="W17" s="73">
        <f t="shared" si="5"/>
        <v>12.56</v>
      </c>
    </row>
    <row r="18" customHeight="1" spans="1:23">
      <c r="A18" s="61" t="s">
        <v>107</v>
      </c>
      <c r="B18" s="89" t="s">
        <v>108</v>
      </c>
      <c r="C18" s="90">
        <v>23</v>
      </c>
      <c r="D18" s="91">
        <v>22</v>
      </c>
      <c r="E18" s="64">
        <v>473.47</v>
      </c>
      <c r="F18" s="65">
        <v>110</v>
      </c>
      <c r="G18" s="66">
        <v>266</v>
      </c>
      <c r="H18" s="67">
        <v>376</v>
      </c>
      <c r="I18" s="66">
        <v>128</v>
      </c>
      <c r="J18" s="66">
        <v>497</v>
      </c>
      <c r="K18" s="68">
        <v>683</v>
      </c>
      <c r="L18" s="69">
        <f t="shared" si="0"/>
        <v>0.0585106382978723</v>
      </c>
      <c r="M18" s="70">
        <f t="shared" si="1"/>
        <v>0.551333769827022</v>
      </c>
      <c r="N18" s="91">
        <v>30607</v>
      </c>
      <c r="O18" s="91">
        <v>255</v>
      </c>
      <c r="P18" s="91">
        <v>17</v>
      </c>
      <c r="Q18" s="91">
        <v>261.04</v>
      </c>
      <c r="R18" s="92">
        <v>349.13</v>
      </c>
      <c r="S18" s="91">
        <v>1.02</v>
      </c>
      <c r="T18" s="71">
        <f t="shared" si="2"/>
        <v>0.747687107954057</v>
      </c>
      <c r="U18" s="72">
        <f t="shared" si="3"/>
        <v>0.00833142745123665</v>
      </c>
      <c r="V18" s="72">
        <f t="shared" si="4"/>
        <v>0.0666666666666667</v>
      </c>
      <c r="W18" s="73">
        <f t="shared" si="5"/>
        <v>15.3552941176471</v>
      </c>
    </row>
    <row r="19" customHeight="1" spans="1:23">
      <c r="A19" s="61" t="s">
        <v>110</v>
      </c>
      <c r="B19" s="89" t="s">
        <v>111</v>
      </c>
      <c r="C19" s="90">
        <f>DL!C19</f>
        <v>25</v>
      </c>
      <c r="D19" s="91">
        <f>DL!D19</f>
        <v>25</v>
      </c>
      <c r="E19" s="64">
        <f>DL!E19</f>
        <v>487.45</v>
      </c>
      <c r="F19" s="65">
        <v>132</v>
      </c>
      <c r="G19" s="66">
        <v>371</v>
      </c>
      <c r="H19" s="67">
        <v>503</v>
      </c>
      <c r="I19" s="66">
        <v>195</v>
      </c>
      <c r="J19" s="66">
        <v>509</v>
      </c>
      <c r="K19" s="68">
        <v>704</v>
      </c>
      <c r="L19" s="69">
        <f t="shared" si="0"/>
        <v>0.0497017892644135</v>
      </c>
      <c r="M19" s="70">
        <f t="shared" si="1"/>
        <v>0.583731664786132</v>
      </c>
      <c r="N19" s="91">
        <f>DL!W19</f>
        <v>36519</v>
      </c>
      <c r="O19" s="91">
        <f>DL!X19</f>
        <v>293</v>
      </c>
      <c r="P19" s="91">
        <f>DL!Y19</f>
        <v>17</v>
      </c>
      <c r="Q19" s="91">
        <f>DL!Z19</f>
        <v>284.54</v>
      </c>
      <c r="R19" s="92">
        <f>DL!AA19</f>
        <v>340.43</v>
      </c>
      <c r="S19" s="91">
        <f>DL!AB19</f>
        <v>0.97</v>
      </c>
      <c r="T19" s="71">
        <f t="shared" si="2"/>
        <v>0.835825279793203</v>
      </c>
      <c r="U19" s="72">
        <f t="shared" si="3"/>
        <v>0.00802322078917824</v>
      </c>
      <c r="V19" s="72">
        <f t="shared" si="4"/>
        <v>0.0580204778156997</v>
      </c>
      <c r="W19" s="73">
        <f t="shared" si="5"/>
        <v>16.7376470588235</v>
      </c>
    </row>
    <row r="20" customHeight="1" spans="1:23">
      <c r="A20" s="61" t="s">
        <v>113</v>
      </c>
      <c r="B20" s="89" t="s">
        <v>114</v>
      </c>
      <c r="C20" s="90">
        <f>DL!C20</f>
        <v>39</v>
      </c>
      <c r="D20" s="91">
        <f>DL!D20</f>
        <v>39</v>
      </c>
      <c r="E20" s="64">
        <f>DL!E20</f>
        <v>754.32</v>
      </c>
      <c r="F20" s="65">
        <v>183</v>
      </c>
      <c r="G20" s="66">
        <v>589</v>
      </c>
      <c r="H20" s="67">
        <v>772</v>
      </c>
      <c r="I20" s="66">
        <v>244</v>
      </c>
      <c r="J20" s="66">
        <v>829</v>
      </c>
      <c r="K20" s="68">
        <v>1073</v>
      </c>
      <c r="L20" s="69">
        <f t="shared" si="0"/>
        <v>0.0505181347150259</v>
      </c>
      <c r="M20" s="70">
        <f t="shared" si="1"/>
        <v>0.483906034574186</v>
      </c>
      <c r="N20" s="91">
        <f>DL!W20</f>
        <v>49340</v>
      </c>
      <c r="O20" s="91">
        <f>DL!X20</f>
        <v>368</v>
      </c>
      <c r="P20" s="91">
        <f>DL!Y20</f>
        <v>27</v>
      </c>
      <c r="Q20" s="91">
        <f>DL!Z20</f>
        <v>365.02</v>
      </c>
      <c r="R20" s="92">
        <f>DL!AA20</f>
        <v>536.93</v>
      </c>
      <c r="S20" s="91">
        <f>DL!AB20</f>
        <v>0.99</v>
      </c>
      <c r="T20" s="71">
        <f t="shared" si="2"/>
        <v>0.679827910528374</v>
      </c>
      <c r="U20" s="72">
        <f t="shared" si="3"/>
        <v>0.00745845156059992</v>
      </c>
      <c r="V20" s="72">
        <f t="shared" si="4"/>
        <v>0.0733695652173913</v>
      </c>
      <c r="W20" s="73">
        <f t="shared" si="5"/>
        <v>13.5192592592593</v>
      </c>
    </row>
    <row r="21" customHeight="1" spans="1:23">
      <c r="A21" s="61" t="s">
        <v>115</v>
      </c>
      <c r="B21" s="89" t="s">
        <v>116</v>
      </c>
      <c r="C21" s="90">
        <f>DL!C21</f>
        <v>50</v>
      </c>
      <c r="D21" s="91">
        <f>DL!D21</f>
        <v>50</v>
      </c>
      <c r="E21" s="64">
        <f>DL!E21</f>
        <v>1040.5</v>
      </c>
      <c r="F21" s="65">
        <v>188</v>
      </c>
      <c r="G21" s="66">
        <v>632</v>
      </c>
      <c r="H21" s="67">
        <v>820</v>
      </c>
      <c r="I21" s="66">
        <v>246</v>
      </c>
      <c r="J21" s="66">
        <v>882</v>
      </c>
      <c r="K21" s="68">
        <v>1128</v>
      </c>
      <c r="L21" s="69">
        <f t="shared" si="0"/>
        <v>0.0609756097560976</v>
      </c>
      <c r="M21" s="70">
        <f t="shared" si="1"/>
        <v>0.392888034598751</v>
      </c>
      <c r="N21" s="91">
        <f>DL!W21</f>
        <v>63704</v>
      </c>
      <c r="O21" s="91">
        <f>DL!X21</f>
        <v>398</v>
      </c>
      <c r="P21" s="91">
        <f>DL!Y21</f>
        <v>34</v>
      </c>
      <c r="Q21" s="91">
        <f>DL!Z21</f>
        <v>408.8</v>
      </c>
      <c r="R21" s="92">
        <f>DL!AA21</f>
        <v>720.36</v>
      </c>
      <c r="S21" s="91">
        <f>DL!AB21</f>
        <v>1.03</v>
      </c>
      <c r="T21" s="71">
        <f t="shared" si="2"/>
        <v>0.567494030762397</v>
      </c>
      <c r="U21" s="72">
        <f t="shared" si="3"/>
        <v>0.00624764535978902</v>
      </c>
      <c r="V21" s="72">
        <f t="shared" si="4"/>
        <v>0.085427135678392</v>
      </c>
      <c r="W21" s="73">
        <f t="shared" si="5"/>
        <v>12.0235294117647</v>
      </c>
    </row>
    <row r="22" customHeight="1" spans="1:23">
      <c r="A22" s="61" t="s">
        <v>118</v>
      </c>
      <c r="B22" s="89" t="s">
        <v>119</v>
      </c>
      <c r="C22" s="90">
        <f>DL!C22</f>
        <v>65</v>
      </c>
      <c r="D22" s="91">
        <f>DL!D22</f>
        <v>64</v>
      </c>
      <c r="E22" s="64">
        <f>DL!E22</f>
        <v>1312.36</v>
      </c>
      <c r="F22" s="65">
        <v>301</v>
      </c>
      <c r="G22" s="66">
        <v>1099</v>
      </c>
      <c r="H22" s="67">
        <v>1400</v>
      </c>
      <c r="I22" s="66">
        <v>400</v>
      </c>
      <c r="J22" s="66">
        <v>1412</v>
      </c>
      <c r="K22" s="68">
        <v>1812</v>
      </c>
      <c r="L22" s="69">
        <f t="shared" si="0"/>
        <v>0.0457142857142857</v>
      </c>
      <c r="M22" s="70">
        <f t="shared" si="1"/>
        <v>0.576655795665823</v>
      </c>
      <c r="N22" s="91">
        <f>DL!W22</f>
        <v>75311</v>
      </c>
      <c r="O22" s="91">
        <f>DL!X22</f>
        <v>732</v>
      </c>
      <c r="P22" s="91">
        <f>DL!Y22</f>
        <v>51</v>
      </c>
      <c r="Q22" s="91">
        <f>DL!Z22</f>
        <v>756.78</v>
      </c>
      <c r="R22" s="92">
        <f>DL!AA22</f>
        <v>1049.09</v>
      </c>
      <c r="S22" s="91">
        <f>DL!AB22</f>
        <v>1.03</v>
      </c>
      <c r="T22" s="71">
        <f t="shared" si="2"/>
        <v>0.721368042779933</v>
      </c>
      <c r="U22" s="72">
        <f t="shared" si="3"/>
        <v>0.00971969566198829</v>
      </c>
      <c r="V22" s="72">
        <f t="shared" si="4"/>
        <v>0.069672131147541</v>
      </c>
      <c r="W22" s="73">
        <f t="shared" si="5"/>
        <v>14.8388235294118</v>
      </c>
    </row>
    <row r="23" customHeight="1" spans="1:23">
      <c r="A23" s="61" t="s">
        <v>121</v>
      </c>
      <c r="B23" s="89" t="s">
        <v>122</v>
      </c>
      <c r="C23" s="90">
        <f>DL!C23</f>
        <v>55</v>
      </c>
      <c r="D23" s="91">
        <f>DL!D23</f>
        <v>55</v>
      </c>
      <c r="E23" s="64">
        <f>DL!E23</f>
        <v>1155.95</v>
      </c>
      <c r="F23" s="65">
        <v>174</v>
      </c>
      <c r="G23" s="66">
        <v>668</v>
      </c>
      <c r="H23" s="67">
        <v>842</v>
      </c>
      <c r="I23" s="66">
        <v>218</v>
      </c>
      <c r="J23" s="66">
        <v>906</v>
      </c>
      <c r="K23" s="68">
        <v>1124</v>
      </c>
      <c r="L23" s="69">
        <f t="shared" si="0"/>
        <v>0.0653206650831354</v>
      </c>
      <c r="M23" s="70">
        <f t="shared" si="1"/>
        <v>0.519486136943639</v>
      </c>
      <c r="N23" s="91">
        <f>DL!W23</f>
        <v>68475</v>
      </c>
      <c r="O23" s="91">
        <f>DL!X23</f>
        <v>656</v>
      </c>
      <c r="P23" s="91">
        <f>DL!Y23</f>
        <v>39</v>
      </c>
      <c r="Q23" s="91">
        <f>DL!Z23</f>
        <v>600.5</v>
      </c>
      <c r="R23" s="92">
        <f>DL!AA23</f>
        <v>825.71</v>
      </c>
      <c r="S23" s="91">
        <f>DL!AB23</f>
        <v>0.92</v>
      </c>
      <c r="T23" s="71">
        <f t="shared" si="2"/>
        <v>0.727252909617178</v>
      </c>
      <c r="U23" s="72">
        <f t="shared" si="3"/>
        <v>0.00958013873676524</v>
      </c>
      <c r="V23" s="72">
        <f t="shared" si="4"/>
        <v>0.0594512195121951</v>
      </c>
      <c r="W23" s="73">
        <f t="shared" si="5"/>
        <v>15.3974358974359</v>
      </c>
    </row>
    <row r="24" customHeight="1" spans="1:23">
      <c r="A24" s="61" t="s">
        <v>124</v>
      </c>
      <c r="B24" s="89" t="s">
        <v>125</v>
      </c>
      <c r="C24" s="90">
        <f>DL!C24</f>
        <v>80</v>
      </c>
      <c r="D24" s="91">
        <f>DL!D24</f>
        <v>72</v>
      </c>
      <c r="E24" s="64">
        <f>DL!E24</f>
        <v>1298.12</v>
      </c>
      <c r="F24" s="65">
        <v>325</v>
      </c>
      <c r="G24" s="66">
        <v>841</v>
      </c>
      <c r="H24" s="67">
        <v>1166</v>
      </c>
      <c r="I24" s="66">
        <v>425</v>
      </c>
      <c r="J24" s="66">
        <v>1108</v>
      </c>
      <c r="K24" s="68">
        <v>1533</v>
      </c>
      <c r="L24" s="69">
        <f t="shared" si="0"/>
        <v>0.0617495711835334</v>
      </c>
      <c r="M24" s="70">
        <f t="shared" si="1"/>
        <v>0.551512957199643</v>
      </c>
      <c r="N24" s="91">
        <f>DL!W24</f>
        <v>81114</v>
      </c>
      <c r="O24" s="91">
        <f>DL!X24</f>
        <v>711</v>
      </c>
      <c r="P24" s="91">
        <f>DL!Y24</f>
        <v>55</v>
      </c>
      <c r="Q24" s="91">
        <f>DL!Z24</f>
        <v>715.93</v>
      </c>
      <c r="R24" s="92">
        <f>DL!AA24</f>
        <v>1025.31</v>
      </c>
      <c r="S24" s="91">
        <f>DL!AB24</f>
        <v>1.01</v>
      </c>
      <c r="T24" s="71">
        <f t="shared" si="2"/>
        <v>0.698257112483054</v>
      </c>
      <c r="U24" s="72">
        <f t="shared" si="3"/>
        <v>0.00876544123086027</v>
      </c>
      <c r="V24" s="72">
        <f t="shared" si="4"/>
        <v>0.0773558368495077</v>
      </c>
      <c r="W24" s="73">
        <f t="shared" si="5"/>
        <v>13.0169090909091</v>
      </c>
    </row>
    <row r="25" customHeight="1" spans="1:23">
      <c r="A25" s="61" t="s">
        <v>128</v>
      </c>
      <c r="B25" s="89" t="s">
        <v>129</v>
      </c>
      <c r="C25" s="90">
        <f>DL!C25</f>
        <v>56</v>
      </c>
      <c r="D25" s="91">
        <f>DL!D25</f>
        <v>56</v>
      </c>
      <c r="E25" s="64">
        <f>DL!E25</f>
        <v>1077.08</v>
      </c>
      <c r="F25" s="65">
        <v>276</v>
      </c>
      <c r="G25" s="66">
        <v>862</v>
      </c>
      <c r="H25" s="67">
        <v>1138</v>
      </c>
      <c r="I25" s="66">
        <v>367</v>
      </c>
      <c r="J25" s="66">
        <v>1208</v>
      </c>
      <c r="K25" s="68">
        <v>1575</v>
      </c>
      <c r="L25" s="69">
        <f t="shared" si="0"/>
        <v>0.0492091388400703</v>
      </c>
      <c r="M25" s="70">
        <f t="shared" si="1"/>
        <v>0.572111635161734</v>
      </c>
      <c r="N25" s="91">
        <f>DL!W25</f>
        <v>55573</v>
      </c>
      <c r="O25" s="91">
        <f>DL!X25</f>
        <v>642</v>
      </c>
      <c r="P25" s="91">
        <f>DL!Y25</f>
        <v>39</v>
      </c>
      <c r="Q25" s="91">
        <f>DL!Z25</f>
        <v>616.21</v>
      </c>
      <c r="R25" s="92">
        <f>DL!AA25</f>
        <v>760.04</v>
      </c>
      <c r="S25" s="91">
        <f>DL!AB25</f>
        <v>0.96</v>
      </c>
      <c r="T25" s="71">
        <f t="shared" si="2"/>
        <v>0.810759960002105</v>
      </c>
      <c r="U25" s="72">
        <f t="shared" si="3"/>
        <v>0.0115523725550177</v>
      </c>
      <c r="V25" s="72">
        <f t="shared" si="4"/>
        <v>0.0607476635514019</v>
      </c>
      <c r="W25" s="73">
        <f t="shared" si="5"/>
        <v>15.8002564102564</v>
      </c>
    </row>
    <row r="26" customHeight="1" spans="1:23">
      <c r="A26" s="61" t="s">
        <v>130</v>
      </c>
      <c r="B26" s="89" t="s">
        <v>131</v>
      </c>
      <c r="C26" s="90">
        <f>DL!C26</f>
        <v>56</v>
      </c>
      <c r="D26" s="91">
        <f>DL!D26</f>
        <v>56</v>
      </c>
      <c r="E26" s="64">
        <f>DL!E26</f>
        <v>1135.95</v>
      </c>
      <c r="F26" s="65">
        <v>282</v>
      </c>
      <c r="G26" s="66">
        <v>747</v>
      </c>
      <c r="H26" s="67">
        <v>1029</v>
      </c>
      <c r="I26" s="66">
        <v>365</v>
      </c>
      <c r="J26" s="66">
        <v>1036</v>
      </c>
      <c r="K26" s="68">
        <v>1401</v>
      </c>
      <c r="L26" s="69">
        <f t="shared" si="0"/>
        <v>0.054421768707483</v>
      </c>
      <c r="M26" s="70">
        <f t="shared" si="1"/>
        <v>0.490567366521414</v>
      </c>
      <c r="N26" s="91">
        <f>DL!W26</f>
        <v>63886</v>
      </c>
      <c r="O26" s="91">
        <f>DL!X26</f>
        <v>584</v>
      </c>
      <c r="P26" s="91">
        <f>DL!Y26</f>
        <v>48</v>
      </c>
      <c r="Q26" s="91">
        <f>DL!Z26</f>
        <v>557.26</v>
      </c>
      <c r="R26" s="92">
        <f>DL!AA26</f>
        <v>1011.11</v>
      </c>
      <c r="S26" s="91">
        <f>DL!AB26</f>
        <v>0.95</v>
      </c>
      <c r="T26" s="71">
        <f t="shared" si="2"/>
        <v>0.551136869381175</v>
      </c>
      <c r="U26" s="72">
        <f t="shared" si="3"/>
        <v>0.00914128291018376</v>
      </c>
      <c r="V26" s="72">
        <f t="shared" si="4"/>
        <v>0.0821917808219178</v>
      </c>
      <c r="W26" s="73">
        <f t="shared" si="5"/>
        <v>11.6095833333333</v>
      </c>
    </row>
    <row r="27" customHeight="1" spans="1:23">
      <c r="A27" s="61" t="s">
        <v>133</v>
      </c>
      <c r="B27" s="89" t="s">
        <v>134</v>
      </c>
      <c r="C27" s="90">
        <f>DL!C27</f>
        <v>59</v>
      </c>
      <c r="D27" s="91">
        <f>DL!D27</f>
        <v>59</v>
      </c>
      <c r="E27" s="64">
        <f>DL!E27</f>
        <v>1231.51</v>
      </c>
      <c r="F27" s="65">
        <v>211</v>
      </c>
      <c r="G27" s="66">
        <v>731</v>
      </c>
      <c r="H27" s="67">
        <v>942</v>
      </c>
      <c r="I27" s="66">
        <v>289</v>
      </c>
      <c r="J27" s="66">
        <v>975</v>
      </c>
      <c r="K27" s="68">
        <v>1264</v>
      </c>
      <c r="L27" s="69">
        <f t="shared" si="0"/>
        <v>0.0626326963906582</v>
      </c>
      <c r="M27" s="70">
        <f t="shared" si="1"/>
        <v>0.439103214752621</v>
      </c>
      <c r="N27" s="91">
        <f>DL!W27</f>
        <v>67100</v>
      </c>
      <c r="O27" s="91">
        <f>DL!X27</f>
        <v>580</v>
      </c>
      <c r="P27" s="91">
        <f>DL!Y27</f>
        <v>45</v>
      </c>
      <c r="Q27" s="91">
        <f>DL!Z27</f>
        <v>540.76</v>
      </c>
      <c r="R27" s="92">
        <f>DL!AA27</f>
        <v>949.25</v>
      </c>
      <c r="S27" s="91">
        <f>DL!AB27</f>
        <v>0.93</v>
      </c>
      <c r="T27" s="71">
        <f t="shared" si="2"/>
        <v>0.569670792731104</v>
      </c>
      <c r="U27" s="72">
        <f t="shared" si="3"/>
        <v>0.00864381520119225</v>
      </c>
      <c r="V27" s="72">
        <f t="shared" si="4"/>
        <v>0.0775862068965517</v>
      </c>
      <c r="W27" s="73">
        <f t="shared" si="5"/>
        <v>12.0168888888889</v>
      </c>
    </row>
    <row r="28" customHeight="1" spans="1:23">
      <c r="A28" s="61" t="s">
        <v>136</v>
      </c>
      <c r="B28" s="89" t="s">
        <v>137</v>
      </c>
      <c r="C28" s="90">
        <f>DL!C28</f>
        <v>54</v>
      </c>
      <c r="D28" s="91">
        <f>DL!D28</f>
        <v>53</v>
      </c>
      <c r="E28" s="64">
        <f>DL!E28</f>
        <v>1120.06</v>
      </c>
      <c r="F28" s="65">
        <v>284</v>
      </c>
      <c r="G28" s="66">
        <v>735</v>
      </c>
      <c r="H28" s="67">
        <v>1019</v>
      </c>
      <c r="I28" s="66">
        <v>390</v>
      </c>
      <c r="J28" s="66">
        <v>975</v>
      </c>
      <c r="K28" s="68">
        <v>1365</v>
      </c>
      <c r="L28" s="69">
        <f t="shared" si="0"/>
        <v>0.0520117762512267</v>
      </c>
      <c r="M28" s="70">
        <f t="shared" si="1"/>
        <v>0.425521847043908</v>
      </c>
      <c r="N28" s="91">
        <f>DL!W28</f>
        <v>58548</v>
      </c>
      <c r="O28" s="91">
        <f>DL!X28</f>
        <v>525</v>
      </c>
      <c r="P28" s="91">
        <f>DL!Y28</f>
        <v>37</v>
      </c>
      <c r="Q28" s="91">
        <f>DL!Z28</f>
        <v>476.61</v>
      </c>
      <c r="R28" s="92">
        <f>DL!AA28</f>
        <v>761.93</v>
      </c>
      <c r="S28" s="91">
        <f>DL!AB28</f>
        <v>0.91</v>
      </c>
      <c r="T28" s="71">
        <f t="shared" si="2"/>
        <v>0.625529904321919</v>
      </c>
      <c r="U28" s="72">
        <f t="shared" si="3"/>
        <v>0.00896700143472023</v>
      </c>
      <c r="V28" s="72">
        <f t="shared" si="4"/>
        <v>0.0704761904761905</v>
      </c>
      <c r="W28" s="73">
        <f t="shared" si="5"/>
        <v>12.8813513513514</v>
      </c>
    </row>
    <row r="29" customHeight="1" spans="1:23">
      <c r="A29" s="61" t="s">
        <v>139</v>
      </c>
      <c r="B29" s="89" t="s">
        <v>140</v>
      </c>
      <c r="C29" s="90">
        <f>DL!C29</f>
        <v>56</v>
      </c>
      <c r="D29" s="91">
        <f>DL!D29</f>
        <v>55</v>
      </c>
      <c r="E29" s="64">
        <f>DL!E29</f>
        <v>1273.84</v>
      </c>
      <c r="F29" s="65">
        <v>239</v>
      </c>
      <c r="G29" s="66">
        <v>869</v>
      </c>
      <c r="H29" s="67">
        <v>1108</v>
      </c>
      <c r="I29" s="66">
        <v>323</v>
      </c>
      <c r="J29" s="66">
        <v>1204</v>
      </c>
      <c r="K29" s="68">
        <v>1527</v>
      </c>
      <c r="L29" s="69">
        <f t="shared" si="0"/>
        <v>0.0496389891696751</v>
      </c>
      <c r="M29" s="70">
        <f t="shared" si="1"/>
        <v>0.49539188595114</v>
      </c>
      <c r="N29" s="91">
        <f>DL!W29</f>
        <v>71343</v>
      </c>
      <c r="O29" s="91">
        <f>DL!X29</f>
        <v>593</v>
      </c>
      <c r="P29" s="91">
        <f>DL!Y29</f>
        <v>39</v>
      </c>
      <c r="Q29" s="91">
        <f>DL!Z29</f>
        <v>631.05</v>
      </c>
      <c r="R29" s="92">
        <f>DL!AA29</f>
        <v>923.8</v>
      </c>
      <c r="S29" s="91">
        <f>DL!AB29</f>
        <v>1.06</v>
      </c>
      <c r="T29" s="71">
        <f t="shared" si="2"/>
        <v>0.683102403117558</v>
      </c>
      <c r="U29" s="72">
        <f t="shared" si="3"/>
        <v>0.00831195772535498</v>
      </c>
      <c r="V29" s="72">
        <f t="shared" si="4"/>
        <v>0.0657672849915683</v>
      </c>
      <c r="W29" s="73">
        <f t="shared" si="5"/>
        <v>16.1807692307692</v>
      </c>
    </row>
    <row r="30" customHeight="1" spans="1:23">
      <c r="A30" s="61" t="s">
        <v>142</v>
      </c>
      <c r="B30" s="89" t="s">
        <v>143</v>
      </c>
      <c r="C30" s="90">
        <f>DL!C30</f>
        <v>57</v>
      </c>
      <c r="D30" s="91">
        <f>DL!D30</f>
        <v>57</v>
      </c>
      <c r="E30" s="64">
        <f>DL!E30</f>
        <v>1329.62</v>
      </c>
      <c r="F30" s="65">
        <v>265</v>
      </c>
      <c r="G30" s="66">
        <v>904</v>
      </c>
      <c r="H30" s="67">
        <v>1169</v>
      </c>
      <c r="I30" s="66">
        <v>335</v>
      </c>
      <c r="J30" s="66">
        <v>1182</v>
      </c>
      <c r="K30" s="68">
        <v>1517</v>
      </c>
      <c r="L30" s="69">
        <f t="shared" si="0"/>
        <v>0.048759623609923</v>
      </c>
      <c r="M30" s="70">
        <f t="shared" si="1"/>
        <v>0.516124907868414</v>
      </c>
      <c r="N30" s="91">
        <f>DL!W30</f>
        <v>90603</v>
      </c>
      <c r="O30" s="91">
        <f>DL!X30</f>
        <v>660</v>
      </c>
      <c r="P30" s="91">
        <f>DL!Y30</f>
        <v>46</v>
      </c>
      <c r="Q30" s="91">
        <f>DL!Z30</f>
        <v>686.25</v>
      </c>
      <c r="R30" s="92">
        <f>DL!AA30</f>
        <v>1065.04</v>
      </c>
      <c r="S30" s="91">
        <f>DL!AB30</f>
        <v>1.04</v>
      </c>
      <c r="T30" s="71">
        <f t="shared" si="2"/>
        <v>0.644341996544731</v>
      </c>
      <c r="U30" s="72">
        <f t="shared" si="3"/>
        <v>0.00728452700241714</v>
      </c>
      <c r="V30" s="72">
        <f t="shared" si="4"/>
        <v>0.0696969696969697</v>
      </c>
      <c r="W30" s="73">
        <f t="shared" si="5"/>
        <v>14.9184782608696</v>
      </c>
    </row>
    <row r="31" customHeight="1" spans="1:23">
      <c r="A31" s="61" t="s">
        <v>144</v>
      </c>
      <c r="B31" s="89" t="s">
        <v>145</v>
      </c>
      <c r="C31" s="90">
        <f>DL!C31</f>
        <v>84</v>
      </c>
      <c r="D31" s="91">
        <f>DL!D31</f>
        <v>84</v>
      </c>
      <c r="E31" s="64">
        <f>DL!E31</f>
        <v>1898.87</v>
      </c>
      <c r="F31" s="65">
        <v>328</v>
      </c>
      <c r="G31" s="66">
        <v>933</v>
      </c>
      <c r="H31" s="67">
        <v>1261</v>
      </c>
      <c r="I31" s="66">
        <v>424</v>
      </c>
      <c r="J31" s="66">
        <v>1238</v>
      </c>
      <c r="K31" s="68">
        <v>1662</v>
      </c>
      <c r="L31" s="69">
        <f t="shared" si="0"/>
        <v>0.0666137985725615</v>
      </c>
      <c r="M31" s="70">
        <f t="shared" si="1"/>
        <v>0.410480970261261</v>
      </c>
      <c r="N31" s="91">
        <f>DL!W31</f>
        <v>103147</v>
      </c>
      <c r="O31" s="91">
        <f>DL!X31</f>
        <v>762</v>
      </c>
      <c r="P31" s="91">
        <f>DL!Y31</f>
        <v>64</v>
      </c>
      <c r="Q31" s="91">
        <f>DL!Z31</f>
        <v>779.45</v>
      </c>
      <c r="R31" s="92">
        <f>DL!AA31</f>
        <v>1483.16</v>
      </c>
      <c r="S31" s="91">
        <f>DL!AB31</f>
        <v>1.02</v>
      </c>
      <c r="T31" s="71">
        <f t="shared" si="2"/>
        <v>0.525533320747593</v>
      </c>
      <c r="U31" s="72">
        <f t="shared" si="3"/>
        <v>0.00738751490591098</v>
      </c>
      <c r="V31" s="72">
        <f t="shared" si="4"/>
        <v>0.083989501312336</v>
      </c>
      <c r="W31" s="73">
        <f t="shared" si="5"/>
        <v>12.17890625</v>
      </c>
    </row>
    <row r="32" customHeight="1" spans="1:23">
      <c r="A32" s="61" t="s">
        <v>147</v>
      </c>
      <c r="B32" s="89" t="s">
        <v>148</v>
      </c>
      <c r="C32" s="90">
        <f>DL!C32</f>
        <v>111</v>
      </c>
      <c r="D32" s="91">
        <f>DL!D32</f>
        <v>111</v>
      </c>
      <c r="E32" s="64">
        <f>DL!E32</f>
        <v>2516.99</v>
      </c>
      <c r="F32" s="65">
        <v>372</v>
      </c>
      <c r="G32" s="66">
        <v>1274</v>
      </c>
      <c r="H32" s="67">
        <v>1646</v>
      </c>
      <c r="I32" s="66">
        <v>491</v>
      </c>
      <c r="J32" s="66">
        <v>1672</v>
      </c>
      <c r="K32" s="68">
        <v>2163</v>
      </c>
      <c r="L32" s="69">
        <f t="shared" si="0"/>
        <v>0.0674362089914945</v>
      </c>
      <c r="M32" s="70">
        <f t="shared" si="1"/>
        <v>0.388185888700392</v>
      </c>
      <c r="N32" s="91">
        <f>DL!W32</f>
        <v>121904</v>
      </c>
      <c r="O32" s="91">
        <f>DL!X32</f>
        <v>894</v>
      </c>
      <c r="P32" s="91">
        <f>DL!Y32</f>
        <v>91</v>
      </c>
      <c r="Q32" s="91">
        <f>DL!Z32</f>
        <v>977.06</v>
      </c>
      <c r="R32" s="92">
        <f>DL!AA32</f>
        <v>2033.9</v>
      </c>
      <c r="S32" s="91">
        <f>DL!AB32</f>
        <v>1.09</v>
      </c>
      <c r="T32" s="71">
        <f t="shared" si="2"/>
        <v>0.480387433010472</v>
      </c>
      <c r="U32" s="72">
        <f t="shared" si="3"/>
        <v>0.00733363958524741</v>
      </c>
      <c r="V32" s="72">
        <f t="shared" si="4"/>
        <v>0.10178970917226</v>
      </c>
      <c r="W32" s="73">
        <f t="shared" si="5"/>
        <v>10.7369230769231</v>
      </c>
    </row>
    <row r="33" customHeight="1" spans="1:23">
      <c r="A33" s="61" t="s">
        <v>150</v>
      </c>
      <c r="B33" s="89" t="s">
        <v>151</v>
      </c>
      <c r="C33" s="90">
        <f>DL!C33</f>
        <v>124</v>
      </c>
      <c r="D33" s="91">
        <f>DL!D33</f>
        <v>123</v>
      </c>
      <c r="E33" s="64">
        <f>DL!E33</f>
        <v>2899.27</v>
      </c>
      <c r="F33" s="65">
        <v>533</v>
      </c>
      <c r="G33" s="66">
        <v>2007</v>
      </c>
      <c r="H33" s="67">
        <v>2540</v>
      </c>
      <c r="I33" s="66">
        <v>711</v>
      </c>
      <c r="J33" s="66">
        <v>2600</v>
      </c>
      <c r="K33" s="68">
        <v>3311</v>
      </c>
      <c r="L33" s="69">
        <f t="shared" si="0"/>
        <v>0.0484251968503937</v>
      </c>
      <c r="M33" s="70">
        <f t="shared" si="1"/>
        <v>0.543409203006274</v>
      </c>
      <c r="N33" s="91">
        <f>DL!W33</f>
        <v>171331</v>
      </c>
      <c r="O33" s="91">
        <f>DL!X33</f>
        <v>1404</v>
      </c>
      <c r="P33" s="91">
        <f>DL!Y33</f>
        <v>113</v>
      </c>
      <c r="Q33" s="91">
        <f>DL!Z33</f>
        <v>1575.49</v>
      </c>
      <c r="R33" s="92">
        <f>DL!AA33</f>
        <v>2611.86</v>
      </c>
      <c r="S33" s="91">
        <f>DL!AB33</f>
        <v>1.12</v>
      </c>
      <c r="T33" s="71">
        <f t="shared" si="2"/>
        <v>0.603206144280321</v>
      </c>
      <c r="U33" s="72">
        <f t="shared" si="3"/>
        <v>0.00819466412966714</v>
      </c>
      <c r="V33" s="72">
        <f t="shared" si="4"/>
        <v>0.0804843304843305</v>
      </c>
      <c r="W33" s="73">
        <f t="shared" si="5"/>
        <v>13.942389380531</v>
      </c>
    </row>
    <row r="34" customHeight="1" spans="1:23">
      <c r="A34" s="61" t="s">
        <v>154</v>
      </c>
      <c r="B34" s="89" t="s">
        <v>155</v>
      </c>
      <c r="C34" s="90">
        <f>DL!C34</f>
        <v>135</v>
      </c>
      <c r="D34" s="91">
        <f>DL!D34</f>
        <v>133</v>
      </c>
      <c r="E34" s="64">
        <f>DL!E34</f>
        <v>3079.15</v>
      </c>
      <c r="F34" s="65">
        <v>451</v>
      </c>
      <c r="G34" s="66">
        <v>1760</v>
      </c>
      <c r="H34" s="67">
        <v>2211</v>
      </c>
      <c r="I34" s="66">
        <v>604</v>
      </c>
      <c r="J34" s="66">
        <v>2249</v>
      </c>
      <c r="K34" s="68">
        <v>2853</v>
      </c>
      <c r="L34" s="69">
        <f t="shared" si="0"/>
        <v>0.060153776571687</v>
      </c>
      <c r="M34" s="70">
        <f t="shared" si="1"/>
        <v>0.455531559034149</v>
      </c>
      <c r="N34" s="91">
        <f>DL!W34</f>
        <v>123891</v>
      </c>
      <c r="O34" s="91">
        <f>DL!X34</f>
        <v>1216</v>
      </c>
      <c r="P34" s="91">
        <f>DL!Y34</f>
        <v>113</v>
      </c>
      <c r="Q34" s="91">
        <f>DL!Z34</f>
        <v>1402.65</v>
      </c>
      <c r="R34" s="92">
        <f>DL!AA34</f>
        <v>2645.34</v>
      </c>
      <c r="S34" s="91">
        <f>DL!AB34</f>
        <v>1.15</v>
      </c>
      <c r="T34" s="71">
        <f t="shared" si="2"/>
        <v>0.530234298804691</v>
      </c>
      <c r="U34" s="72">
        <f t="shared" si="3"/>
        <v>0.00981507938429749</v>
      </c>
      <c r="V34" s="72">
        <f t="shared" si="4"/>
        <v>0.0929276315789474</v>
      </c>
      <c r="W34" s="73">
        <f t="shared" si="5"/>
        <v>12.4128318584071</v>
      </c>
    </row>
    <row r="35" customHeight="1" spans="1:23">
      <c r="A35" s="61" t="s">
        <v>156</v>
      </c>
      <c r="B35" s="89" t="s">
        <v>157</v>
      </c>
      <c r="C35" s="90">
        <f>DL!C35</f>
        <v>121</v>
      </c>
      <c r="D35" s="91">
        <f>DL!D35</f>
        <v>120</v>
      </c>
      <c r="E35" s="64">
        <f>DL!E35</f>
        <v>2748.69</v>
      </c>
      <c r="F35" s="65">
        <v>402</v>
      </c>
      <c r="G35" s="66">
        <v>1739</v>
      </c>
      <c r="H35" s="67">
        <v>2141</v>
      </c>
      <c r="I35" s="66">
        <v>516</v>
      </c>
      <c r="J35" s="66">
        <v>2222</v>
      </c>
      <c r="K35" s="68">
        <v>2738</v>
      </c>
      <c r="L35" s="69">
        <f t="shared" si="0"/>
        <v>0.0560485754320411</v>
      </c>
      <c r="M35" s="70">
        <f t="shared" si="1"/>
        <v>0.451109437586632</v>
      </c>
      <c r="N35" s="91">
        <f>DL!W35</f>
        <v>127321</v>
      </c>
      <c r="O35" s="91">
        <f>DL!X35</f>
        <v>1119</v>
      </c>
      <c r="P35" s="91">
        <f>DL!Y35</f>
        <v>112</v>
      </c>
      <c r="Q35" s="91">
        <f>DL!Z35</f>
        <v>1239.96</v>
      </c>
      <c r="R35" s="92">
        <f>DL!AA35</f>
        <v>2496.29</v>
      </c>
      <c r="S35" s="91">
        <f>DL!AB35</f>
        <v>1.11</v>
      </c>
      <c r="T35" s="71">
        <f t="shared" si="2"/>
        <v>0.496721134163098</v>
      </c>
      <c r="U35" s="72">
        <f t="shared" si="3"/>
        <v>0.00878880938729668</v>
      </c>
      <c r="V35" s="72">
        <f t="shared" si="4"/>
        <v>0.100089365504915</v>
      </c>
      <c r="W35" s="73">
        <f t="shared" si="5"/>
        <v>11.0710714285714</v>
      </c>
    </row>
    <row r="36" customHeight="1" spans="1:23">
      <c r="A36" s="61" t="s">
        <v>158</v>
      </c>
      <c r="B36" s="89" t="s">
        <v>159</v>
      </c>
      <c r="C36" s="90">
        <f>DL!C36</f>
        <v>119</v>
      </c>
      <c r="D36" s="91">
        <f>DL!D36</f>
        <v>117</v>
      </c>
      <c r="E36" s="64">
        <f>DL!E36</f>
        <v>2458.22</v>
      </c>
      <c r="F36" s="65">
        <v>498</v>
      </c>
      <c r="G36" s="66">
        <v>1771</v>
      </c>
      <c r="H36" s="67">
        <v>2269</v>
      </c>
      <c r="I36" s="66">
        <v>645</v>
      </c>
      <c r="J36" s="66">
        <v>2231</v>
      </c>
      <c r="K36" s="68">
        <v>2876</v>
      </c>
      <c r="L36" s="69">
        <f t="shared" ref="L36:L67" si="6">D36/H36</f>
        <v>0.0515645658880564</v>
      </c>
      <c r="M36" s="70">
        <f t="shared" ref="M36:M67" si="7">Q36/E36</f>
        <v>0.485725443613672</v>
      </c>
      <c r="N36" s="91">
        <f>DL!W36</f>
        <v>134645</v>
      </c>
      <c r="O36" s="91">
        <f>DL!X36</f>
        <v>1091</v>
      </c>
      <c r="P36" s="91">
        <f>DL!Y36</f>
        <v>81</v>
      </c>
      <c r="Q36" s="91">
        <f>DL!Z36</f>
        <v>1194.02</v>
      </c>
      <c r="R36" s="92">
        <f>DL!AA36</f>
        <v>1721.78</v>
      </c>
      <c r="S36" s="91">
        <f>DL!AB36</f>
        <v>1.09</v>
      </c>
      <c r="T36" s="71">
        <f t="shared" ref="T36:T67" si="8">Q36/R36</f>
        <v>0.693480003252448</v>
      </c>
      <c r="U36" s="72">
        <f t="shared" ref="U36:U67" si="9">O36/N36</f>
        <v>0.00810278881503212</v>
      </c>
      <c r="V36" s="72">
        <f t="shared" ref="V36:V67" si="10">P36/O36</f>
        <v>0.074243813015582</v>
      </c>
      <c r="W36" s="73">
        <f t="shared" ref="W36:W67" si="11">Q36/P36</f>
        <v>14.740987654321</v>
      </c>
    </row>
    <row r="37" customHeight="1" spans="1:23">
      <c r="A37" s="61" t="s">
        <v>160</v>
      </c>
      <c r="B37" s="89" t="s">
        <v>161</v>
      </c>
      <c r="C37" s="90">
        <f>DL!C37</f>
        <v>119</v>
      </c>
      <c r="D37" s="91">
        <f>DL!D37</f>
        <v>118</v>
      </c>
      <c r="E37" s="64">
        <f>DL!E37</f>
        <v>2684.51</v>
      </c>
      <c r="F37" s="65">
        <v>408</v>
      </c>
      <c r="G37" s="66">
        <v>1719</v>
      </c>
      <c r="H37" s="67">
        <v>2127</v>
      </c>
      <c r="I37" s="66">
        <v>527</v>
      </c>
      <c r="J37" s="66">
        <v>2217</v>
      </c>
      <c r="K37" s="68">
        <v>2744</v>
      </c>
      <c r="L37" s="69">
        <f t="shared" si="6"/>
        <v>0.0554771979313587</v>
      </c>
      <c r="M37" s="70">
        <f t="shared" si="7"/>
        <v>0.446561942402897</v>
      </c>
      <c r="N37" s="91">
        <f>DL!W37</f>
        <v>118209</v>
      </c>
      <c r="O37" s="91">
        <f>DL!X37</f>
        <v>1125</v>
      </c>
      <c r="P37" s="91">
        <f>DL!Y37</f>
        <v>99</v>
      </c>
      <c r="Q37" s="91">
        <f>DL!Z37</f>
        <v>1198.8</v>
      </c>
      <c r="R37" s="92">
        <f>DL!AA37</f>
        <v>2255.4</v>
      </c>
      <c r="S37" s="91">
        <f>DL!AB37</f>
        <v>1.07</v>
      </c>
      <c r="T37" s="71">
        <f t="shared" si="8"/>
        <v>0.531524341580207</v>
      </c>
      <c r="U37" s="72">
        <f t="shared" si="9"/>
        <v>0.00951704184960536</v>
      </c>
      <c r="V37" s="72">
        <f t="shared" si="10"/>
        <v>0.088</v>
      </c>
      <c r="W37" s="73">
        <f t="shared" si="11"/>
        <v>12.1090909090909</v>
      </c>
    </row>
    <row r="38" customHeight="1" spans="1:23">
      <c r="A38" s="61" t="s">
        <v>162</v>
      </c>
      <c r="B38" s="89" t="s">
        <v>163</v>
      </c>
      <c r="C38" s="90">
        <f>DL!C38</f>
        <v>123</v>
      </c>
      <c r="D38" s="91">
        <f>DL!D38</f>
        <v>121</v>
      </c>
      <c r="E38" s="64">
        <f>DL!E38</f>
        <v>2624.18</v>
      </c>
      <c r="F38" s="65">
        <v>465</v>
      </c>
      <c r="G38" s="66">
        <v>1673</v>
      </c>
      <c r="H38" s="67">
        <v>2138</v>
      </c>
      <c r="I38" s="66">
        <v>598</v>
      </c>
      <c r="J38" s="66">
        <v>2174</v>
      </c>
      <c r="K38" s="68">
        <v>2772</v>
      </c>
      <c r="L38" s="69">
        <f t="shared" si="6"/>
        <v>0.0565949485500468</v>
      </c>
      <c r="M38" s="70">
        <f t="shared" si="7"/>
        <v>0.490397000205779</v>
      </c>
      <c r="N38" s="91">
        <f>DL!W38</f>
        <v>122158</v>
      </c>
      <c r="O38" s="91">
        <f>DL!X38</f>
        <v>1161</v>
      </c>
      <c r="P38" s="91">
        <f>DL!Y38</f>
        <v>117</v>
      </c>
      <c r="Q38" s="91">
        <f>DL!Z38</f>
        <v>1286.89</v>
      </c>
      <c r="R38" s="92">
        <f>DL!AA38</f>
        <v>2531.14</v>
      </c>
      <c r="S38" s="91">
        <f>DL!AB38</f>
        <v>1.11</v>
      </c>
      <c r="T38" s="71">
        <f t="shared" si="8"/>
        <v>0.508423082089493</v>
      </c>
      <c r="U38" s="72">
        <f t="shared" si="9"/>
        <v>0.00950408487368818</v>
      </c>
      <c r="V38" s="72">
        <f t="shared" si="10"/>
        <v>0.10077519379845</v>
      </c>
      <c r="W38" s="73">
        <f t="shared" si="11"/>
        <v>10.9990598290598</v>
      </c>
    </row>
    <row r="39" customHeight="1" spans="1:23">
      <c r="A39" s="61" t="s">
        <v>165</v>
      </c>
      <c r="B39" s="61" t="s">
        <v>166</v>
      </c>
      <c r="C39" s="90">
        <f>DL!C39</f>
        <v>228</v>
      </c>
      <c r="D39" s="91">
        <f>DL!D39</f>
        <v>225</v>
      </c>
      <c r="E39" s="64">
        <f>DL!E39</f>
        <v>3680.07</v>
      </c>
      <c r="F39" s="65">
        <v>539</v>
      </c>
      <c r="G39" s="66">
        <v>1907</v>
      </c>
      <c r="H39" s="67">
        <v>2446</v>
      </c>
      <c r="I39" s="66">
        <v>715</v>
      </c>
      <c r="J39" s="66">
        <v>2546</v>
      </c>
      <c r="K39" s="68">
        <v>3261</v>
      </c>
      <c r="L39" s="69">
        <f t="shared" si="6"/>
        <v>0.0919869174161897</v>
      </c>
      <c r="M39" s="70">
        <f t="shared" si="7"/>
        <v>0.435086832587424</v>
      </c>
      <c r="N39" s="91">
        <f>DL!W39</f>
        <v>151914</v>
      </c>
      <c r="O39" s="91">
        <f>DL!X39</f>
        <v>1379</v>
      </c>
      <c r="P39" s="91">
        <f>DL!Y39</f>
        <v>185</v>
      </c>
      <c r="Q39" s="91">
        <f>DL!Z39</f>
        <v>1601.15</v>
      </c>
      <c r="R39" s="92">
        <f>DL!AA39</f>
        <v>3023.92</v>
      </c>
      <c r="S39" s="91">
        <f>DL!AB39</f>
        <v>1.16</v>
      </c>
      <c r="T39" s="71">
        <f t="shared" si="8"/>
        <v>0.5294948279055</v>
      </c>
      <c r="U39" s="72">
        <f t="shared" si="9"/>
        <v>0.00907750437747673</v>
      </c>
      <c r="V39" s="72">
        <f t="shared" si="10"/>
        <v>0.134155184916606</v>
      </c>
      <c r="W39" s="73">
        <f t="shared" si="11"/>
        <v>8.65486486486487</v>
      </c>
    </row>
    <row r="40" customHeight="1" spans="1:23">
      <c r="A40" s="61" t="s">
        <v>167</v>
      </c>
      <c r="B40" s="61" t="s">
        <v>168</v>
      </c>
      <c r="C40" s="90">
        <f>DL!C40</f>
        <v>277</v>
      </c>
      <c r="D40" s="91">
        <f>DL!D40</f>
        <v>274</v>
      </c>
      <c r="E40" s="64">
        <f>DL!E40</f>
        <v>4734.69</v>
      </c>
      <c r="F40" s="65">
        <v>739</v>
      </c>
      <c r="G40" s="66">
        <v>2635</v>
      </c>
      <c r="H40" s="67">
        <v>3374</v>
      </c>
      <c r="I40" s="66">
        <v>991</v>
      </c>
      <c r="J40" s="66">
        <v>3460</v>
      </c>
      <c r="K40" s="68">
        <v>4451</v>
      </c>
      <c r="L40" s="69">
        <f t="shared" si="6"/>
        <v>0.0812092471843509</v>
      </c>
      <c r="M40" s="70">
        <f t="shared" si="7"/>
        <v>0.457818780110208</v>
      </c>
      <c r="N40" s="91">
        <f>DL!W40</f>
        <v>206294</v>
      </c>
      <c r="O40" s="91">
        <f>DL!X40</f>
        <v>1895</v>
      </c>
      <c r="P40" s="91">
        <f>DL!Y40</f>
        <v>224</v>
      </c>
      <c r="Q40" s="91">
        <f>DL!Z40</f>
        <v>2167.63</v>
      </c>
      <c r="R40" s="92">
        <f>DL!AA40</f>
        <v>3857.88</v>
      </c>
      <c r="S40" s="91">
        <f>DL!AB40</f>
        <v>1.14</v>
      </c>
      <c r="T40" s="71">
        <f t="shared" si="8"/>
        <v>0.561870768401298</v>
      </c>
      <c r="U40" s="72">
        <f t="shared" si="9"/>
        <v>0.00918591912513209</v>
      </c>
      <c r="V40" s="72">
        <f t="shared" si="10"/>
        <v>0.11820580474934</v>
      </c>
      <c r="W40" s="73">
        <f t="shared" si="11"/>
        <v>9.67691964285714</v>
      </c>
    </row>
    <row r="41" customHeight="1" spans="1:23">
      <c r="A41" s="61" t="s">
        <v>169</v>
      </c>
      <c r="B41" s="61" t="s">
        <v>170</v>
      </c>
      <c r="C41" s="90">
        <f>DL!C41</f>
        <v>77</v>
      </c>
      <c r="D41" s="91">
        <f>DL!D41</f>
        <v>76</v>
      </c>
      <c r="E41" s="64">
        <f>DL!E41</f>
        <v>1574.1</v>
      </c>
      <c r="F41" s="65">
        <v>340</v>
      </c>
      <c r="G41" s="66">
        <v>1133</v>
      </c>
      <c r="H41" s="67">
        <v>1473</v>
      </c>
      <c r="I41" s="66">
        <v>410</v>
      </c>
      <c r="J41" s="66">
        <v>1500</v>
      </c>
      <c r="K41" s="68">
        <v>1910</v>
      </c>
      <c r="L41" s="69">
        <f t="shared" si="6"/>
        <v>0.0515953835709437</v>
      </c>
      <c r="M41" s="70">
        <f t="shared" si="7"/>
        <v>0.463947652626898</v>
      </c>
      <c r="N41" s="91">
        <f>DL!W41</f>
        <v>80541</v>
      </c>
      <c r="O41" s="91">
        <f>DL!X41</f>
        <v>722</v>
      </c>
      <c r="P41" s="91">
        <f>DL!Y41</f>
        <v>54</v>
      </c>
      <c r="Q41" s="91">
        <f>DL!Z41</f>
        <v>730.3</v>
      </c>
      <c r="R41" s="92">
        <f>DL!AA41</f>
        <v>1113.77</v>
      </c>
      <c r="S41" s="91">
        <f>DL!AB41</f>
        <v>1.01</v>
      </c>
      <c r="T41" s="71">
        <f t="shared" si="8"/>
        <v>0.655700907727807</v>
      </c>
      <c r="U41" s="72">
        <f t="shared" si="9"/>
        <v>0.00896437839112998</v>
      </c>
      <c r="V41" s="72">
        <f t="shared" si="10"/>
        <v>0.074792243767313</v>
      </c>
      <c r="W41" s="73">
        <f t="shared" si="11"/>
        <v>13.5240740740741</v>
      </c>
    </row>
    <row r="42" customHeight="1" spans="1:23">
      <c r="A42" s="61" t="s">
        <v>172</v>
      </c>
      <c r="B42" s="61" t="s">
        <v>173</v>
      </c>
      <c r="C42" s="90">
        <f>DL!C42</f>
        <v>74</v>
      </c>
      <c r="D42" s="91">
        <f>DL!D42</f>
        <v>74</v>
      </c>
      <c r="E42" s="64">
        <f>DL!E42</f>
        <v>1731.86</v>
      </c>
      <c r="F42" s="65">
        <v>260</v>
      </c>
      <c r="G42" s="66">
        <v>923</v>
      </c>
      <c r="H42" s="67">
        <v>1183</v>
      </c>
      <c r="I42" s="66">
        <v>333</v>
      </c>
      <c r="J42" s="66">
        <v>1176</v>
      </c>
      <c r="K42" s="68">
        <v>1509</v>
      </c>
      <c r="L42" s="69">
        <f t="shared" si="6"/>
        <v>0.062552831783601</v>
      </c>
      <c r="M42" s="70">
        <f t="shared" si="7"/>
        <v>0.342879909461504</v>
      </c>
      <c r="N42" s="91">
        <f>DL!W42</f>
        <v>68861</v>
      </c>
      <c r="O42" s="91">
        <f>DL!X42</f>
        <v>593</v>
      </c>
      <c r="P42" s="91">
        <f>DL!Y42</f>
        <v>58</v>
      </c>
      <c r="Q42" s="91">
        <f>DL!Z42</f>
        <v>593.82</v>
      </c>
      <c r="R42" s="92">
        <f>DL!AA42</f>
        <v>1351.57</v>
      </c>
      <c r="S42" s="91">
        <f>DL!AB42</f>
        <v>1</v>
      </c>
      <c r="T42" s="71">
        <f t="shared" si="8"/>
        <v>0.439355712245759</v>
      </c>
      <c r="U42" s="72">
        <f t="shared" si="9"/>
        <v>0.00861155080524535</v>
      </c>
      <c r="V42" s="72">
        <f t="shared" si="10"/>
        <v>0.0978077571669477</v>
      </c>
      <c r="W42" s="73">
        <f t="shared" si="11"/>
        <v>10.238275862069</v>
      </c>
    </row>
    <row r="43" customHeight="1" spans="1:23">
      <c r="A43" s="61" t="s">
        <v>175</v>
      </c>
      <c r="B43" s="61" t="s">
        <v>176</v>
      </c>
      <c r="C43" s="90">
        <f>DL!C43</f>
        <v>67</v>
      </c>
      <c r="D43" s="91">
        <f>DL!D43</f>
        <v>67</v>
      </c>
      <c r="E43" s="64">
        <f>DL!E43</f>
        <v>1580.23</v>
      </c>
      <c r="F43" s="65">
        <v>248</v>
      </c>
      <c r="G43" s="66">
        <v>875</v>
      </c>
      <c r="H43" s="67">
        <v>1123</v>
      </c>
      <c r="I43" s="66">
        <v>309</v>
      </c>
      <c r="J43" s="66">
        <v>1106</v>
      </c>
      <c r="K43" s="68">
        <v>1415</v>
      </c>
      <c r="L43" s="69">
        <f t="shared" si="6"/>
        <v>0.0596616206589492</v>
      </c>
      <c r="M43" s="70">
        <f t="shared" si="7"/>
        <v>0.377653885826747</v>
      </c>
      <c r="N43" s="91">
        <f>DL!W43</f>
        <v>64479</v>
      </c>
      <c r="O43" s="91">
        <f>DL!X43</f>
        <v>604</v>
      </c>
      <c r="P43" s="91">
        <f>DL!Y43</f>
        <v>46</v>
      </c>
      <c r="Q43" s="91">
        <f>DL!Z43</f>
        <v>596.78</v>
      </c>
      <c r="R43" s="92">
        <f>DL!AA43</f>
        <v>1085.46</v>
      </c>
      <c r="S43" s="91">
        <f>DL!AB43</f>
        <v>0.99</v>
      </c>
      <c r="T43" s="71">
        <f t="shared" si="8"/>
        <v>0.549794557146279</v>
      </c>
      <c r="U43" s="72">
        <f t="shared" si="9"/>
        <v>0.00936739093348222</v>
      </c>
      <c r="V43" s="72">
        <f t="shared" si="10"/>
        <v>0.076158940397351</v>
      </c>
      <c r="W43" s="73">
        <f t="shared" si="11"/>
        <v>12.9734782608696</v>
      </c>
    </row>
    <row r="44" customHeight="1" spans="1:23">
      <c r="A44" s="61" t="s">
        <v>177</v>
      </c>
      <c r="B44" s="61" t="s">
        <v>178</v>
      </c>
      <c r="C44" s="90">
        <f>DL!C44</f>
        <v>80</v>
      </c>
      <c r="D44" s="91">
        <f>DL!D44</f>
        <v>80</v>
      </c>
      <c r="E44" s="64">
        <f>DL!E44</f>
        <v>1885.2</v>
      </c>
      <c r="F44" s="65">
        <v>259</v>
      </c>
      <c r="G44" s="66">
        <v>991</v>
      </c>
      <c r="H44" s="67">
        <v>1250</v>
      </c>
      <c r="I44" s="66">
        <v>329</v>
      </c>
      <c r="J44" s="66">
        <v>1240</v>
      </c>
      <c r="K44" s="68">
        <v>1569</v>
      </c>
      <c r="L44" s="69">
        <f t="shared" si="6"/>
        <v>0.064</v>
      </c>
      <c r="M44" s="70">
        <f t="shared" si="7"/>
        <v>0.38872268194356</v>
      </c>
      <c r="N44" s="91">
        <f>DL!W44</f>
        <v>74930</v>
      </c>
      <c r="O44" s="91">
        <f>DL!X44</f>
        <v>730</v>
      </c>
      <c r="P44" s="91">
        <f>DL!Y44</f>
        <v>60</v>
      </c>
      <c r="Q44" s="91">
        <f>DL!Z44</f>
        <v>732.82</v>
      </c>
      <c r="R44" s="92">
        <f>DL!AA44</f>
        <v>1407.84</v>
      </c>
      <c r="S44" s="91">
        <f>DL!AB44</f>
        <v>1</v>
      </c>
      <c r="T44" s="71">
        <f t="shared" si="8"/>
        <v>0.520527900897829</v>
      </c>
      <c r="U44" s="72">
        <f t="shared" si="9"/>
        <v>0.00974242626451355</v>
      </c>
      <c r="V44" s="72">
        <f t="shared" si="10"/>
        <v>0.0821917808219178</v>
      </c>
      <c r="W44" s="73">
        <f t="shared" si="11"/>
        <v>12.2136666666667</v>
      </c>
    </row>
    <row r="45" customHeight="1" spans="1:23">
      <c r="A45" s="61" t="s">
        <v>179</v>
      </c>
      <c r="B45" s="61" t="s">
        <v>180</v>
      </c>
      <c r="C45" s="90">
        <f>DL!C45</f>
        <v>67</v>
      </c>
      <c r="D45" s="91">
        <f>DL!D45</f>
        <v>66</v>
      </c>
      <c r="E45" s="64">
        <f>DL!E45</f>
        <v>1554.74</v>
      </c>
      <c r="F45" s="65">
        <v>224</v>
      </c>
      <c r="G45" s="66">
        <v>853</v>
      </c>
      <c r="H45" s="67">
        <v>1077</v>
      </c>
      <c r="I45" s="66">
        <v>291</v>
      </c>
      <c r="J45" s="66">
        <v>1118</v>
      </c>
      <c r="K45" s="68">
        <v>1409</v>
      </c>
      <c r="L45" s="69">
        <f t="shared" si="6"/>
        <v>0.0612813370473538</v>
      </c>
      <c r="M45" s="70">
        <f t="shared" si="7"/>
        <v>0.417960559321816</v>
      </c>
      <c r="N45" s="91">
        <f>DL!W45</f>
        <v>65149</v>
      </c>
      <c r="O45" s="91">
        <f>DL!X45</f>
        <v>650</v>
      </c>
      <c r="P45" s="91">
        <f>DL!Y45</f>
        <v>51</v>
      </c>
      <c r="Q45" s="91">
        <f>DL!Z45</f>
        <v>649.82</v>
      </c>
      <c r="R45" s="92">
        <f>DL!AA45</f>
        <v>1169.43</v>
      </c>
      <c r="S45" s="91">
        <f>DL!AB45</f>
        <v>1</v>
      </c>
      <c r="T45" s="71">
        <f t="shared" si="8"/>
        <v>0.555672421607108</v>
      </c>
      <c r="U45" s="72">
        <f t="shared" si="9"/>
        <v>0.00997712934964466</v>
      </c>
      <c r="V45" s="72">
        <f t="shared" si="10"/>
        <v>0.0784615384615385</v>
      </c>
      <c r="W45" s="73">
        <f t="shared" si="11"/>
        <v>12.741568627451</v>
      </c>
    </row>
    <row r="46" customHeight="1" spans="1:23">
      <c r="A46" s="61" t="s">
        <v>181</v>
      </c>
      <c r="B46" s="61" t="s">
        <v>182</v>
      </c>
      <c r="C46" s="90">
        <f>DL!C46</f>
        <v>76</v>
      </c>
      <c r="D46" s="91">
        <f>DL!D46</f>
        <v>74</v>
      </c>
      <c r="E46" s="64">
        <f>DL!E46</f>
        <v>1769.64</v>
      </c>
      <c r="F46" s="65">
        <v>227</v>
      </c>
      <c r="G46" s="66">
        <v>773</v>
      </c>
      <c r="H46" s="67">
        <v>1000</v>
      </c>
      <c r="I46" s="66">
        <v>292</v>
      </c>
      <c r="J46" s="66">
        <v>970</v>
      </c>
      <c r="K46" s="68">
        <v>1262</v>
      </c>
      <c r="L46" s="69">
        <f t="shared" si="6"/>
        <v>0.074</v>
      </c>
      <c r="M46" s="70">
        <f t="shared" si="7"/>
        <v>0.349257476096833</v>
      </c>
      <c r="N46" s="91">
        <f>DL!W46</f>
        <v>64744</v>
      </c>
      <c r="O46" s="91">
        <f>DL!X46</f>
        <v>617</v>
      </c>
      <c r="P46" s="91">
        <f>DL!Y46</f>
        <v>56</v>
      </c>
      <c r="Q46" s="91">
        <f>DL!Z46</f>
        <v>618.06</v>
      </c>
      <c r="R46" s="92">
        <f>DL!AA46</f>
        <v>1339.15</v>
      </c>
      <c r="S46" s="91">
        <f>DL!AB46</f>
        <v>1</v>
      </c>
      <c r="T46" s="71">
        <f t="shared" si="8"/>
        <v>0.461531568532278</v>
      </c>
      <c r="U46" s="72">
        <f t="shared" si="9"/>
        <v>0.00952984060299024</v>
      </c>
      <c r="V46" s="72">
        <f t="shared" si="10"/>
        <v>0.0907617504051864</v>
      </c>
      <c r="W46" s="73">
        <f t="shared" si="11"/>
        <v>11.0367857142857</v>
      </c>
    </row>
    <row r="47" customHeight="1" spans="1:23">
      <c r="A47" s="61" t="s">
        <v>183</v>
      </c>
      <c r="B47" s="61" t="s">
        <v>184</v>
      </c>
      <c r="C47" s="90">
        <f>DL!C47</f>
        <v>63</v>
      </c>
      <c r="D47" s="91">
        <f>DL!D47</f>
        <v>62</v>
      </c>
      <c r="E47" s="64">
        <f>DL!E47</f>
        <v>1470.25</v>
      </c>
      <c r="F47" s="65">
        <v>329</v>
      </c>
      <c r="G47" s="66">
        <v>896</v>
      </c>
      <c r="H47" s="67">
        <v>1225</v>
      </c>
      <c r="I47" s="66">
        <v>447</v>
      </c>
      <c r="J47" s="66">
        <v>1108</v>
      </c>
      <c r="K47" s="68">
        <v>1555</v>
      </c>
      <c r="L47" s="69">
        <f t="shared" si="6"/>
        <v>0.0506122448979592</v>
      </c>
      <c r="M47" s="70">
        <f t="shared" si="7"/>
        <v>0.438258799523891</v>
      </c>
      <c r="N47" s="91">
        <f>DL!W47</f>
        <v>76783</v>
      </c>
      <c r="O47" s="91">
        <f>DL!X47</f>
        <v>640</v>
      </c>
      <c r="P47" s="91">
        <f>DL!Y47</f>
        <v>53</v>
      </c>
      <c r="Q47" s="91">
        <f>DL!Z47</f>
        <v>644.35</v>
      </c>
      <c r="R47" s="92">
        <f>DL!AA47</f>
        <v>1248.82</v>
      </c>
      <c r="S47" s="91">
        <f>DL!AB47</f>
        <v>1.01</v>
      </c>
      <c r="T47" s="71">
        <f t="shared" si="8"/>
        <v>0.515967072916834</v>
      </c>
      <c r="U47" s="72">
        <f t="shared" si="9"/>
        <v>0.00833517835979318</v>
      </c>
      <c r="V47" s="72">
        <f t="shared" si="10"/>
        <v>0.0828125</v>
      </c>
      <c r="W47" s="73">
        <f t="shared" si="11"/>
        <v>12.1575471698113</v>
      </c>
    </row>
    <row r="48" customHeight="1" spans="1:23">
      <c r="A48" s="61" t="s">
        <v>185</v>
      </c>
      <c r="B48" s="61" t="s">
        <v>186</v>
      </c>
      <c r="C48" s="90">
        <f>DL!C48</f>
        <v>68</v>
      </c>
      <c r="D48" s="91">
        <f>DL!D48</f>
        <v>68</v>
      </c>
      <c r="E48" s="64">
        <f>DL!E48</f>
        <v>1602.52</v>
      </c>
      <c r="F48" s="65">
        <v>246</v>
      </c>
      <c r="G48" s="66">
        <v>941</v>
      </c>
      <c r="H48" s="67">
        <v>1187</v>
      </c>
      <c r="I48" s="66">
        <v>329</v>
      </c>
      <c r="J48" s="66">
        <v>1164</v>
      </c>
      <c r="K48" s="68">
        <v>1493</v>
      </c>
      <c r="L48" s="69">
        <f t="shared" si="6"/>
        <v>0.0572872788542544</v>
      </c>
      <c r="M48" s="70">
        <f t="shared" si="7"/>
        <v>0.456393679954072</v>
      </c>
      <c r="N48" s="91">
        <f>DL!W48</f>
        <v>71302</v>
      </c>
      <c r="O48" s="91">
        <f>DL!X48</f>
        <v>722</v>
      </c>
      <c r="P48" s="91">
        <f>DL!Y48</f>
        <v>54</v>
      </c>
      <c r="Q48" s="91">
        <f>DL!Z48</f>
        <v>731.38</v>
      </c>
      <c r="R48" s="92">
        <f>DL!AA48</f>
        <v>1253.93</v>
      </c>
      <c r="S48" s="91">
        <f>DL!AB48</f>
        <v>1.01</v>
      </c>
      <c r="T48" s="71">
        <f t="shared" si="8"/>
        <v>0.583270198495929</v>
      </c>
      <c r="U48" s="72">
        <f t="shared" si="9"/>
        <v>0.0101259431712995</v>
      </c>
      <c r="V48" s="72">
        <f t="shared" si="10"/>
        <v>0.074792243767313</v>
      </c>
      <c r="W48" s="73">
        <f t="shared" si="11"/>
        <v>13.5440740740741</v>
      </c>
    </row>
    <row r="49" customHeight="1" spans="1:23">
      <c r="A49" s="61" t="s">
        <v>187</v>
      </c>
      <c r="B49" s="61" t="s">
        <v>188</v>
      </c>
      <c r="C49" s="90">
        <f>DL!C49</f>
        <v>73</v>
      </c>
      <c r="D49" s="91">
        <f>DL!D49</f>
        <v>70</v>
      </c>
      <c r="E49" s="64">
        <f>DL!E49</f>
        <v>1703.97</v>
      </c>
      <c r="F49" s="65">
        <v>309</v>
      </c>
      <c r="G49" s="66">
        <v>1005</v>
      </c>
      <c r="H49" s="67">
        <v>1314</v>
      </c>
      <c r="I49" s="66">
        <v>388</v>
      </c>
      <c r="J49" s="66">
        <v>1268</v>
      </c>
      <c r="K49" s="68">
        <v>1656</v>
      </c>
      <c r="L49" s="69">
        <f t="shared" si="6"/>
        <v>0.0532724505327245</v>
      </c>
      <c r="M49" s="70">
        <f t="shared" si="7"/>
        <v>0.468541112813019</v>
      </c>
      <c r="N49" s="91">
        <f>DL!W49</f>
        <v>80078</v>
      </c>
      <c r="O49" s="91">
        <f>DL!X49</f>
        <v>779</v>
      </c>
      <c r="P49" s="91">
        <f>DL!Y49</f>
        <v>71</v>
      </c>
      <c r="Q49" s="91">
        <f>DL!Z49</f>
        <v>798.38</v>
      </c>
      <c r="R49" s="92">
        <f>DL!AA49</f>
        <v>1641.78</v>
      </c>
      <c r="S49" s="91">
        <f>DL!AB49</f>
        <v>1.02</v>
      </c>
      <c r="T49" s="71">
        <f t="shared" si="8"/>
        <v>0.486289271400553</v>
      </c>
      <c r="U49" s="72">
        <f t="shared" si="9"/>
        <v>0.00972801518519444</v>
      </c>
      <c r="V49" s="72">
        <f t="shared" si="10"/>
        <v>0.0911424903722721</v>
      </c>
      <c r="W49" s="73">
        <f t="shared" si="11"/>
        <v>11.2447887323944</v>
      </c>
    </row>
    <row r="50" customHeight="1" spans="1:23">
      <c r="A50" s="61" t="s">
        <v>189</v>
      </c>
      <c r="B50" s="61" t="s">
        <v>190</v>
      </c>
      <c r="C50" s="90">
        <f>DL!C50</f>
        <v>102</v>
      </c>
      <c r="D50" s="91">
        <f>DL!D50</f>
        <v>99</v>
      </c>
      <c r="E50" s="64">
        <f>DL!E50</f>
        <v>2362.89</v>
      </c>
      <c r="F50" s="65">
        <v>408</v>
      </c>
      <c r="G50" s="66">
        <v>1251</v>
      </c>
      <c r="H50" s="67">
        <v>1659</v>
      </c>
      <c r="I50" s="66">
        <v>534</v>
      </c>
      <c r="J50" s="66">
        <v>1538</v>
      </c>
      <c r="K50" s="68">
        <v>2072</v>
      </c>
      <c r="L50" s="69">
        <f t="shared" si="6"/>
        <v>0.0596745027124774</v>
      </c>
      <c r="M50" s="70">
        <f t="shared" si="7"/>
        <v>0.405736195929561</v>
      </c>
      <c r="N50" s="91">
        <f>DL!W50</f>
        <v>78513</v>
      </c>
      <c r="O50" s="91">
        <f>DL!X50</f>
        <v>910</v>
      </c>
      <c r="P50" s="91">
        <f>DL!Y50</f>
        <v>108</v>
      </c>
      <c r="Q50" s="91">
        <f>DL!Z50</f>
        <v>958.71</v>
      </c>
      <c r="R50" s="92">
        <f>DL!AA50</f>
        <v>2618.83</v>
      </c>
      <c r="S50" s="91">
        <f>DL!AB50</f>
        <v>1.05</v>
      </c>
      <c r="T50" s="71">
        <f t="shared" si="8"/>
        <v>0.366083327287376</v>
      </c>
      <c r="U50" s="72">
        <f t="shared" si="9"/>
        <v>0.0115904372524295</v>
      </c>
      <c r="V50" s="72">
        <f t="shared" si="10"/>
        <v>0.118681318681319</v>
      </c>
      <c r="W50" s="73">
        <f t="shared" si="11"/>
        <v>8.87694444444445</v>
      </c>
    </row>
    <row r="51" customHeight="1" spans="1:23">
      <c r="A51" s="61" t="s">
        <v>191</v>
      </c>
      <c r="B51" s="61" t="s">
        <v>192</v>
      </c>
      <c r="C51" s="90">
        <f>DL!C51</f>
        <v>84</v>
      </c>
      <c r="D51" s="91">
        <f>DL!D51</f>
        <v>83</v>
      </c>
      <c r="E51" s="64">
        <f>DL!E51</f>
        <v>1974.76</v>
      </c>
      <c r="F51" s="65">
        <v>381</v>
      </c>
      <c r="G51" s="66">
        <v>1215</v>
      </c>
      <c r="H51" s="67">
        <v>1596</v>
      </c>
      <c r="I51" s="66">
        <v>513</v>
      </c>
      <c r="J51" s="66">
        <v>1486</v>
      </c>
      <c r="K51" s="68">
        <v>1999</v>
      </c>
      <c r="L51" s="69">
        <f t="shared" si="6"/>
        <v>0.0520050125313283</v>
      </c>
      <c r="M51" s="70">
        <f t="shared" si="7"/>
        <v>0.457812594948247</v>
      </c>
      <c r="N51" s="91">
        <f>DL!W51</f>
        <v>81151</v>
      </c>
      <c r="O51" s="91">
        <f>DL!X51</f>
        <v>850</v>
      </c>
      <c r="P51" s="91">
        <f>DL!Y51</f>
        <v>90</v>
      </c>
      <c r="Q51" s="91">
        <f>DL!Z51</f>
        <v>904.07</v>
      </c>
      <c r="R51" s="92">
        <f>DL!AA51</f>
        <v>2116.93</v>
      </c>
      <c r="S51" s="91" t="str">
        <f>DL!AB51</f>
        <v>1..06</v>
      </c>
      <c r="T51" s="71">
        <f t="shared" si="8"/>
        <v>0.427066553924787</v>
      </c>
      <c r="U51" s="72">
        <f t="shared" si="9"/>
        <v>0.0104743009944425</v>
      </c>
      <c r="V51" s="72">
        <f t="shared" si="10"/>
        <v>0.105882352941176</v>
      </c>
      <c r="W51" s="73">
        <f t="shared" si="11"/>
        <v>10.0452222222222</v>
      </c>
    </row>
    <row r="52" customHeight="1" spans="1:23">
      <c r="A52" s="61" t="s">
        <v>193</v>
      </c>
      <c r="B52" s="61" t="s">
        <v>194</v>
      </c>
      <c r="C52" s="90">
        <f>DL!C52</f>
        <v>112</v>
      </c>
      <c r="D52" s="91">
        <f>DL!D52</f>
        <v>111</v>
      </c>
      <c r="E52" s="64">
        <f>DL!E52</f>
        <v>2577.79</v>
      </c>
      <c r="F52" s="65">
        <v>523</v>
      </c>
      <c r="G52" s="66">
        <v>1716</v>
      </c>
      <c r="H52" s="67">
        <v>2239</v>
      </c>
      <c r="I52" s="66">
        <v>665</v>
      </c>
      <c r="J52" s="66">
        <v>2063</v>
      </c>
      <c r="K52" s="68">
        <v>2728</v>
      </c>
      <c r="L52" s="69">
        <f t="shared" si="6"/>
        <v>0.0495757034390353</v>
      </c>
      <c r="M52" s="70">
        <f t="shared" si="7"/>
        <v>0.426900562109404</v>
      </c>
      <c r="N52" s="91">
        <f>DL!W52</f>
        <v>96422</v>
      </c>
      <c r="O52" s="91">
        <f>DL!X52</f>
        <v>1030</v>
      </c>
      <c r="P52" s="91">
        <f>DL!Y52</f>
        <v>101</v>
      </c>
      <c r="Q52" s="91">
        <f>DL!Z52</f>
        <v>1100.46</v>
      </c>
      <c r="R52" s="92">
        <f>DL!AA52</f>
        <v>2274.47</v>
      </c>
      <c r="S52" s="91">
        <f>DL!AB52</f>
        <v>1.07</v>
      </c>
      <c r="T52" s="71">
        <f t="shared" si="8"/>
        <v>0.483831398083949</v>
      </c>
      <c r="U52" s="72">
        <f t="shared" si="9"/>
        <v>0.0106822094542739</v>
      </c>
      <c r="V52" s="72">
        <f t="shared" si="10"/>
        <v>0.0980582524271845</v>
      </c>
      <c r="W52" s="73">
        <f t="shared" si="11"/>
        <v>10.8956435643564</v>
      </c>
    </row>
    <row r="53" customHeight="1" spans="1:23">
      <c r="A53" s="61" t="s">
        <v>195</v>
      </c>
      <c r="B53" s="61" t="s">
        <v>196</v>
      </c>
      <c r="C53" s="90">
        <f>DL!C53</f>
        <v>174</v>
      </c>
      <c r="D53" s="91">
        <f>DL!D53</f>
        <v>171</v>
      </c>
      <c r="E53" s="64">
        <f>DL!E53</f>
        <v>3365.96</v>
      </c>
      <c r="F53" s="65">
        <v>569</v>
      </c>
      <c r="G53" s="66">
        <v>1639</v>
      </c>
      <c r="H53" s="67">
        <v>2208</v>
      </c>
      <c r="I53" s="66">
        <v>729</v>
      </c>
      <c r="J53" s="66">
        <v>1958</v>
      </c>
      <c r="K53" s="68">
        <v>2687</v>
      </c>
      <c r="L53" s="69">
        <f t="shared" si="6"/>
        <v>0.077445652173913</v>
      </c>
      <c r="M53" s="70">
        <f t="shared" si="7"/>
        <v>0.322288440742017</v>
      </c>
      <c r="N53" s="91">
        <f>DL!W53</f>
        <v>101187</v>
      </c>
      <c r="O53" s="91">
        <f>DL!X53</f>
        <v>1056</v>
      </c>
      <c r="P53" s="91">
        <f>DL!Y53</f>
        <v>130</v>
      </c>
      <c r="Q53" s="91">
        <f>DL!Z53</f>
        <v>1084.81</v>
      </c>
      <c r="R53" s="92">
        <f>DL!AA53</f>
        <v>2617.02</v>
      </c>
      <c r="S53" s="91">
        <f>DL!AB53</f>
        <v>1.03</v>
      </c>
      <c r="T53" s="71">
        <f t="shared" si="8"/>
        <v>0.414521096514356</v>
      </c>
      <c r="U53" s="72">
        <f t="shared" si="9"/>
        <v>0.0104361232174094</v>
      </c>
      <c r="V53" s="72">
        <f t="shared" si="10"/>
        <v>0.123106060606061</v>
      </c>
      <c r="W53" s="73">
        <f t="shared" si="11"/>
        <v>8.34469230769231</v>
      </c>
    </row>
    <row r="54" customHeight="1" spans="1:23">
      <c r="A54" s="61" t="s">
        <v>198</v>
      </c>
      <c r="B54" s="61" t="s">
        <v>199</v>
      </c>
      <c r="C54" s="90">
        <f>DL!C54</f>
        <v>160</v>
      </c>
      <c r="D54" s="91">
        <f>DL!D54</f>
        <v>158</v>
      </c>
      <c r="E54" s="64">
        <f>DL!E54</f>
        <v>3549.51</v>
      </c>
      <c r="F54" s="65">
        <v>416</v>
      </c>
      <c r="G54" s="66">
        <v>1633</v>
      </c>
      <c r="H54" s="67">
        <v>2049</v>
      </c>
      <c r="I54" s="66">
        <v>545</v>
      </c>
      <c r="J54" s="66">
        <v>1971</v>
      </c>
      <c r="K54" s="68">
        <v>2516</v>
      </c>
      <c r="L54" s="69">
        <f t="shared" si="6"/>
        <v>0.0771107857491459</v>
      </c>
      <c r="M54" s="70">
        <f t="shared" si="7"/>
        <v>0.322174046558539</v>
      </c>
      <c r="N54" s="91">
        <f>DL!W54</f>
        <v>122283</v>
      </c>
      <c r="O54" s="91">
        <f>DL!X54</f>
        <v>1093</v>
      </c>
      <c r="P54" s="91">
        <f>DL!Y54</f>
        <v>129</v>
      </c>
      <c r="Q54" s="91">
        <f>DL!Z54</f>
        <v>1143.56</v>
      </c>
      <c r="R54" s="92">
        <f>DL!AA54</f>
        <v>2874.28</v>
      </c>
      <c r="S54" s="91">
        <f>DL!AB54</f>
        <v>1.05</v>
      </c>
      <c r="T54" s="71">
        <f t="shared" si="8"/>
        <v>0.397859637891924</v>
      </c>
      <c r="U54" s="72">
        <f t="shared" si="9"/>
        <v>0.00893828250860708</v>
      </c>
      <c r="V54" s="72">
        <f t="shared" si="10"/>
        <v>0.118023787740165</v>
      </c>
      <c r="W54" s="73">
        <f t="shared" si="11"/>
        <v>8.86480620155039</v>
      </c>
    </row>
    <row r="55" customHeight="1" spans="1:23">
      <c r="A55" s="61" t="s">
        <v>200</v>
      </c>
      <c r="B55" s="61" t="s">
        <v>201</v>
      </c>
      <c r="C55" s="90">
        <f>DL!C55</f>
        <v>140</v>
      </c>
      <c r="D55" s="91">
        <f>DL!D55</f>
        <v>140</v>
      </c>
      <c r="E55" s="64">
        <f>DL!E55</f>
        <v>3093.93</v>
      </c>
      <c r="F55" s="65">
        <v>480</v>
      </c>
      <c r="G55" s="66">
        <v>1433</v>
      </c>
      <c r="H55" s="67">
        <v>1913</v>
      </c>
      <c r="I55" s="66">
        <v>581</v>
      </c>
      <c r="J55" s="66">
        <v>1770</v>
      </c>
      <c r="K55" s="68">
        <v>2351</v>
      </c>
      <c r="L55" s="69">
        <f t="shared" si="6"/>
        <v>0.0731834814427601</v>
      </c>
      <c r="M55" s="70">
        <f t="shared" si="7"/>
        <v>0.351950431974867</v>
      </c>
      <c r="N55" s="91">
        <f>DL!W55</f>
        <v>122246</v>
      </c>
      <c r="O55" s="91">
        <f>DL!X55</f>
        <v>1047</v>
      </c>
      <c r="P55" s="91">
        <f>DL!Y55</f>
        <v>106</v>
      </c>
      <c r="Q55" s="91">
        <f>DL!Z55</f>
        <v>1088.91</v>
      </c>
      <c r="R55" s="92">
        <f>DL!AA55</f>
        <v>2380.33</v>
      </c>
      <c r="S55" s="91">
        <f>DL!AB55</f>
        <v>1.04</v>
      </c>
      <c r="T55" s="71">
        <f t="shared" si="8"/>
        <v>0.457461780509425</v>
      </c>
      <c r="U55" s="72">
        <f t="shared" si="9"/>
        <v>0.0085646974134123</v>
      </c>
      <c r="V55" s="72">
        <f t="shared" si="10"/>
        <v>0.101241642788921</v>
      </c>
      <c r="W55" s="73">
        <f t="shared" si="11"/>
        <v>10.2727358490566</v>
      </c>
    </row>
    <row r="56" customHeight="1" spans="1:23">
      <c r="A56" s="61" t="s">
        <v>202</v>
      </c>
      <c r="B56" s="61" t="s">
        <v>203</v>
      </c>
      <c r="C56" s="90">
        <f>DL!C56</f>
        <v>144</v>
      </c>
      <c r="D56" s="91">
        <f>DL!D56</f>
        <v>144</v>
      </c>
      <c r="E56" s="64">
        <f>DL!E56</f>
        <v>3285.27</v>
      </c>
      <c r="F56" s="65">
        <v>575</v>
      </c>
      <c r="G56" s="66">
        <v>1818</v>
      </c>
      <c r="H56" s="67">
        <v>2393</v>
      </c>
      <c r="I56" s="66">
        <v>694</v>
      </c>
      <c r="J56" s="66">
        <v>2238</v>
      </c>
      <c r="K56" s="68">
        <v>2932</v>
      </c>
      <c r="L56" s="69">
        <f t="shared" si="6"/>
        <v>0.0601755119097367</v>
      </c>
      <c r="M56" s="70">
        <f t="shared" si="7"/>
        <v>0.322000931430293</v>
      </c>
      <c r="N56" s="91">
        <f>DL!W56</f>
        <v>115096</v>
      </c>
      <c r="O56" s="91">
        <f>DL!X56</f>
        <v>987</v>
      </c>
      <c r="P56" s="91">
        <f>DL!Y56</f>
        <v>118</v>
      </c>
      <c r="Q56" s="91">
        <f>DL!Z56</f>
        <v>1057.86</v>
      </c>
      <c r="R56" s="92">
        <f>DL!AA56</f>
        <v>2626.68</v>
      </c>
      <c r="S56" s="91">
        <f>DL!AB56</f>
        <v>1.07</v>
      </c>
      <c r="T56" s="71">
        <f t="shared" si="8"/>
        <v>0.402736534332313</v>
      </c>
      <c r="U56" s="72">
        <f t="shared" si="9"/>
        <v>0.00857545005908112</v>
      </c>
      <c r="V56" s="72">
        <f t="shared" si="10"/>
        <v>0.119554204660588</v>
      </c>
      <c r="W56" s="73">
        <f t="shared" si="11"/>
        <v>8.96491525423729</v>
      </c>
    </row>
    <row r="57" customHeight="1" spans="1:23">
      <c r="A57" s="61" t="s">
        <v>205</v>
      </c>
      <c r="B57" s="61" t="s">
        <v>206</v>
      </c>
      <c r="C57" s="90">
        <f>DL!C57</f>
        <v>153</v>
      </c>
      <c r="D57" s="91">
        <f>DL!D57</f>
        <v>153</v>
      </c>
      <c r="E57" s="64">
        <f>DL!E57</f>
        <v>3457.39</v>
      </c>
      <c r="F57" s="65">
        <v>614</v>
      </c>
      <c r="G57" s="66">
        <v>2026</v>
      </c>
      <c r="H57" s="67">
        <v>2640</v>
      </c>
      <c r="I57" s="66">
        <v>787</v>
      </c>
      <c r="J57" s="66">
        <v>2513</v>
      </c>
      <c r="K57" s="68">
        <v>3300</v>
      </c>
      <c r="L57" s="69">
        <f t="shared" si="6"/>
        <v>0.0579545454545455</v>
      </c>
      <c r="M57" s="70">
        <f t="shared" si="7"/>
        <v>0.358333887701416</v>
      </c>
      <c r="N57" s="91">
        <f>DL!W57</f>
        <v>126104</v>
      </c>
      <c r="O57" s="91">
        <f>DL!X57</f>
        <v>1176</v>
      </c>
      <c r="P57" s="91">
        <f>DL!Y57</f>
        <v>141</v>
      </c>
      <c r="Q57" s="91">
        <f>DL!Z57</f>
        <v>1238.9</v>
      </c>
      <c r="R57" s="92">
        <f>DL!AA57</f>
        <v>3166.47</v>
      </c>
      <c r="S57" s="91">
        <f>DL!AB57</f>
        <v>1.05</v>
      </c>
      <c r="T57" s="71">
        <f t="shared" si="8"/>
        <v>0.391255877996634</v>
      </c>
      <c r="U57" s="72">
        <f t="shared" si="9"/>
        <v>0.00932563598299816</v>
      </c>
      <c r="V57" s="72">
        <f t="shared" si="10"/>
        <v>0.119897959183673</v>
      </c>
      <c r="W57" s="73">
        <f t="shared" si="11"/>
        <v>8.78652482269504</v>
      </c>
    </row>
    <row r="58" customHeight="1" spans="1:23">
      <c r="A58" s="61" t="s">
        <v>208</v>
      </c>
      <c r="B58" s="61" t="s">
        <v>209</v>
      </c>
      <c r="C58" s="90">
        <f>DL!C58</f>
        <v>126</v>
      </c>
      <c r="D58" s="91">
        <f>DL!D58</f>
        <v>123</v>
      </c>
      <c r="E58" s="64">
        <f>DL!E58</f>
        <v>2825.25</v>
      </c>
      <c r="F58" s="65">
        <v>439</v>
      </c>
      <c r="G58" s="66">
        <v>1188</v>
      </c>
      <c r="H58" s="67">
        <v>1627</v>
      </c>
      <c r="I58" s="66">
        <v>582</v>
      </c>
      <c r="J58" s="66">
        <v>1515</v>
      </c>
      <c r="K58" s="68">
        <v>2097</v>
      </c>
      <c r="L58" s="69">
        <f t="shared" si="6"/>
        <v>0.07559926244622</v>
      </c>
      <c r="M58" s="70">
        <f t="shared" si="7"/>
        <v>0.363217414388107</v>
      </c>
      <c r="N58" s="91">
        <f>DL!W58</f>
        <v>103058</v>
      </c>
      <c r="O58" s="91">
        <f>DL!X58</f>
        <v>963</v>
      </c>
      <c r="P58" s="91">
        <f>DL!Y58</f>
        <v>100</v>
      </c>
      <c r="Q58" s="91">
        <f>DL!Z58</f>
        <v>1026.18</v>
      </c>
      <c r="R58" s="92">
        <f>DL!AA58</f>
        <v>2241.92</v>
      </c>
      <c r="S58" s="91">
        <f>DL!AB58</f>
        <v>1.07</v>
      </c>
      <c r="T58" s="71">
        <f t="shared" si="8"/>
        <v>0.457723736797031</v>
      </c>
      <c r="U58" s="72">
        <f t="shared" si="9"/>
        <v>0.00934425275087815</v>
      </c>
      <c r="V58" s="72">
        <f t="shared" si="10"/>
        <v>0.103842159916926</v>
      </c>
      <c r="W58" s="73">
        <f t="shared" si="11"/>
        <v>10.2618</v>
      </c>
    </row>
    <row r="59" customHeight="1" spans="1:23">
      <c r="A59" s="61" t="s">
        <v>210</v>
      </c>
      <c r="B59" s="61" t="s">
        <v>211</v>
      </c>
      <c r="C59" s="90">
        <f>DL!C59</f>
        <v>134</v>
      </c>
      <c r="D59" s="91">
        <f>DL!D59</f>
        <v>129</v>
      </c>
      <c r="E59" s="64">
        <f>DL!E59</f>
        <v>2380.61</v>
      </c>
      <c r="F59" s="65">
        <v>391</v>
      </c>
      <c r="G59" s="66">
        <v>1369</v>
      </c>
      <c r="H59" s="67">
        <v>1760</v>
      </c>
      <c r="I59" s="66">
        <v>480</v>
      </c>
      <c r="J59" s="66">
        <v>1722</v>
      </c>
      <c r="K59" s="68">
        <v>2202</v>
      </c>
      <c r="L59" s="69">
        <f t="shared" si="6"/>
        <v>0.0732954545454545</v>
      </c>
      <c r="M59" s="70">
        <f t="shared" si="7"/>
        <v>0.413427650896199</v>
      </c>
      <c r="N59" s="91">
        <f>DL!W59</f>
        <v>91054</v>
      </c>
      <c r="O59" s="91">
        <f>DL!X59</f>
        <v>940</v>
      </c>
      <c r="P59" s="91">
        <f>DL!Y59</f>
        <v>89</v>
      </c>
      <c r="Q59" s="91">
        <f>DL!Z59</f>
        <v>984.21</v>
      </c>
      <c r="R59" s="92">
        <f>DL!AA59</f>
        <v>1678.37</v>
      </c>
      <c r="S59" s="91">
        <f>DL!AB59</f>
        <v>1.05</v>
      </c>
      <c r="T59" s="71">
        <f t="shared" si="8"/>
        <v>0.586408241329385</v>
      </c>
      <c r="U59" s="72">
        <f t="shared" si="9"/>
        <v>0.0103235442704329</v>
      </c>
      <c r="V59" s="72">
        <f t="shared" si="10"/>
        <v>0.0946808510638298</v>
      </c>
      <c r="W59" s="73">
        <f t="shared" si="11"/>
        <v>11.0585393258427</v>
      </c>
    </row>
    <row r="60" customHeight="1" spans="1:23">
      <c r="A60" s="61" t="s">
        <v>213</v>
      </c>
      <c r="B60" s="61" t="s">
        <v>214</v>
      </c>
      <c r="C60" s="90">
        <f>DL!C60</f>
        <v>207</v>
      </c>
      <c r="D60" s="91">
        <f>DL!D60</f>
        <v>204</v>
      </c>
      <c r="E60" s="64">
        <f>DL!E60</f>
        <v>3307.18</v>
      </c>
      <c r="F60" s="65">
        <v>736</v>
      </c>
      <c r="G60" s="66">
        <v>2093</v>
      </c>
      <c r="H60" s="67">
        <v>2829</v>
      </c>
      <c r="I60" s="66">
        <v>967</v>
      </c>
      <c r="J60" s="66">
        <v>2672</v>
      </c>
      <c r="K60" s="68">
        <v>3639</v>
      </c>
      <c r="L60" s="69">
        <f t="shared" si="6"/>
        <v>0.0721102863202545</v>
      </c>
      <c r="M60" s="70">
        <f t="shared" si="7"/>
        <v>0.403168258153472</v>
      </c>
      <c r="N60" s="91">
        <f>DL!W60</f>
        <v>100705</v>
      </c>
      <c r="O60" s="91">
        <f>DL!X60</f>
        <v>1267</v>
      </c>
      <c r="P60" s="91">
        <f>DL!Y60</f>
        <v>173</v>
      </c>
      <c r="Q60" s="91">
        <f>DL!Z60</f>
        <v>1333.35</v>
      </c>
      <c r="R60" s="92">
        <f>DL!AA60</f>
        <v>2730.65</v>
      </c>
      <c r="S60" s="91">
        <f>DL!AB60</f>
        <v>1.05</v>
      </c>
      <c r="T60" s="71">
        <f t="shared" si="8"/>
        <v>0.488290333803307</v>
      </c>
      <c r="U60" s="72">
        <f t="shared" si="9"/>
        <v>0.0125813018221538</v>
      </c>
      <c r="V60" s="72">
        <f t="shared" si="10"/>
        <v>0.136543014996054</v>
      </c>
      <c r="W60" s="73">
        <f t="shared" si="11"/>
        <v>7.70722543352601</v>
      </c>
    </row>
    <row r="61" customHeight="1" spans="1:23">
      <c r="A61" s="61" t="s">
        <v>216</v>
      </c>
      <c r="B61" s="61" t="s">
        <v>217</v>
      </c>
      <c r="C61" s="90">
        <f>DL!C61</f>
        <v>171</v>
      </c>
      <c r="D61" s="91">
        <f>DL!D61</f>
        <v>166</v>
      </c>
      <c r="E61" s="64">
        <f>DL!E61</f>
        <v>3365.95</v>
      </c>
      <c r="F61" s="65">
        <v>572</v>
      </c>
      <c r="G61" s="66">
        <v>1764</v>
      </c>
      <c r="H61" s="67">
        <v>2336</v>
      </c>
      <c r="I61" s="66">
        <v>729</v>
      </c>
      <c r="J61" s="66">
        <v>2243</v>
      </c>
      <c r="K61" s="68">
        <v>2972</v>
      </c>
      <c r="L61" s="69">
        <f t="shared" si="6"/>
        <v>0.0710616438356164</v>
      </c>
      <c r="M61" s="70">
        <f t="shared" si="7"/>
        <v>0.27451982352679</v>
      </c>
      <c r="N61" s="91">
        <f>DL!W61</f>
        <v>81197</v>
      </c>
      <c r="O61" s="91">
        <f>DL!X61</f>
        <v>895</v>
      </c>
      <c r="P61" s="91">
        <f>DL!Y61</f>
        <v>122</v>
      </c>
      <c r="Q61" s="91">
        <f>DL!Z61</f>
        <v>924.02</v>
      </c>
      <c r="R61" s="92">
        <f>DL!AA61</f>
        <v>2505.29</v>
      </c>
      <c r="S61" s="91">
        <f>DL!AB61</f>
        <v>1.03</v>
      </c>
      <c r="T61" s="71">
        <f t="shared" si="8"/>
        <v>0.368827560881175</v>
      </c>
      <c r="U61" s="72">
        <f t="shared" si="9"/>
        <v>0.0110225747256672</v>
      </c>
      <c r="V61" s="72">
        <f t="shared" si="10"/>
        <v>0.136312849162011</v>
      </c>
      <c r="W61" s="73">
        <f t="shared" si="11"/>
        <v>7.57393442622951</v>
      </c>
    </row>
    <row r="62" customHeight="1" spans="1:23">
      <c r="A62" s="61" t="s">
        <v>219</v>
      </c>
      <c r="B62" s="61" t="s">
        <v>220</v>
      </c>
      <c r="C62" s="90">
        <f>DL!C62</f>
        <v>147</v>
      </c>
      <c r="D62" s="91">
        <f>DL!D62</f>
        <v>146</v>
      </c>
      <c r="E62" s="64">
        <f>DL!E62</f>
        <v>3207.94</v>
      </c>
      <c r="F62" s="65">
        <v>537</v>
      </c>
      <c r="G62" s="66">
        <v>1418</v>
      </c>
      <c r="H62" s="67">
        <v>1955</v>
      </c>
      <c r="I62" s="66">
        <v>693</v>
      </c>
      <c r="J62" s="66">
        <v>1778</v>
      </c>
      <c r="K62" s="68">
        <v>2471</v>
      </c>
      <c r="L62" s="69">
        <f t="shared" si="6"/>
        <v>0.0746803069053708</v>
      </c>
      <c r="M62" s="70">
        <f t="shared" si="7"/>
        <v>0.238277523893838</v>
      </c>
      <c r="N62" s="91">
        <f>DL!W62</f>
        <v>63474</v>
      </c>
      <c r="O62" s="91">
        <f>DL!X62</f>
        <v>751</v>
      </c>
      <c r="P62" s="91">
        <f>DL!Y62</f>
        <v>103</v>
      </c>
      <c r="Q62" s="91">
        <f>DL!Z62</f>
        <v>764.38</v>
      </c>
      <c r="R62" s="92">
        <f>DL!AA62</f>
        <v>2238.71</v>
      </c>
      <c r="S62" s="91">
        <f>DL!AB62</f>
        <v>1.02</v>
      </c>
      <c r="T62" s="71">
        <f t="shared" si="8"/>
        <v>0.341437702962867</v>
      </c>
      <c r="U62" s="72">
        <f t="shared" si="9"/>
        <v>0.011831616094779</v>
      </c>
      <c r="V62" s="72">
        <f t="shared" si="10"/>
        <v>0.137150466045273</v>
      </c>
      <c r="W62" s="73">
        <f t="shared" si="11"/>
        <v>7.42116504854369</v>
      </c>
    </row>
    <row r="63" customHeight="1" spans="1:23">
      <c r="A63" s="61" t="s">
        <v>221</v>
      </c>
      <c r="B63" s="61" t="s">
        <v>222</v>
      </c>
      <c r="C63" s="90">
        <f>DL!C63</f>
        <v>135</v>
      </c>
      <c r="D63" s="91">
        <f>DL!D63</f>
        <v>133</v>
      </c>
      <c r="E63" s="64">
        <f>DL!E63</f>
        <v>2898.26</v>
      </c>
      <c r="F63" s="65">
        <v>309</v>
      </c>
      <c r="G63" s="66">
        <v>1107</v>
      </c>
      <c r="H63" s="67">
        <v>1416</v>
      </c>
      <c r="I63" s="66">
        <v>392</v>
      </c>
      <c r="J63" s="66">
        <v>1414</v>
      </c>
      <c r="K63" s="68">
        <v>1806</v>
      </c>
      <c r="L63" s="69">
        <f t="shared" si="6"/>
        <v>0.0939265536723164</v>
      </c>
      <c r="M63" s="70">
        <f t="shared" si="7"/>
        <v>0.25077805303872</v>
      </c>
      <c r="N63" s="91">
        <f>DL!W63</f>
        <v>56264</v>
      </c>
      <c r="O63" s="91">
        <f>DL!X63</f>
        <v>710</v>
      </c>
      <c r="P63" s="91">
        <f>DL!Y63</f>
        <v>93</v>
      </c>
      <c r="Q63" s="91">
        <f>DL!Z63</f>
        <v>726.82</v>
      </c>
      <c r="R63" s="92">
        <f>DL!AA63</f>
        <v>1961.55</v>
      </c>
      <c r="S63" s="91">
        <f>DL!AB63</f>
        <v>1.02</v>
      </c>
      <c r="T63" s="71">
        <f t="shared" si="8"/>
        <v>0.370533506665647</v>
      </c>
      <c r="U63" s="72">
        <f t="shared" si="9"/>
        <v>0.0126190814730556</v>
      </c>
      <c r="V63" s="72">
        <f t="shared" si="10"/>
        <v>0.130985915492958</v>
      </c>
      <c r="W63" s="73">
        <f t="shared" si="11"/>
        <v>7.8152688172043</v>
      </c>
    </row>
    <row r="64" customHeight="1" spans="1:23">
      <c r="A64" s="61" t="s">
        <v>223</v>
      </c>
      <c r="B64" s="61" t="s">
        <v>224</v>
      </c>
      <c r="C64" s="90">
        <f>DL!C64</f>
        <v>118</v>
      </c>
      <c r="D64" s="91">
        <f>DL!D64</f>
        <v>117</v>
      </c>
      <c r="E64" s="64">
        <f>DL!E64</f>
        <v>2646.02</v>
      </c>
      <c r="F64" s="65">
        <v>360</v>
      </c>
      <c r="G64" s="66">
        <v>1117</v>
      </c>
      <c r="H64" s="67">
        <v>1477</v>
      </c>
      <c r="I64" s="66">
        <v>466</v>
      </c>
      <c r="J64" s="66">
        <v>1363</v>
      </c>
      <c r="K64" s="68">
        <v>1829</v>
      </c>
      <c r="L64" s="69">
        <f t="shared" si="6"/>
        <v>0.0792146242383209</v>
      </c>
      <c r="M64" s="70">
        <f t="shared" si="7"/>
        <v>0.266282945707138</v>
      </c>
      <c r="N64" s="91">
        <f>DL!W64</f>
        <v>61162</v>
      </c>
      <c r="O64" s="91">
        <f>DL!X64</f>
        <v>698</v>
      </c>
      <c r="P64" s="91">
        <f>DL!Y64</f>
        <v>88</v>
      </c>
      <c r="Q64" s="91">
        <f>DL!Z64</f>
        <v>704.59</v>
      </c>
      <c r="R64" s="92">
        <f>DL!AA64</f>
        <v>1880.53</v>
      </c>
      <c r="S64" s="91">
        <f>DL!AB64</f>
        <v>1.01</v>
      </c>
      <c r="T64" s="71">
        <f t="shared" si="8"/>
        <v>0.374676288067726</v>
      </c>
      <c r="U64" s="72">
        <f t="shared" si="9"/>
        <v>0.0114123148360093</v>
      </c>
      <c r="V64" s="72">
        <f t="shared" si="10"/>
        <v>0.126074498567335</v>
      </c>
      <c r="W64" s="73">
        <f t="shared" si="11"/>
        <v>8.00670454545455</v>
      </c>
    </row>
    <row r="65" customHeight="1" spans="1:23">
      <c r="A65" s="79" t="s">
        <v>226</v>
      </c>
      <c r="B65" s="80" t="s">
        <v>227</v>
      </c>
      <c r="C65" s="90">
        <f>DL!C65</f>
        <v>179</v>
      </c>
      <c r="D65" s="91">
        <f>DL!D65</f>
        <v>174</v>
      </c>
      <c r="E65" s="64">
        <f>DL!E65</f>
        <v>3901.31</v>
      </c>
      <c r="F65" s="65">
        <v>652</v>
      </c>
      <c r="G65" s="66">
        <v>1942</v>
      </c>
      <c r="H65" s="67">
        <v>2594</v>
      </c>
      <c r="I65" s="66">
        <v>801</v>
      </c>
      <c r="J65" s="66">
        <v>2437</v>
      </c>
      <c r="K65" s="68">
        <v>3238</v>
      </c>
      <c r="L65" s="69">
        <f t="shared" si="6"/>
        <v>0.0670778720123362</v>
      </c>
      <c r="M65" s="70">
        <f t="shared" si="7"/>
        <v>0.305643488981906</v>
      </c>
      <c r="N65" s="91">
        <f>DL!W65</f>
        <v>87253</v>
      </c>
      <c r="O65" s="91">
        <f>DL!X65</f>
        <v>1141</v>
      </c>
      <c r="P65" s="91">
        <f>DL!Y65</f>
        <v>133</v>
      </c>
      <c r="Q65" s="91">
        <f>DL!Z65</f>
        <v>1192.41</v>
      </c>
      <c r="R65" s="92">
        <f>DL!AA65</f>
        <v>2980.93</v>
      </c>
      <c r="S65" s="91">
        <f>DL!AB65</f>
        <v>1.05</v>
      </c>
      <c r="T65" s="71">
        <f t="shared" si="8"/>
        <v>0.400012747699543</v>
      </c>
      <c r="U65" s="72">
        <f t="shared" si="9"/>
        <v>0.0130769142608277</v>
      </c>
      <c r="V65" s="72">
        <f t="shared" si="10"/>
        <v>0.116564417177914</v>
      </c>
      <c r="W65" s="73">
        <f t="shared" si="11"/>
        <v>8.96548872180451</v>
      </c>
    </row>
    <row r="66" customHeight="1" spans="1:23">
      <c r="A66" s="61" t="s">
        <v>228</v>
      </c>
      <c r="B66" s="81" t="s">
        <v>229</v>
      </c>
      <c r="C66" s="90">
        <f>DL!C66</f>
        <v>165</v>
      </c>
      <c r="D66" s="91">
        <f>DL!D66</f>
        <v>165</v>
      </c>
      <c r="E66" s="64">
        <f>DL!E66</f>
        <v>3587.96</v>
      </c>
      <c r="F66" s="65">
        <v>662</v>
      </c>
      <c r="G66" s="66">
        <v>2085</v>
      </c>
      <c r="H66" s="67">
        <v>2747</v>
      </c>
      <c r="I66" s="66">
        <v>780</v>
      </c>
      <c r="J66" s="66">
        <v>2545</v>
      </c>
      <c r="K66" s="68">
        <v>3325</v>
      </c>
      <c r="L66" s="69">
        <f t="shared" si="6"/>
        <v>0.0600655260283946</v>
      </c>
      <c r="M66" s="70">
        <f t="shared" si="7"/>
        <v>0.301873487998751</v>
      </c>
      <c r="N66" s="91">
        <f>DL!W66</f>
        <v>82473</v>
      </c>
      <c r="O66" s="91">
        <f>DL!X66</f>
        <v>1095</v>
      </c>
      <c r="P66" s="91">
        <f>DL!Y66</f>
        <v>100</v>
      </c>
      <c r="Q66" s="91">
        <f>DL!Z66</f>
        <v>1083.11</v>
      </c>
      <c r="R66" s="92">
        <f>DL!AA66</f>
        <v>2904.24</v>
      </c>
      <c r="S66" s="91">
        <f>DL!AB66</f>
        <v>1.02</v>
      </c>
      <c r="T66" s="71">
        <f t="shared" si="8"/>
        <v>0.372940941519985</v>
      </c>
      <c r="U66" s="72">
        <f t="shared" si="9"/>
        <v>0.0132770724964534</v>
      </c>
      <c r="V66" s="72">
        <f t="shared" si="10"/>
        <v>0.091324200913242</v>
      </c>
      <c r="W66" s="73">
        <f t="shared" si="11"/>
        <v>10.8311</v>
      </c>
    </row>
    <row r="67" customHeight="1" spans="1:23">
      <c r="A67" s="61" t="s">
        <v>230</v>
      </c>
      <c r="B67" s="81" t="s">
        <v>231</v>
      </c>
      <c r="C67" s="90">
        <f>DL!C67</f>
        <v>172</v>
      </c>
      <c r="D67" s="91">
        <f>DL!D67</f>
        <v>169</v>
      </c>
      <c r="E67" s="64">
        <f>DL!E67</f>
        <v>3773.08</v>
      </c>
      <c r="F67" s="65">
        <v>637</v>
      </c>
      <c r="G67" s="66">
        <v>2138</v>
      </c>
      <c r="H67" s="67">
        <v>2775</v>
      </c>
      <c r="I67" s="66">
        <v>796</v>
      </c>
      <c r="J67" s="66">
        <v>2617</v>
      </c>
      <c r="K67" s="68">
        <v>3413</v>
      </c>
      <c r="L67" s="69">
        <f t="shared" si="6"/>
        <v>0.0609009009009009</v>
      </c>
      <c r="M67" s="70">
        <f t="shared" si="7"/>
        <v>0.310186903007622</v>
      </c>
      <c r="N67" s="91">
        <f>DL!W67</f>
        <v>83315</v>
      </c>
      <c r="O67" s="91">
        <f>DL!X67</f>
        <v>1146</v>
      </c>
      <c r="P67" s="91">
        <f>DL!Y67</f>
        <v>139</v>
      </c>
      <c r="Q67" s="91">
        <f>DL!Z67</f>
        <v>1170.36</v>
      </c>
      <c r="R67" s="92">
        <f>DL!AA67</f>
        <v>3049.27</v>
      </c>
      <c r="S67" s="91">
        <f>DL!AB67</f>
        <v>1.02</v>
      </c>
      <c r="T67" s="71">
        <f t="shared" si="8"/>
        <v>0.383816454430077</v>
      </c>
      <c r="U67" s="72">
        <f t="shared" si="9"/>
        <v>0.0137550261057433</v>
      </c>
      <c r="V67" s="72">
        <f t="shared" si="10"/>
        <v>0.121291448516579</v>
      </c>
      <c r="W67" s="73">
        <f t="shared" si="11"/>
        <v>8.41985611510791</v>
      </c>
    </row>
    <row r="68" customHeight="1" spans="1:23">
      <c r="A68" s="61" t="s">
        <v>232</v>
      </c>
      <c r="B68" s="81" t="s">
        <v>233</v>
      </c>
      <c r="C68" s="90">
        <f>DL!C68</f>
        <v>158</v>
      </c>
      <c r="D68" s="91">
        <f>DL!D68</f>
        <v>157</v>
      </c>
      <c r="E68" s="64">
        <f>DL!E68</f>
        <v>3354.44</v>
      </c>
      <c r="F68" s="65">
        <v>503</v>
      </c>
      <c r="G68" s="66">
        <v>1794</v>
      </c>
      <c r="H68" s="67">
        <v>2297</v>
      </c>
      <c r="I68" s="66">
        <v>646</v>
      </c>
      <c r="J68" s="66">
        <v>2174</v>
      </c>
      <c r="K68" s="68">
        <v>2820</v>
      </c>
      <c r="L68" s="69">
        <f t="shared" ref="L68:L74" si="12">D68/H68</f>
        <v>0.0683500217675229</v>
      </c>
      <c r="M68" s="70">
        <f t="shared" ref="M68:M75" si="13">Q68/E68</f>
        <v>0.299963630292985</v>
      </c>
      <c r="N68" s="91">
        <f>DL!W68</f>
        <v>76400</v>
      </c>
      <c r="O68" s="91">
        <f>DL!X68</f>
        <v>999</v>
      </c>
      <c r="P68" s="91">
        <f>DL!Y68</f>
        <v>113</v>
      </c>
      <c r="Q68" s="91">
        <f>DL!Z68</f>
        <v>1006.21</v>
      </c>
      <c r="R68" s="92">
        <f>DL!AA68</f>
        <v>2412.73</v>
      </c>
      <c r="S68" s="91">
        <f>DL!AB68</f>
        <v>1.01</v>
      </c>
      <c r="T68" s="71">
        <f t="shared" ref="T68:T75" si="14">Q68/R68</f>
        <v>0.417042105830325</v>
      </c>
      <c r="U68" s="72">
        <f t="shared" ref="U68:U74" si="15">O68/N68</f>
        <v>0.0130759162303665</v>
      </c>
      <c r="V68" s="72">
        <f t="shared" ref="V68:V74" si="16">P68/O68</f>
        <v>0.113113113113113</v>
      </c>
      <c r="W68" s="73">
        <f t="shared" ref="W68:W74" si="17">Q68/P68</f>
        <v>8.90451327433628</v>
      </c>
    </row>
    <row r="69" customHeight="1" spans="1:23">
      <c r="A69" s="61" t="s">
        <v>236</v>
      </c>
      <c r="B69" s="81" t="s">
        <v>237</v>
      </c>
      <c r="C69" s="90">
        <f>DL!C69</f>
        <v>118</v>
      </c>
      <c r="D69" s="91">
        <f>DL!D69</f>
        <v>116</v>
      </c>
      <c r="E69" s="64">
        <f>DL!E69</f>
        <v>2579</v>
      </c>
      <c r="F69" s="65">
        <v>365</v>
      </c>
      <c r="G69" s="66">
        <v>1323</v>
      </c>
      <c r="H69" s="67">
        <v>1688</v>
      </c>
      <c r="I69" s="66">
        <v>479</v>
      </c>
      <c r="J69" s="66">
        <v>1612</v>
      </c>
      <c r="K69" s="68">
        <v>2091</v>
      </c>
      <c r="L69" s="69">
        <f t="shared" si="12"/>
        <v>0.0687203791469194</v>
      </c>
      <c r="M69" s="70">
        <f t="shared" si="13"/>
        <v>0.298309422256689</v>
      </c>
      <c r="N69" s="91">
        <f>DL!W69</f>
        <v>62879</v>
      </c>
      <c r="O69" s="91">
        <f>DL!X69</f>
        <v>757</v>
      </c>
      <c r="P69" s="91">
        <f>DL!Y69</f>
        <v>87</v>
      </c>
      <c r="Q69" s="91">
        <f>DL!Z69</f>
        <v>769.34</v>
      </c>
      <c r="R69" s="92">
        <f>DL!AA69</f>
        <v>1833.27</v>
      </c>
      <c r="S69" s="91">
        <f>DL!AB69</f>
        <v>1.02</v>
      </c>
      <c r="T69" s="71">
        <f t="shared" si="14"/>
        <v>0.419654497155356</v>
      </c>
      <c r="U69" s="72">
        <f t="shared" si="15"/>
        <v>0.0120389955310994</v>
      </c>
      <c r="V69" s="72">
        <f t="shared" si="16"/>
        <v>0.114927344782034</v>
      </c>
      <c r="W69" s="73">
        <f t="shared" si="17"/>
        <v>8.84298850574713</v>
      </c>
    </row>
    <row r="70" customHeight="1" spans="1:23">
      <c r="A70" s="61" t="s">
        <v>240</v>
      </c>
      <c r="B70" s="81" t="s">
        <v>241</v>
      </c>
      <c r="C70" s="90">
        <f>DL!C70</f>
        <v>130</v>
      </c>
      <c r="D70" s="91">
        <f>DL!D70</f>
        <v>130</v>
      </c>
      <c r="E70" s="64">
        <f>DL!E70</f>
        <v>2830.7</v>
      </c>
      <c r="F70" s="65">
        <v>517</v>
      </c>
      <c r="G70" s="66">
        <v>1546</v>
      </c>
      <c r="H70" s="67">
        <v>2063</v>
      </c>
      <c r="I70" s="66">
        <v>623</v>
      </c>
      <c r="J70" s="66">
        <v>1879</v>
      </c>
      <c r="K70" s="68">
        <v>2502</v>
      </c>
      <c r="L70" s="69">
        <f t="shared" si="12"/>
        <v>0.0630150266602036</v>
      </c>
      <c r="M70" s="70">
        <f t="shared" si="13"/>
        <v>0.285056699756244</v>
      </c>
      <c r="N70" s="91">
        <f>DL!W70</f>
        <v>72249</v>
      </c>
      <c r="O70" s="91">
        <f>DL!X70</f>
        <v>808</v>
      </c>
      <c r="P70" s="91">
        <f>DL!Y70</f>
        <v>95</v>
      </c>
      <c r="Q70" s="91">
        <f>DL!Z70</f>
        <v>806.91</v>
      </c>
      <c r="R70" s="92">
        <f>DL!AA70</f>
        <v>2033.78</v>
      </c>
      <c r="S70" s="91">
        <f>DL!AB70</f>
        <v>1</v>
      </c>
      <c r="T70" s="71">
        <f t="shared" si="14"/>
        <v>0.396753827847653</v>
      </c>
      <c r="U70" s="72">
        <f t="shared" si="15"/>
        <v>0.0111835457930214</v>
      </c>
      <c r="V70" s="72">
        <f t="shared" si="16"/>
        <v>0.117574257425743</v>
      </c>
      <c r="W70" s="73">
        <f t="shared" si="17"/>
        <v>8.49378947368421</v>
      </c>
    </row>
    <row r="71" customHeight="1" spans="1:23">
      <c r="A71" s="61" t="s">
        <v>244</v>
      </c>
      <c r="B71" s="81" t="s">
        <v>245</v>
      </c>
      <c r="C71" s="90">
        <f>DL!C71</f>
        <v>170</v>
      </c>
      <c r="D71" s="91">
        <f>DL!D71</f>
        <v>168</v>
      </c>
      <c r="E71" s="64">
        <f>DL!E71</f>
        <v>3620.63</v>
      </c>
      <c r="F71" s="65">
        <v>607</v>
      </c>
      <c r="G71" s="66">
        <v>1912</v>
      </c>
      <c r="H71" s="67">
        <v>2519</v>
      </c>
      <c r="I71" s="66">
        <v>808</v>
      </c>
      <c r="J71" s="66">
        <v>2405</v>
      </c>
      <c r="K71" s="68">
        <v>3213</v>
      </c>
      <c r="L71" s="69">
        <f t="shared" si="12"/>
        <v>0.0666931321953156</v>
      </c>
      <c r="M71" s="70">
        <f t="shared" si="13"/>
        <v>0.304192916702342</v>
      </c>
      <c r="N71" s="91">
        <f>DL!W71</f>
        <v>85640</v>
      </c>
      <c r="O71" s="91">
        <f>DL!X71</f>
        <v>1059</v>
      </c>
      <c r="P71" s="91">
        <f>DL!Y71</f>
        <v>145</v>
      </c>
      <c r="Q71" s="91">
        <f>DL!Z71</f>
        <v>1101.37</v>
      </c>
      <c r="R71" s="92">
        <f>DL!AA71</f>
        <v>3054.59</v>
      </c>
      <c r="S71" s="91">
        <f>DL!AB71</f>
        <v>1.04</v>
      </c>
      <c r="T71" s="71">
        <f t="shared" si="14"/>
        <v>0.360562301323582</v>
      </c>
      <c r="U71" s="72">
        <f t="shared" si="15"/>
        <v>0.0123657169546941</v>
      </c>
      <c r="V71" s="72">
        <f t="shared" si="16"/>
        <v>0.136921624173749</v>
      </c>
      <c r="W71" s="73">
        <f t="shared" si="17"/>
        <v>7.59565517241379</v>
      </c>
    </row>
    <row r="72" customHeight="1" spans="1:23">
      <c r="A72" s="61" t="s">
        <v>247</v>
      </c>
      <c r="B72" s="81" t="s">
        <v>248</v>
      </c>
      <c r="C72" s="90">
        <f>DL!C72</f>
        <v>237</v>
      </c>
      <c r="D72" s="91">
        <f>DL!D72</f>
        <v>235</v>
      </c>
      <c r="E72" s="64">
        <f>DL!E72</f>
        <v>5136.93</v>
      </c>
      <c r="F72" s="65">
        <v>648</v>
      </c>
      <c r="G72" s="66">
        <v>2402</v>
      </c>
      <c r="H72" s="67">
        <v>3050</v>
      </c>
      <c r="I72" s="66">
        <v>817</v>
      </c>
      <c r="J72" s="66">
        <v>2951</v>
      </c>
      <c r="K72" s="68">
        <v>3768</v>
      </c>
      <c r="L72" s="69">
        <f t="shared" si="12"/>
        <v>0.0770491803278689</v>
      </c>
      <c r="M72" s="70">
        <f t="shared" si="13"/>
        <v>0.318178367234905</v>
      </c>
      <c r="N72" s="91">
        <f>DL!W72</f>
        <v>112297</v>
      </c>
      <c r="O72" s="91">
        <f>DL!X72</f>
        <v>1538</v>
      </c>
      <c r="P72" s="91">
        <f>DL!Y72</f>
        <v>201</v>
      </c>
      <c r="Q72" s="91">
        <f>DL!Z72</f>
        <v>1634.46</v>
      </c>
      <c r="R72" s="92">
        <f>DL!AA72</f>
        <v>4312.8</v>
      </c>
      <c r="S72" s="91">
        <f>DL!AB72</f>
        <v>1.06</v>
      </c>
      <c r="T72" s="71">
        <f t="shared" si="14"/>
        <v>0.378978853644964</v>
      </c>
      <c r="U72" s="72">
        <f t="shared" si="15"/>
        <v>0.0136958244654799</v>
      </c>
      <c r="V72" s="72">
        <f t="shared" si="16"/>
        <v>0.130689206762029</v>
      </c>
      <c r="W72" s="73">
        <f t="shared" si="17"/>
        <v>8.13164179104478</v>
      </c>
    </row>
    <row r="73" customHeight="1" spans="1:23">
      <c r="A73" s="61" t="s">
        <v>250</v>
      </c>
      <c r="B73" s="81" t="s">
        <v>251</v>
      </c>
      <c r="C73" s="90">
        <f>DL!C73</f>
        <v>215</v>
      </c>
      <c r="D73" s="91">
        <f>DL!D73</f>
        <v>213</v>
      </c>
      <c r="E73" s="64">
        <f>DL!E73</f>
        <v>4541.57</v>
      </c>
      <c r="F73" s="65">
        <v>648</v>
      </c>
      <c r="G73" s="66">
        <v>2402</v>
      </c>
      <c r="H73" s="67">
        <v>3050</v>
      </c>
      <c r="I73" s="66">
        <v>817</v>
      </c>
      <c r="J73" s="66">
        <v>2951</v>
      </c>
      <c r="K73" s="68">
        <v>3768</v>
      </c>
      <c r="L73" s="69">
        <f t="shared" si="12"/>
        <v>0.0698360655737705</v>
      </c>
      <c r="M73" s="70">
        <f t="shared" si="13"/>
        <v>0.32142629090821</v>
      </c>
      <c r="N73" s="91">
        <f>DL!W73</f>
        <v>115042</v>
      </c>
      <c r="O73" s="91">
        <f>DL!X73</f>
        <v>1382</v>
      </c>
      <c r="P73" s="91">
        <f>DL!Y73</f>
        <v>184</v>
      </c>
      <c r="Q73" s="91">
        <f>DL!Z73</f>
        <v>1459.78</v>
      </c>
      <c r="R73" s="92">
        <f>DL!AA73</f>
        <v>3912.16</v>
      </c>
      <c r="S73" s="91">
        <f>DL!AB73</f>
        <v>1.06</v>
      </c>
      <c r="T73" s="71">
        <f t="shared" si="14"/>
        <v>0.373139135413685</v>
      </c>
      <c r="U73" s="72">
        <f t="shared" si="15"/>
        <v>0.0120130039463848</v>
      </c>
      <c r="V73" s="72">
        <f t="shared" si="16"/>
        <v>0.133140376266281</v>
      </c>
      <c r="W73" s="73">
        <f t="shared" si="17"/>
        <v>7.93358695652174</v>
      </c>
    </row>
    <row r="74" customHeight="1" spans="1:23">
      <c r="A74" s="61" t="s">
        <v>254</v>
      </c>
      <c r="B74" s="81" t="s">
        <v>255</v>
      </c>
      <c r="C74" s="90">
        <f>DL!C74</f>
        <v>238</v>
      </c>
      <c r="D74" s="91">
        <f>DL!D74</f>
        <v>233</v>
      </c>
      <c r="E74" s="64">
        <f>DL!E74</f>
        <v>5185.82</v>
      </c>
      <c r="F74" s="65">
        <v>648</v>
      </c>
      <c r="G74" s="66">
        <v>2402</v>
      </c>
      <c r="H74" s="67">
        <v>3050</v>
      </c>
      <c r="I74" s="66">
        <v>817</v>
      </c>
      <c r="J74" s="66">
        <v>2951</v>
      </c>
      <c r="K74" s="68">
        <v>3768</v>
      </c>
      <c r="L74" s="69">
        <f t="shared" si="12"/>
        <v>0.0763934426229508</v>
      </c>
      <c r="M74" s="70">
        <f t="shared" si="13"/>
        <v>0.266050499246021</v>
      </c>
      <c r="N74" s="91">
        <f>DL!W74</f>
        <v>117521</v>
      </c>
      <c r="O74" s="91">
        <f>DL!X74</f>
        <v>1333</v>
      </c>
      <c r="P74" s="91">
        <f>DL!Y74</f>
        <v>164</v>
      </c>
      <c r="Q74" s="91">
        <f>DL!Z74</f>
        <v>1379.69</v>
      </c>
      <c r="R74" s="92">
        <f>DL!AA74</f>
        <v>3672.84</v>
      </c>
      <c r="S74" s="91">
        <f>DL!AB74</f>
        <v>1.04</v>
      </c>
      <c r="T74" s="71">
        <f t="shared" si="14"/>
        <v>0.375646638568519</v>
      </c>
      <c r="U74" s="72">
        <f t="shared" si="15"/>
        <v>0.0113426536533896</v>
      </c>
      <c r="V74" s="72">
        <f t="shared" si="16"/>
        <v>0.123030757689422</v>
      </c>
      <c r="W74" s="73">
        <f t="shared" si="17"/>
        <v>8.41274390243903</v>
      </c>
    </row>
    <row r="75" customHeight="1" spans="1:23">
      <c r="A75" t="s">
        <v>270</v>
      </c>
      <c r="B75" s="1"/>
      <c r="C75" s="1">
        <f>SUBTOTAL(109,表3_32546[销量])</f>
        <v>7287</v>
      </c>
      <c r="D75" s="1">
        <f>SUBTOTAL(109,表3_32546[订单量])</f>
        <v>7185</v>
      </c>
      <c r="E75" s="82">
        <f>SUBTOTAL(109,表3_32546[销售额])</f>
        <v>152449.09</v>
      </c>
      <c r="F75" s="1">
        <f>SUBTOTAL(101,表3_32546[Sessions-Browser])</f>
        <v>364.464788732394</v>
      </c>
      <c r="G75" s="83">
        <f>SUBTOTAL(101,表3_32546[Sessions-Mobile])</f>
        <v>1195.67605633803</v>
      </c>
      <c r="H75" s="83">
        <f>SUBTOTAL(101,表3_32546[Sessions-Total])</f>
        <v>1560.14084507042</v>
      </c>
      <c r="I75" s="83">
        <f>SUBTOTAL(101,表3_32546[PV-Browser])</f>
        <v>472.802816901408</v>
      </c>
      <c r="J75" s="84">
        <f>SUBTOTAL(101,表3_32546[PV-Mobile])</f>
        <v>1526.92957746479</v>
      </c>
      <c r="K75" s="84">
        <f>SUBTOTAL(101,表3_32546[PV-Total])</f>
        <v>2000.54929577465</v>
      </c>
      <c r="L75" s="85">
        <f>SUBTOTAL(101,表3_32546[CVR])</f>
        <v>0.0633477268931051</v>
      </c>
      <c r="M75" s="85">
        <f t="shared" si="13"/>
        <v>0.38123035040747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58118.22</v>
      </c>
      <c r="R75" s="1">
        <f>SUBTOTAL(109,表3_32546[广告销售额])</f>
        <v>121680.46</v>
      </c>
      <c r="S75" s="16">
        <f>SUBTOTAL(101,表3_32546[CPC])</f>
        <v>1.02871428571429</v>
      </c>
      <c r="T75" s="86">
        <f t="shared" si="14"/>
        <v>0.477629851169202</v>
      </c>
      <c r="U75" s="87">
        <f t="shared" ref="U75:W75" si="18">O75/N75</f>
        <v>0.00947479716237143</v>
      </c>
      <c r="V75" s="87">
        <f t="shared" si="18"/>
        <v>0.103039141550538</v>
      </c>
      <c r="W75" s="88">
        <f t="shared" si="18"/>
        <v>10.1552018172287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3"/>
  <sheetViews>
    <sheetView workbookViewId="0">
      <pane xSplit="2" ySplit="3" topLeftCell="C48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423</v>
      </c>
      <c r="D1" s="26"/>
      <c r="E1" s="27"/>
      <c r="F1" s="28" t="s">
        <v>434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101</v>
      </c>
      <c r="B4" s="89" t="s">
        <v>102</v>
      </c>
      <c r="C4" s="90">
        <v>2</v>
      </c>
      <c r="D4" s="91">
        <v>2</v>
      </c>
      <c r="E4" s="64">
        <v>29.99</v>
      </c>
      <c r="F4" s="65">
        <v>24</v>
      </c>
      <c r="G4" s="66">
        <v>55</v>
      </c>
      <c r="H4" s="67">
        <v>79</v>
      </c>
      <c r="I4" s="66">
        <v>24</v>
      </c>
      <c r="J4" s="66">
        <v>70</v>
      </c>
      <c r="K4" s="68">
        <v>94</v>
      </c>
      <c r="L4" s="69">
        <f t="shared" ref="L4:L21" si="0">D4/H4</f>
        <v>0.0253164556962025</v>
      </c>
      <c r="M4" s="70">
        <f t="shared" ref="M4:M63" si="1">Q4/E4</f>
        <v>1.36612204068023</v>
      </c>
      <c r="N4" s="91">
        <v>3053</v>
      </c>
      <c r="O4" s="91">
        <v>39</v>
      </c>
      <c r="P4" s="91">
        <v>1</v>
      </c>
      <c r="Q4" s="91">
        <v>40.97</v>
      </c>
      <c r="R4" s="92">
        <v>14.99</v>
      </c>
      <c r="S4" s="91">
        <v>1.05</v>
      </c>
      <c r="T4" s="71">
        <f t="shared" ref="T4:T35" si="2">Q4/R4</f>
        <v>2.73315543695797</v>
      </c>
      <c r="U4" s="72">
        <f t="shared" ref="U4:U35" si="3">O4/N4</f>
        <v>0.0127743203406485</v>
      </c>
      <c r="V4" s="72">
        <f t="shared" ref="V4:V35" si="4">P4/O4</f>
        <v>0.0256410256410256</v>
      </c>
      <c r="W4" s="73">
        <f t="shared" ref="W4:W35" si="5">Q4/P4</f>
        <v>40.97</v>
      </c>
    </row>
    <row r="5" customHeight="1" spans="1:23">
      <c r="A5" s="61" t="s">
        <v>104</v>
      </c>
      <c r="B5" s="89" t="s">
        <v>105</v>
      </c>
      <c r="C5" s="90">
        <v>6</v>
      </c>
      <c r="D5" s="91">
        <v>6</v>
      </c>
      <c r="E5" s="64">
        <v>155.19</v>
      </c>
      <c r="F5" s="65">
        <v>62</v>
      </c>
      <c r="G5" s="66">
        <v>133</v>
      </c>
      <c r="H5" s="67">
        <v>195</v>
      </c>
      <c r="I5" s="66">
        <v>111</v>
      </c>
      <c r="J5" s="66">
        <v>185</v>
      </c>
      <c r="K5" s="68">
        <v>296</v>
      </c>
      <c r="L5" s="69">
        <f t="shared" si="0"/>
        <v>0.0307692307692308</v>
      </c>
      <c r="M5" s="70">
        <f t="shared" si="1"/>
        <v>0.850441394419744</v>
      </c>
      <c r="N5" s="91">
        <v>12361</v>
      </c>
      <c r="O5" s="91">
        <v>118</v>
      </c>
      <c r="P5" s="91">
        <v>11</v>
      </c>
      <c r="Q5" s="91">
        <v>131.98</v>
      </c>
      <c r="R5" s="92">
        <v>291.69</v>
      </c>
      <c r="S5" s="91">
        <v>1.12</v>
      </c>
      <c r="T5" s="71">
        <f t="shared" si="2"/>
        <v>0.452466659810072</v>
      </c>
      <c r="U5" s="72">
        <f t="shared" si="3"/>
        <v>0.0095461532238492</v>
      </c>
      <c r="V5" s="72">
        <f t="shared" si="4"/>
        <v>0.0932203389830508</v>
      </c>
      <c r="W5" s="73">
        <f t="shared" si="5"/>
        <v>11.9981818181818</v>
      </c>
    </row>
    <row r="6" customHeight="1" spans="1:23">
      <c r="A6" s="61" t="s">
        <v>107</v>
      </c>
      <c r="B6" s="89" t="s">
        <v>108</v>
      </c>
      <c r="C6" s="90">
        <v>18</v>
      </c>
      <c r="D6" s="91">
        <v>18</v>
      </c>
      <c r="E6" s="64">
        <v>256.4</v>
      </c>
      <c r="F6" s="65">
        <v>91</v>
      </c>
      <c r="G6" s="66">
        <v>150</v>
      </c>
      <c r="H6" s="67">
        <v>241</v>
      </c>
      <c r="I6" s="66">
        <v>122</v>
      </c>
      <c r="J6" s="66">
        <v>223</v>
      </c>
      <c r="K6" s="68">
        <v>345</v>
      </c>
      <c r="L6" s="69">
        <f t="shared" si="0"/>
        <v>0.0746887966804979</v>
      </c>
      <c r="M6" s="70">
        <f t="shared" si="1"/>
        <v>0.358307332293292</v>
      </c>
      <c r="N6" s="91">
        <v>14591</v>
      </c>
      <c r="O6" s="91">
        <v>96</v>
      </c>
      <c r="P6" s="91">
        <v>3</v>
      </c>
      <c r="Q6" s="91">
        <v>91.87</v>
      </c>
      <c r="R6" s="92">
        <v>80.97</v>
      </c>
      <c r="S6" s="91">
        <v>0.96</v>
      </c>
      <c r="T6" s="71">
        <f t="shared" si="2"/>
        <v>1.13461775966407</v>
      </c>
      <c r="U6" s="72">
        <f t="shared" si="3"/>
        <v>0.00657939825920088</v>
      </c>
      <c r="V6" s="72">
        <f t="shared" si="4"/>
        <v>0.03125</v>
      </c>
      <c r="W6" s="73">
        <f t="shared" si="5"/>
        <v>30.6233333333333</v>
      </c>
    </row>
    <row r="7" customHeight="1" spans="1:23">
      <c r="A7" s="61" t="s">
        <v>110</v>
      </c>
      <c r="B7" s="89" t="s">
        <v>111</v>
      </c>
      <c r="C7" s="90">
        <f>DSL!C7</f>
        <v>17</v>
      </c>
      <c r="D7" s="91">
        <f>DSL!D7</f>
        <v>17</v>
      </c>
      <c r="E7" s="64">
        <f>DSL!E7</f>
        <v>431.84</v>
      </c>
      <c r="F7" s="65">
        <v>67</v>
      </c>
      <c r="G7" s="66">
        <v>167</v>
      </c>
      <c r="H7" s="67">
        <v>234</v>
      </c>
      <c r="I7" s="66">
        <v>77</v>
      </c>
      <c r="J7" s="66">
        <v>236</v>
      </c>
      <c r="K7" s="68">
        <v>313</v>
      </c>
      <c r="L7" s="69">
        <f t="shared" si="0"/>
        <v>0.0726495726495727</v>
      </c>
      <c r="M7" s="70">
        <f t="shared" si="1"/>
        <v>0.237217487958503</v>
      </c>
      <c r="N7" s="91">
        <f>DSL!W7</f>
        <v>12016</v>
      </c>
      <c r="O7" s="91">
        <f>DSL!X7</f>
        <v>122</v>
      </c>
      <c r="P7" s="91">
        <f>DSL!Y7</f>
        <v>13</v>
      </c>
      <c r="Q7" s="91">
        <f>DSL!Z7</f>
        <v>102.44</v>
      </c>
      <c r="R7" s="92">
        <f>DSL!AA7</f>
        <v>320.67</v>
      </c>
      <c r="S7" s="91">
        <f>DSL!AB7</f>
        <v>0.84</v>
      </c>
      <c r="T7" s="71">
        <f t="shared" si="2"/>
        <v>0.319456138709577</v>
      </c>
      <c r="U7" s="72">
        <f t="shared" si="3"/>
        <v>0.0101531291611185</v>
      </c>
      <c r="V7" s="72">
        <f t="shared" si="4"/>
        <v>0.10655737704918</v>
      </c>
      <c r="W7" s="73">
        <f t="shared" si="5"/>
        <v>7.88</v>
      </c>
    </row>
    <row r="8" customHeight="1" spans="1:23">
      <c r="A8" s="61" t="s">
        <v>113</v>
      </c>
      <c r="B8" s="89" t="s">
        <v>114</v>
      </c>
      <c r="C8" s="90">
        <f>DSL!C8</f>
        <v>14</v>
      </c>
      <c r="D8" s="91">
        <f>DSL!D8</f>
        <v>14</v>
      </c>
      <c r="E8" s="64">
        <f>DSL!E8</f>
        <v>401.86</v>
      </c>
      <c r="F8" s="65">
        <v>50</v>
      </c>
      <c r="G8" s="66">
        <v>229</v>
      </c>
      <c r="H8" s="67">
        <v>279</v>
      </c>
      <c r="I8" s="66">
        <v>78</v>
      </c>
      <c r="J8" s="66">
        <v>303</v>
      </c>
      <c r="K8" s="68">
        <v>381</v>
      </c>
      <c r="L8" s="69">
        <f t="shared" si="0"/>
        <v>0.0501792114695341</v>
      </c>
      <c r="M8" s="70">
        <f t="shared" si="1"/>
        <v>0.357388145125168</v>
      </c>
      <c r="N8" s="91">
        <f>DSL!W8</f>
        <v>19399</v>
      </c>
      <c r="O8" s="91">
        <f>DSL!X8</f>
        <v>174</v>
      </c>
      <c r="P8" s="91">
        <f>DSL!Y8</f>
        <v>13</v>
      </c>
      <c r="Q8" s="91">
        <f>DSL!Z8</f>
        <v>143.62</v>
      </c>
      <c r="R8" s="92">
        <f>DSL!AA8</f>
        <v>353.27</v>
      </c>
      <c r="S8" s="91">
        <f>DSL!AB8</f>
        <v>0.83</v>
      </c>
      <c r="T8" s="71">
        <f t="shared" si="2"/>
        <v>0.406544569309593</v>
      </c>
      <c r="U8" s="72">
        <f t="shared" si="3"/>
        <v>0.00896953451208825</v>
      </c>
      <c r="V8" s="72">
        <f t="shared" si="4"/>
        <v>0.0747126436781609</v>
      </c>
      <c r="W8" s="73">
        <f t="shared" si="5"/>
        <v>11.0476923076923</v>
      </c>
    </row>
    <row r="9" customHeight="1" spans="1:23">
      <c r="A9" s="61" t="s">
        <v>115</v>
      </c>
      <c r="B9" s="89" t="s">
        <v>116</v>
      </c>
      <c r="C9" s="90">
        <f>DSL!C9</f>
        <v>11</v>
      </c>
      <c r="D9" s="91">
        <f>DSL!D9</f>
        <v>11</v>
      </c>
      <c r="E9" s="64">
        <f>DSL!E9</f>
        <v>329.89</v>
      </c>
      <c r="F9" s="65">
        <v>35</v>
      </c>
      <c r="G9" s="66">
        <v>110</v>
      </c>
      <c r="H9" s="67">
        <v>145</v>
      </c>
      <c r="I9" s="66">
        <v>47</v>
      </c>
      <c r="J9" s="66">
        <v>197</v>
      </c>
      <c r="K9" s="68">
        <v>244</v>
      </c>
      <c r="L9" s="69">
        <f t="shared" si="0"/>
        <v>0.0758620689655172</v>
      </c>
      <c r="M9" s="70">
        <f t="shared" si="1"/>
        <v>0.152778198793537</v>
      </c>
      <c r="N9" s="91">
        <f>DSL!W9</f>
        <v>8341</v>
      </c>
      <c r="O9" s="91">
        <f>DSL!X9</f>
        <v>61</v>
      </c>
      <c r="P9" s="91">
        <f>DSL!Y9</f>
        <v>6</v>
      </c>
      <c r="Q9" s="91">
        <f>DSL!Z9</f>
        <v>50.4</v>
      </c>
      <c r="R9" s="92">
        <f>DSL!AA9</f>
        <v>174.84</v>
      </c>
      <c r="S9" s="91">
        <f>DSL!AB9</f>
        <v>0.83</v>
      </c>
      <c r="T9" s="71">
        <f t="shared" si="2"/>
        <v>0.288263555250515</v>
      </c>
      <c r="U9" s="72">
        <f t="shared" si="3"/>
        <v>0.00731327178995324</v>
      </c>
      <c r="V9" s="72">
        <f t="shared" si="4"/>
        <v>0.0983606557377049</v>
      </c>
      <c r="W9" s="73">
        <f t="shared" si="5"/>
        <v>8.4</v>
      </c>
    </row>
    <row r="10" customHeight="1" spans="1:23">
      <c r="A10" s="61" t="s">
        <v>118</v>
      </c>
      <c r="B10" s="89" t="s">
        <v>119</v>
      </c>
      <c r="C10" s="90">
        <f>DSL!C10</f>
        <v>6</v>
      </c>
      <c r="D10" s="91">
        <f>DSL!D10</f>
        <v>6</v>
      </c>
      <c r="E10" s="64">
        <f>DSL!E10</f>
        <v>179.94</v>
      </c>
      <c r="F10" s="65">
        <v>19</v>
      </c>
      <c r="G10" s="66">
        <v>37</v>
      </c>
      <c r="H10" s="67">
        <v>56</v>
      </c>
      <c r="I10" s="66">
        <v>30</v>
      </c>
      <c r="J10" s="66">
        <v>80</v>
      </c>
      <c r="K10" s="68">
        <v>110</v>
      </c>
      <c r="L10" s="69">
        <f t="shared" si="0"/>
        <v>0.107142857142857</v>
      </c>
      <c r="M10" s="70">
        <f t="shared" si="1"/>
        <v>0</v>
      </c>
      <c r="N10" s="91">
        <f>DSL!W10</f>
        <v>0</v>
      </c>
      <c r="O10" s="91">
        <f>DSL!X10</f>
        <v>0</v>
      </c>
      <c r="P10" s="91">
        <f>DSL!Y10</f>
        <v>0</v>
      </c>
      <c r="Q10" s="91">
        <f>DSL!Z10</f>
        <v>0</v>
      </c>
      <c r="R10" s="92">
        <f>DSL!AA10</f>
        <v>0</v>
      </c>
      <c r="S10" s="91">
        <f>DSL!AB10</f>
        <v>0</v>
      </c>
      <c r="T10" s="71" t="e">
        <f t="shared" si="2"/>
        <v>#DIV/0!</v>
      </c>
      <c r="U10" s="72" t="e">
        <f t="shared" si="3"/>
        <v>#DIV/0!</v>
      </c>
      <c r="V10" s="72" t="e">
        <f t="shared" si="4"/>
        <v>#DIV/0!</v>
      </c>
      <c r="W10" s="73" t="e">
        <f t="shared" si="5"/>
        <v>#DIV/0!</v>
      </c>
    </row>
    <row r="11" customHeight="1" spans="1:23">
      <c r="A11" s="61" t="s">
        <v>121</v>
      </c>
      <c r="B11" s="89" t="s">
        <v>122</v>
      </c>
      <c r="C11" s="90">
        <f>DSL!C11</f>
        <v>3</v>
      </c>
      <c r="D11" s="91">
        <f>DSL!D11</f>
        <v>3</v>
      </c>
      <c r="E11" s="64">
        <f>DSL!E11</f>
        <v>89.97</v>
      </c>
      <c r="F11" s="65">
        <v>9</v>
      </c>
      <c r="G11" s="66">
        <v>9</v>
      </c>
      <c r="H11" s="67">
        <v>18</v>
      </c>
      <c r="I11" s="66">
        <v>24</v>
      </c>
      <c r="J11" s="66">
        <v>21</v>
      </c>
      <c r="K11" s="68">
        <v>45</v>
      </c>
      <c r="L11" s="69">
        <f t="shared" si="0"/>
        <v>0.166666666666667</v>
      </c>
      <c r="M11" s="70">
        <f t="shared" si="1"/>
        <v>0</v>
      </c>
      <c r="N11" s="91">
        <f>DSL!W11</f>
        <v>0</v>
      </c>
      <c r="O11" s="91">
        <f>DSL!X11</f>
        <v>0</v>
      </c>
      <c r="P11" s="91">
        <f>DSL!Y11</f>
        <v>0</v>
      </c>
      <c r="Q11" s="91">
        <f>DSL!Z11</f>
        <v>0</v>
      </c>
      <c r="R11" s="92">
        <f>DSL!AA11</f>
        <v>0</v>
      </c>
      <c r="S11" s="91">
        <f>DSL!AB11</f>
        <v>0</v>
      </c>
      <c r="T11" s="71" t="e">
        <f t="shared" si="2"/>
        <v>#DIV/0!</v>
      </c>
      <c r="U11" s="72" t="e">
        <f t="shared" si="3"/>
        <v>#DIV/0!</v>
      </c>
      <c r="V11" s="72" t="e">
        <f t="shared" si="4"/>
        <v>#DIV/0!</v>
      </c>
      <c r="W11" s="73" t="e">
        <f t="shared" si="5"/>
        <v>#DIV/0!</v>
      </c>
    </row>
    <row r="12" customHeight="1" spans="1:23">
      <c r="A12" s="61" t="s">
        <v>124</v>
      </c>
      <c r="B12" s="89" t="s">
        <v>125</v>
      </c>
      <c r="C12" s="90">
        <f>DSL!C12</f>
        <v>7</v>
      </c>
      <c r="D12" s="91">
        <f>DSL!D12</f>
        <v>7</v>
      </c>
      <c r="E12" s="64">
        <f>DSL!E12</f>
        <v>181.73</v>
      </c>
      <c r="F12" s="65">
        <v>37</v>
      </c>
      <c r="G12" s="66">
        <v>106</v>
      </c>
      <c r="H12" s="67">
        <v>143</v>
      </c>
      <c r="I12" s="66">
        <v>51</v>
      </c>
      <c r="J12" s="66">
        <v>142</v>
      </c>
      <c r="K12" s="68">
        <v>193</v>
      </c>
      <c r="L12" s="69">
        <f t="shared" si="0"/>
        <v>0.048951048951049</v>
      </c>
      <c r="M12" s="70">
        <f t="shared" si="1"/>
        <v>0.331865954988169</v>
      </c>
      <c r="N12" s="91">
        <f>DSL!W12</f>
        <v>6868</v>
      </c>
      <c r="O12" s="91">
        <f>DSL!X12</f>
        <v>59</v>
      </c>
      <c r="P12" s="91">
        <f>DSL!Y12</f>
        <v>4</v>
      </c>
      <c r="Q12" s="91">
        <f>DSL!Z12</f>
        <v>60.31</v>
      </c>
      <c r="R12" s="92">
        <f>DSL!AA12</f>
        <v>97.63</v>
      </c>
      <c r="S12" s="91">
        <f>DSL!AB12</f>
        <v>1.02</v>
      </c>
      <c r="T12" s="71">
        <f t="shared" si="2"/>
        <v>0.617740448632592</v>
      </c>
      <c r="U12" s="72">
        <f t="shared" si="3"/>
        <v>0.00859056493884683</v>
      </c>
      <c r="V12" s="72">
        <f t="shared" si="4"/>
        <v>0.0677966101694915</v>
      </c>
      <c r="W12" s="73">
        <f t="shared" si="5"/>
        <v>15.0775</v>
      </c>
    </row>
    <row r="13" customHeight="1" spans="1:23">
      <c r="A13" s="61" t="s">
        <v>128</v>
      </c>
      <c r="B13" s="89" t="s">
        <v>129</v>
      </c>
      <c r="C13" s="90">
        <f>DSL!C13</f>
        <v>11</v>
      </c>
      <c r="D13" s="91">
        <f>DSL!D13</f>
        <v>11</v>
      </c>
      <c r="E13" s="64">
        <f>DSL!E13</f>
        <v>300.59</v>
      </c>
      <c r="F13" s="65">
        <v>106</v>
      </c>
      <c r="G13" s="66">
        <v>332</v>
      </c>
      <c r="H13" s="67">
        <v>438</v>
      </c>
      <c r="I13" s="66">
        <v>129</v>
      </c>
      <c r="J13" s="66">
        <v>443</v>
      </c>
      <c r="K13" s="68">
        <v>572</v>
      </c>
      <c r="L13" s="69">
        <f t="shared" si="0"/>
        <v>0.0251141552511416</v>
      </c>
      <c r="M13" s="70">
        <f t="shared" si="1"/>
        <v>0.602149106756712</v>
      </c>
      <c r="N13" s="91">
        <f>DSL!W13</f>
        <v>26303</v>
      </c>
      <c r="O13" s="91">
        <f>DSL!X13</f>
        <v>190</v>
      </c>
      <c r="P13" s="91">
        <f>DSL!Y13</f>
        <v>8</v>
      </c>
      <c r="Q13" s="91">
        <f>DSL!Z13</f>
        <v>181</v>
      </c>
      <c r="R13" s="92">
        <f>DSL!AA13</f>
        <v>204.82</v>
      </c>
      <c r="S13" s="91">
        <f>DSL!AB13</f>
        <v>0.95</v>
      </c>
      <c r="T13" s="71">
        <f t="shared" si="2"/>
        <v>0.883702763402012</v>
      </c>
      <c r="U13" s="72">
        <f t="shared" si="3"/>
        <v>0.00722351062616432</v>
      </c>
      <c r="V13" s="72">
        <f t="shared" si="4"/>
        <v>0.0421052631578947</v>
      </c>
      <c r="W13" s="73">
        <f t="shared" si="5"/>
        <v>22.625</v>
      </c>
    </row>
    <row r="14" customHeight="1" spans="1:23">
      <c r="A14" s="61" t="s">
        <v>130</v>
      </c>
      <c r="B14" s="89" t="s">
        <v>131</v>
      </c>
      <c r="C14" s="90">
        <f>DSL!C14</f>
        <v>21</v>
      </c>
      <c r="D14" s="91">
        <f>DSL!D14</f>
        <v>21</v>
      </c>
      <c r="E14" s="64">
        <f>DSL!E14</f>
        <v>627.49</v>
      </c>
      <c r="F14" s="65">
        <v>136</v>
      </c>
      <c r="G14" s="66">
        <v>345</v>
      </c>
      <c r="H14" s="67">
        <v>481</v>
      </c>
      <c r="I14" s="66">
        <v>202</v>
      </c>
      <c r="J14" s="66">
        <v>452</v>
      </c>
      <c r="K14" s="68">
        <v>654</v>
      </c>
      <c r="L14" s="69">
        <f t="shared" si="0"/>
        <v>0.0436590436590437</v>
      </c>
      <c r="M14" s="70">
        <f t="shared" si="1"/>
        <v>0.229469792347288</v>
      </c>
      <c r="N14" s="91">
        <f>DSL!W14</f>
        <v>21003</v>
      </c>
      <c r="O14" s="91">
        <f>DSL!X14</f>
        <v>163</v>
      </c>
      <c r="P14" s="91">
        <f>DSL!Y14</f>
        <v>18</v>
      </c>
      <c r="Q14" s="91">
        <f>DSL!Z14</f>
        <v>143.99</v>
      </c>
      <c r="R14" s="92">
        <f>DSL!AA14</f>
        <v>511.82</v>
      </c>
      <c r="S14" s="91">
        <f>DSL!AB14</f>
        <v>0.88</v>
      </c>
      <c r="T14" s="71">
        <f t="shared" si="2"/>
        <v>0.281329373607909</v>
      </c>
      <c r="U14" s="72">
        <f t="shared" si="3"/>
        <v>0.00776079607675094</v>
      </c>
      <c r="V14" s="72">
        <f t="shared" si="4"/>
        <v>0.110429447852761</v>
      </c>
      <c r="W14" s="73">
        <f t="shared" si="5"/>
        <v>7.99944444444445</v>
      </c>
    </row>
    <row r="15" customHeight="1" spans="1:23">
      <c r="A15" s="61" t="s">
        <v>133</v>
      </c>
      <c r="B15" s="89" t="s">
        <v>134</v>
      </c>
      <c r="C15" s="90">
        <f>DSL!C15</f>
        <v>26</v>
      </c>
      <c r="D15" s="91">
        <f>DSL!D15</f>
        <v>26</v>
      </c>
      <c r="E15" s="64">
        <f>DSL!E15</f>
        <v>775.14</v>
      </c>
      <c r="F15" s="65">
        <v>103</v>
      </c>
      <c r="G15" s="66">
        <v>373</v>
      </c>
      <c r="H15" s="67">
        <v>476</v>
      </c>
      <c r="I15" s="66">
        <v>133</v>
      </c>
      <c r="J15" s="66">
        <v>509</v>
      </c>
      <c r="K15" s="68">
        <v>642</v>
      </c>
      <c r="L15" s="69">
        <f t="shared" si="0"/>
        <v>0.0546218487394958</v>
      </c>
      <c r="M15" s="70">
        <f t="shared" si="1"/>
        <v>0.23350620533065</v>
      </c>
      <c r="N15" s="91">
        <f>DSL!W15</f>
        <v>22270</v>
      </c>
      <c r="O15" s="91">
        <f>DSL!X15</f>
        <v>201</v>
      </c>
      <c r="P15" s="91">
        <f>DSL!Y15</f>
        <v>13</v>
      </c>
      <c r="Q15" s="91">
        <f>DSL!Z15</f>
        <v>181</v>
      </c>
      <c r="R15" s="92">
        <f>DSL!AA15</f>
        <v>385.76</v>
      </c>
      <c r="S15" s="91">
        <f>DSL!AB15</f>
        <v>0.9</v>
      </c>
      <c r="T15" s="71">
        <f t="shared" si="2"/>
        <v>0.469203649937785</v>
      </c>
      <c r="U15" s="72">
        <f t="shared" si="3"/>
        <v>0.00902559497081275</v>
      </c>
      <c r="V15" s="72">
        <f t="shared" si="4"/>
        <v>0.0646766169154229</v>
      </c>
      <c r="W15" s="73">
        <f t="shared" si="5"/>
        <v>13.9230769230769</v>
      </c>
    </row>
    <row r="16" customHeight="1" spans="1:23">
      <c r="A16" s="61" t="s">
        <v>136</v>
      </c>
      <c r="B16" s="89" t="s">
        <v>137</v>
      </c>
      <c r="C16" s="90">
        <f>DSL!C16</f>
        <v>23</v>
      </c>
      <c r="D16" s="91">
        <f>DSL!D16</f>
        <v>23</v>
      </c>
      <c r="E16" s="64">
        <f>DSL!E16</f>
        <v>614.11</v>
      </c>
      <c r="F16" s="65">
        <v>120</v>
      </c>
      <c r="G16" s="66">
        <v>467</v>
      </c>
      <c r="H16" s="67">
        <v>587</v>
      </c>
      <c r="I16" s="66">
        <v>150</v>
      </c>
      <c r="J16" s="66">
        <v>580</v>
      </c>
      <c r="K16" s="68">
        <v>730</v>
      </c>
      <c r="L16" s="69">
        <f t="shared" si="0"/>
        <v>0.0391822827938671</v>
      </c>
      <c r="M16" s="70">
        <f t="shared" si="1"/>
        <v>0.331015616094836</v>
      </c>
      <c r="N16" s="91">
        <f>DSL!W16</f>
        <v>30438</v>
      </c>
      <c r="O16" s="91">
        <f>DSL!X16</f>
        <v>229</v>
      </c>
      <c r="P16" s="91">
        <f>DSL!Y16</f>
        <v>15</v>
      </c>
      <c r="Q16" s="91">
        <f>DSL!Z16</f>
        <v>203.28</v>
      </c>
      <c r="R16" s="92">
        <f>DSL!AA16</f>
        <v>472.07</v>
      </c>
      <c r="S16" s="91">
        <f>DSL!AB16</f>
        <v>0.89</v>
      </c>
      <c r="T16" s="71">
        <f t="shared" si="2"/>
        <v>0.430614103840532</v>
      </c>
      <c r="U16" s="72">
        <f t="shared" si="3"/>
        <v>0.00752349037387476</v>
      </c>
      <c r="V16" s="72">
        <f t="shared" si="4"/>
        <v>0.0655021834061135</v>
      </c>
      <c r="W16" s="73">
        <f t="shared" si="5"/>
        <v>13.552</v>
      </c>
    </row>
    <row r="17" customHeight="1" spans="1:23">
      <c r="A17" s="61" t="s">
        <v>139</v>
      </c>
      <c r="B17" s="89" t="s">
        <v>140</v>
      </c>
      <c r="C17" s="90">
        <f>DSL!C17</f>
        <v>20</v>
      </c>
      <c r="D17" s="91">
        <f>DSL!D17</f>
        <v>18</v>
      </c>
      <c r="E17" s="64">
        <f>DSL!E17</f>
        <v>592.9</v>
      </c>
      <c r="F17" s="65">
        <v>116</v>
      </c>
      <c r="G17" s="66">
        <v>312</v>
      </c>
      <c r="H17" s="67">
        <v>428</v>
      </c>
      <c r="I17" s="66">
        <v>150</v>
      </c>
      <c r="J17" s="66">
        <v>430</v>
      </c>
      <c r="K17" s="68">
        <v>580</v>
      </c>
      <c r="L17" s="69">
        <f t="shared" si="0"/>
        <v>0.0420560747663551</v>
      </c>
      <c r="M17" s="70">
        <f t="shared" si="1"/>
        <v>0.259892055995952</v>
      </c>
      <c r="N17" s="91">
        <f>DSL!W17</f>
        <v>20642</v>
      </c>
      <c r="O17" s="91">
        <f>DSL!X17</f>
        <v>158</v>
      </c>
      <c r="P17" s="91">
        <f>DSL!Y17</f>
        <v>14</v>
      </c>
      <c r="Q17" s="91">
        <f>DSL!Z17</f>
        <v>154.09</v>
      </c>
      <c r="R17" s="92">
        <f>DSL!AA17</f>
        <v>370.6</v>
      </c>
      <c r="S17" s="91">
        <f>DSL!AB17</f>
        <v>0.98</v>
      </c>
      <c r="T17" s="71">
        <f t="shared" si="2"/>
        <v>0.415785213167836</v>
      </c>
      <c r="U17" s="72">
        <f t="shared" si="3"/>
        <v>0.00765429706423796</v>
      </c>
      <c r="V17" s="72">
        <f t="shared" si="4"/>
        <v>0.0886075949367089</v>
      </c>
      <c r="W17" s="73">
        <f t="shared" si="5"/>
        <v>11.0064285714286</v>
      </c>
    </row>
    <row r="18" customHeight="1" spans="1:23">
      <c r="A18" s="61" t="s">
        <v>142</v>
      </c>
      <c r="B18" s="89" t="s">
        <v>143</v>
      </c>
      <c r="C18" s="90">
        <f>DSL!C18</f>
        <v>25</v>
      </c>
      <c r="D18" s="91">
        <f>DSL!D18</f>
        <v>25</v>
      </c>
      <c r="E18" s="64">
        <f>DSL!E18</f>
        <v>682.87</v>
      </c>
      <c r="F18" s="65">
        <v>81</v>
      </c>
      <c r="G18" s="66">
        <v>318</v>
      </c>
      <c r="H18" s="67">
        <v>399</v>
      </c>
      <c r="I18" s="66">
        <v>97</v>
      </c>
      <c r="J18" s="66">
        <v>484</v>
      </c>
      <c r="K18" s="68">
        <v>581</v>
      </c>
      <c r="L18" s="69">
        <f t="shared" si="0"/>
        <v>0.06265664160401</v>
      </c>
      <c r="M18" s="70">
        <f t="shared" si="1"/>
        <v>0.169197651090251</v>
      </c>
      <c r="N18" s="91">
        <f>DSL!W18</f>
        <v>20842</v>
      </c>
      <c r="O18" s="91">
        <f>DSL!X18</f>
        <v>121</v>
      </c>
      <c r="P18" s="91">
        <f>DSL!Y18</f>
        <v>11</v>
      </c>
      <c r="Q18" s="91">
        <f>DSL!Z18</f>
        <v>115.54</v>
      </c>
      <c r="R18" s="92">
        <f>DSL!AA18</f>
        <v>307.39</v>
      </c>
      <c r="S18" s="91">
        <f>DSL!AB18</f>
        <v>0.95</v>
      </c>
      <c r="T18" s="71">
        <f t="shared" si="2"/>
        <v>0.375874296496308</v>
      </c>
      <c r="U18" s="72">
        <f t="shared" si="3"/>
        <v>0.0058055848766913</v>
      </c>
      <c r="V18" s="72">
        <f t="shared" si="4"/>
        <v>0.0909090909090909</v>
      </c>
      <c r="W18" s="73">
        <f t="shared" si="5"/>
        <v>10.5036363636364</v>
      </c>
    </row>
    <row r="19" customHeight="1" spans="1:23">
      <c r="A19" s="61" t="s">
        <v>144</v>
      </c>
      <c r="B19" s="89" t="s">
        <v>145</v>
      </c>
      <c r="C19" s="90">
        <f>DSL!C19</f>
        <v>17</v>
      </c>
      <c r="D19" s="91">
        <f>DSL!D19</f>
        <v>17</v>
      </c>
      <c r="E19" s="64">
        <f>DSL!E19</f>
        <v>503.14</v>
      </c>
      <c r="F19" s="65">
        <v>101</v>
      </c>
      <c r="G19" s="66">
        <v>290</v>
      </c>
      <c r="H19" s="67">
        <v>391</v>
      </c>
      <c r="I19" s="66">
        <v>130</v>
      </c>
      <c r="J19" s="66">
        <v>373</v>
      </c>
      <c r="K19" s="68">
        <v>503</v>
      </c>
      <c r="L19" s="69">
        <f t="shared" si="0"/>
        <v>0.0434782608695652</v>
      </c>
      <c r="M19" s="70">
        <f t="shared" si="1"/>
        <v>0.298028381762531</v>
      </c>
      <c r="N19" s="91">
        <f>DSL!W19</f>
        <v>22841</v>
      </c>
      <c r="O19" s="91">
        <f>DSL!X19</f>
        <v>158</v>
      </c>
      <c r="P19" s="91">
        <f>DSL!Y19</f>
        <v>18</v>
      </c>
      <c r="Q19" s="91">
        <f>DSL!Z19</f>
        <v>149.95</v>
      </c>
      <c r="R19" s="92">
        <f>DSL!AA19</f>
        <v>473.72</v>
      </c>
      <c r="S19" s="91">
        <f>DSL!AB19</f>
        <v>0.95</v>
      </c>
      <c r="T19" s="71">
        <f t="shared" si="2"/>
        <v>0.316537194967491</v>
      </c>
      <c r="U19" s="72">
        <f t="shared" si="3"/>
        <v>0.00691738540344118</v>
      </c>
      <c r="V19" s="72">
        <f t="shared" si="4"/>
        <v>0.113924050632911</v>
      </c>
      <c r="W19" s="73">
        <f t="shared" si="5"/>
        <v>8.33055555555556</v>
      </c>
    </row>
    <row r="20" customHeight="1" spans="1:23">
      <c r="A20" s="61" t="s">
        <v>147</v>
      </c>
      <c r="B20" s="89" t="s">
        <v>148</v>
      </c>
      <c r="C20" s="90">
        <f>DSL!C20</f>
        <v>26</v>
      </c>
      <c r="D20" s="91">
        <f>DSL!D20</f>
        <v>26</v>
      </c>
      <c r="E20" s="64">
        <f>DSL!E20</f>
        <v>709.6</v>
      </c>
      <c r="F20" s="65">
        <v>93</v>
      </c>
      <c r="G20" s="66">
        <v>349</v>
      </c>
      <c r="H20" s="67">
        <v>442</v>
      </c>
      <c r="I20" s="66">
        <v>118</v>
      </c>
      <c r="J20" s="66">
        <v>488</v>
      </c>
      <c r="K20" s="68">
        <v>606</v>
      </c>
      <c r="L20" s="69">
        <f t="shared" si="0"/>
        <v>0.0588235294117647</v>
      </c>
      <c r="M20" s="70">
        <f t="shared" si="1"/>
        <v>0.248872604284104</v>
      </c>
      <c r="N20" s="91">
        <f>DSL!W20</f>
        <v>23355</v>
      </c>
      <c r="O20" s="91">
        <f>DSL!X20</f>
        <v>183</v>
      </c>
      <c r="P20" s="91">
        <f>DSL!Y20</f>
        <v>15</v>
      </c>
      <c r="Q20" s="91">
        <f>DSL!Z20</f>
        <v>176.6</v>
      </c>
      <c r="R20" s="92">
        <f>DSL!AA20</f>
        <v>399.48</v>
      </c>
      <c r="S20" s="91">
        <f>DSL!AB20</f>
        <v>0.97</v>
      </c>
      <c r="T20" s="71">
        <f t="shared" si="2"/>
        <v>0.442074697106238</v>
      </c>
      <c r="U20" s="72">
        <f t="shared" si="3"/>
        <v>0.00783558124598587</v>
      </c>
      <c r="V20" s="72">
        <f t="shared" si="4"/>
        <v>0.0819672131147541</v>
      </c>
      <c r="W20" s="73">
        <f t="shared" si="5"/>
        <v>11.7733333333333</v>
      </c>
    </row>
    <row r="21" customHeight="1" spans="1:23">
      <c r="A21" s="61" t="s">
        <v>150</v>
      </c>
      <c r="B21" s="89" t="s">
        <v>151</v>
      </c>
      <c r="C21" s="90">
        <f>DSL!C21</f>
        <v>28</v>
      </c>
      <c r="D21" s="91">
        <f>DSL!D21</f>
        <v>28</v>
      </c>
      <c r="E21" s="64">
        <f>DSL!E21</f>
        <v>762.44</v>
      </c>
      <c r="F21" s="65">
        <v>131</v>
      </c>
      <c r="G21" s="66">
        <v>428</v>
      </c>
      <c r="H21" s="67">
        <v>559</v>
      </c>
      <c r="I21" s="66">
        <v>171</v>
      </c>
      <c r="J21" s="66">
        <v>560</v>
      </c>
      <c r="K21" s="68">
        <v>731</v>
      </c>
      <c r="L21" s="69">
        <f t="shared" si="0"/>
        <v>0.0500894454382826</v>
      </c>
      <c r="M21" s="70">
        <f t="shared" si="1"/>
        <v>0.282986202192959</v>
      </c>
      <c r="N21" s="91">
        <f>DSL!W21</f>
        <v>34070</v>
      </c>
      <c r="O21" s="91">
        <f>DSL!X21</f>
        <v>217</v>
      </c>
      <c r="P21" s="91">
        <f>DSL!Y21</f>
        <v>19</v>
      </c>
      <c r="Q21" s="91">
        <f>DSL!Z21</f>
        <v>215.76</v>
      </c>
      <c r="R21" s="92">
        <f>DSL!AA21</f>
        <v>499.3</v>
      </c>
      <c r="S21" s="91">
        <f>DSL!AB21</f>
        <v>0.99</v>
      </c>
      <c r="T21" s="71">
        <f t="shared" si="2"/>
        <v>0.432124974964951</v>
      </c>
      <c r="U21" s="72">
        <f t="shared" si="3"/>
        <v>0.00636923980041092</v>
      </c>
      <c r="V21" s="72">
        <f t="shared" si="4"/>
        <v>0.0875576036866359</v>
      </c>
      <c r="W21" s="73">
        <f t="shared" si="5"/>
        <v>11.3557894736842</v>
      </c>
    </row>
    <row r="22" customHeight="1" spans="1:23">
      <c r="A22" s="61" t="s">
        <v>154</v>
      </c>
      <c r="B22" s="89" t="s">
        <v>155</v>
      </c>
      <c r="C22" s="90">
        <f>DSL!C22</f>
        <v>25</v>
      </c>
      <c r="D22" s="91">
        <f>DSL!D22</f>
        <v>25</v>
      </c>
      <c r="E22" s="64">
        <f>DSL!E22</f>
        <v>663.03</v>
      </c>
      <c r="F22" s="65">
        <v>113</v>
      </c>
      <c r="G22" s="66">
        <v>396</v>
      </c>
      <c r="H22" s="67">
        <v>509</v>
      </c>
      <c r="I22" s="66">
        <v>135</v>
      </c>
      <c r="J22" s="66">
        <v>533</v>
      </c>
      <c r="K22" s="68">
        <v>668</v>
      </c>
      <c r="L22" s="69">
        <f t="shared" ref="L22:L62" si="6">D22/H22</f>
        <v>0.0491159135559921</v>
      </c>
      <c r="M22" s="70">
        <f t="shared" si="1"/>
        <v>0.229612536385986</v>
      </c>
      <c r="N22" s="91">
        <f>DSL!W22</f>
        <v>25098</v>
      </c>
      <c r="O22" s="91">
        <f>DSL!X22</f>
        <v>151</v>
      </c>
      <c r="P22" s="91">
        <f>DSL!Y22</f>
        <v>17</v>
      </c>
      <c r="Q22" s="91">
        <f>DSL!Z22</f>
        <v>152.24</v>
      </c>
      <c r="R22" s="92">
        <f>DSL!AA22</f>
        <v>439.19</v>
      </c>
      <c r="S22" s="91">
        <f>DSL!AB22</f>
        <v>1.01</v>
      </c>
      <c r="T22" s="71">
        <f t="shared" si="2"/>
        <v>0.346638129283454</v>
      </c>
      <c r="U22" s="72">
        <f t="shared" si="3"/>
        <v>0.00601641565064945</v>
      </c>
      <c r="V22" s="72">
        <f t="shared" si="4"/>
        <v>0.112582781456954</v>
      </c>
      <c r="W22" s="73">
        <f t="shared" si="5"/>
        <v>8.95529411764706</v>
      </c>
    </row>
    <row r="23" customHeight="1" spans="1:23">
      <c r="A23" s="61" t="s">
        <v>156</v>
      </c>
      <c r="B23" s="89" t="s">
        <v>157</v>
      </c>
      <c r="C23" s="90">
        <f>DSL!C23</f>
        <v>23</v>
      </c>
      <c r="D23" s="91">
        <f>DSL!D23</f>
        <v>22</v>
      </c>
      <c r="E23" s="64">
        <f>DSL!E23</f>
        <v>582.25</v>
      </c>
      <c r="F23" s="65">
        <v>84</v>
      </c>
      <c r="G23" s="66">
        <v>321</v>
      </c>
      <c r="H23" s="67">
        <v>405</v>
      </c>
      <c r="I23" s="66">
        <v>118</v>
      </c>
      <c r="J23" s="66">
        <v>412</v>
      </c>
      <c r="K23" s="68">
        <v>530</v>
      </c>
      <c r="L23" s="69">
        <f t="shared" si="6"/>
        <v>0.054320987654321</v>
      </c>
      <c r="M23" s="70">
        <f t="shared" si="1"/>
        <v>0.290356376127093</v>
      </c>
      <c r="N23" s="91">
        <f>DSL!W23</f>
        <v>26932</v>
      </c>
      <c r="O23" s="91">
        <f>DSL!X23</f>
        <v>171</v>
      </c>
      <c r="P23" s="91">
        <f>DSL!Y23</f>
        <v>14</v>
      </c>
      <c r="Q23" s="91">
        <f>DSL!Z23</f>
        <v>169.06</v>
      </c>
      <c r="R23" s="92">
        <f>DSL!AA23</f>
        <v>371.73</v>
      </c>
      <c r="S23" s="91">
        <f>DSL!AB23</f>
        <v>0.99</v>
      </c>
      <c r="T23" s="71">
        <f t="shared" si="2"/>
        <v>0.454792456890754</v>
      </c>
      <c r="U23" s="72">
        <f t="shared" si="3"/>
        <v>0.00634932422397148</v>
      </c>
      <c r="V23" s="72">
        <f t="shared" si="4"/>
        <v>0.0818713450292398</v>
      </c>
      <c r="W23" s="73">
        <f t="shared" si="5"/>
        <v>12.0757142857143</v>
      </c>
    </row>
    <row r="24" customHeight="1" spans="1:23">
      <c r="A24" s="61" t="s">
        <v>158</v>
      </c>
      <c r="B24" s="89" t="s">
        <v>159</v>
      </c>
      <c r="C24" s="90">
        <f>DSL!C24</f>
        <v>19</v>
      </c>
      <c r="D24" s="91">
        <f>DSL!D24</f>
        <v>19</v>
      </c>
      <c r="E24" s="64">
        <f>DSL!E24</f>
        <v>482.35</v>
      </c>
      <c r="F24" s="65">
        <v>119</v>
      </c>
      <c r="G24" s="66">
        <v>346</v>
      </c>
      <c r="H24" s="67">
        <v>465</v>
      </c>
      <c r="I24" s="66">
        <v>145</v>
      </c>
      <c r="J24" s="66">
        <v>447</v>
      </c>
      <c r="K24" s="68">
        <v>592</v>
      </c>
      <c r="L24" s="69">
        <f t="shared" si="6"/>
        <v>0.0408602150537634</v>
      </c>
      <c r="M24" s="70">
        <f t="shared" si="1"/>
        <v>0.354493624961128</v>
      </c>
      <c r="N24" s="91">
        <f>DSL!W24</f>
        <v>28948</v>
      </c>
      <c r="O24" s="91">
        <f>DSL!X24</f>
        <v>173</v>
      </c>
      <c r="P24" s="91">
        <f>DSL!Y24</f>
        <v>21</v>
      </c>
      <c r="Q24" s="91">
        <f>DSL!Z24</f>
        <v>170.99</v>
      </c>
      <c r="R24" s="92">
        <f>DSL!AA24</f>
        <v>528.29</v>
      </c>
      <c r="S24" s="91">
        <f>DSL!AB24</f>
        <v>0.99</v>
      </c>
      <c r="T24" s="71">
        <f t="shared" si="2"/>
        <v>0.323666925362964</v>
      </c>
      <c r="U24" s="72">
        <f t="shared" si="3"/>
        <v>0.00597623324582009</v>
      </c>
      <c r="V24" s="72">
        <f t="shared" si="4"/>
        <v>0.121387283236994</v>
      </c>
      <c r="W24" s="73">
        <f t="shared" si="5"/>
        <v>8.14238095238095</v>
      </c>
    </row>
    <row r="25" customHeight="1" spans="1:23">
      <c r="A25" s="61" t="s">
        <v>160</v>
      </c>
      <c r="B25" s="89" t="s">
        <v>161</v>
      </c>
      <c r="C25" s="90">
        <f>DSL!C25</f>
        <v>27</v>
      </c>
      <c r="D25" s="91">
        <f>DSL!D25</f>
        <v>27</v>
      </c>
      <c r="E25" s="64">
        <f>DSL!E25</f>
        <v>682.35</v>
      </c>
      <c r="F25" s="65">
        <v>118</v>
      </c>
      <c r="G25" s="66">
        <v>394</v>
      </c>
      <c r="H25" s="67">
        <v>512</v>
      </c>
      <c r="I25" s="66">
        <v>161</v>
      </c>
      <c r="J25" s="66">
        <v>496</v>
      </c>
      <c r="K25" s="68">
        <v>657</v>
      </c>
      <c r="L25" s="69">
        <f t="shared" si="6"/>
        <v>0.052734375</v>
      </c>
      <c r="M25" s="70">
        <f t="shared" si="1"/>
        <v>0.288063310617718</v>
      </c>
      <c r="N25" s="91">
        <f>DSL!W25</f>
        <v>30187</v>
      </c>
      <c r="O25" s="91">
        <f>DSL!X25</f>
        <v>194</v>
      </c>
      <c r="P25" s="91">
        <f>DSL!Y25</f>
        <v>18</v>
      </c>
      <c r="Q25" s="91">
        <f>DSL!Z25</f>
        <v>196.56</v>
      </c>
      <c r="R25" s="92">
        <f>DSL!AA25</f>
        <v>451.68</v>
      </c>
      <c r="S25" s="91">
        <f>DSL!AB25</f>
        <v>1.01</v>
      </c>
      <c r="T25" s="71">
        <f t="shared" si="2"/>
        <v>0.435175345377258</v>
      </c>
      <c r="U25" s="72">
        <f t="shared" si="3"/>
        <v>0.00642660748004108</v>
      </c>
      <c r="V25" s="72">
        <f t="shared" si="4"/>
        <v>0.0927835051546392</v>
      </c>
      <c r="W25" s="73">
        <f t="shared" si="5"/>
        <v>10.92</v>
      </c>
    </row>
    <row r="26" customHeight="1" spans="1:23">
      <c r="A26" s="61" t="s">
        <v>162</v>
      </c>
      <c r="B26" s="89" t="s">
        <v>163</v>
      </c>
      <c r="C26" s="90">
        <f>DSL!C26</f>
        <v>20</v>
      </c>
      <c r="D26" s="91">
        <f>DSL!D26</f>
        <v>20</v>
      </c>
      <c r="E26" s="64">
        <f>DSL!E26</f>
        <v>530.48</v>
      </c>
      <c r="F26" s="65">
        <v>111</v>
      </c>
      <c r="G26" s="66">
        <v>319</v>
      </c>
      <c r="H26" s="67">
        <v>430</v>
      </c>
      <c r="I26" s="66">
        <v>149</v>
      </c>
      <c r="J26" s="66">
        <v>433</v>
      </c>
      <c r="K26" s="68">
        <v>582</v>
      </c>
      <c r="L26" s="69">
        <f t="shared" si="6"/>
        <v>0.0465116279069767</v>
      </c>
      <c r="M26" s="70">
        <f t="shared" si="1"/>
        <v>0.289115518021415</v>
      </c>
      <c r="N26" s="91">
        <f>DSL!W26</f>
        <v>21073</v>
      </c>
      <c r="O26" s="91">
        <f>DSL!X26</f>
        <v>151</v>
      </c>
      <c r="P26" s="91">
        <f>DSL!Y26</f>
        <v>11</v>
      </c>
      <c r="Q26" s="91">
        <f>DSL!Z26</f>
        <v>153.37</v>
      </c>
      <c r="R26" s="92">
        <f>DSL!AA26</f>
        <v>269.89</v>
      </c>
      <c r="S26" s="91">
        <f>DSL!AB26</f>
        <v>1.02</v>
      </c>
      <c r="T26" s="71">
        <f t="shared" si="2"/>
        <v>0.568268553855274</v>
      </c>
      <c r="U26" s="72">
        <f t="shared" si="3"/>
        <v>0.00716556731362407</v>
      </c>
      <c r="V26" s="72">
        <f t="shared" si="4"/>
        <v>0.0728476821192053</v>
      </c>
      <c r="W26" s="73">
        <f t="shared" si="5"/>
        <v>13.9427272727273</v>
      </c>
    </row>
    <row r="27" customHeight="1" spans="1:23">
      <c r="A27" s="61" t="s">
        <v>165</v>
      </c>
      <c r="B27" s="61" t="s">
        <v>166</v>
      </c>
      <c r="C27" s="90">
        <f>DSL!C27</f>
        <v>33</v>
      </c>
      <c r="D27" s="91">
        <f>DSL!D27</f>
        <v>33</v>
      </c>
      <c r="E27" s="64">
        <f>DSL!E27</f>
        <v>787.99</v>
      </c>
      <c r="F27" s="65">
        <v>147</v>
      </c>
      <c r="G27" s="66">
        <v>410</v>
      </c>
      <c r="H27" s="67">
        <v>557</v>
      </c>
      <c r="I27" s="66">
        <v>196</v>
      </c>
      <c r="J27" s="66">
        <v>562</v>
      </c>
      <c r="K27" s="68">
        <v>758</v>
      </c>
      <c r="L27" s="69">
        <f t="shared" si="6"/>
        <v>0.059245960502693</v>
      </c>
      <c r="M27" s="70">
        <f t="shared" si="1"/>
        <v>0.273099912435437</v>
      </c>
      <c r="N27" s="91">
        <f>DSL!W27</f>
        <v>39032</v>
      </c>
      <c r="O27" s="91">
        <f>DSL!X27</f>
        <v>224</v>
      </c>
      <c r="P27" s="91">
        <f>DSL!Y27</f>
        <v>15</v>
      </c>
      <c r="Q27" s="91">
        <f>DSL!Z27</f>
        <v>215.2</v>
      </c>
      <c r="R27" s="92">
        <f>DSL!AA27</f>
        <v>343.35</v>
      </c>
      <c r="S27" s="91">
        <f>DSL!AB27</f>
        <v>0.96</v>
      </c>
      <c r="T27" s="71">
        <f t="shared" si="2"/>
        <v>0.626765690985874</v>
      </c>
      <c r="U27" s="72">
        <f t="shared" si="3"/>
        <v>0.00573888091822095</v>
      </c>
      <c r="V27" s="72">
        <f t="shared" si="4"/>
        <v>0.0669642857142857</v>
      </c>
      <c r="W27" s="73">
        <f t="shared" si="5"/>
        <v>14.3466666666667</v>
      </c>
    </row>
    <row r="28" customHeight="1" spans="1:23">
      <c r="A28" s="61" t="s">
        <v>167</v>
      </c>
      <c r="B28" s="61" t="s">
        <v>168</v>
      </c>
      <c r="C28" s="90">
        <f>DSL!C28</f>
        <v>44</v>
      </c>
      <c r="D28" s="91">
        <f>DSL!D28</f>
        <v>44</v>
      </c>
      <c r="E28" s="64">
        <f>DSL!E28</f>
        <v>1113.28</v>
      </c>
      <c r="F28" s="65">
        <v>201</v>
      </c>
      <c r="G28" s="66">
        <v>579</v>
      </c>
      <c r="H28" s="67">
        <v>780</v>
      </c>
      <c r="I28" s="66">
        <v>264</v>
      </c>
      <c r="J28" s="66">
        <v>782</v>
      </c>
      <c r="K28" s="68">
        <v>1046</v>
      </c>
      <c r="L28" s="69">
        <f t="shared" si="6"/>
        <v>0.0564102564102564</v>
      </c>
      <c r="M28" s="70">
        <f t="shared" si="1"/>
        <v>0.265135455590687</v>
      </c>
      <c r="N28" s="91">
        <f>DSL!W28</f>
        <v>51434</v>
      </c>
      <c r="O28" s="91">
        <f>DSL!X28</f>
        <v>311</v>
      </c>
      <c r="P28" s="91">
        <f>DSL!Y28</f>
        <v>22</v>
      </c>
      <c r="Q28" s="91">
        <f>DSL!Z28</f>
        <v>295.17</v>
      </c>
      <c r="R28" s="92">
        <f>DSL!AA28</f>
        <v>532.26</v>
      </c>
      <c r="S28" s="91">
        <f>DSL!AB28</f>
        <v>0.95</v>
      </c>
      <c r="T28" s="71">
        <f t="shared" si="2"/>
        <v>0.554559801600721</v>
      </c>
      <c r="U28" s="72">
        <f t="shared" si="3"/>
        <v>0.00604658397169188</v>
      </c>
      <c r="V28" s="72">
        <f t="shared" si="4"/>
        <v>0.0707395498392283</v>
      </c>
      <c r="W28" s="73">
        <f t="shared" si="5"/>
        <v>13.4168181818182</v>
      </c>
    </row>
    <row r="29" customHeight="1" spans="1:23">
      <c r="A29" s="61" t="s">
        <v>169</v>
      </c>
      <c r="B29" s="61" t="s">
        <v>170</v>
      </c>
      <c r="C29" s="90">
        <f>DSL!C29</f>
        <v>19</v>
      </c>
      <c r="D29" s="91">
        <f>DSL!D29</f>
        <v>19</v>
      </c>
      <c r="E29" s="64">
        <f>DSL!E29</f>
        <v>518.61</v>
      </c>
      <c r="F29" s="65">
        <v>125</v>
      </c>
      <c r="G29" s="66">
        <v>447</v>
      </c>
      <c r="H29" s="67">
        <v>572</v>
      </c>
      <c r="I29" s="66">
        <v>154</v>
      </c>
      <c r="J29" s="66">
        <v>602</v>
      </c>
      <c r="K29" s="68">
        <v>756</v>
      </c>
      <c r="L29" s="69">
        <f t="shared" si="6"/>
        <v>0.0332167832167832</v>
      </c>
      <c r="M29" s="70">
        <f t="shared" si="1"/>
        <v>0.412911436339446</v>
      </c>
      <c r="N29" s="91">
        <f>DSL!W29</f>
        <v>36029</v>
      </c>
      <c r="O29" s="91">
        <f>DSL!X29</f>
        <v>233</v>
      </c>
      <c r="P29" s="91">
        <f>DSL!Y29</f>
        <v>20</v>
      </c>
      <c r="Q29" s="91">
        <f>DSL!Z29</f>
        <v>214.14</v>
      </c>
      <c r="R29" s="92">
        <f>DSL!AA29</f>
        <v>528.67</v>
      </c>
      <c r="S29" s="91">
        <f>DSL!AB29</f>
        <v>0.92</v>
      </c>
      <c r="T29" s="71">
        <f t="shared" si="2"/>
        <v>0.405054192596516</v>
      </c>
      <c r="U29" s="72">
        <f t="shared" si="3"/>
        <v>0.00646701268422659</v>
      </c>
      <c r="V29" s="72">
        <f t="shared" si="4"/>
        <v>0.0858369098712446</v>
      </c>
      <c r="W29" s="73">
        <f t="shared" si="5"/>
        <v>10.707</v>
      </c>
    </row>
    <row r="30" customHeight="1" spans="1:23">
      <c r="A30" s="61" t="s">
        <v>172</v>
      </c>
      <c r="B30" s="61" t="s">
        <v>173</v>
      </c>
      <c r="C30" s="90">
        <f>DSL!C30</f>
        <v>35</v>
      </c>
      <c r="D30" s="91">
        <f>DSL!D30</f>
        <v>35</v>
      </c>
      <c r="E30" s="64">
        <f>DSL!E30</f>
        <v>830</v>
      </c>
      <c r="F30" s="65">
        <v>165</v>
      </c>
      <c r="G30" s="66">
        <v>557</v>
      </c>
      <c r="H30" s="67">
        <v>722</v>
      </c>
      <c r="I30" s="66">
        <v>212</v>
      </c>
      <c r="J30" s="66">
        <v>740</v>
      </c>
      <c r="K30" s="68">
        <v>952</v>
      </c>
      <c r="L30" s="69">
        <f t="shared" si="6"/>
        <v>0.0484764542936288</v>
      </c>
      <c r="M30" s="70">
        <f t="shared" si="1"/>
        <v>0.349759036144578</v>
      </c>
      <c r="N30" s="91">
        <f>DSL!W30</f>
        <v>47466</v>
      </c>
      <c r="O30" s="91">
        <f>DSL!X30</f>
        <v>313</v>
      </c>
      <c r="P30" s="91">
        <f>DSL!Y30</f>
        <v>31</v>
      </c>
      <c r="Q30" s="91">
        <f>DSL!Z30</f>
        <v>290.3</v>
      </c>
      <c r="R30" s="92">
        <f>DSL!AA30</f>
        <v>765.9</v>
      </c>
      <c r="S30" s="91">
        <f>DSL!AB30</f>
        <v>0.93</v>
      </c>
      <c r="T30" s="71">
        <f t="shared" si="2"/>
        <v>0.379031205118162</v>
      </c>
      <c r="U30" s="72">
        <f t="shared" si="3"/>
        <v>0.0065941937386761</v>
      </c>
      <c r="V30" s="72">
        <f t="shared" si="4"/>
        <v>0.0990415335463259</v>
      </c>
      <c r="W30" s="73">
        <f t="shared" si="5"/>
        <v>9.36451612903226</v>
      </c>
    </row>
    <row r="31" customHeight="1" spans="1:23">
      <c r="A31" s="61" t="s">
        <v>175</v>
      </c>
      <c r="B31" s="61" t="s">
        <v>176</v>
      </c>
      <c r="C31" s="90">
        <f>DSL!C31</f>
        <v>40</v>
      </c>
      <c r="D31" s="91">
        <f>DSL!D31</f>
        <v>39</v>
      </c>
      <c r="E31" s="64">
        <f>DSL!E31</f>
        <v>1185.8</v>
      </c>
      <c r="F31" s="65">
        <v>131</v>
      </c>
      <c r="G31" s="66">
        <v>504</v>
      </c>
      <c r="H31" s="67">
        <v>635</v>
      </c>
      <c r="I31" s="66">
        <v>161</v>
      </c>
      <c r="J31" s="66">
        <v>654</v>
      </c>
      <c r="K31" s="68">
        <v>815</v>
      </c>
      <c r="L31" s="69">
        <f t="shared" si="6"/>
        <v>0.0614173228346457</v>
      </c>
      <c r="M31" s="70">
        <f t="shared" si="1"/>
        <v>0.262084668578175</v>
      </c>
      <c r="N31" s="91">
        <f>DSL!W31</f>
        <v>48084</v>
      </c>
      <c r="O31" s="91">
        <f>DSL!X31</f>
        <v>336</v>
      </c>
      <c r="P31" s="91">
        <f>DSL!Y31</f>
        <v>37</v>
      </c>
      <c r="Q31" s="91">
        <f>DSL!Z31</f>
        <v>310.78</v>
      </c>
      <c r="R31" s="92">
        <f>DSL!AA31</f>
        <v>1188.27</v>
      </c>
      <c r="S31" s="91">
        <f>DSL!AB31</f>
        <v>0.92</v>
      </c>
      <c r="T31" s="71">
        <f t="shared" si="2"/>
        <v>0.261539885716209</v>
      </c>
      <c r="U31" s="72">
        <f t="shared" si="3"/>
        <v>0.00698777140004991</v>
      </c>
      <c r="V31" s="72">
        <f t="shared" si="4"/>
        <v>0.110119047619048</v>
      </c>
      <c r="W31" s="73">
        <f t="shared" si="5"/>
        <v>8.39945945945946</v>
      </c>
    </row>
    <row r="32" customHeight="1" spans="1:23">
      <c r="A32" s="61" t="s">
        <v>177</v>
      </c>
      <c r="B32" s="61" t="s">
        <v>178</v>
      </c>
      <c r="C32" s="90">
        <f>DSL!C32</f>
        <v>41</v>
      </c>
      <c r="D32" s="91">
        <f>DSL!D32</f>
        <v>40</v>
      </c>
      <c r="E32" s="64">
        <f>DSL!E32</f>
        <v>992.41</v>
      </c>
      <c r="F32" s="65">
        <v>120</v>
      </c>
      <c r="G32" s="66">
        <v>514</v>
      </c>
      <c r="H32" s="67">
        <v>634</v>
      </c>
      <c r="I32" s="66">
        <v>153</v>
      </c>
      <c r="J32" s="66">
        <v>653</v>
      </c>
      <c r="K32" s="68">
        <v>806</v>
      </c>
      <c r="L32" s="69">
        <f t="shared" si="6"/>
        <v>0.0630914826498423</v>
      </c>
      <c r="M32" s="70">
        <f t="shared" si="1"/>
        <v>0.309831622011064</v>
      </c>
      <c r="N32" s="91">
        <f>DSL!W32</f>
        <v>43710</v>
      </c>
      <c r="O32" s="91">
        <f>DSL!X32</f>
        <v>324</v>
      </c>
      <c r="P32" s="91">
        <f>DSL!Y32</f>
        <v>21</v>
      </c>
      <c r="Q32" s="91">
        <f>DSL!Z32</f>
        <v>307.48</v>
      </c>
      <c r="R32" s="92">
        <f>DSL!AA32</f>
        <v>526</v>
      </c>
      <c r="S32" s="91">
        <f>DSL!AB32</f>
        <v>0.95</v>
      </c>
      <c r="T32" s="71">
        <f t="shared" si="2"/>
        <v>0.584562737642586</v>
      </c>
      <c r="U32" s="72">
        <f t="shared" si="3"/>
        <v>0.00741249142072752</v>
      </c>
      <c r="V32" s="72">
        <f t="shared" si="4"/>
        <v>0.0648148148148148</v>
      </c>
      <c r="W32" s="73">
        <f t="shared" si="5"/>
        <v>14.6419047619048</v>
      </c>
    </row>
    <row r="33" customHeight="1" spans="1:23">
      <c r="A33" s="61" t="s">
        <v>179</v>
      </c>
      <c r="B33" s="61" t="s">
        <v>180</v>
      </c>
      <c r="C33" s="90">
        <f>DSL!C33</f>
        <v>33</v>
      </c>
      <c r="D33" s="91">
        <f>DSL!D33</f>
        <v>33</v>
      </c>
      <c r="E33" s="64">
        <f>DSL!E33</f>
        <v>784.31</v>
      </c>
      <c r="F33" s="65">
        <v>130</v>
      </c>
      <c r="G33" s="66">
        <v>526</v>
      </c>
      <c r="H33" s="67">
        <v>656</v>
      </c>
      <c r="I33" s="66">
        <v>176</v>
      </c>
      <c r="J33" s="66">
        <v>641</v>
      </c>
      <c r="K33" s="68">
        <v>817</v>
      </c>
      <c r="L33" s="69">
        <f t="shared" si="6"/>
        <v>0.0503048780487805</v>
      </c>
      <c r="M33" s="70">
        <f t="shared" si="1"/>
        <v>0.381520062220296</v>
      </c>
      <c r="N33" s="91">
        <f>DSL!W33</f>
        <v>54254</v>
      </c>
      <c r="O33" s="91">
        <f>DSL!X33</f>
        <v>320</v>
      </c>
      <c r="P33" s="91">
        <f>DSL!Y33</f>
        <v>22</v>
      </c>
      <c r="Q33" s="91">
        <f>DSL!Z33</f>
        <v>299.23</v>
      </c>
      <c r="R33" s="92">
        <f>DSL!AA33</f>
        <v>514.88</v>
      </c>
      <c r="S33" s="91">
        <f>DSL!AB33</f>
        <v>0.94</v>
      </c>
      <c r="T33" s="71">
        <f t="shared" si="2"/>
        <v>0.581164543194531</v>
      </c>
      <c r="U33" s="72">
        <f t="shared" si="3"/>
        <v>0.00589818262247945</v>
      </c>
      <c r="V33" s="72">
        <f t="shared" si="4"/>
        <v>0.06875</v>
      </c>
      <c r="W33" s="73">
        <f t="shared" si="5"/>
        <v>13.6013636363636</v>
      </c>
    </row>
    <row r="34" customHeight="1" spans="1:23">
      <c r="A34" s="61" t="s">
        <v>181</v>
      </c>
      <c r="B34" s="61" t="s">
        <v>182</v>
      </c>
      <c r="C34" s="90">
        <f>DSL!C34</f>
        <v>31</v>
      </c>
      <c r="D34" s="91">
        <f>DSL!D34</f>
        <v>31</v>
      </c>
      <c r="E34" s="64">
        <f>DSL!E34</f>
        <v>736.33</v>
      </c>
      <c r="F34" s="65">
        <v>144</v>
      </c>
      <c r="G34" s="66">
        <v>494</v>
      </c>
      <c r="H34" s="67">
        <v>638</v>
      </c>
      <c r="I34" s="66">
        <v>212</v>
      </c>
      <c r="J34" s="66">
        <v>643</v>
      </c>
      <c r="K34" s="68">
        <v>855</v>
      </c>
      <c r="L34" s="69">
        <f t="shared" si="6"/>
        <v>0.04858934169279</v>
      </c>
      <c r="M34" s="70">
        <f t="shared" si="1"/>
        <v>0.437290345361455</v>
      </c>
      <c r="N34" s="91">
        <f>DSL!W34</f>
        <v>47762</v>
      </c>
      <c r="O34" s="91">
        <f>DSL!X34</f>
        <v>349</v>
      </c>
      <c r="P34" s="91">
        <f>DSL!Y34</f>
        <v>24</v>
      </c>
      <c r="Q34" s="91">
        <f>DSL!Z34</f>
        <v>321.99</v>
      </c>
      <c r="R34" s="92">
        <f>DSL!AA34</f>
        <v>588.47</v>
      </c>
      <c r="S34" s="91">
        <f>DSL!AB34</f>
        <v>0.92</v>
      </c>
      <c r="T34" s="71">
        <f t="shared" si="2"/>
        <v>0.547164681292164</v>
      </c>
      <c r="U34" s="72">
        <f t="shared" si="3"/>
        <v>0.00730706419329174</v>
      </c>
      <c r="V34" s="72">
        <f t="shared" si="4"/>
        <v>0.0687679083094556</v>
      </c>
      <c r="W34" s="73">
        <f t="shared" si="5"/>
        <v>13.41625</v>
      </c>
    </row>
    <row r="35" customHeight="1" spans="1:23">
      <c r="A35" s="61" t="s">
        <v>183</v>
      </c>
      <c r="B35" s="61" t="s">
        <v>184</v>
      </c>
      <c r="C35" s="90">
        <f>DSL!C35</f>
        <v>44</v>
      </c>
      <c r="D35" s="91">
        <f>DSL!D35</f>
        <v>42</v>
      </c>
      <c r="E35" s="64">
        <f>DSL!E35</f>
        <v>1016.85</v>
      </c>
      <c r="F35" s="65">
        <v>193</v>
      </c>
      <c r="G35" s="66">
        <v>670</v>
      </c>
      <c r="H35" s="67">
        <v>863</v>
      </c>
      <c r="I35" s="66">
        <v>248</v>
      </c>
      <c r="J35" s="66">
        <v>938</v>
      </c>
      <c r="K35" s="68">
        <v>1186</v>
      </c>
      <c r="L35" s="69">
        <f t="shared" si="6"/>
        <v>0.048667439165701</v>
      </c>
      <c r="M35" s="70">
        <f t="shared" si="1"/>
        <v>0.33479864286768</v>
      </c>
      <c r="N35" s="91">
        <f>DSL!W35</f>
        <v>52810</v>
      </c>
      <c r="O35" s="91">
        <f>DSL!X35</f>
        <v>369</v>
      </c>
      <c r="P35" s="91">
        <f>DSL!Y35</f>
        <v>34</v>
      </c>
      <c r="Q35" s="91">
        <f>DSL!Z35</f>
        <v>340.44</v>
      </c>
      <c r="R35" s="92">
        <f>DSL!AA35</f>
        <v>822.97</v>
      </c>
      <c r="S35" s="91">
        <f>DSL!AB35</f>
        <v>0.92</v>
      </c>
      <c r="T35" s="71">
        <f t="shared" si="2"/>
        <v>0.413672430343755</v>
      </c>
      <c r="U35" s="72">
        <f t="shared" si="3"/>
        <v>0.00698731300889983</v>
      </c>
      <c r="V35" s="72">
        <f t="shared" si="4"/>
        <v>0.0921409214092141</v>
      </c>
      <c r="W35" s="73">
        <f t="shared" si="5"/>
        <v>10.0129411764706</v>
      </c>
    </row>
    <row r="36" customHeight="1" spans="1:23">
      <c r="A36" s="61" t="s">
        <v>185</v>
      </c>
      <c r="B36" s="61" t="s">
        <v>186</v>
      </c>
      <c r="C36" s="90">
        <f>DSL!C36</f>
        <v>19</v>
      </c>
      <c r="D36" s="91">
        <f>DSL!D36</f>
        <v>19</v>
      </c>
      <c r="E36" s="64">
        <f>DSL!E36</f>
        <v>446.61</v>
      </c>
      <c r="F36" s="65">
        <v>130</v>
      </c>
      <c r="G36" s="66">
        <v>431</v>
      </c>
      <c r="H36" s="67">
        <v>561</v>
      </c>
      <c r="I36" s="66">
        <v>171</v>
      </c>
      <c r="J36" s="66">
        <v>566</v>
      </c>
      <c r="K36" s="68">
        <v>737</v>
      </c>
      <c r="L36" s="69">
        <f t="shared" si="6"/>
        <v>0.0338680926916221</v>
      </c>
      <c r="M36" s="70">
        <f t="shared" si="1"/>
        <v>0.63948411365621</v>
      </c>
      <c r="N36" s="91">
        <f>DSL!W36</f>
        <v>48824</v>
      </c>
      <c r="O36" s="91">
        <f>DSL!X36</f>
        <v>308</v>
      </c>
      <c r="P36" s="91">
        <f>DSL!Y36</f>
        <v>17</v>
      </c>
      <c r="Q36" s="91">
        <f>DSL!Z36</f>
        <v>285.6</v>
      </c>
      <c r="R36" s="92">
        <f>DSL!AA36</f>
        <v>399.31</v>
      </c>
      <c r="S36" s="91">
        <f>DSL!AB36</f>
        <v>0.93</v>
      </c>
      <c r="T36" s="71">
        <f t="shared" ref="T36:T63" si="7">Q36/R36</f>
        <v>0.715233778267512</v>
      </c>
      <c r="U36" s="72">
        <f t="shared" ref="U36:U62" si="8">O36/N36</f>
        <v>0.00630837293134524</v>
      </c>
      <c r="V36" s="72">
        <f t="shared" ref="V36:V62" si="9">P36/O36</f>
        <v>0.0551948051948052</v>
      </c>
      <c r="W36" s="73">
        <f t="shared" ref="W36:W62" si="10">Q36/P36</f>
        <v>16.8</v>
      </c>
    </row>
    <row r="37" customHeight="1" spans="1:23">
      <c r="A37" s="61" t="s">
        <v>187</v>
      </c>
      <c r="B37" s="61" t="s">
        <v>188</v>
      </c>
      <c r="C37" s="90">
        <f>DSL!C37</f>
        <v>40</v>
      </c>
      <c r="D37" s="91">
        <f>DSL!D37</f>
        <v>38</v>
      </c>
      <c r="E37" s="64">
        <f>DSL!E37</f>
        <v>941.2</v>
      </c>
      <c r="F37" s="65">
        <v>157</v>
      </c>
      <c r="G37" s="66">
        <v>407</v>
      </c>
      <c r="H37" s="67">
        <v>564</v>
      </c>
      <c r="I37" s="66">
        <v>217</v>
      </c>
      <c r="J37" s="66">
        <v>546</v>
      </c>
      <c r="K37" s="68">
        <v>763</v>
      </c>
      <c r="L37" s="69">
        <f t="shared" si="6"/>
        <v>0.0673758865248227</v>
      </c>
      <c r="M37" s="70">
        <f t="shared" si="1"/>
        <v>0.332692307692308</v>
      </c>
      <c r="N37" s="91">
        <f>DSL!W37</f>
        <v>43274</v>
      </c>
      <c r="O37" s="91">
        <f>DSL!X37</f>
        <v>328</v>
      </c>
      <c r="P37" s="91">
        <f>DSL!Y37</f>
        <v>27</v>
      </c>
      <c r="Q37" s="91">
        <f>DSL!Z37</f>
        <v>313.13</v>
      </c>
      <c r="R37" s="92">
        <f>DSL!AA37</f>
        <v>673.11</v>
      </c>
      <c r="S37" s="91">
        <f>DSL!AB37</f>
        <v>0.95</v>
      </c>
      <c r="T37" s="71">
        <f t="shared" si="7"/>
        <v>0.465198853084934</v>
      </c>
      <c r="U37" s="72">
        <f t="shared" si="8"/>
        <v>0.00757960900309655</v>
      </c>
      <c r="V37" s="72">
        <f t="shared" si="9"/>
        <v>0.0823170731707317</v>
      </c>
      <c r="W37" s="73">
        <f t="shared" si="10"/>
        <v>11.5974074074074</v>
      </c>
    </row>
    <row r="38" customHeight="1" spans="1:23">
      <c r="A38" s="61" t="s">
        <v>189</v>
      </c>
      <c r="B38" s="61" t="s">
        <v>190</v>
      </c>
      <c r="C38" s="90">
        <f>DSL!C38</f>
        <v>47</v>
      </c>
      <c r="D38" s="91">
        <f>DSL!D38</f>
        <v>47</v>
      </c>
      <c r="E38" s="64">
        <f>DSL!E38</f>
        <v>1094.34</v>
      </c>
      <c r="F38" s="65">
        <v>151</v>
      </c>
      <c r="G38" s="66">
        <v>518</v>
      </c>
      <c r="H38" s="67">
        <v>669</v>
      </c>
      <c r="I38" s="66">
        <v>201</v>
      </c>
      <c r="J38" s="66">
        <v>631</v>
      </c>
      <c r="K38" s="68">
        <v>832</v>
      </c>
      <c r="L38" s="69">
        <f t="shared" si="6"/>
        <v>0.070254110612855</v>
      </c>
      <c r="M38" s="70">
        <f t="shared" si="1"/>
        <v>0.272931630023576</v>
      </c>
      <c r="N38" s="91">
        <f>DSL!W38</f>
        <v>45715</v>
      </c>
      <c r="O38" s="91">
        <f>DSL!X38</f>
        <v>320</v>
      </c>
      <c r="P38" s="91">
        <f>DSL!Y38</f>
        <v>34</v>
      </c>
      <c r="Q38" s="91">
        <f>DSL!Z38</f>
        <v>298.68</v>
      </c>
      <c r="R38" s="92">
        <f>DSL!AA38</f>
        <v>768.09</v>
      </c>
      <c r="S38" s="91">
        <f>DSL!AB38</f>
        <v>0.93</v>
      </c>
      <c r="T38" s="71">
        <f t="shared" si="7"/>
        <v>0.388860680389017</v>
      </c>
      <c r="U38" s="72">
        <f t="shared" si="8"/>
        <v>0.00699989062670896</v>
      </c>
      <c r="V38" s="72">
        <f t="shared" si="9"/>
        <v>0.10625</v>
      </c>
      <c r="W38" s="73">
        <f t="shared" si="10"/>
        <v>8.78470588235294</v>
      </c>
    </row>
    <row r="39" customHeight="1" spans="1:23">
      <c r="A39" s="61" t="s">
        <v>191</v>
      </c>
      <c r="B39" s="61" t="s">
        <v>192</v>
      </c>
      <c r="C39" s="90">
        <f>DSL!C39</f>
        <v>38</v>
      </c>
      <c r="D39" s="91">
        <f>DSL!D39</f>
        <v>38</v>
      </c>
      <c r="E39" s="64">
        <f>DSL!E39</f>
        <v>891.38</v>
      </c>
      <c r="F39" s="65">
        <v>156</v>
      </c>
      <c r="G39" s="66">
        <v>450</v>
      </c>
      <c r="H39" s="67">
        <v>606</v>
      </c>
      <c r="I39" s="66">
        <v>199</v>
      </c>
      <c r="J39" s="66">
        <v>580</v>
      </c>
      <c r="K39" s="68">
        <v>779</v>
      </c>
      <c r="L39" s="69">
        <f t="shared" si="6"/>
        <v>0.0627062706270627</v>
      </c>
      <c r="M39" s="70">
        <f t="shared" si="1"/>
        <v>0.367419058089704</v>
      </c>
      <c r="N39" s="91">
        <f>DSL!W39</f>
        <v>43400</v>
      </c>
      <c r="O39" s="91">
        <f>DSL!X39</f>
        <v>337</v>
      </c>
      <c r="P39" s="91">
        <f>DSL!Y39</f>
        <v>33</v>
      </c>
      <c r="Q39" s="91">
        <f>DSL!Z39</f>
        <v>327.51</v>
      </c>
      <c r="R39" s="92">
        <f>DSL!AA39</f>
        <v>769.1</v>
      </c>
      <c r="S39" s="91">
        <f>DSL!AB39</f>
        <v>0.97</v>
      </c>
      <c r="T39" s="71">
        <f t="shared" si="7"/>
        <v>0.425835392016643</v>
      </c>
      <c r="U39" s="72">
        <f t="shared" si="8"/>
        <v>0.00776497695852535</v>
      </c>
      <c r="V39" s="72">
        <f t="shared" si="9"/>
        <v>0.0979228486646884</v>
      </c>
      <c r="W39" s="73">
        <f t="shared" si="10"/>
        <v>9.92454545454545</v>
      </c>
    </row>
    <row r="40" customHeight="1" spans="1:23">
      <c r="A40" s="61" t="s">
        <v>193</v>
      </c>
      <c r="B40" s="61" t="s">
        <v>194</v>
      </c>
      <c r="C40" s="90">
        <f>DSL!C40</f>
        <v>31</v>
      </c>
      <c r="D40" s="91">
        <f>DSL!D40</f>
        <v>30</v>
      </c>
      <c r="E40" s="64">
        <f>DSL!E40</f>
        <v>892.79</v>
      </c>
      <c r="F40" s="65">
        <v>122</v>
      </c>
      <c r="G40" s="66">
        <v>553</v>
      </c>
      <c r="H40" s="67">
        <v>675</v>
      </c>
      <c r="I40" s="66">
        <v>152</v>
      </c>
      <c r="J40" s="66">
        <v>716</v>
      </c>
      <c r="K40" s="68">
        <v>868</v>
      </c>
      <c r="L40" s="69">
        <f t="shared" si="6"/>
        <v>0.0444444444444444</v>
      </c>
      <c r="M40" s="70">
        <f t="shared" si="1"/>
        <v>0.366704376169088</v>
      </c>
      <c r="N40" s="91">
        <f>DSL!W40</f>
        <v>59702</v>
      </c>
      <c r="O40" s="91">
        <f>DSL!X40</f>
        <v>341</v>
      </c>
      <c r="P40" s="91">
        <f>DSL!Y40</f>
        <v>38</v>
      </c>
      <c r="Q40" s="91">
        <f>DSL!Z40</f>
        <v>327.39</v>
      </c>
      <c r="R40" s="92">
        <f>DSL!AA40</f>
        <v>969.02</v>
      </c>
      <c r="S40" s="91">
        <f>DSL!AB40</f>
        <v>0.96</v>
      </c>
      <c r="T40" s="71">
        <f t="shared" si="7"/>
        <v>0.33785680378114</v>
      </c>
      <c r="U40" s="72">
        <f t="shared" si="8"/>
        <v>0.00571170145053767</v>
      </c>
      <c r="V40" s="72">
        <f t="shared" si="9"/>
        <v>0.111436950146628</v>
      </c>
      <c r="W40" s="73">
        <f t="shared" si="10"/>
        <v>8.61552631578947</v>
      </c>
    </row>
    <row r="41" customHeight="1" spans="1:23">
      <c r="A41" s="61" t="s">
        <v>195</v>
      </c>
      <c r="B41" s="61" t="s">
        <v>196</v>
      </c>
      <c r="C41" s="90">
        <f>DSL!C41</f>
        <v>49</v>
      </c>
      <c r="D41" s="91">
        <f>DSL!D41</f>
        <v>46</v>
      </c>
      <c r="E41" s="64">
        <f>DSL!E41</f>
        <v>1184.35</v>
      </c>
      <c r="F41" s="65">
        <v>142</v>
      </c>
      <c r="G41" s="66">
        <v>556</v>
      </c>
      <c r="H41" s="67">
        <v>698</v>
      </c>
      <c r="I41" s="66">
        <v>193</v>
      </c>
      <c r="J41" s="66">
        <v>697</v>
      </c>
      <c r="K41" s="68">
        <v>890</v>
      </c>
      <c r="L41" s="69">
        <f t="shared" si="6"/>
        <v>0.0659025787965616</v>
      </c>
      <c r="M41" s="70">
        <f t="shared" si="1"/>
        <v>0.26326677080255</v>
      </c>
      <c r="N41" s="91">
        <f>DSL!W41</f>
        <v>47428</v>
      </c>
      <c r="O41" s="91">
        <f>DSL!X41</f>
        <v>331</v>
      </c>
      <c r="P41" s="91">
        <f>DSL!Y41</f>
        <v>29</v>
      </c>
      <c r="Q41" s="91">
        <f>DSL!Z41</f>
        <v>311.8</v>
      </c>
      <c r="R41" s="92">
        <f>DSL!AA41</f>
        <v>758.64</v>
      </c>
      <c r="S41" s="91">
        <f>DSL!AB41</f>
        <v>0.94</v>
      </c>
      <c r="T41" s="71">
        <f t="shared" si="7"/>
        <v>0.410998629125804</v>
      </c>
      <c r="U41" s="72">
        <f t="shared" si="8"/>
        <v>0.0069789997469849</v>
      </c>
      <c r="V41" s="72">
        <f t="shared" si="9"/>
        <v>0.0876132930513595</v>
      </c>
      <c r="W41" s="73">
        <f t="shared" si="10"/>
        <v>10.751724137931</v>
      </c>
    </row>
    <row r="42" customHeight="1" spans="1:23">
      <c r="A42" s="61" t="s">
        <v>198</v>
      </c>
      <c r="B42" s="61" t="s">
        <v>199</v>
      </c>
      <c r="C42" s="90">
        <f>DSL!C42</f>
        <v>31</v>
      </c>
      <c r="D42" s="91">
        <f>DSL!D42</f>
        <v>30</v>
      </c>
      <c r="E42" s="64">
        <f>DSL!E42</f>
        <v>809.09</v>
      </c>
      <c r="F42" s="65">
        <v>96</v>
      </c>
      <c r="G42" s="66">
        <v>453</v>
      </c>
      <c r="H42" s="67">
        <v>549</v>
      </c>
      <c r="I42" s="66">
        <v>118</v>
      </c>
      <c r="J42" s="66">
        <v>558</v>
      </c>
      <c r="K42" s="68">
        <v>676</v>
      </c>
      <c r="L42" s="69">
        <f t="shared" si="6"/>
        <v>0.0546448087431694</v>
      </c>
      <c r="M42" s="70">
        <f t="shared" si="1"/>
        <v>0.35543635442287</v>
      </c>
      <c r="N42" s="91">
        <f>DSL!W42</f>
        <v>61367</v>
      </c>
      <c r="O42" s="91">
        <f>DSL!X42</f>
        <v>301</v>
      </c>
      <c r="P42" s="91">
        <f>DSL!Y42</f>
        <v>23</v>
      </c>
      <c r="Q42" s="91">
        <f>DSL!Z42</f>
        <v>287.58</v>
      </c>
      <c r="R42" s="92">
        <f>DSL!AA42</f>
        <v>592.86</v>
      </c>
      <c r="S42" s="91">
        <f>DSL!AB42</f>
        <v>0.96</v>
      </c>
      <c r="T42" s="71">
        <f t="shared" si="7"/>
        <v>0.485072361097055</v>
      </c>
      <c r="U42" s="72">
        <f t="shared" si="8"/>
        <v>0.00490491632310525</v>
      </c>
      <c r="V42" s="72">
        <f t="shared" si="9"/>
        <v>0.0764119601328904</v>
      </c>
      <c r="W42" s="73">
        <f t="shared" si="10"/>
        <v>12.5034782608696</v>
      </c>
    </row>
    <row r="43" customHeight="1" spans="1:23">
      <c r="A43" s="61" t="s">
        <v>200</v>
      </c>
      <c r="B43" s="61" t="s">
        <v>201</v>
      </c>
      <c r="C43" s="90">
        <f>DSL!C43</f>
        <v>19</v>
      </c>
      <c r="D43" s="91">
        <f>DSL!D43</f>
        <v>19</v>
      </c>
      <c r="E43" s="64">
        <f>DSL!E43</f>
        <v>469.61</v>
      </c>
      <c r="F43" s="65">
        <v>116</v>
      </c>
      <c r="G43" s="66">
        <v>332</v>
      </c>
      <c r="H43" s="67">
        <v>448</v>
      </c>
      <c r="I43" s="66">
        <v>152</v>
      </c>
      <c r="J43" s="66">
        <v>432</v>
      </c>
      <c r="K43" s="68">
        <v>584</v>
      </c>
      <c r="L43" s="69">
        <f t="shared" si="6"/>
        <v>0.0424107142857143</v>
      </c>
      <c r="M43" s="70">
        <f t="shared" si="1"/>
        <v>0.482485466663827</v>
      </c>
      <c r="N43" s="91">
        <f>DSL!W43</f>
        <v>35381</v>
      </c>
      <c r="O43" s="91">
        <f>DSL!X43</f>
        <v>239</v>
      </c>
      <c r="P43" s="91">
        <f>DSL!Y43</f>
        <v>15</v>
      </c>
      <c r="Q43" s="91">
        <f>DSL!Z43</f>
        <v>226.58</v>
      </c>
      <c r="R43" s="92">
        <f>DSL!AA43</f>
        <v>355.55</v>
      </c>
      <c r="S43" s="91">
        <f>DSL!AB43</f>
        <v>0.95</v>
      </c>
      <c r="T43" s="71">
        <f t="shared" si="7"/>
        <v>0.637266207284489</v>
      </c>
      <c r="U43" s="72">
        <f t="shared" si="8"/>
        <v>0.00675503801475368</v>
      </c>
      <c r="V43" s="72">
        <f t="shared" si="9"/>
        <v>0.0627615062761506</v>
      </c>
      <c r="W43" s="73">
        <f t="shared" si="10"/>
        <v>15.1053333333333</v>
      </c>
    </row>
    <row r="44" customHeight="1" spans="1:23">
      <c r="A44" s="61" t="s">
        <v>202</v>
      </c>
      <c r="B44" s="61" t="s">
        <v>203</v>
      </c>
      <c r="C44" s="90">
        <f>DSL!C44</f>
        <v>23</v>
      </c>
      <c r="D44" s="91">
        <f>DSL!D44</f>
        <v>23</v>
      </c>
      <c r="E44" s="64">
        <f>DSL!E44</f>
        <v>603.27</v>
      </c>
      <c r="F44" s="65">
        <v>142</v>
      </c>
      <c r="G44" s="66">
        <v>447</v>
      </c>
      <c r="H44" s="67">
        <v>589</v>
      </c>
      <c r="I44" s="66">
        <v>191</v>
      </c>
      <c r="J44" s="66">
        <v>582</v>
      </c>
      <c r="K44" s="68">
        <v>773</v>
      </c>
      <c r="L44" s="69">
        <f t="shared" si="6"/>
        <v>0.0390492359932088</v>
      </c>
      <c r="M44" s="70">
        <f t="shared" si="1"/>
        <v>0.359905183417044</v>
      </c>
      <c r="N44" s="91">
        <f>DSL!W44</f>
        <v>54050</v>
      </c>
      <c r="O44" s="91">
        <f>DSL!X44</f>
        <v>229</v>
      </c>
      <c r="P44" s="91">
        <f>DSL!Y44</f>
        <v>17</v>
      </c>
      <c r="Q44" s="91">
        <f>DSL!Z44</f>
        <v>217.12</v>
      </c>
      <c r="R44" s="92">
        <f>DSL!AA44</f>
        <v>435.83</v>
      </c>
      <c r="S44" s="91">
        <f>DSL!AB44</f>
        <v>0.95</v>
      </c>
      <c r="T44" s="71">
        <f t="shared" si="7"/>
        <v>0.498175894270702</v>
      </c>
      <c r="U44" s="72">
        <f t="shared" si="8"/>
        <v>0.0042368177613321</v>
      </c>
      <c r="V44" s="72">
        <f t="shared" si="9"/>
        <v>0.074235807860262</v>
      </c>
      <c r="W44" s="73">
        <f t="shared" si="10"/>
        <v>12.7717647058824</v>
      </c>
    </row>
    <row r="45" customHeight="1" spans="1:23">
      <c r="A45" s="61" t="s">
        <v>205</v>
      </c>
      <c r="B45" s="61" t="s">
        <v>206</v>
      </c>
      <c r="C45" s="90">
        <f>DSL!C45</f>
        <v>26</v>
      </c>
      <c r="D45" s="91">
        <f>DSL!D45</f>
        <v>26</v>
      </c>
      <c r="E45" s="64">
        <f>DSL!E45</f>
        <v>699.56</v>
      </c>
      <c r="F45" s="65">
        <v>136</v>
      </c>
      <c r="G45" s="66">
        <v>379</v>
      </c>
      <c r="H45" s="67">
        <v>515</v>
      </c>
      <c r="I45" s="66">
        <v>171</v>
      </c>
      <c r="J45" s="66">
        <v>493</v>
      </c>
      <c r="K45" s="68">
        <v>664</v>
      </c>
      <c r="L45" s="69">
        <f t="shared" si="6"/>
        <v>0.0504854368932039</v>
      </c>
      <c r="M45" s="70">
        <f t="shared" si="1"/>
        <v>0.368831837154783</v>
      </c>
      <c r="N45" s="91">
        <f>DSL!W45</f>
        <v>52390</v>
      </c>
      <c r="O45" s="91">
        <f>DSL!X45</f>
        <v>271</v>
      </c>
      <c r="P45" s="91">
        <f>DSL!Y45</f>
        <v>16</v>
      </c>
      <c r="Q45" s="91">
        <f>DSL!Z45</f>
        <v>258.02</v>
      </c>
      <c r="R45" s="92">
        <f>DSL!AA45</f>
        <v>422.2</v>
      </c>
      <c r="S45" s="91">
        <f>DSL!AB45</f>
        <v>0.95</v>
      </c>
      <c r="T45" s="71">
        <f t="shared" si="7"/>
        <v>0.611132164850782</v>
      </c>
      <c r="U45" s="72">
        <f t="shared" si="8"/>
        <v>0.00517274288986448</v>
      </c>
      <c r="V45" s="72">
        <f t="shared" si="9"/>
        <v>0.0590405904059041</v>
      </c>
      <c r="W45" s="73">
        <f t="shared" si="10"/>
        <v>16.12625</v>
      </c>
    </row>
    <row r="46" customHeight="1" spans="1:23">
      <c r="A46" s="61" t="s">
        <v>208</v>
      </c>
      <c r="B46" s="61" t="s">
        <v>209</v>
      </c>
      <c r="C46" s="90">
        <f>DSL!C46</f>
        <v>22</v>
      </c>
      <c r="D46" s="91">
        <f>DSL!D46</f>
        <v>22</v>
      </c>
      <c r="E46" s="64">
        <f>DSL!E46</f>
        <v>498.04</v>
      </c>
      <c r="F46" s="65">
        <v>86</v>
      </c>
      <c r="G46" s="66">
        <v>339</v>
      </c>
      <c r="H46" s="67">
        <v>425</v>
      </c>
      <c r="I46" s="66">
        <v>108</v>
      </c>
      <c r="J46" s="66">
        <v>476</v>
      </c>
      <c r="K46" s="68">
        <v>584</v>
      </c>
      <c r="L46" s="69">
        <f t="shared" si="6"/>
        <v>0.0517647058823529</v>
      </c>
      <c r="M46" s="70">
        <f t="shared" si="1"/>
        <v>0.449421733194121</v>
      </c>
      <c r="N46" s="91">
        <f>DSL!W46</f>
        <v>50661</v>
      </c>
      <c r="O46" s="91">
        <f>DSL!X46</f>
        <v>233</v>
      </c>
      <c r="P46" s="91">
        <f>DSL!Y46</f>
        <v>16</v>
      </c>
      <c r="Q46" s="91">
        <f>DSL!Z46</f>
        <v>223.83</v>
      </c>
      <c r="R46" s="92">
        <f>DSL!AA46</f>
        <v>383.9</v>
      </c>
      <c r="S46" s="91">
        <f>DSL!AB46</f>
        <v>0.96</v>
      </c>
      <c r="T46" s="71">
        <f t="shared" si="7"/>
        <v>0.583042458973691</v>
      </c>
      <c r="U46" s="72">
        <f t="shared" si="8"/>
        <v>0.00459919859457966</v>
      </c>
      <c r="V46" s="72">
        <f t="shared" si="9"/>
        <v>0.0686695278969957</v>
      </c>
      <c r="W46" s="73">
        <f t="shared" si="10"/>
        <v>13.989375</v>
      </c>
    </row>
    <row r="47" customHeight="1" spans="1:23">
      <c r="A47" s="61" t="s">
        <v>210</v>
      </c>
      <c r="B47" s="61" t="s">
        <v>211</v>
      </c>
      <c r="C47" s="90">
        <f>DSL!C47</f>
        <v>31</v>
      </c>
      <c r="D47" s="91">
        <f>DSL!D47</f>
        <v>31</v>
      </c>
      <c r="E47" s="64">
        <f>DSL!E47</f>
        <v>657.27</v>
      </c>
      <c r="F47" s="65">
        <v>89</v>
      </c>
      <c r="G47" s="66">
        <v>406</v>
      </c>
      <c r="H47" s="67">
        <v>495</v>
      </c>
      <c r="I47" s="66">
        <v>118</v>
      </c>
      <c r="J47" s="66">
        <v>535</v>
      </c>
      <c r="K47" s="68">
        <v>653</v>
      </c>
      <c r="L47" s="69">
        <f t="shared" si="6"/>
        <v>0.0626262626262626</v>
      </c>
      <c r="M47" s="70">
        <f t="shared" si="1"/>
        <v>0.357980738509288</v>
      </c>
      <c r="N47" s="91">
        <f>DSL!W47</f>
        <v>50492</v>
      </c>
      <c r="O47" s="91">
        <f>DSL!X47</f>
        <v>241</v>
      </c>
      <c r="P47" s="91">
        <f>DSL!Y47</f>
        <v>21</v>
      </c>
      <c r="Q47" s="91">
        <f>DSL!Z47</f>
        <v>235.29</v>
      </c>
      <c r="R47" s="92">
        <f>DSL!AA47</f>
        <v>429.04</v>
      </c>
      <c r="S47" s="91">
        <f>DSL!AB47</f>
        <v>0.98</v>
      </c>
      <c r="T47" s="71">
        <f t="shared" si="7"/>
        <v>0.548410404624277</v>
      </c>
      <c r="U47" s="72">
        <f t="shared" si="8"/>
        <v>0.00477303335181811</v>
      </c>
      <c r="V47" s="72">
        <f t="shared" si="9"/>
        <v>0.0871369294605809</v>
      </c>
      <c r="W47" s="73">
        <f t="shared" si="10"/>
        <v>11.2042857142857</v>
      </c>
    </row>
    <row r="48" customHeight="1" spans="1:23">
      <c r="A48" s="61" t="s">
        <v>213</v>
      </c>
      <c r="B48" s="61" t="s">
        <v>214</v>
      </c>
      <c r="C48" s="90">
        <f>DSL!C48</f>
        <v>42</v>
      </c>
      <c r="D48" s="91">
        <f>DSL!D48</f>
        <v>42</v>
      </c>
      <c r="E48" s="64">
        <f>DSL!E48</f>
        <v>830.58</v>
      </c>
      <c r="F48" s="65">
        <v>165</v>
      </c>
      <c r="G48" s="66">
        <v>445</v>
      </c>
      <c r="H48" s="67">
        <v>610</v>
      </c>
      <c r="I48" s="66">
        <v>213</v>
      </c>
      <c r="J48" s="66">
        <v>588</v>
      </c>
      <c r="K48" s="68">
        <v>801</v>
      </c>
      <c r="L48" s="69">
        <f t="shared" si="6"/>
        <v>0.0688524590163934</v>
      </c>
      <c r="M48" s="70">
        <f t="shared" si="1"/>
        <v>0.269173348744251</v>
      </c>
      <c r="N48" s="91">
        <f>DSL!W48</f>
        <v>35167</v>
      </c>
      <c r="O48" s="91">
        <f>DSL!X48</f>
        <v>231</v>
      </c>
      <c r="P48" s="91">
        <f>DSL!Y48</f>
        <v>33</v>
      </c>
      <c r="Q48" s="91">
        <f>DSL!Z48</f>
        <v>223.57</v>
      </c>
      <c r="R48" s="92">
        <f>DSL!AA48</f>
        <v>636.94</v>
      </c>
      <c r="S48" s="91">
        <f>DSL!AB48</f>
        <v>0.97</v>
      </c>
      <c r="T48" s="71">
        <f t="shared" si="7"/>
        <v>0.351006374226772</v>
      </c>
      <c r="U48" s="72">
        <f t="shared" si="8"/>
        <v>0.00656865811698467</v>
      </c>
      <c r="V48" s="72">
        <f t="shared" si="9"/>
        <v>0.142857142857143</v>
      </c>
      <c r="W48" s="73">
        <f t="shared" si="10"/>
        <v>6.77484848484848</v>
      </c>
    </row>
    <row r="49" customHeight="1" spans="1:23">
      <c r="A49" s="61" t="s">
        <v>216</v>
      </c>
      <c r="B49" s="61" t="s">
        <v>217</v>
      </c>
      <c r="C49" s="90">
        <f>DSL!C49</f>
        <v>24</v>
      </c>
      <c r="D49" s="91">
        <f>DSL!D49</f>
        <v>24</v>
      </c>
      <c r="E49" s="64">
        <f>DSL!E49</f>
        <v>631.16</v>
      </c>
      <c r="F49" s="65">
        <v>89</v>
      </c>
      <c r="G49" s="66">
        <v>453</v>
      </c>
      <c r="H49" s="67">
        <v>542</v>
      </c>
      <c r="I49" s="66">
        <v>102</v>
      </c>
      <c r="J49" s="66">
        <v>592</v>
      </c>
      <c r="K49" s="68">
        <v>694</v>
      </c>
      <c r="L49" s="69">
        <f t="shared" si="6"/>
        <v>0.044280442804428</v>
      </c>
      <c r="M49" s="70">
        <f t="shared" si="1"/>
        <v>0.389172317637366</v>
      </c>
      <c r="N49" s="91">
        <f>DSL!W49</f>
        <v>42936</v>
      </c>
      <c r="O49" s="91">
        <f>DSL!X49</f>
        <v>257</v>
      </c>
      <c r="P49" s="91">
        <f>DSL!Y49</f>
        <v>25</v>
      </c>
      <c r="Q49" s="91">
        <f>DSL!Z49</f>
        <v>245.63</v>
      </c>
      <c r="R49" s="92">
        <f>DSL!AA49</f>
        <v>635.57</v>
      </c>
      <c r="S49" s="91">
        <f>DSL!AB49</f>
        <v>0.96</v>
      </c>
      <c r="T49" s="71">
        <f t="shared" si="7"/>
        <v>0.386471985776547</v>
      </c>
      <c r="U49" s="72">
        <f t="shared" si="8"/>
        <v>0.00598565306502702</v>
      </c>
      <c r="V49" s="72">
        <f t="shared" si="9"/>
        <v>0.0972762645914397</v>
      </c>
      <c r="W49" s="73">
        <f t="shared" si="10"/>
        <v>9.8252</v>
      </c>
    </row>
    <row r="50" customHeight="1" spans="1:23">
      <c r="A50" s="61" t="s">
        <v>219</v>
      </c>
      <c r="B50" s="61" t="s">
        <v>220</v>
      </c>
      <c r="C50" s="90">
        <f>DSL!C50</f>
        <v>20</v>
      </c>
      <c r="D50" s="91">
        <f>DSL!D50</f>
        <v>20</v>
      </c>
      <c r="E50" s="64">
        <f>DSL!E50</f>
        <v>555.04</v>
      </c>
      <c r="F50" s="65">
        <v>83</v>
      </c>
      <c r="G50" s="66">
        <v>424</v>
      </c>
      <c r="H50" s="67">
        <v>507</v>
      </c>
      <c r="I50" s="66">
        <v>104</v>
      </c>
      <c r="J50" s="66">
        <v>560</v>
      </c>
      <c r="K50" s="68">
        <v>664</v>
      </c>
      <c r="L50" s="69">
        <f t="shared" si="6"/>
        <v>0.0394477317554241</v>
      </c>
      <c r="M50" s="70">
        <f t="shared" si="1"/>
        <v>0.335993802248487</v>
      </c>
      <c r="N50" s="91">
        <f>DSL!W50</f>
        <v>31813</v>
      </c>
      <c r="O50" s="91">
        <f>DSL!X50</f>
        <v>192</v>
      </c>
      <c r="P50" s="91">
        <f>DSL!Y50</f>
        <v>10</v>
      </c>
      <c r="Q50" s="91">
        <f>DSL!Z50</f>
        <v>186.49</v>
      </c>
      <c r="R50" s="92">
        <f>DSL!AA50</f>
        <v>283.1</v>
      </c>
      <c r="S50" s="91">
        <f>DSL!AB50</f>
        <v>0.97</v>
      </c>
      <c r="T50" s="71">
        <f t="shared" si="7"/>
        <v>0.658742493818439</v>
      </c>
      <c r="U50" s="72">
        <f t="shared" si="8"/>
        <v>0.00603526860088643</v>
      </c>
      <c r="V50" s="72">
        <f t="shared" si="9"/>
        <v>0.0520833333333333</v>
      </c>
      <c r="W50" s="73">
        <f t="shared" si="10"/>
        <v>18.649</v>
      </c>
    </row>
    <row r="51" customHeight="1" spans="1:23">
      <c r="A51" s="61" t="s">
        <v>221</v>
      </c>
      <c r="B51" s="61" t="s">
        <v>222</v>
      </c>
      <c r="C51" s="90">
        <f>DSL!C51</f>
        <v>29</v>
      </c>
      <c r="D51" s="91">
        <f>DSL!D51</f>
        <v>28</v>
      </c>
      <c r="E51" s="64">
        <f>DSL!E51</f>
        <v>762.74</v>
      </c>
      <c r="F51" s="65">
        <v>78</v>
      </c>
      <c r="G51" s="66">
        <v>284</v>
      </c>
      <c r="H51" s="67">
        <v>362</v>
      </c>
      <c r="I51" s="66">
        <v>99</v>
      </c>
      <c r="J51" s="66">
        <v>359</v>
      </c>
      <c r="K51" s="68">
        <v>458</v>
      </c>
      <c r="L51" s="69">
        <f t="shared" si="6"/>
        <v>0.0773480662983425</v>
      </c>
      <c r="M51" s="70">
        <f t="shared" si="1"/>
        <v>0.18062511471799</v>
      </c>
      <c r="N51" s="91">
        <f>DSL!W51</f>
        <v>24990</v>
      </c>
      <c r="O51" s="91">
        <f>DSL!X51</f>
        <v>145</v>
      </c>
      <c r="P51" s="91">
        <f>DSL!Y51</f>
        <v>9</v>
      </c>
      <c r="Q51" s="91">
        <f>DSL!Z51</f>
        <v>137.77</v>
      </c>
      <c r="R51" s="92">
        <f>DSL!AA51</f>
        <v>237.77</v>
      </c>
      <c r="S51" s="91">
        <f>DSL!AB51</f>
        <v>0.95</v>
      </c>
      <c r="T51" s="71">
        <f t="shared" si="7"/>
        <v>0.579425495226479</v>
      </c>
      <c r="U51" s="72">
        <f t="shared" si="8"/>
        <v>0.00580232092837135</v>
      </c>
      <c r="V51" s="72">
        <f t="shared" si="9"/>
        <v>0.0620689655172414</v>
      </c>
      <c r="W51" s="73">
        <f t="shared" si="10"/>
        <v>15.3077777777778</v>
      </c>
    </row>
    <row r="52" customHeight="1" spans="1:23">
      <c r="A52" s="61" t="s">
        <v>223</v>
      </c>
      <c r="B52" s="61" t="s">
        <v>224</v>
      </c>
      <c r="C52" s="90">
        <f>DSL!C52</f>
        <v>10</v>
      </c>
      <c r="D52" s="91">
        <f>DSL!D52</f>
        <v>10</v>
      </c>
      <c r="E52" s="64">
        <f>DSL!E52</f>
        <v>262.04</v>
      </c>
      <c r="F52" s="65">
        <v>74</v>
      </c>
      <c r="G52" s="66">
        <v>251</v>
      </c>
      <c r="H52" s="67">
        <v>325</v>
      </c>
      <c r="I52" s="66">
        <v>91</v>
      </c>
      <c r="J52" s="66">
        <v>334</v>
      </c>
      <c r="K52" s="68">
        <v>425</v>
      </c>
      <c r="L52" s="69">
        <f t="shared" si="6"/>
        <v>0.0307692307692308</v>
      </c>
      <c r="M52" s="70">
        <f t="shared" si="1"/>
        <v>0.610899099374141</v>
      </c>
      <c r="N52" s="91">
        <f>DSL!W52</f>
        <v>20267</v>
      </c>
      <c r="O52" s="91">
        <f>DSL!X52</f>
        <v>164</v>
      </c>
      <c r="P52" s="91">
        <f>DSL!Y52</f>
        <v>5</v>
      </c>
      <c r="Q52" s="91">
        <f>DSL!Z52</f>
        <v>160.08</v>
      </c>
      <c r="R52" s="92">
        <f>DSL!AA52</f>
        <v>122.79</v>
      </c>
      <c r="S52" s="91">
        <f>DSL!AB52</f>
        <v>0.98</v>
      </c>
      <c r="T52" s="71">
        <f t="shared" si="7"/>
        <v>1.30368922550696</v>
      </c>
      <c r="U52" s="72">
        <f t="shared" si="8"/>
        <v>0.00809197217151034</v>
      </c>
      <c r="V52" s="72">
        <f t="shared" si="9"/>
        <v>0.0304878048780488</v>
      </c>
      <c r="W52" s="73">
        <f t="shared" si="10"/>
        <v>32.016</v>
      </c>
    </row>
    <row r="53" customHeight="1" spans="1:23">
      <c r="A53" s="79" t="s">
        <v>226</v>
      </c>
      <c r="B53" s="80" t="s">
        <v>227</v>
      </c>
      <c r="C53" s="90">
        <f>DSL!C53</f>
        <v>26</v>
      </c>
      <c r="D53" s="91">
        <f>DSL!D53</f>
        <v>26</v>
      </c>
      <c r="E53" s="64">
        <f>DSL!E53</f>
        <v>724.96</v>
      </c>
      <c r="F53" s="65">
        <v>125</v>
      </c>
      <c r="G53" s="66">
        <v>360</v>
      </c>
      <c r="H53" s="67">
        <v>485</v>
      </c>
      <c r="I53" s="66">
        <v>160</v>
      </c>
      <c r="J53" s="66">
        <v>453</v>
      </c>
      <c r="K53" s="68">
        <v>613</v>
      </c>
      <c r="L53" s="69">
        <f t="shared" si="6"/>
        <v>0.0536082474226804</v>
      </c>
      <c r="M53" s="70">
        <f t="shared" si="1"/>
        <v>0.271214963584198</v>
      </c>
      <c r="N53" s="91">
        <f>DSL!W53</f>
        <v>36030</v>
      </c>
      <c r="O53" s="91">
        <f>DSL!X53</f>
        <v>201</v>
      </c>
      <c r="P53" s="91">
        <f>DSL!Y53</f>
        <v>17</v>
      </c>
      <c r="Q53" s="91">
        <f>DSL!Z53</f>
        <v>196.62</v>
      </c>
      <c r="R53" s="92">
        <f>DSL!AA53</f>
        <v>410.69</v>
      </c>
      <c r="S53" s="91">
        <f>DSL!AB53</f>
        <v>0.98</v>
      </c>
      <c r="T53" s="71">
        <f t="shared" si="7"/>
        <v>0.478755265528744</v>
      </c>
      <c r="U53" s="72">
        <f t="shared" si="8"/>
        <v>0.00557868442964196</v>
      </c>
      <c r="V53" s="72">
        <f t="shared" si="9"/>
        <v>0.0845771144278607</v>
      </c>
      <c r="W53" s="73">
        <f t="shared" si="10"/>
        <v>11.5658823529412</v>
      </c>
    </row>
    <row r="54" customHeight="1" spans="1:23">
      <c r="A54" s="61" t="s">
        <v>228</v>
      </c>
      <c r="B54" s="81" t="s">
        <v>229</v>
      </c>
      <c r="C54" s="90">
        <f>DSL!C54</f>
        <v>29</v>
      </c>
      <c r="D54" s="91">
        <f>DSL!D54</f>
        <v>29</v>
      </c>
      <c r="E54" s="64">
        <f>DSL!E54</f>
        <v>755.59</v>
      </c>
      <c r="F54" s="65">
        <v>133</v>
      </c>
      <c r="G54" s="66">
        <v>425</v>
      </c>
      <c r="H54" s="67">
        <v>558</v>
      </c>
      <c r="I54" s="66">
        <v>192</v>
      </c>
      <c r="J54" s="66">
        <v>550</v>
      </c>
      <c r="K54" s="68">
        <v>742</v>
      </c>
      <c r="L54" s="69">
        <f t="shared" si="6"/>
        <v>0.0519713261648745</v>
      </c>
      <c r="M54" s="70">
        <f t="shared" si="1"/>
        <v>0.271840548445586</v>
      </c>
      <c r="N54" s="91">
        <f>DSL!W54</f>
        <v>36589</v>
      </c>
      <c r="O54" s="91">
        <f>DSL!X54</f>
        <v>211</v>
      </c>
      <c r="P54" s="91">
        <f>DSL!Y54</f>
        <v>14</v>
      </c>
      <c r="Q54" s="91">
        <f>DSL!Z54</f>
        <v>205.4</v>
      </c>
      <c r="R54" s="92">
        <f>DSL!AA54</f>
        <v>353.58</v>
      </c>
      <c r="S54" s="91">
        <f>DSL!AB54</f>
        <v>0.97</v>
      </c>
      <c r="T54" s="71">
        <f t="shared" si="7"/>
        <v>0.58091521013632</v>
      </c>
      <c r="U54" s="72">
        <f t="shared" si="8"/>
        <v>0.00576676050179016</v>
      </c>
      <c r="V54" s="72">
        <f t="shared" si="9"/>
        <v>0.0663507109004739</v>
      </c>
      <c r="W54" s="73">
        <f t="shared" si="10"/>
        <v>14.6714285714286</v>
      </c>
    </row>
    <row r="55" customHeight="1" spans="1:23">
      <c r="A55" s="61" t="s">
        <v>230</v>
      </c>
      <c r="B55" s="81" t="s">
        <v>231</v>
      </c>
      <c r="C55" s="90">
        <f>DSL!C55</f>
        <v>25</v>
      </c>
      <c r="D55" s="91">
        <f>DSL!D55</f>
        <v>24</v>
      </c>
      <c r="E55" s="64">
        <f>DSL!E55</f>
        <v>644.85</v>
      </c>
      <c r="F55" s="65">
        <v>149</v>
      </c>
      <c r="G55" s="66">
        <v>436</v>
      </c>
      <c r="H55" s="67">
        <v>585</v>
      </c>
      <c r="I55" s="66">
        <v>193</v>
      </c>
      <c r="J55" s="66">
        <v>554</v>
      </c>
      <c r="K55" s="68">
        <v>747</v>
      </c>
      <c r="L55" s="69">
        <f t="shared" si="6"/>
        <v>0.041025641025641</v>
      </c>
      <c r="M55" s="70">
        <f t="shared" si="1"/>
        <v>0.338435295029852</v>
      </c>
      <c r="N55" s="91">
        <f>DSL!W55</f>
        <v>37422</v>
      </c>
      <c r="O55" s="91">
        <f>DSL!X55</f>
        <v>237</v>
      </c>
      <c r="P55" s="91">
        <f>DSL!Y55</f>
        <v>23</v>
      </c>
      <c r="Q55" s="91">
        <f>DSL!Z55</f>
        <v>218.24</v>
      </c>
      <c r="R55" s="92">
        <f>DSL!AA55</f>
        <v>564.26</v>
      </c>
      <c r="S55" s="91">
        <f>DSL!AB55</f>
        <v>0.92</v>
      </c>
      <c r="T55" s="71">
        <f t="shared" si="7"/>
        <v>0.386772055435438</v>
      </c>
      <c r="U55" s="72">
        <f t="shared" si="8"/>
        <v>0.00633317299983967</v>
      </c>
      <c r="V55" s="72">
        <f t="shared" si="9"/>
        <v>0.0970464135021097</v>
      </c>
      <c r="W55" s="73">
        <f t="shared" si="10"/>
        <v>9.48869565217391</v>
      </c>
    </row>
    <row r="56" customHeight="1" spans="1:23">
      <c r="A56" s="61" t="s">
        <v>232</v>
      </c>
      <c r="B56" s="81" t="s">
        <v>233</v>
      </c>
      <c r="C56" s="90">
        <f>DSL!C56</f>
        <v>15</v>
      </c>
      <c r="D56" s="91">
        <f>DSL!D56</f>
        <v>14</v>
      </c>
      <c r="E56" s="64">
        <f>DSL!E56</f>
        <v>397.45</v>
      </c>
      <c r="F56" s="65">
        <v>80</v>
      </c>
      <c r="G56" s="66">
        <v>312</v>
      </c>
      <c r="H56" s="67">
        <v>392</v>
      </c>
      <c r="I56" s="66">
        <v>98</v>
      </c>
      <c r="J56" s="66">
        <v>388</v>
      </c>
      <c r="K56" s="68">
        <v>486</v>
      </c>
      <c r="L56" s="69">
        <f t="shared" si="6"/>
        <v>0.0357142857142857</v>
      </c>
      <c r="M56" s="70">
        <f t="shared" si="1"/>
        <v>0.471933576550509</v>
      </c>
      <c r="N56" s="91">
        <f>DSL!W56</f>
        <v>34385</v>
      </c>
      <c r="O56" s="91">
        <f>DSL!X56</f>
        <v>200</v>
      </c>
      <c r="P56" s="91">
        <f>DSL!Y56</f>
        <v>9</v>
      </c>
      <c r="Q56" s="91">
        <f>DSL!Z56</f>
        <v>187.57</v>
      </c>
      <c r="R56" s="92">
        <f>DSL!AA56</f>
        <v>232.57</v>
      </c>
      <c r="S56" s="91">
        <f>DSL!AB56</f>
        <v>0.94</v>
      </c>
      <c r="T56" s="71">
        <f t="shared" si="7"/>
        <v>0.806509867996732</v>
      </c>
      <c r="U56" s="72">
        <f t="shared" si="8"/>
        <v>0.00581648974843682</v>
      </c>
      <c r="V56" s="72">
        <f t="shared" si="9"/>
        <v>0.045</v>
      </c>
      <c r="W56" s="73">
        <f t="shared" si="10"/>
        <v>20.8411111111111</v>
      </c>
    </row>
    <row r="57" customHeight="1" spans="1:23">
      <c r="A57" s="61" t="s">
        <v>236</v>
      </c>
      <c r="B57" s="81" t="s">
        <v>237</v>
      </c>
      <c r="C57" s="90">
        <f>DSL!C57</f>
        <v>23</v>
      </c>
      <c r="D57" s="91">
        <f>DSL!D57</f>
        <v>23</v>
      </c>
      <c r="E57" s="64">
        <f>DSL!E57</f>
        <v>618.93</v>
      </c>
      <c r="F57" s="65">
        <v>84</v>
      </c>
      <c r="G57" s="66">
        <v>336</v>
      </c>
      <c r="H57" s="67">
        <v>420</v>
      </c>
      <c r="I57" s="66">
        <v>108</v>
      </c>
      <c r="J57" s="66">
        <v>426</v>
      </c>
      <c r="K57" s="68">
        <v>534</v>
      </c>
      <c r="L57" s="69">
        <f t="shared" si="6"/>
        <v>0.0547619047619048</v>
      </c>
      <c r="M57" s="70">
        <f t="shared" si="1"/>
        <v>0.256248687250578</v>
      </c>
      <c r="N57" s="91">
        <f>DSL!W57</f>
        <v>36379</v>
      </c>
      <c r="O57" s="91">
        <f>DSL!X57</f>
        <v>158</v>
      </c>
      <c r="P57" s="91">
        <f>DSL!Y57</f>
        <v>18</v>
      </c>
      <c r="Q57" s="91">
        <f>DSL!Z57</f>
        <v>158.6</v>
      </c>
      <c r="R57" s="92">
        <f>DSL!AA57</f>
        <v>440.06</v>
      </c>
      <c r="S57" s="91">
        <f>DSL!AB57</f>
        <v>1</v>
      </c>
      <c r="T57" s="71">
        <f t="shared" si="7"/>
        <v>0.360405399263737</v>
      </c>
      <c r="U57" s="72">
        <f t="shared" si="8"/>
        <v>0.0043431650127821</v>
      </c>
      <c r="V57" s="72">
        <f t="shared" si="9"/>
        <v>0.113924050632911</v>
      </c>
      <c r="W57" s="73">
        <f t="shared" si="10"/>
        <v>8.81111111111111</v>
      </c>
    </row>
    <row r="58" customHeight="1" spans="1:23">
      <c r="A58" s="61" t="s">
        <v>240</v>
      </c>
      <c r="B58" s="81" t="s">
        <v>241</v>
      </c>
      <c r="C58" s="90">
        <f>DSL!C58</f>
        <v>17</v>
      </c>
      <c r="D58" s="91">
        <f>DSL!D58</f>
        <v>17</v>
      </c>
      <c r="E58" s="64">
        <f>DSL!E58</f>
        <v>448.17</v>
      </c>
      <c r="F58" s="65">
        <v>117</v>
      </c>
      <c r="G58" s="66">
        <v>459</v>
      </c>
      <c r="H58" s="67">
        <v>576</v>
      </c>
      <c r="I58" s="66">
        <v>179</v>
      </c>
      <c r="J58" s="66">
        <v>554</v>
      </c>
      <c r="K58" s="68">
        <v>733</v>
      </c>
      <c r="L58" s="69">
        <f t="shared" si="6"/>
        <v>0.0295138888888889</v>
      </c>
      <c r="M58" s="70">
        <f t="shared" si="1"/>
        <v>0.497266662204074</v>
      </c>
      <c r="N58" s="91">
        <f>DSL!W58</f>
        <v>43353</v>
      </c>
      <c r="O58" s="91">
        <f>DSL!X58</f>
        <v>215</v>
      </c>
      <c r="P58" s="91">
        <f>DSL!Y58</f>
        <v>13</v>
      </c>
      <c r="Q58" s="91">
        <f>DSL!Z58</f>
        <v>222.86</v>
      </c>
      <c r="R58" s="92">
        <f>DSL!AA58</f>
        <v>312.87</v>
      </c>
      <c r="S58" s="91">
        <f>DSL!AB58</f>
        <v>1.04</v>
      </c>
      <c r="T58" s="71">
        <f t="shared" si="7"/>
        <v>0.712308626586122</v>
      </c>
      <c r="U58" s="72">
        <f t="shared" si="8"/>
        <v>0.00495928770788642</v>
      </c>
      <c r="V58" s="72">
        <f t="shared" si="9"/>
        <v>0.0604651162790698</v>
      </c>
      <c r="W58" s="73">
        <f t="shared" si="10"/>
        <v>17.1430769230769</v>
      </c>
    </row>
    <row r="59" customHeight="1" spans="1:23">
      <c r="A59" s="61" t="s">
        <v>244</v>
      </c>
      <c r="B59" s="81" t="s">
        <v>245</v>
      </c>
      <c r="C59" s="90">
        <f>DSL!C59</f>
        <v>27</v>
      </c>
      <c r="D59" s="91">
        <f>DSL!D59</f>
        <v>27</v>
      </c>
      <c r="E59" s="64">
        <f>DSL!E59</f>
        <v>717.26</v>
      </c>
      <c r="F59" s="65">
        <v>120</v>
      </c>
      <c r="G59" s="66">
        <v>381</v>
      </c>
      <c r="H59" s="67">
        <v>501</v>
      </c>
      <c r="I59" s="66">
        <v>170</v>
      </c>
      <c r="J59" s="66">
        <v>472</v>
      </c>
      <c r="K59" s="68">
        <v>642</v>
      </c>
      <c r="L59" s="69">
        <f t="shared" si="6"/>
        <v>0.0538922155688623</v>
      </c>
      <c r="M59" s="70">
        <f t="shared" si="1"/>
        <v>0.331246688787887</v>
      </c>
      <c r="N59" s="91">
        <f>DSL!W59</f>
        <v>46892</v>
      </c>
      <c r="O59" s="91">
        <f>DSL!X59</f>
        <v>237</v>
      </c>
      <c r="P59" s="91">
        <f>DSL!Y59</f>
        <v>23</v>
      </c>
      <c r="Q59" s="91">
        <f>DSL!Z59</f>
        <v>237.59</v>
      </c>
      <c r="R59" s="92">
        <f>DSL!AA59</f>
        <v>580.32</v>
      </c>
      <c r="S59" s="91">
        <f>DSL!AB59</f>
        <v>1</v>
      </c>
      <c r="T59" s="71">
        <f t="shared" si="7"/>
        <v>0.409412048524952</v>
      </c>
      <c r="U59" s="72">
        <f t="shared" si="8"/>
        <v>0.00505416702209332</v>
      </c>
      <c r="V59" s="72">
        <f t="shared" si="9"/>
        <v>0.0970464135021097</v>
      </c>
      <c r="W59" s="73">
        <f t="shared" si="10"/>
        <v>10.33</v>
      </c>
    </row>
    <row r="60" customHeight="1" spans="1:23">
      <c r="A60" s="61" t="s">
        <v>247</v>
      </c>
      <c r="B60" s="81" t="s">
        <v>248</v>
      </c>
      <c r="C60" s="90">
        <f>DSL!C60</f>
        <v>35</v>
      </c>
      <c r="D60" s="91">
        <f>DSL!D60</f>
        <v>33</v>
      </c>
      <c r="E60" s="64">
        <f>DSL!E60</f>
        <v>926.35</v>
      </c>
      <c r="F60" s="65">
        <v>85</v>
      </c>
      <c r="G60" s="66">
        <v>447</v>
      </c>
      <c r="H60" s="67">
        <v>532</v>
      </c>
      <c r="I60" s="66">
        <v>110</v>
      </c>
      <c r="J60" s="66">
        <v>590</v>
      </c>
      <c r="K60" s="68">
        <v>700</v>
      </c>
      <c r="L60" s="69">
        <f t="shared" si="6"/>
        <v>0.0620300751879699</v>
      </c>
      <c r="M60" s="70">
        <f t="shared" si="1"/>
        <v>0.289199546607654</v>
      </c>
      <c r="N60" s="91">
        <f>DSL!W60</f>
        <v>45785</v>
      </c>
      <c r="O60" s="91">
        <f>DSL!X60</f>
        <v>273</v>
      </c>
      <c r="P60" s="91">
        <f>DSL!Y60</f>
        <v>33</v>
      </c>
      <c r="Q60" s="91">
        <f>DSL!Z60</f>
        <v>267.9</v>
      </c>
      <c r="R60" s="92">
        <f>DSL!AA60</f>
        <v>882.72</v>
      </c>
      <c r="S60" s="91">
        <f>DSL!AB60</f>
        <v>0.98</v>
      </c>
      <c r="T60" s="71">
        <f t="shared" si="7"/>
        <v>0.303493746601414</v>
      </c>
      <c r="U60" s="72">
        <f t="shared" si="8"/>
        <v>0.0059626515234247</v>
      </c>
      <c r="V60" s="72">
        <f t="shared" si="9"/>
        <v>0.120879120879121</v>
      </c>
      <c r="W60" s="73">
        <f t="shared" si="10"/>
        <v>8.11818181818182</v>
      </c>
    </row>
    <row r="61" customHeight="1" spans="1:23">
      <c r="A61" s="61" t="s">
        <v>250</v>
      </c>
      <c r="B61" s="81" t="s">
        <v>251</v>
      </c>
      <c r="C61" s="90">
        <f>DSL!C61</f>
        <v>27</v>
      </c>
      <c r="D61" s="91">
        <f>DSL!D61</f>
        <v>27</v>
      </c>
      <c r="E61" s="64">
        <f>DSL!E61</f>
        <v>741.97</v>
      </c>
      <c r="F61" s="65">
        <v>85</v>
      </c>
      <c r="G61" s="66">
        <v>447</v>
      </c>
      <c r="H61" s="67">
        <v>532</v>
      </c>
      <c r="I61" s="66">
        <v>110</v>
      </c>
      <c r="J61" s="66">
        <v>590</v>
      </c>
      <c r="K61" s="68">
        <v>700</v>
      </c>
      <c r="L61" s="69">
        <f t="shared" si="6"/>
        <v>0.0507518796992481</v>
      </c>
      <c r="M61" s="70">
        <f t="shared" si="1"/>
        <v>0.353558769222475</v>
      </c>
      <c r="N61" s="91">
        <f>DSL!W61</f>
        <v>45223</v>
      </c>
      <c r="O61" s="91">
        <f>DSL!X61</f>
        <v>258</v>
      </c>
      <c r="P61" s="91">
        <f>DSL!Y61</f>
        <v>23</v>
      </c>
      <c r="Q61" s="91">
        <f>DSL!Z61</f>
        <v>262.33</v>
      </c>
      <c r="R61" s="92">
        <f>DSL!AA61</f>
        <v>607.28</v>
      </c>
      <c r="S61" s="91">
        <f>DSL!AB61</f>
        <v>1.02</v>
      </c>
      <c r="T61" s="71">
        <f t="shared" si="7"/>
        <v>0.431975365564484</v>
      </c>
      <c r="U61" s="72">
        <f t="shared" si="8"/>
        <v>0.00570506158370741</v>
      </c>
      <c r="V61" s="72">
        <f t="shared" si="9"/>
        <v>0.0891472868217054</v>
      </c>
      <c r="W61" s="73">
        <f t="shared" si="10"/>
        <v>11.405652173913</v>
      </c>
    </row>
    <row r="62" customHeight="1" spans="1:23">
      <c r="A62" s="61" t="s">
        <v>254</v>
      </c>
      <c r="B62" s="81" t="s">
        <v>255</v>
      </c>
      <c r="C62" s="90">
        <f>DSL!C62</f>
        <v>31</v>
      </c>
      <c r="D62" s="91">
        <f>DSL!D62</f>
        <v>31</v>
      </c>
      <c r="E62" s="64">
        <f>DSL!E62</f>
        <v>870.37</v>
      </c>
      <c r="F62" s="65">
        <v>85</v>
      </c>
      <c r="G62" s="66">
        <v>447</v>
      </c>
      <c r="H62" s="67">
        <v>532</v>
      </c>
      <c r="I62" s="66">
        <v>110</v>
      </c>
      <c r="J62" s="66">
        <v>590</v>
      </c>
      <c r="K62" s="68">
        <v>700</v>
      </c>
      <c r="L62" s="69">
        <f t="shared" si="6"/>
        <v>0.0582706766917293</v>
      </c>
      <c r="M62" s="70">
        <f t="shared" si="1"/>
        <v>0.351861851856107</v>
      </c>
      <c r="N62" s="91">
        <f>DSL!W62</f>
        <v>58473</v>
      </c>
      <c r="O62" s="91">
        <f>DSL!X62</f>
        <v>304</v>
      </c>
      <c r="P62" s="91">
        <f>DSL!Y62</f>
        <v>24</v>
      </c>
      <c r="Q62" s="91">
        <f>DSL!Z62</f>
        <v>306.25</v>
      </c>
      <c r="R62" s="92">
        <f>DSL!AA62</f>
        <v>690.14</v>
      </c>
      <c r="S62" s="91">
        <f>DSL!AB62</f>
        <v>1.01</v>
      </c>
      <c r="T62" s="71">
        <f t="shared" si="7"/>
        <v>0.443750543368012</v>
      </c>
      <c r="U62" s="72">
        <f t="shared" si="8"/>
        <v>0.00519898072614711</v>
      </c>
      <c r="V62" s="72">
        <f t="shared" si="9"/>
        <v>0.0789473684210526</v>
      </c>
      <c r="W62" s="73">
        <f t="shared" si="10"/>
        <v>12.7604166666667</v>
      </c>
    </row>
    <row r="63" customHeight="1" spans="1:23">
      <c r="A63" t="s">
        <v>270</v>
      </c>
      <c r="B63" s="1"/>
      <c r="C63" s="1">
        <f>SUBTOTAL(109,表3_3254615[销量])</f>
        <v>1471</v>
      </c>
      <c r="D63" s="1">
        <f>SUBTOTAL(109,表3_3254615[订单量])</f>
        <v>1452</v>
      </c>
      <c r="E63" s="82">
        <f>SUBTOTAL(109,表3_3254615[销售额])</f>
        <v>37606.1</v>
      </c>
      <c r="F63" s="1">
        <f>SUBTOTAL(101,表3_3254615[Sessions-Browser])</f>
        <v>107.745762711864</v>
      </c>
      <c r="G63" s="83">
        <f>SUBTOTAL(101,表3_3254615[Sessions-Mobile])</f>
        <v>370.593220338983</v>
      </c>
      <c r="H63" s="83">
        <f>SUBTOTAL(101,表3_3254615[Sessions-Total])</f>
        <v>478.338983050847</v>
      </c>
      <c r="I63" s="83">
        <f>SUBTOTAL(101,表3_3254615[PV-Browser])</f>
        <v>141.661016949153</v>
      </c>
      <c r="J63" s="84">
        <f>SUBTOTAL(101,表3_3254615[PV-Mobile])</f>
        <v>486.847457627119</v>
      </c>
      <c r="K63" s="84">
        <f>SUBTOTAL(101,表3_3254615[PV-Total])</f>
        <v>628.508474576271</v>
      </c>
      <c r="L63" s="85">
        <f>SUBTOTAL(101,表3_3254615[CVR])</f>
        <v>0.0539430652441019</v>
      </c>
      <c r="M63" s="85">
        <f t="shared" si="1"/>
        <v>0.322000420144604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26777.88</v>
      </c>
      <c r="S63" s="16">
        <f>SUBTOTAL(101,表3_3254615[CPC])</f>
        <v>0.926440677966102</v>
      </c>
      <c r="T63" s="86">
        <f t="shared" si="7"/>
        <v>0.452208315221369</v>
      </c>
      <c r="U63" s="87">
        <f t="shared" ref="U63:W63" si="11">O63/N63</f>
        <v>0.00627351950881363</v>
      </c>
      <c r="V63" s="87">
        <f t="shared" si="11"/>
        <v>0.08318863456985</v>
      </c>
      <c r="W63" s="88">
        <f t="shared" si="11"/>
        <v>11.4887855787476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"/>
  <sheetViews>
    <sheetView workbookViewId="0">
      <pane xSplit="2" ySplit="3" topLeftCell="C41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423</v>
      </c>
      <c r="D1" s="26"/>
      <c r="E1" s="27"/>
      <c r="F1" s="28" t="s">
        <v>434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128</v>
      </c>
      <c r="B4" s="89" t="s">
        <v>129</v>
      </c>
      <c r="C4" s="62">
        <f>MFL!C4</f>
        <v>1</v>
      </c>
      <c r="D4" s="63">
        <f>MFL!D4</f>
        <v>1</v>
      </c>
      <c r="E4" s="64">
        <f>MFL!E4</f>
        <v>25.89</v>
      </c>
      <c r="F4" s="65">
        <v>20</v>
      </c>
      <c r="G4" s="66">
        <v>28</v>
      </c>
      <c r="H4" s="67">
        <v>48</v>
      </c>
      <c r="I4" s="66">
        <v>26</v>
      </c>
      <c r="J4" s="66">
        <v>34</v>
      </c>
      <c r="K4" s="68">
        <v>60</v>
      </c>
      <c r="L4" s="69">
        <f t="shared" ref="L4:L12" si="0">D4/H4</f>
        <v>0.0208333333333333</v>
      </c>
      <c r="M4" s="70">
        <f t="shared" ref="M4:M54" si="1">Q4/E4</f>
        <v>0.886442641946698</v>
      </c>
      <c r="N4" s="63">
        <f>MFL!W4</f>
        <v>3623</v>
      </c>
      <c r="O4" s="63">
        <f>MFL!X4</f>
        <v>23</v>
      </c>
      <c r="P4" s="63">
        <f>MFL!Y4</f>
        <v>3</v>
      </c>
      <c r="Q4" s="63">
        <f>MFL!Z4</f>
        <v>22.95</v>
      </c>
      <c r="R4" s="63">
        <f>MFL!AA4</f>
        <v>67.47</v>
      </c>
      <c r="S4" s="63">
        <f>MFL!AB4</f>
        <v>1</v>
      </c>
      <c r="T4" s="71">
        <f t="shared" ref="T4:T35" si="2">Q4/R4</f>
        <v>0.340151178301467</v>
      </c>
      <c r="U4" s="72">
        <f t="shared" ref="U4:U35" si="3">O4/N4</f>
        <v>0.00634833011316588</v>
      </c>
      <c r="V4" s="72">
        <f t="shared" ref="V4:V35" si="4">P4/O4</f>
        <v>0.130434782608696</v>
      </c>
      <c r="W4" s="73">
        <f t="shared" ref="W4:W35" si="5">Q4/P4</f>
        <v>7.65</v>
      </c>
    </row>
    <row r="5" customHeight="1" spans="1:23">
      <c r="A5" s="61" t="s">
        <v>130</v>
      </c>
      <c r="B5" s="89" t="s">
        <v>131</v>
      </c>
      <c r="C5" s="62">
        <f>MFL!C5</f>
        <v>9</v>
      </c>
      <c r="D5" s="63">
        <f>MFL!D5</f>
        <v>9</v>
      </c>
      <c r="E5" s="64">
        <f>MFL!E5</f>
        <v>233.01</v>
      </c>
      <c r="F5" s="65">
        <v>51</v>
      </c>
      <c r="G5" s="66">
        <v>204</v>
      </c>
      <c r="H5" s="67">
        <v>255</v>
      </c>
      <c r="I5" s="66">
        <v>73</v>
      </c>
      <c r="J5" s="66">
        <v>286</v>
      </c>
      <c r="K5" s="68">
        <v>359</v>
      </c>
      <c r="L5" s="69">
        <f t="shared" si="0"/>
        <v>0.0352941176470588</v>
      </c>
      <c r="M5" s="70">
        <f t="shared" si="1"/>
        <v>0.903652203768079</v>
      </c>
      <c r="N5" s="63">
        <f>MFL!W5</f>
        <v>23992</v>
      </c>
      <c r="O5" s="63">
        <f>MFL!X5</f>
        <v>187</v>
      </c>
      <c r="P5" s="63">
        <f>MFL!Y5</f>
        <v>8</v>
      </c>
      <c r="Q5" s="63">
        <f>MFL!Z5</f>
        <v>210.56</v>
      </c>
      <c r="R5" s="63">
        <f>MFL!AA5</f>
        <v>207.12</v>
      </c>
      <c r="S5" s="63">
        <f>MFL!AB5</f>
        <v>1.13</v>
      </c>
      <c r="T5" s="71">
        <f t="shared" si="2"/>
        <v>1.01660872923909</v>
      </c>
      <c r="U5" s="72">
        <f t="shared" si="3"/>
        <v>0.00779426475491831</v>
      </c>
      <c r="V5" s="72">
        <f t="shared" si="4"/>
        <v>0.0427807486631016</v>
      </c>
      <c r="W5" s="73">
        <f t="shared" si="5"/>
        <v>26.32</v>
      </c>
    </row>
    <row r="6" customHeight="1" spans="1:23">
      <c r="A6" s="61" t="s">
        <v>133</v>
      </c>
      <c r="B6" s="89" t="s">
        <v>134</v>
      </c>
      <c r="C6" s="62">
        <f>MFL!C6</f>
        <v>13</v>
      </c>
      <c r="D6" s="63">
        <f>MFL!D6</f>
        <v>13</v>
      </c>
      <c r="E6" s="64">
        <f>MFL!E6</f>
        <v>336.57</v>
      </c>
      <c r="F6" s="65">
        <v>91</v>
      </c>
      <c r="G6" s="66">
        <v>117</v>
      </c>
      <c r="H6" s="67">
        <v>208</v>
      </c>
      <c r="I6" s="66">
        <v>109</v>
      </c>
      <c r="J6" s="66">
        <v>160</v>
      </c>
      <c r="K6" s="68">
        <v>269</v>
      </c>
      <c r="L6" s="69">
        <f t="shared" si="0"/>
        <v>0.0625</v>
      </c>
      <c r="M6" s="70">
        <f t="shared" si="1"/>
        <v>0.24093056422141</v>
      </c>
      <c r="N6" s="63">
        <f>MFL!W6</f>
        <v>5571</v>
      </c>
      <c r="O6" s="63">
        <f>MFL!X6</f>
        <v>94</v>
      </c>
      <c r="P6" s="63">
        <f>MFL!Y6</f>
        <v>4</v>
      </c>
      <c r="Q6" s="63">
        <f>MFL!Z6</f>
        <v>81.09</v>
      </c>
      <c r="R6" s="63" t="str">
        <f>MFL!AA6</f>
        <v>‎103.56</v>
      </c>
      <c r="S6" s="63">
        <f>MFL!AB6</f>
        <v>0.86</v>
      </c>
      <c r="T6" s="71" t="e">
        <f t="shared" si="2"/>
        <v>#VALUE!</v>
      </c>
      <c r="U6" s="72">
        <f t="shared" si="3"/>
        <v>0.0168730928020104</v>
      </c>
      <c r="V6" s="72">
        <f t="shared" si="4"/>
        <v>0.0425531914893617</v>
      </c>
      <c r="W6" s="73">
        <f t="shared" si="5"/>
        <v>20.2725</v>
      </c>
    </row>
    <row r="7" customHeight="1" spans="1:23">
      <c r="A7" s="61" t="s">
        <v>136</v>
      </c>
      <c r="B7" s="89" t="s">
        <v>137</v>
      </c>
      <c r="C7" s="62">
        <f>MFL!C7</f>
        <v>25</v>
      </c>
      <c r="D7" s="63">
        <f>MFL!D7</f>
        <v>23</v>
      </c>
      <c r="E7" s="64">
        <f>MFL!E7</f>
        <v>587.68</v>
      </c>
      <c r="F7" s="65">
        <v>134</v>
      </c>
      <c r="G7" s="66">
        <v>354</v>
      </c>
      <c r="H7" s="67">
        <v>488</v>
      </c>
      <c r="I7" s="66">
        <v>176</v>
      </c>
      <c r="J7" s="66">
        <v>462</v>
      </c>
      <c r="K7" s="68">
        <v>638</v>
      </c>
      <c r="L7" s="69">
        <f t="shared" si="0"/>
        <v>0.0471311475409836</v>
      </c>
      <c r="M7" s="70">
        <f t="shared" si="1"/>
        <v>0.421930302205282</v>
      </c>
      <c r="N7" s="63">
        <f>MFL!W7</f>
        <v>13993</v>
      </c>
      <c r="O7" s="63">
        <f>MFL!X7</f>
        <v>268</v>
      </c>
      <c r="P7" s="63">
        <f>MFL!Y7</f>
        <v>19</v>
      </c>
      <c r="Q7" s="63">
        <f>MFL!Z7</f>
        <v>247.96</v>
      </c>
      <c r="R7" s="63">
        <f>MFL!AA7</f>
        <v>494.48</v>
      </c>
      <c r="S7" s="63">
        <f>MFL!AB7</f>
        <v>0.93</v>
      </c>
      <c r="T7" s="71">
        <f t="shared" si="2"/>
        <v>0.501456075068759</v>
      </c>
      <c r="U7" s="72">
        <f t="shared" si="3"/>
        <v>0.0191524333595369</v>
      </c>
      <c r="V7" s="72">
        <f t="shared" si="4"/>
        <v>0.0708955223880597</v>
      </c>
      <c r="W7" s="73">
        <f t="shared" si="5"/>
        <v>13.0505263157895</v>
      </c>
    </row>
    <row r="8" customHeight="1" spans="1:23">
      <c r="A8" s="61" t="s">
        <v>139</v>
      </c>
      <c r="B8" s="89" t="s">
        <v>140</v>
      </c>
      <c r="C8" s="62">
        <f>MFL!C8</f>
        <v>17</v>
      </c>
      <c r="D8" s="63">
        <f>MFL!D8</f>
        <v>17</v>
      </c>
      <c r="E8" s="64">
        <f>MFL!E8</f>
        <v>446.36</v>
      </c>
      <c r="F8" s="65">
        <v>114</v>
      </c>
      <c r="G8" s="66">
        <v>465</v>
      </c>
      <c r="H8" s="67">
        <v>579</v>
      </c>
      <c r="I8" s="66">
        <v>145</v>
      </c>
      <c r="J8" s="66">
        <v>641</v>
      </c>
      <c r="K8" s="68">
        <v>786</v>
      </c>
      <c r="L8" s="69">
        <f t="shared" si="0"/>
        <v>0.0293609671848014</v>
      </c>
      <c r="M8" s="70">
        <f t="shared" si="1"/>
        <v>0.814499507124294</v>
      </c>
      <c r="N8" s="63">
        <f>MFL!W8</f>
        <v>14788</v>
      </c>
      <c r="O8" s="63">
        <f>MFL!X8</f>
        <v>386</v>
      </c>
      <c r="P8" s="63">
        <f>MFL!Y8</f>
        <v>20</v>
      </c>
      <c r="Q8" s="63">
        <f>MFL!Z8</f>
        <v>363.56</v>
      </c>
      <c r="R8" s="63">
        <f>MFL!AA8</f>
        <v>535.22</v>
      </c>
      <c r="S8" s="63">
        <f>MFL!AB8</f>
        <v>0.94</v>
      </c>
      <c r="T8" s="71">
        <f t="shared" si="2"/>
        <v>0.679272075034565</v>
      </c>
      <c r="U8" s="72">
        <f t="shared" si="3"/>
        <v>0.0261022450635651</v>
      </c>
      <c r="V8" s="72">
        <f t="shared" si="4"/>
        <v>0.0518134715025907</v>
      </c>
      <c r="W8" s="73">
        <f t="shared" si="5"/>
        <v>18.178</v>
      </c>
    </row>
    <row r="9" customHeight="1" spans="1:23">
      <c r="A9" s="61" t="s">
        <v>142</v>
      </c>
      <c r="B9" s="89" t="s">
        <v>143</v>
      </c>
      <c r="C9" s="62">
        <f>MFL!C9</f>
        <v>15</v>
      </c>
      <c r="D9" s="63">
        <f>MFL!D9</f>
        <v>14</v>
      </c>
      <c r="E9" s="64">
        <f>MFL!E9</f>
        <v>397.99</v>
      </c>
      <c r="F9" s="65">
        <v>144</v>
      </c>
      <c r="G9" s="66">
        <v>650</v>
      </c>
      <c r="H9" s="67">
        <v>794</v>
      </c>
      <c r="I9" s="66">
        <v>171</v>
      </c>
      <c r="J9" s="66">
        <v>822</v>
      </c>
      <c r="K9" s="68">
        <v>993</v>
      </c>
      <c r="L9" s="69">
        <f t="shared" si="0"/>
        <v>0.017632241813602</v>
      </c>
      <c r="M9" s="70">
        <f t="shared" si="1"/>
        <v>0.935149124349858</v>
      </c>
      <c r="N9" s="63">
        <f>MFL!W9</f>
        <v>21556</v>
      </c>
      <c r="O9" s="63">
        <f>MFL!X9</f>
        <v>421</v>
      </c>
      <c r="P9" s="63">
        <f>MFL!Y9</f>
        <v>10</v>
      </c>
      <c r="Q9" s="63">
        <f>MFL!Z9</f>
        <v>372.18</v>
      </c>
      <c r="R9" s="63">
        <f>MFL!AA9</f>
        <v>293.11</v>
      </c>
      <c r="S9" s="63">
        <f>MFL!AB9</f>
        <v>0.89</v>
      </c>
      <c r="T9" s="71">
        <f t="shared" si="2"/>
        <v>1.26976220531541</v>
      </c>
      <c r="U9" s="72">
        <f t="shared" si="3"/>
        <v>0.0195305251438115</v>
      </c>
      <c r="V9" s="72">
        <f t="shared" si="4"/>
        <v>0.0237529691211401</v>
      </c>
      <c r="W9" s="73">
        <f t="shared" si="5"/>
        <v>37.218</v>
      </c>
    </row>
    <row r="10" customHeight="1" spans="1:23">
      <c r="A10" s="61" t="s">
        <v>144</v>
      </c>
      <c r="B10" s="89" t="s">
        <v>145</v>
      </c>
      <c r="C10" s="62">
        <f>MFL!C10</f>
        <v>24</v>
      </c>
      <c r="D10" s="63">
        <f>MFL!D10</f>
        <v>24</v>
      </c>
      <c r="E10" s="64">
        <f>MFL!E10</f>
        <v>580.824</v>
      </c>
      <c r="F10" s="65">
        <v>115</v>
      </c>
      <c r="G10" s="66">
        <v>495</v>
      </c>
      <c r="H10" s="67">
        <v>610</v>
      </c>
      <c r="I10" s="66">
        <v>137</v>
      </c>
      <c r="J10" s="66">
        <v>667</v>
      </c>
      <c r="K10" s="68">
        <v>804</v>
      </c>
      <c r="L10" s="69">
        <f t="shared" si="0"/>
        <v>0.039344262295082</v>
      </c>
      <c r="M10" s="70">
        <f t="shared" si="1"/>
        <v>0.619154855859951</v>
      </c>
      <c r="N10" s="63">
        <f>MFL!W10</f>
        <v>25003</v>
      </c>
      <c r="O10" s="63">
        <f>MFL!X10</f>
        <v>432</v>
      </c>
      <c r="P10" s="63">
        <f>MFL!Y10</f>
        <v>18</v>
      </c>
      <c r="Q10" s="63">
        <f>MFL!Z10</f>
        <v>359.62</v>
      </c>
      <c r="R10" s="63">
        <f>MFL!AA10</f>
        <v>484.02</v>
      </c>
      <c r="S10" s="63">
        <f>MFL!AB10</f>
        <v>0.83</v>
      </c>
      <c r="T10" s="71">
        <f t="shared" si="2"/>
        <v>0.742985827031941</v>
      </c>
      <c r="U10" s="72">
        <f t="shared" si="3"/>
        <v>0.0172779266488021</v>
      </c>
      <c r="V10" s="72">
        <f t="shared" si="4"/>
        <v>0.0416666666666667</v>
      </c>
      <c r="W10" s="73">
        <f t="shared" si="5"/>
        <v>19.9788888888889</v>
      </c>
    </row>
    <row r="11" customHeight="1" spans="1:23">
      <c r="A11" s="61" t="s">
        <v>147</v>
      </c>
      <c r="B11" s="89" t="s">
        <v>148</v>
      </c>
      <c r="C11" s="62">
        <f>MFL!C11</f>
        <v>17</v>
      </c>
      <c r="D11" s="63">
        <f>MFL!D11</f>
        <v>17</v>
      </c>
      <c r="E11" s="64">
        <f>MFL!E11</f>
        <v>411.4</v>
      </c>
      <c r="F11" s="65">
        <v>149</v>
      </c>
      <c r="G11" s="66">
        <v>507</v>
      </c>
      <c r="H11" s="67">
        <v>656</v>
      </c>
      <c r="I11" s="66">
        <v>188</v>
      </c>
      <c r="J11" s="66">
        <v>657</v>
      </c>
      <c r="K11" s="68">
        <v>845</v>
      </c>
      <c r="L11" s="69">
        <f t="shared" si="0"/>
        <v>0.0259146341463415</v>
      </c>
      <c r="M11" s="70">
        <f t="shared" si="1"/>
        <v>1.17377248420029</v>
      </c>
      <c r="N11" s="63">
        <f>MFL!W11</f>
        <v>22037</v>
      </c>
      <c r="O11" s="63">
        <f>MFL!X11</f>
        <v>436</v>
      </c>
      <c r="P11" s="63">
        <f>MFL!Y11</f>
        <v>13</v>
      </c>
      <c r="Q11" s="63">
        <f>MFL!Z11</f>
        <v>482.89</v>
      </c>
      <c r="R11" s="63">
        <f>MFL!AA11</f>
        <v>314.6</v>
      </c>
      <c r="S11" s="63">
        <f>MFL!AB11</f>
        <v>1.11</v>
      </c>
      <c r="T11" s="71">
        <f t="shared" si="2"/>
        <v>1.53493324856961</v>
      </c>
      <c r="U11" s="72">
        <f t="shared" si="3"/>
        <v>0.0197849072015247</v>
      </c>
      <c r="V11" s="72">
        <f t="shared" si="4"/>
        <v>0.0298165137614679</v>
      </c>
      <c r="W11" s="73">
        <f t="shared" si="5"/>
        <v>37.1453846153846</v>
      </c>
    </row>
    <row r="12" customHeight="1" spans="1:23">
      <c r="A12" s="61" t="s">
        <v>150</v>
      </c>
      <c r="B12" s="89" t="s">
        <v>151</v>
      </c>
      <c r="C12" s="62">
        <f>MFL!C12</f>
        <v>5</v>
      </c>
      <c r="D12" s="63">
        <f>MFL!D12</f>
        <v>5</v>
      </c>
      <c r="E12" s="64">
        <f>MFL!E12</f>
        <v>126.38</v>
      </c>
      <c r="F12" s="65">
        <v>74</v>
      </c>
      <c r="G12" s="66">
        <v>222</v>
      </c>
      <c r="H12" s="67">
        <v>296</v>
      </c>
      <c r="I12" s="66">
        <v>100</v>
      </c>
      <c r="J12" s="66">
        <v>283</v>
      </c>
      <c r="K12" s="68">
        <v>383</v>
      </c>
      <c r="L12" s="69">
        <f t="shared" si="0"/>
        <v>0.0168918918918919</v>
      </c>
      <c r="M12" s="70">
        <f t="shared" si="1"/>
        <v>1.10444690615604</v>
      </c>
      <c r="N12" s="63">
        <f>MFL!W12</f>
        <v>8091</v>
      </c>
      <c r="O12" s="63">
        <f>MFL!X12</f>
        <v>135</v>
      </c>
      <c r="P12" s="63">
        <f>MFL!Y12</f>
        <v>4</v>
      </c>
      <c r="Q12" s="63">
        <f>MFL!Z12</f>
        <v>139.58</v>
      </c>
      <c r="R12" s="63">
        <f>MFL!AA12</f>
        <v>104.87</v>
      </c>
      <c r="S12" s="63">
        <f>MFL!AB12</f>
        <v>1.03</v>
      </c>
      <c r="T12" s="71">
        <f t="shared" si="2"/>
        <v>1.33098121483742</v>
      </c>
      <c r="U12" s="72">
        <f t="shared" si="3"/>
        <v>0.0166852057842047</v>
      </c>
      <c r="V12" s="72">
        <f t="shared" si="4"/>
        <v>0.0296296296296296</v>
      </c>
      <c r="W12" s="73">
        <f t="shared" si="5"/>
        <v>34.895</v>
      </c>
    </row>
    <row r="13" customHeight="1" spans="1:23">
      <c r="A13" s="61" t="s">
        <v>154</v>
      </c>
      <c r="B13" s="89" t="s">
        <v>155</v>
      </c>
      <c r="C13" s="62">
        <f>MFL!C13</f>
        <v>30</v>
      </c>
      <c r="D13" s="63">
        <f>MFL!D13</f>
        <v>30</v>
      </c>
      <c r="E13" s="64">
        <f>MFL!E13</f>
        <v>806.7</v>
      </c>
      <c r="F13" s="65">
        <v>170</v>
      </c>
      <c r="G13" s="66">
        <v>745</v>
      </c>
      <c r="H13" s="67">
        <v>915</v>
      </c>
      <c r="I13" s="66">
        <v>215</v>
      </c>
      <c r="J13" s="66">
        <v>1022</v>
      </c>
      <c r="K13" s="68">
        <v>1237</v>
      </c>
      <c r="L13" s="69">
        <f t="shared" ref="L13:L53" si="6">D13/H13</f>
        <v>0.0327868852459016</v>
      </c>
      <c r="M13" s="70">
        <f t="shared" si="1"/>
        <v>0.719424817156316</v>
      </c>
      <c r="N13" s="63">
        <f>MFL!W13</f>
        <v>23919</v>
      </c>
      <c r="O13" s="63">
        <f>MFL!X13</f>
        <v>569</v>
      </c>
      <c r="P13" s="63">
        <f>MFL!Y13</f>
        <v>24</v>
      </c>
      <c r="Q13" s="63">
        <f>MFL!Z13</f>
        <v>580.36</v>
      </c>
      <c r="R13" s="63">
        <f>MFL!AA13</f>
        <v>633.46</v>
      </c>
      <c r="S13" s="63">
        <f>MFL!AB13</f>
        <v>1.03</v>
      </c>
      <c r="T13" s="71">
        <f t="shared" si="2"/>
        <v>0.916174659804881</v>
      </c>
      <c r="U13" s="72">
        <f t="shared" si="3"/>
        <v>0.0237886199255822</v>
      </c>
      <c r="V13" s="72">
        <f t="shared" si="4"/>
        <v>0.0421792618629174</v>
      </c>
      <c r="W13" s="73">
        <f t="shared" si="5"/>
        <v>24.1816666666667</v>
      </c>
    </row>
    <row r="14" customHeight="1" spans="1:23">
      <c r="A14" s="61" t="s">
        <v>156</v>
      </c>
      <c r="B14" s="89" t="s">
        <v>157</v>
      </c>
      <c r="C14" s="62">
        <f>MFL!C14</f>
        <v>34</v>
      </c>
      <c r="D14" s="63">
        <f>MFL!D14</f>
        <v>34</v>
      </c>
      <c r="E14" s="64">
        <f>MFL!E14</f>
        <v>813.26</v>
      </c>
      <c r="F14" s="65">
        <v>212</v>
      </c>
      <c r="G14" s="66">
        <v>930</v>
      </c>
      <c r="H14" s="67">
        <v>1142</v>
      </c>
      <c r="I14" s="66">
        <v>311</v>
      </c>
      <c r="J14" s="66">
        <v>1247</v>
      </c>
      <c r="K14" s="68">
        <v>1558</v>
      </c>
      <c r="L14" s="69">
        <f t="shared" si="6"/>
        <v>0.0297723292469352</v>
      </c>
      <c r="M14" s="70">
        <f t="shared" si="1"/>
        <v>0.818176229004254</v>
      </c>
      <c r="N14" s="63">
        <f>MFL!W14</f>
        <v>30778</v>
      </c>
      <c r="O14" s="63">
        <f>MFL!X14</f>
        <v>645</v>
      </c>
      <c r="P14" s="63">
        <f>MFL!Y14</f>
        <v>29</v>
      </c>
      <c r="Q14" s="63">
        <f>MFL!Z14</f>
        <v>665.39</v>
      </c>
      <c r="R14" s="63">
        <f>MFL!AA14</f>
        <v>688.29</v>
      </c>
      <c r="S14" s="63">
        <f>MFL!AB14</f>
        <v>1.03</v>
      </c>
      <c r="T14" s="71">
        <f t="shared" si="2"/>
        <v>0.96672914033329</v>
      </c>
      <c r="U14" s="72">
        <f t="shared" si="3"/>
        <v>0.0209565273896939</v>
      </c>
      <c r="V14" s="72">
        <f t="shared" si="4"/>
        <v>0.0449612403100775</v>
      </c>
      <c r="W14" s="73">
        <f t="shared" si="5"/>
        <v>22.9444827586207</v>
      </c>
    </row>
    <row r="15" customHeight="1" spans="1:23">
      <c r="A15" s="61" t="s">
        <v>158</v>
      </c>
      <c r="B15" s="89" t="s">
        <v>159</v>
      </c>
      <c r="C15" s="62">
        <f>MFL!C15</f>
        <v>22</v>
      </c>
      <c r="D15" s="63">
        <f>MFL!D15</f>
        <v>21</v>
      </c>
      <c r="E15" s="64">
        <f>MFL!E15</f>
        <v>586.18</v>
      </c>
      <c r="F15" s="65">
        <v>98</v>
      </c>
      <c r="G15" s="66">
        <v>333</v>
      </c>
      <c r="H15" s="67">
        <v>431</v>
      </c>
      <c r="I15" s="66">
        <v>116</v>
      </c>
      <c r="J15" s="66">
        <v>444</v>
      </c>
      <c r="K15" s="68">
        <v>560</v>
      </c>
      <c r="L15" s="69">
        <f t="shared" si="6"/>
        <v>0.0487238979118329</v>
      </c>
      <c r="M15" s="70">
        <f t="shared" si="1"/>
        <v>0.272748984953427</v>
      </c>
      <c r="N15" s="63">
        <f>MFL!W15</f>
        <v>7341</v>
      </c>
      <c r="O15" s="63">
        <f>MFL!X15</f>
        <v>198</v>
      </c>
      <c r="P15" s="63">
        <f>MFL!Y15</f>
        <v>7</v>
      </c>
      <c r="Q15" s="63">
        <f>MFL!Z15</f>
        <v>159.88</v>
      </c>
      <c r="R15" s="63">
        <f>MFL!AA15</f>
        <v>188.23</v>
      </c>
      <c r="S15" s="63">
        <f>MFL!AB15</f>
        <v>0.81</v>
      </c>
      <c r="T15" s="71">
        <f t="shared" si="2"/>
        <v>0.84938638899219</v>
      </c>
      <c r="U15" s="72">
        <f t="shared" si="3"/>
        <v>0.0269718022067838</v>
      </c>
      <c r="V15" s="72">
        <f t="shared" si="4"/>
        <v>0.0353535353535354</v>
      </c>
      <c r="W15" s="73">
        <f t="shared" si="5"/>
        <v>22.84</v>
      </c>
    </row>
    <row r="16" customHeight="1" spans="1:23">
      <c r="A16" s="61" t="s">
        <v>160</v>
      </c>
      <c r="B16" s="89" t="s">
        <v>161</v>
      </c>
      <c r="C16" s="62">
        <f>MFL!C16</f>
        <v>8</v>
      </c>
      <c r="D16" s="63">
        <f>MFL!D16</f>
        <v>8</v>
      </c>
      <c r="E16" s="64">
        <f>MFL!E16</f>
        <v>209.72</v>
      </c>
      <c r="F16" s="65">
        <v>57</v>
      </c>
      <c r="G16" s="66">
        <v>194</v>
      </c>
      <c r="H16" s="67">
        <v>251</v>
      </c>
      <c r="I16" s="66">
        <v>77</v>
      </c>
      <c r="J16" s="66">
        <v>240</v>
      </c>
      <c r="K16" s="68">
        <v>317</v>
      </c>
      <c r="L16" s="69">
        <f t="shared" si="6"/>
        <v>0.0318725099601594</v>
      </c>
      <c r="M16" s="70">
        <f t="shared" si="1"/>
        <v>0.273555216479115</v>
      </c>
      <c r="N16" s="63">
        <f>MFL!W16</f>
        <v>3852</v>
      </c>
      <c r="O16" s="63">
        <f>MFL!X16</f>
        <v>71</v>
      </c>
      <c r="P16" s="63">
        <f>MFL!Y16</f>
        <v>2</v>
      </c>
      <c r="Q16" s="63">
        <f>MFL!Z16</f>
        <v>57.37</v>
      </c>
      <c r="R16" s="63">
        <f>MFL!AA16</f>
        <v>53.78</v>
      </c>
      <c r="S16" s="63">
        <f>MFL!AB16</f>
        <v>0.81</v>
      </c>
      <c r="T16" s="71">
        <f t="shared" si="2"/>
        <v>1.0667534399405</v>
      </c>
      <c r="U16" s="72">
        <f t="shared" si="3"/>
        <v>0.0184319833852544</v>
      </c>
      <c r="V16" s="72">
        <f t="shared" si="4"/>
        <v>0.028169014084507</v>
      </c>
      <c r="W16" s="73">
        <f t="shared" si="5"/>
        <v>28.685</v>
      </c>
    </row>
    <row r="17" customHeight="1" spans="1:23">
      <c r="A17" s="61" t="s">
        <v>162</v>
      </c>
      <c r="B17" s="89" t="s">
        <v>163</v>
      </c>
      <c r="C17" s="62">
        <f>MFL!C17</f>
        <v>10</v>
      </c>
      <c r="D17" s="63">
        <f>MFL!D17</f>
        <v>10</v>
      </c>
      <c r="E17" s="64">
        <f>MFL!E17</f>
        <v>268.9</v>
      </c>
      <c r="F17" s="65">
        <v>50</v>
      </c>
      <c r="G17" s="66">
        <v>136</v>
      </c>
      <c r="H17" s="67">
        <v>186</v>
      </c>
      <c r="I17" s="66">
        <v>64</v>
      </c>
      <c r="J17" s="66">
        <v>185</v>
      </c>
      <c r="K17" s="68">
        <v>249</v>
      </c>
      <c r="L17" s="69">
        <f t="shared" si="6"/>
        <v>0.0537634408602151</v>
      </c>
      <c r="M17" s="70">
        <f t="shared" si="1"/>
        <v>0.358795091111938</v>
      </c>
      <c r="N17" s="63">
        <f>MFL!W17</f>
        <v>4447</v>
      </c>
      <c r="O17" s="63">
        <f>MFL!X17</f>
        <v>120</v>
      </c>
      <c r="P17" s="63">
        <f>MFL!Y17</f>
        <v>7</v>
      </c>
      <c r="Q17" s="63">
        <f>MFL!Z17</f>
        <v>96.48</v>
      </c>
      <c r="R17" s="63">
        <f>MFL!AA17</f>
        <v>188.23</v>
      </c>
      <c r="S17" s="63">
        <f>MFL!AB17</f>
        <v>0.8</v>
      </c>
      <c r="T17" s="71">
        <f t="shared" si="2"/>
        <v>0.512564415874197</v>
      </c>
      <c r="U17" s="72">
        <f t="shared" si="3"/>
        <v>0.026984483921745</v>
      </c>
      <c r="V17" s="72">
        <f t="shared" si="4"/>
        <v>0.0583333333333333</v>
      </c>
      <c r="W17" s="73">
        <f t="shared" si="5"/>
        <v>13.7828571428571</v>
      </c>
    </row>
    <row r="18" customHeight="1" spans="1:23">
      <c r="A18" s="61" t="s">
        <v>165</v>
      </c>
      <c r="B18" s="61" t="s">
        <v>166</v>
      </c>
      <c r="C18" s="62">
        <f>MFL!C18</f>
        <v>43</v>
      </c>
      <c r="D18" s="63">
        <f>MFL!D18</f>
        <v>42</v>
      </c>
      <c r="E18" s="64">
        <f>MFL!E18</f>
        <v>891.61</v>
      </c>
      <c r="F18" s="65">
        <v>122</v>
      </c>
      <c r="G18" s="66">
        <v>575</v>
      </c>
      <c r="H18" s="67">
        <v>697</v>
      </c>
      <c r="I18" s="66">
        <v>154</v>
      </c>
      <c r="J18" s="66">
        <v>832</v>
      </c>
      <c r="K18" s="68">
        <v>986</v>
      </c>
      <c r="L18" s="69">
        <f t="shared" si="6"/>
        <v>0.0602582496413199</v>
      </c>
      <c r="M18" s="70">
        <f t="shared" si="1"/>
        <v>0.439216697883604</v>
      </c>
      <c r="N18" s="63">
        <f>MFL!W18</f>
        <v>22491</v>
      </c>
      <c r="O18" s="63">
        <f>MFL!X18</f>
        <v>426</v>
      </c>
      <c r="P18" s="63">
        <f>MFL!Y18</f>
        <v>31</v>
      </c>
      <c r="Q18" s="63">
        <f>MFL!Z18</f>
        <v>391.61</v>
      </c>
      <c r="R18" s="63">
        <f>MFL!AA18</f>
        <v>662.8</v>
      </c>
      <c r="S18" s="63">
        <f>MFL!AB18</f>
        <v>0.92</v>
      </c>
      <c r="T18" s="71">
        <f t="shared" si="2"/>
        <v>0.590841882920942</v>
      </c>
      <c r="U18" s="72">
        <f t="shared" si="3"/>
        <v>0.0189409096972122</v>
      </c>
      <c r="V18" s="72">
        <f t="shared" si="4"/>
        <v>0.0727699530516432</v>
      </c>
      <c r="W18" s="73">
        <f t="shared" si="5"/>
        <v>12.6325806451613</v>
      </c>
    </row>
    <row r="19" customHeight="1" spans="1:23">
      <c r="A19" s="61" t="s">
        <v>167</v>
      </c>
      <c r="B19" s="61" t="s">
        <v>168</v>
      </c>
      <c r="C19" s="62">
        <f>MFL!C19</f>
        <v>52</v>
      </c>
      <c r="D19" s="63">
        <f>MFL!D19</f>
        <v>51</v>
      </c>
      <c r="E19" s="64">
        <f>MFL!E19</f>
        <v>1141.15</v>
      </c>
      <c r="F19" s="65">
        <v>192</v>
      </c>
      <c r="G19" s="66">
        <v>941</v>
      </c>
      <c r="H19" s="67">
        <v>1133</v>
      </c>
      <c r="I19" s="66">
        <v>238</v>
      </c>
      <c r="J19" s="66">
        <v>1320</v>
      </c>
      <c r="K19" s="68">
        <v>1558</v>
      </c>
      <c r="L19" s="69">
        <f t="shared" si="6"/>
        <v>0.0450132391879965</v>
      </c>
      <c r="M19" s="70">
        <f t="shared" si="1"/>
        <v>0.548446742321342</v>
      </c>
      <c r="N19" s="63">
        <f>MFL!W19</f>
        <v>36970</v>
      </c>
      <c r="O19" s="63">
        <f>MFL!X19</f>
        <v>694</v>
      </c>
      <c r="P19" s="63">
        <f>MFL!Y19</f>
        <v>45</v>
      </c>
      <c r="Q19" s="63">
        <f>MFL!Z19</f>
        <v>625.86</v>
      </c>
      <c r="R19" s="63">
        <f>MFL!AA19</f>
        <v>1038.59</v>
      </c>
      <c r="S19" s="63">
        <f>MFL!AB19</f>
        <v>0.9</v>
      </c>
      <c r="T19" s="71">
        <f t="shared" si="2"/>
        <v>0.602605455473286</v>
      </c>
      <c r="U19" s="72">
        <f t="shared" si="3"/>
        <v>0.0187719772788748</v>
      </c>
      <c r="V19" s="72">
        <f t="shared" si="4"/>
        <v>0.0648414985590778</v>
      </c>
      <c r="W19" s="73">
        <f t="shared" si="5"/>
        <v>13.908</v>
      </c>
    </row>
    <row r="20" customHeight="1" spans="1:23">
      <c r="A20" s="61" t="s">
        <v>169</v>
      </c>
      <c r="B20" s="61" t="s">
        <v>170</v>
      </c>
      <c r="C20" s="62">
        <f>MFL!C20</f>
        <v>36</v>
      </c>
      <c r="D20" s="63">
        <f>MFL!D20</f>
        <v>34</v>
      </c>
      <c r="E20" s="64">
        <f>MFL!E20</f>
        <v>899.53</v>
      </c>
      <c r="F20" s="65">
        <v>212</v>
      </c>
      <c r="G20" s="66">
        <v>718</v>
      </c>
      <c r="H20" s="67">
        <v>930</v>
      </c>
      <c r="I20" s="66">
        <v>283</v>
      </c>
      <c r="J20" s="66">
        <v>1032</v>
      </c>
      <c r="K20" s="68">
        <v>1315</v>
      </c>
      <c r="L20" s="69">
        <f t="shared" si="6"/>
        <v>0.0365591397849462</v>
      </c>
      <c r="M20" s="70">
        <f t="shared" si="1"/>
        <v>0.58432737096039</v>
      </c>
      <c r="N20" s="63">
        <f>MFL!W20</f>
        <v>40483</v>
      </c>
      <c r="O20" s="63">
        <f>MFL!X20</f>
        <v>615</v>
      </c>
      <c r="P20" s="63">
        <f>MFL!Y20</f>
        <v>28</v>
      </c>
      <c r="Q20" s="63">
        <f>MFL!Z20</f>
        <v>525.62</v>
      </c>
      <c r="R20" s="63">
        <f>MFL!AA20</f>
        <v>725.42</v>
      </c>
      <c r="S20" s="63">
        <f>MFL!AB20</f>
        <v>0.85</v>
      </c>
      <c r="T20" s="71">
        <f t="shared" si="2"/>
        <v>0.724573350610681</v>
      </c>
      <c r="U20" s="72">
        <f t="shared" si="3"/>
        <v>0.0151915618901761</v>
      </c>
      <c r="V20" s="72">
        <f t="shared" si="4"/>
        <v>0.0455284552845528</v>
      </c>
      <c r="W20" s="73">
        <f t="shared" si="5"/>
        <v>18.7721428571429</v>
      </c>
    </row>
    <row r="21" customHeight="1" spans="1:23">
      <c r="A21" s="61" t="s">
        <v>172</v>
      </c>
      <c r="B21" s="61" t="s">
        <v>173</v>
      </c>
      <c r="C21" s="62">
        <f>MFL!C21</f>
        <v>28</v>
      </c>
      <c r="D21" s="63">
        <f>MFL!D21</f>
        <v>28</v>
      </c>
      <c r="E21" s="64">
        <f>MFL!E21</f>
        <v>640.08</v>
      </c>
      <c r="F21" s="65">
        <v>181</v>
      </c>
      <c r="G21" s="66">
        <v>720</v>
      </c>
      <c r="H21" s="67">
        <v>901</v>
      </c>
      <c r="I21" s="66">
        <v>225</v>
      </c>
      <c r="J21" s="66">
        <v>1038</v>
      </c>
      <c r="K21" s="68">
        <v>1263</v>
      </c>
      <c r="L21" s="69">
        <f t="shared" si="6"/>
        <v>0.0310765815760266</v>
      </c>
      <c r="M21" s="70">
        <f t="shared" si="1"/>
        <v>0.736720409948756</v>
      </c>
      <c r="N21" s="63">
        <f>MFL!W21</f>
        <v>27854</v>
      </c>
      <c r="O21" s="63">
        <f>MFL!X21</f>
        <v>548</v>
      </c>
      <c r="P21" s="63">
        <f>MFL!Y21</f>
        <v>23</v>
      </c>
      <c r="Q21" s="63">
        <f>MFL!Z21</f>
        <v>471.56</v>
      </c>
      <c r="R21" s="63">
        <f>MFL!AA21</f>
        <v>529.84</v>
      </c>
      <c r="S21" s="63">
        <f>MFL!AB21</f>
        <v>0.86</v>
      </c>
      <c r="T21" s="71">
        <f t="shared" si="2"/>
        <v>0.890004529669334</v>
      </c>
      <c r="U21" s="72">
        <f t="shared" si="3"/>
        <v>0.0196740145042005</v>
      </c>
      <c r="V21" s="72">
        <f t="shared" si="4"/>
        <v>0.041970802919708</v>
      </c>
      <c r="W21" s="73">
        <f t="shared" si="5"/>
        <v>20.5026086956522</v>
      </c>
    </row>
    <row r="22" customHeight="1" spans="1:23">
      <c r="A22" s="61" t="s">
        <v>175</v>
      </c>
      <c r="B22" s="61" t="s">
        <v>176</v>
      </c>
      <c r="C22" s="62">
        <f>MFL!C22</f>
        <v>27</v>
      </c>
      <c r="D22" s="63">
        <f>MFL!D22</f>
        <v>26</v>
      </c>
      <c r="E22" s="64">
        <f>MFL!E22</f>
        <v>720.63</v>
      </c>
      <c r="F22" s="65">
        <v>168</v>
      </c>
      <c r="G22" s="66">
        <v>699</v>
      </c>
      <c r="H22" s="67">
        <v>867</v>
      </c>
      <c r="I22" s="66">
        <v>216</v>
      </c>
      <c r="J22" s="66">
        <v>1000</v>
      </c>
      <c r="K22" s="68">
        <v>1216</v>
      </c>
      <c r="L22" s="69">
        <f t="shared" si="6"/>
        <v>0.0299884659746251</v>
      </c>
      <c r="M22" s="70">
        <f t="shared" si="1"/>
        <v>0.563853850103382</v>
      </c>
      <c r="N22" s="63">
        <f>MFL!W22</f>
        <v>32749</v>
      </c>
      <c r="O22" s="63">
        <f>MFL!X22</f>
        <v>555</v>
      </c>
      <c r="P22" s="63">
        <f>MFL!Y22</f>
        <v>16</v>
      </c>
      <c r="Q22" s="63">
        <f>MFL!Z22</f>
        <v>406.33</v>
      </c>
      <c r="R22" s="63">
        <f>MFL!AA22</f>
        <v>424.44</v>
      </c>
      <c r="S22" s="63">
        <f>MFL!AB22</f>
        <v>0.73</v>
      </c>
      <c r="T22" s="71">
        <f t="shared" si="2"/>
        <v>0.95733201394779</v>
      </c>
      <c r="U22" s="72">
        <f t="shared" si="3"/>
        <v>0.0169470823536597</v>
      </c>
      <c r="V22" s="72">
        <f t="shared" si="4"/>
        <v>0.0288288288288288</v>
      </c>
      <c r="W22" s="73">
        <f t="shared" si="5"/>
        <v>25.395625</v>
      </c>
    </row>
    <row r="23" customHeight="1" spans="1:23">
      <c r="A23" s="61" t="s">
        <v>177</v>
      </c>
      <c r="B23" s="61" t="s">
        <v>178</v>
      </c>
      <c r="C23" s="62">
        <f>MFL!C23</f>
        <v>23</v>
      </c>
      <c r="D23" s="63">
        <f>MFL!D23</f>
        <v>23</v>
      </c>
      <c r="E23" s="64">
        <f>MFL!E23</f>
        <v>529.59</v>
      </c>
      <c r="F23" s="65">
        <v>115</v>
      </c>
      <c r="G23" s="66">
        <v>373</v>
      </c>
      <c r="H23" s="67">
        <v>488</v>
      </c>
      <c r="I23" s="66">
        <v>139</v>
      </c>
      <c r="J23" s="66">
        <v>561</v>
      </c>
      <c r="K23" s="68">
        <v>700</v>
      </c>
      <c r="L23" s="69">
        <f t="shared" si="6"/>
        <v>0.0471311475409836</v>
      </c>
      <c r="M23" s="70">
        <f t="shared" si="1"/>
        <v>0.36207254668706</v>
      </c>
      <c r="N23" s="63">
        <f>MFL!W23</f>
        <v>16030</v>
      </c>
      <c r="O23" s="63">
        <f>MFL!X23</f>
        <v>284</v>
      </c>
      <c r="P23" s="63">
        <f>MFL!Y23</f>
        <v>16</v>
      </c>
      <c r="Q23" s="63">
        <f>MFL!Z23</f>
        <v>191.75</v>
      </c>
      <c r="R23" s="63">
        <f>MFL!AA23</f>
        <v>373.76</v>
      </c>
      <c r="S23" s="63">
        <f>MFL!AB23</f>
        <v>0.68</v>
      </c>
      <c r="T23" s="71">
        <f t="shared" si="2"/>
        <v>0.513029751712329</v>
      </c>
      <c r="U23" s="72">
        <f t="shared" si="3"/>
        <v>0.0177167810355583</v>
      </c>
      <c r="V23" s="72">
        <f t="shared" si="4"/>
        <v>0.0563380281690141</v>
      </c>
      <c r="W23" s="73">
        <f t="shared" si="5"/>
        <v>11.984375</v>
      </c>
    </row>
    <row r="24" customHeight="1" spans="1:23">
      <c r="A24" s="61" t="s">
        <v>179</v>
      </c>
      <c r="B24" s="61" t="s">
        <v>180</v>
      </c>
      <c r="C24" s="62">
        <f>MFL!C24</f>
        <v>28</v>
      </c>
      <c r="D24" s="63">
        <f>MFL!D24</f>
        <v>28</v>
      </c>
      <c r="E24" s="64">
        <f>MFL!E24</f>
        <v>639.8</v>
      </c>
      <c r="F24" s="65">
        <v>124</v>
      </c>
      <c r="G24" s="66">
        <v>520</v>
      </c>
      <c r="H24" s="67">
        <v>644</v>
      </c>
      <c r="I24" s="66">
        <v>175</v>
      </c>
      <c r="J24" s="66">
        <v>699</v>
      </c>
      <c r="K24" s="68">
        <v>874</v>
      </c>
      <c r="L24" s="69">
        <f t="shared" si="6"/>
        <v>0.0434782608695652</v>
      </c>
      <c r="M24" s="70">
        <f t="shared" si="1"/>
        <v>0.365582994685839</v>
      </c>
      <c r="N24" s="63">
        <f>MFL!W24</f>
        <v>18360</v>
      </c>
      <c r="O24" s="63">
        <f>MFL!X24</f>
        <v>356</v>
      </c>
      <c r="P24" s="63">
        <f>MFL!Y24</f>
        <v>20</v>
      </c>
      <c r="Q24" s="63">
        <f>MFL!Z24</f>
        <v>233.9</v>
      </c>
      <c r="R24" s="63">
        <f>MFL!AA24</f>
        <v>458.18</v>
      </c>
      <c r="S24" s="63">
        <f>MFL!AB24</f>
        <v>0.66</v>
      </c>
      <c r="T24" s="71">
        <f t="shared" si="2"/>
        <v>0.510498057531974</v>
      </c>
      <c r="U24" s="72">
        <f t="shared" si="3"/>
        <v>0.0193899782135076</v>
      </c>
      <c r="V24" s="72">
        <f t="shared" si="4"/>
        <v>0.0561797752808989</v>
      </c>
      <c r="W24" s="73">
        <f t="shared" si="5"/>
        <v>11.695</v>
      </c>
    </row>
    <row r="25" customHeight="1" spans="1:23">
      <c r="A25" s="61" t="s">
        <v>181</v>
      </c>
      <c r="B25" s="61" t="s">
        <v>182</v>
      </c>
      <c r="C25" s="62">
        <f>MFL!C25</f>
        <v>31</v>
      </c>
      <c r="D25" s="63">
        <f>MFL!D25</f>
        <v>30</v>
      </c>
      <c r="E25" s="64">
        <f>MFL!E25</f>
        <v>708.35</v>
      </c>
      <c r="F25" s="65">
        <v>135</v>
      </c>
      <c r="G25" s="66">
        <v>474</v>
      </c>
      <c r="H25" s="67">
        <v>609</v>
      </c>
      <c r="I25" s="66">
        <v>186</v>
      </c>
      <c r="J25" s="66">
        <v>666</v>
      </c>
      <c r="K25" s="68">
        <v>852</v>
      </c>
      <c r="L25" s="69">
        <f t="shared" si="6"/>
        <v>0.0492610837438424</v>
      </c>
      <c r="M25" s="70">
        <f t="shared" si="1"/>
        <v>0.346693018987789</v>
      </c>
      <c r="N25" s="63">
        <f>MFL!W25</f>
        <v>18025</v>
      </c>
      <c r="O25" s="63">
        <f>MFL!X25</f>
        <v>373</v>
      </c>
      <c r="P25" s="63">
        <f>MFL!Y25</f>
        <v>23</v>
      </c>
      <c r="Q25" s="63">
        <f>MFL!Z25</f>
        <v>245.58</v>
      </c>
      <c r="R25" s="63">
        <f>MFL!AA25</f>
        <v>531.85</v>
      </c>
      <c r="S25" s="63">
        <f>MFL!AB25</f>
        <v>0.66</v>
      </c>
      <c r="T25" s="71">
        <f t="shared" si="2"/>
        <v>0.461746733101438</v>
      </c>
      <c r="U25" s="72">
        <f t="shared" si="3"/>
        <v>0.0206934812760055</v>
      </c>
      <c r="V25" s="72">
        <f t="shared" si="4"/>
        <v>0.0616621983914209</v>
      </c>
      <c r="W25" s="73">
        <f t="shared" si="5"/>
        <v>10.6773913043478</v>
      </c>
    </row>
    <row r="26" customHeight="1" spans="1:23">
      <c r="A26" s="61" t="s">
        <v>183</v>
      </c>
      <c r="B26" s="61" t="s">
        <v>184</v>
      </c>
      <c r="C26" s="62">
        <f>MFL!C26</f>
        <v>35</v>
      </c>
      <c r="D26" s="63">
        <f>MFL!D26</f>
        <v>35</v>
      </c>
      <c r="E26" s="64">
        <f>MFL!E26</f>
        <v>796.81</v>
      </c>
      <c r="F26" s="65">
        <v>137</v>
      </c>
      <c r="G26" s="66">
        <v>579</v>
      </c>
      <c r="H26" s="67">
        <v>716</v>
      </c>
      <c r="I26" s="66">
        <v>180</v>
      </c>
      <c r="J26" s="66">
        <v>781</v>
      </c>
      <c r="K26" s="68">
        <v>961</v>
      </c>
      <c r="L26" s="69">
        <f t="shared" si="6"/>
        <v>0.0488826815642458</v>
      </c>
      <c r="M26" s="70">
        <f t="shared" si="1"/>
        <v>0.269712980509783</v>
      </c>
      <c r="N26" s="63">
        <f>MFL!W26</f>
        <v>19249</v>
      </c>
      <c r="O26" s="63">
        <f>MFL!X26</f>
        <v>339</v>
      </c>
      <c r="P26" s="63">
        <f>MFL!Y26</f>
        <v>18</v>
      </c>
      <c r="Q26" s="63">
        <f>MFL!Z26</f>
        <v>214.91</v>
      </c>
      <c r="R26" s="63">
        <f>MFL!AA26</f>
        <v>413.34</v>
      </c>
      <c r="S26" s="63">
        <f>MFL!AB26</f>
        <v>0.63</v>
      </c>
      <c r="T26" s="71">
        <f t="shared" si="2"/>
        <v>0.519935162336091</v>
      </c>
      <c r="U26" s="72">
        <f t="shared" si="3"/>
        <v>0.0176113044833498</v>
      </c>
      <c r="V26" s="72">
        <f t="shared" si="4"/>
        <v>0.0530973451327434</v>
      </c>
      <c r="W26" s="73">
        <f t="shared" si="5"/>
        <v>11.9394444444444</v>
      </c>
    </row>
    <row r="27" customHeight="1" spans="1:23">
      <c r="A27" s="61" t="s">
        <v>185</v>
      </c>
      <c r="B27" s="61" t="s">
        <v>186</v>
      </c>
      <c r="C27" s="62">
        <f>MFL!C27</f>
        <v>39</v>
      </c>
      <c r="D27" s="63">
        <f>MFL!D27</f>
        <v>37</v>
      </c>
      <c r="E27" s="64">
        <f>MFL!E27</f>
        <v>891.15</v>
      </c>
      <c r="F27" s="65">
        <v>88</v>
      </c>
      <c r="G27" s="66">
        <v>533</v>
      </c>
      <c r="H27" s="67">
        <v>621</v>
      </c>
      <c r="I27" s="66">
        <v>114</v>
      </c>
      <c r="J27" s="66">
        <v>681</v>
      </c>
      <c r="K27" s="68">
        <v>795</v>
      </c>
      <c r="L27" s="69">
        <f t="shared" si="6"/>
        <v>0.0595813204508857</v>
      </c>
      <c r="M27" s="70">
        <f t="shared" si="1"/>
        <v>0.236570723222802</v>
      </c>
      <c r="N27" s="63">
        <f>MFL!W27</f>
        <v>14860</v>
      </c>
      <c r="O27" s="63">
        <f>MFL!X27</f>
        <v>326</v>
      </c>
      <c r="P27" s="63">
        <f>MFL!Y27</f>
        <v>24</v>
      </c>
      <c r="Q27" s="63">
        <f>MFL!Z27</f>
        <v>210.82</v>
      </c>
      <c r="R27" s="63">
        <f>MFL!AA27</f>
        <v>593.24</v>
      </c>
      <c r="S27" s="63">
        <f>MFL!AB27</f>
        <v>0.65</v>
      </c>
      <c r="T27" s="71">
        <f t="shared" si="2"/>
        <v>0.355370507720316</v>
      </c>
      <c r="U27" s="72">
        <f t="shared" si="3"/>
        <v>0.0219380888290713</v>
      </c>
      <c r="V27" s="72">
        <f t="shared" si="4"/>
        <v>0.0736196319018405</v>
      </c>
      <c r="W27" s="73">
        <f t="shared" si="5"/>
        <v>8.78416666666667</v>
      </c>
    </row>
    <row r="28" customHeight="1" spans="1:23">
      <c r="A28" s="61" t="s">
        <v>187</v>
      </c>
      <c r="B28" s="61" t="s">
        <v>188</v>
      </c>
      <c r="C28" s="62">
        <f>MFL!C28</f>
        <v>28</v>
      </c>
      <c r="D28" s="63">
        <f>MFL!D28</f>
        <v>28</v>
      </c>
      <c r="E28" s="64">
        <f>MFL!E28</f>
        <v>639.8</v>
      </c>
      <c r="F28" s="65">
        <v>86</v>
      </c>
      <c r="G28" s="66">
        <v>373</v>
      </c>
      <c r="H28" s="67">
        <v>459</v>
      </c>
      <c r="I28" s="66">
        <v>110</v>
      </c>
      <c r="J28" s="66">
        <v>464</v>
      </c>
      <c r="K28" s="68">
        <v>574</v>
      </c>
      <c r="L28" s="69">
        <f t="shared" si="6"/>
        <v>0.0610021786492375</v>
      </c>
      <c r="M28" s="70">
        <f t="shared" si="1"/>
        <v>0.284995311034698</v>
      </c>
      <c r="N28" s="63">
        <f>MFL!W28</f>
        <v>14641</v>
      </c>
      <c r="O28" s="63">
        <f>MFL!X28</f>
        <v>257</v>
      </c>
      <c r="P28" s="63">
        <f>MFL!Y28</f>
        <v>16</v>
      </c>
      <c r="Q28" s="63">
        <f>MFL!Z28</f>
        <v>182.34</v>
      </c>
      <c r="R28" s="63">
        <f>MFL!AA28</f>
        <v>364.9</v>
      </c>
      <c r="S28" s="63">
        <f>MFL!AB28</f>
        <v>0.71</v>
      </c>
      <c r="T28" s="71">
        <f t="shared" si="2"/>
        <v>0.499698547547273</v>
      </c>
      <c r="U28" s="72">
        <f t="shared" si="3"/>
        <v>0.0175534458028823</v>
      </c>
      <c r="V28" s="72">
        <f t="shared" si="4"/>
        <v>0.0622568093385214</v>
      </c>
      <c r="W28" s="73">
        <f t="shared" si="5"/>
        <v>11.39625</v>
      </c>
    </row>
    <row r="29" customHeight="1" spans="1:23">
      <c r="A29" s="61" t="s">
        <v>189</v>
      </c>
      <c r="B29" s="61" t="s">
        <v>190</v>
      </c>
      <c r="C29" s="62">
        <f>MFL!C29</f>
        <v>27</v>
      </c>
      <c r="D29" s="63">
        <f>MFL!D29</f>
        <v>26</v>
      </c>
      <c r="E29" s="64">
        <f>MFL!E29</f>
        <v>616.95</v>
      </c>
      <c r="F29" s="65">
        <v>132</v>
      </c>
      <c r="G29" s="66">
        <v>434</v>
      </c>
      <c r="H29" s="67">
        <v>566</v>
      </c>
      <c r="I29" s="66">
        <v>195</v>
      </c>
      <c r="J29" s="66">
        <v>562</v>
      </c>
      <c r="K29" s="68">
        <v>757</v>
      </c>
      <c r="L29" s="69">
        <f t="shared" si="6"/>
        <v>0.0459363957597173</v>
      </c>
      <c r="M29" s="70">
        <f t="shared" si="1"/>
        <v>0.371164600048626</v>
      </c>
      <c r="N29" s="63">
        <f>MFL!W29</f>
        <v>19525</v>
      </c>
      <c r="O29" s="63">
        <f>MFL!X29</f>
        <v>324</v>
      </c>
      <c r="P29" s="63">
        <f>MFL!Y29</f>
        <v>21</v>
      </c>
      <c r="Q29" s="63">
        <f>MFL!Z29</f>
        <v>228.99</v>
      </c>
      <c r="R29" s="63">
        <f>MFL!AA29</f>
        <v>478.1</v>
      </c>
      <c r="S29" s="63">
        <f>MFL!AB29</f>
        <v>0.71</v>
      </c>
      <c r="T29" s="71">
        <f t="shared" si="2"/>
        <v>0.478958376908597</v>
      </c>
      <c r="U29" s="72">
        <f t="shared" si="3"/>
        <v>0.0165941101152369</v>
      </c>
      <c r="V29" s="72">
        <f t="shared" si="4"/>
        <v>0.0648148148148148</v>
      </c>
      <c r="W29" s="73">
        <f t="shared" si="5"/>
        <v>10.9042857142857</v>
      </c>
    </row>
    <row r="30" customHeight="1" spans="1:23">
      <c r="A30" s="61" t="s">
        <v>191</v>
      </c>
      <c r="B30" s="61" t="s">
        <v>192</v>
      </c>
      <c r="C30" s="62">
        <f>MFL!C30</f>
        <v>17</v>
      </c>
      <c r="D30" s="63">
        <f>MFL!D30</f>
        <v>17</v>
      </c>
      <c r="E30" s="64">
        <f>MFL!E30</f>
        <v>388.45</v>
      </c>
      <c r="F30" s="65">
        <v>113</v>
      </c>
      <c r="G30" s="66">
        <v>385</v>
      </c>
      <c r="H30" s="67">
        <v>498</v>
      </c>
      <c r="I30" s="66">
        <v>143</v>
      </c>
      <c r="J30" s="66">
        <v>474</v>
      </c>
      <c r="K30" s="68">
        <v>617</v>
      </c>
      <c r="L30" s="69">
        <f t="shared" si="6"/>
        <v>0.034136546184739</v>
      </c>
      <c r="M30" s="70">
        <f t="shared" si="1"/>
        <v>0.517827262195907</v>
      </c>
      <c r="N30" s="63">
        <f>MFL!W30</f>
        <v>14590</v>
      </c>
      <c r="O30" s="63">
        <f>MFL!X30</f>
        <v>286</v>
      </c>
      <c r="P30" s="63">
        <f>MFL!Y30</f>
        <v>12</v>
      </c>
      <c r="Q30" s="63">
        <f>MFL!Z30</f>
        <v>201.15</v>
      </c>
      <c r="R30" s="63">
        <f>MFL!AA30</f>
        <v>267.34</v>
      </c>
      <c r="S30" s="63">
        <f>MFL!AB30</f>
        <v>0.7</v>
      </c>
      <c r="T30" s="71">
        <f t="shared" si="2"/>
        <v>0.752412658038453</v>
      </c>
      <c r="U30" s="72">
        <f t="shared" si="3"/>
        <v>0.0196024674434544</v>
      </c>
      <c r="V30" s="72">
        <f t="shared" si="4"/>
        <v>0.041958041958042</v>
      </c>
      <c r="W30" s="73">
        <f t="shared" si="5"/>
        <v>16.7625</v>
      </c>
    </row>
    <row r="31" customHeight="1" spans="1:23">
      <c r="A31" s="61" t="s">
        <v>193</v>
      </c>
      <c r="B31" s="61" t="s">
        <v>194</v>
      </c>
      <c r="C31" s="62">
        <f>MFL!C31</f>
        <v>25</v>
      </c>
      <c r="D31" s="63">
        <f>MFL!D31</f>
        <v>25</v>
      </c>
      <c r="E31" s="64">
        <f>MFL!E31</f>
        <v>637.28</v>
      </c>
      <c r="F31" s="65">
        <v>108</v>
      </c>
      <c r="G31" s="66">
        <v>425</v>
      </c>
      <c r="H31" s="67">
        <v>533</v>
      </c>
      <c r="I31" s="66">
        <v>147</v>
      </c>
      <c r="J31" s="66">
        <v>542</v>
      </c>
      <c r="K31" s="68">
        <v>689</v>
      </c>
      <c r="L31" s="69">
        <f t="shared" si="6"/>
        <v>0.0469043151969981</v>
      </c>
      <c r="M31" s="70">
        <f t="shared" si="1"/>
        <v>0.299836806427316</v>
      </c>
      <c r="N31" s="63">
        <f>MFL!W31</f>
        <v>14836</v>
      </c>
      <c r="O31" s="63">
        <f>MFL!X31</f>
        <v>283</v>
      </c>
      <c r="P31" s="63">
        <f>MFL!Y31</f>
        <v>22</v>
      </c>
      <c r="Q31" s="63">
        <f>MFL!Z31</f>
        <v>191.08</v>
      </c>
      <c r="R31" s="63">
        <f>MFL!AA31</f>
        <v>554.86</v>
      </c>
      <c r="S31" s="63">
        <f>MFL!AB31</f>
        <v>0.68</v>
      </c>
      <c r="T31" s="71">
        <f t="shared" si="2"/>
        <v>0.344375157697437</v>
      </c>
      <c r="U31" s="72">
        <f t="shared" si="3"/>
        <v>0.0190752224319224</v>
      </c>
      <c r="V31" s="72">
        <f t="shared" si="4"/>
        <v>0.0777385159010601</v>
      </c>
      <c r="W31" s="73">
        <f t="shared" si="5"/>
        <v>8.68545454545455</v>
      </c>
    </row>
    <row r="32" customHeight="1" spans="1:23">
      <c r="A32" s="61" t="s">
        <v>195</v>
      </c>
      <c r="B32" s="61" t="s">
        <v>196</v>
      </c>
      <c r="C32" s="62">
        <f>MFL!C32</f>
        <v>25</v>
      </c>
      <c r="D32" s="63">
        <f>MFL!D32</f>
        <v>24</v>
      </c>
      <c r="E32" s="64">
        <f>MFL!E32</f>
        <v>541.71</v>
      </c>
      <c r="F32" s="65">
        <v>107</v>
      </c>
      <c r="G32" s="66">
        <v>402</v>
      </c>
      <c r="H32" s="67">
        <v>509</v>
      </c>
      <c r="I32" s="66">
        <v>133</v>
      </c>
      <c r="J32" s="66">
        <v>512</v>
      </c>
      <c r="K32" s="68">
        <v>645</v>
      </c>
      <c r="L32" s="69">
        <f t="shared" si="6"/>
        <v>0.0471512770137525</v>
      </c>
      <c r="M32" s="70">
        <f t="shared" si="1"/>
        <v>0.358069815953185</v>
      </c>
      <c r="N32" s="63">
        <f>MFL!W32</f>
        <v>18576</v>
      </c>
      <c r="O32" s="63">
        <f>MFL!X32</f>
        <v>282</v>
      </c>
      <c r="P32" s="63">
        <f>MFL!Y32</f>
        <v>12</v>
      </c>
      <c r="Q32" s="63">
        <f>MFL!Z32</f>
        <v>193.97</v>
      </c>
      <c r="R32" s="63">
        <f>MFL!AA32</f>
        <v>262.74</v>
      </c>
      <c r="S32" s="63">
        <f>MFL!AB32</f>
        <v>0.69</v>
      </c>
      <c r="T32" s="71">
        <f t="shared" si="2"/>
        <v>0.738258354266575</v>
      </c>
      <c r="U32" s="72">
        <f t="shared" si="3"/>
        <v>0.0151808785529716</v>
      </c>
      <c r="V32" s="72">
        <f t="shared" si="4"/>
        <v>0.0425531914893617</v>
      </c>
      <c r="W32" s="73">
        <f t="shared" si="5"/>
        <v>16.1641666666667</v>
      </c>
    </row>
    <row r="33" customHeight="1" spans="1:23">
      <c r="A33" s="61" t="s">
        <v>198</v>
      </c>
      <c r="B33" s="61" t="s">
        <v>199</v>
      </c>
      <c r="C33" s="62">
        <f>MFL!C33</f>
        <v>7</v>
      </c>
      <c r="D33" s="63">
        <f>MFL!D33</f>
        <v>7</v>
      </c>
      <c r="E33" s="64">
        <f>MFL!E33</f>
        <v>173.23</v>
      </c>
      <c r="F33" s="65">
        <v>67</v>
      </c>
      <c r="G33" s="66">
        <v>282</v>
      </c>
      <c r="H33" s="67">
        <v>349</v>
      </c>
      <c r="I33" s="66">
        <v>84</v>
      </c>
      <c r="J33" s="66">
        <v>357</v>
      </c>
      <c r="K33" s="68">
        <v>441</v>
      </c>
      <c r="L33" s="69">
        <f t="shared" si="6"/>
        <v>0.0200573065902579</v>
      </c>
      <c r="M33" s="70">
        <f t="shared" si="1"/>
        <v>0.778156208508919</v>
      </c>
      <c r="N33" s="63">
        <f>MFL!W33</f>
        <v>14341</v>
      </c>
      <c r="O33" s="63">
        <f>MFL!X33</f>
        <v>189</v>
      </c>
      <c r="P33" s="63">
        <f>MFL!Y33</f>
        <v>5</v>
      </c>
      <c r="Q33" s="63">
        <f>MFL!Z33</f>
        <v>134.8</v>
      </c>
      <c r="R33" s="63">
        <f>MFL!AA33</f>
        <v>125.84</v>
      </c>
      <c r="S33" s="63">
        <f>MFL!AB33</f>
        <v>0.71</v>
      </c>
      <c r="T33" s="71">
        <f t="shared" si="2"/>
        <v>1.07120152574698</v>
      </c>
      <c r="U33" s="72">
        <f t="shared" si="3"/>
        <v>0.0131789972805244</v>
      </c>
      <c r="V33" s="72">
        <f t="shared" si="4"/>
        <v>0.0264550264550265</v>
      </c>
      <c r="W33" s="73">
        <f t="shared" si="5"/>
        <v>26.96</v>
      </c>
    </row>
    <row r="34" customHeight="1" spans="1:23">
      <c r="A34" s="61" t="s">
        <v>200</v>
      </c>
      <c r="B34" s="61" t="s">
        <v>201</v>
      </c>
      <c r="C34" s="62">
        <f>MFL!C34</f>
        <v>21</v>
      </c>
      <c r="D34" s="63">
        <f>MFL!D34</f>
        <v>21</v>
      </c>
      <c r="E34" s="64">
        <f>MFL!E34</f>
        <v>434.69</v>
      </c>
      <c r="F34" s="65">
        <v>116</v>
      </c>
      <c r="G34" s="66">
        <v>355</v>
      </c>
      <c r="H34" s="67">
        <v>471</v>
      </c>
      <c r="I34" s="66">
        <v>133</v>
      </c>
      <c r="J34" s="66">
        <v>455</v>
      </c>
      <c r="K34" s="68">
        <v>588</v>
      </c>
      <c r="L34" s="69">
        <f t="shared" si="6"/>
        <v>0.0445859872611465</v>
      </c>
      <c r="M34" s="70">
        <f t="shared" si="1"/>
        <v>0.545101106535692</v>
      </c>
      <c r="N34" s="63">
        <f>MFL!W34</f>
        <v>23004</v>
      </c>
      <c r="O34" s="63">
        <f>MFL!X34</f>
        <v>329</v>
      </c>
      <c r="P34" s="63">
        <f>MFL!Y34</f>
        <v>12</v>
      </c>
      <c r="Q34" s="63">
        <f>MFL!Z34</f>
        <v>236.95</v>
      </c>
      <c r="R34" s="63">
        <f>MFL!AA34</f>
        <v>244.98</v>
      </c>
      <c r="S34" s="63">
        <f>MFL!AB34</f>
        <v>0.72</v>
      </c>
      <c r="T34" s="71">
        <f t="shared" si="2"/>
        <v>0.967221814025635</v>
      </c>
      <c r="U34" s="72">
        <f t="shared" si="3"/>
        <v>0.014301860545992</v>
      </c>
      <c r="V34" s="72">
        <f t="shared" si="4"/>
        <v>0.0364741641337386</v>
      </c>
      <c r="W34" s="73">
        <f t="shared" si="5"/>
        <v>19.7458333333333</v>
      </c>
    </row>
    <row r="35" customHeight="1" spans="1:23">
      <c r="A35" s="61" t="s">
        <v>202</v>
      </c>
      <c r="B35" s="61" t="s">
        <v>203</v>
      </c>
      <c r="C35" s="62">
        <f>MFL!C35</f>
        <v>22</v>
      </c>
      <c r="D35" s="63">
        <f>MFL!D35</f>
        <v>22</v>
      </c>
      <c r="E35" s="64">
        <f>MFL!E35</f>
        <v>448.38</v>
      </c>
      <c r="F35" s="65">
        <v>149</v>
      </c>
      <c r="G35" s="66">
        <v>541</v>
      </c>
      <c r="H35" s="67">
        <v>690</v>
      </c>
      <c r="I35" s="66">
        <v>178</v>
      </c>
      <c r="J35" s="66">
        <v>682</v>
      </c>
      <c r="K35" s="68">
        <v>860</v>
      </c>
      <c r="L35" s="69">
        <f t="shared" si="6"/>
        <v>0.0318840579710145</v>
      </c>
      <c r="M35" s="70">
        <f t="shared" si="1"/>
        <v>0.675699183728088</v>
      </c>
      <c r="N35" s="63">
        <f>MFL!W35</f>
        <v>28160</v>
      </c>
      <c r="O35" s="63">
        <f>MFL!X35</f>
        <v>393</v>
      </c>
      <c r="P35" s="63">
        <f>MFL!Y35</f>
        <v>17</v>
      </c>
      <c r="Q35" s="63">
        <f>MFL!Z35</f>
        <v>302.97</v>
      </c>
      <c r="R35" s="63">
        <f>MFL!AA35</f>
        <v>351.09</v>
      </c>
      <c r="S35" s="63">
        <f>MFL!AB35</f>
        <v>0.77</v>
      </c>
      <c r="T35" s="71">
        <f t="shared" si="2"/>
        <v>0.862941126206956</v>
      </c>
      <c r="U35" s="72">
        <f t="shared" si="3"/>
        <v>0.0139559659090909</v>
      </c>
      <c r="V35" s="72">
        <f t="shared" si="4"/>
        <v>0.0432569974554707</v>
      </c>
      <c r="W35" s="73">
        <f t="shared" si="5"/>
        <v>17.8217647058824</v>
      </c>
    </row>
    <row r="36" customHeight="1" spans="1:23">
      <c r="A36" s="61" t="s">
        <v>205</v>
      </c>
      <c r="B36" s="61" t="s">
        <v>206</v>
      </c>
      <c r="C36" s="62">
        <f>MFL!C36</f>
        <v>27</v>
      </c>
      <c r="D36" s="63">
        <f>MFL!D36</f>
        <v>27</v>
      </c>
      <c r="E36" s="64">
        <f>MFL!E36</f>
        <v>638.63</v>
      </c>
      <c r="F36" s="65">
        <v>212</v>
      </c>
      <c r="G36" s="66">
        <v>590</v>
      </c>
      <c r="H36" s="67">
        <v>802</v>
      </c>
      <c r="I36" s="66">
        <v>328</v>
      </c>
      <c r="J36" s="66">
        <v>763</v>
      </c>
      <c r="K36" s="68">
        <v>1091</v>
      </c>
      <c r="L36" s="69">
        <f t="shared" si="6"/>
        <v>0.0336658354114713</v>
      </c>
      <c r="M36" s="70">
        <f t="shared" si="1"/>
        <v>0.411474562735856</v>
      </c>
      <c r="N36" s="63">
        <f>MFL!W36</f>
        <v>24031</v>
      </c>
      <c r="O36" s="63">
        <f>MFL!X36</f>
        <v>347</v>
      </c>
      <c r="P36" s="63">
        <f>MFL!Y36</f>
        <v>13</v>
      </c>
      <c r="Q36" s="63">
        <f>MFL!Z36</f>
        <v>262.78</v>
      </c>
      <c r="R36" s="63">
        <f>MFL!AA36</f>
        <v>298.17</v>
      </c>
      <c r="S36" s="63">
        <f>MFL!AB36</f>
        <v>0.76</v>
      </c>
      <c r="T36" s="71">
        <f t="shared" ref="T36:T54" si="7">Q36/R36</f>
        <v>0.881309320186471</v>
      </c>
      <c r="U36" s="72">
        <f t="shared" ref="U36:U53" si="8">O36/N36</f>
        <v>0.0144396820773168</v>
      </c>
      <c r="V36" s="72">
        <f t="shared" ref="V36:V53" si="9">P36/O36</f>
        <v>0.037463976945245</v>
      </c>
      <c r="W36" s="73">
        <f t="shared" ref="W36:W53" si="10">Q36/P36</f>
        <v>20.2138461538462</v>
      </c>
    </row>
    <row r="37" customHeight="1" spans="1:23">
      <c r="A37" s="61" t="s">
        <v>208</v>
      </c>
      <c r="B37" s="61" t="s">
        <v>209</v>
      </c>
      <c r="C37" s="62">
        <f>MFL!C37</f>
        <v>22</v>
      </c>
      <c r="D37" s="63">
        <f>MFL!D37</f>
        <v>22</v>
      </c>
      <c r="E37" s="64">
        <f>MFL!E37</f>
        <v>492.68</v>
      </c>
      <c r="F37" s="65">
        <v>131</v>
      </c>
      <c r="G37" s="66">
        <v>408</v>
      </c>
      <c r="H37" s="67">
        <v>539</v>
      </c>
      <c r="I37" s="66">
        <v>171</v>
      </c>
      <c r="J37" s="66">
        <v>532</v>
      </c>
      <c r="K37" s="68">
        <v>703</v>
      </c>
      <c r="L37" s="69">
        <f t="shared" si="6"/>
        <v>0.0408163265306122</v>
      </c>
      <c r="M37" s="70">
        <f t="shared" si="1"/>
        <v>0.485142485994966</v>
      </c>
      <c r="N37" s="63">
        <f>MFL!W37</f>
        <v>22463</v>
      </c>
      <c r="O37" s="63">
        <f>MFL!X37</f>
        <v>316</v>
      </c>
      <c r="P37" s="63">
        <f>MFL!Y37</f>
        <v>14</v>
      </c>
      <c r="Q37" s="63">
        <f>MFL!Z37</f>
        <v>239.02</v>
      </c>
      <c r="R37" s="63">
        <f>MFL!AA37</f>
        <v>322.44</v>
      </c>
      <c r="S37" s="63">
        <f>MFL!AB37</f>
        <v>0.76</v>
      </c>
      <c r="T37" s="71">
        <f t="shared" si="7"/>
        <v>0.741285200347351</v>
      </c>
      <c r="U37" s="72">
        <f t="shared" si="8"/>
        <v>0.0140675777945956</v>
      </c>
      <c r="V37" s="72">
        <f t="shared" si="9"/>
        <v>0.0443037974683544</v>
      </c>
      <c r="W37" s="73">
        <f t="shared" si="10"/>
        <v>17.0728571428571</v>
      </c>
    </row>
    <row r="38" customHeight="1" spans="1:23">
      <c r="A38" s="61" t="s">
        <v>210</v>
      </c>
      <c r="B38" s="61" t="s">
        <v>211</v>
      </c>
      <c r="C38" s="62">
        <f>MFL!C38</f>
        <v>17</v>
      </c>
      <c r="D38" s="63">
        <f>MFL!D38</f>
        <v>17</v>
      </c>
      <c r="E38" s="64">
        <f>MFL!E38</f>
        <v>319.33</v>
      </c>
      <c r="F38" s="65">
        <v>126</v>
      </c>
      <c r="G38" s="66">
        <v>307</v>
      </c>
      <c r="H38" s="67">
        <v>433</v>
      </c>
      <c r="I38" s="66">
        <v>154</v>
      </c>
      <c r="J38" s="66">
        <v>440</v>
      </c>
      <c r="K38" s="68">
        <v>594</v>
      </c>
      <c r="L38" s="69">
        <f t="shared" si="6"/>
        <v>0.0392609699769053</v>
      </c>
      <c r="M38" s="70">
        <f t="shared" si="1"/>
        <v>0.386778567625967</v>
      </c>
      <c r="N38" s="63">
        <f>MFL!W38</f>
        <v>12980</v>
      </c>
      <c r="O38" s="63">
        <f>MFL!X38</f>
        <v>176</v>
      </c>
      <c r="P38" s="63">
        <f>MFL!Y38</f>
        <v>5</v>
      </c>
      <c r="Q38" s="63">
        <f>MFL!Z38</f>
        <v>123.51</v>
      </c>
      <c r="R38" s="63">
        <f>MFL!AA38</f>
        <v>75.47</v>
      </c>
      <c r="S38" s="63">
        <f>MFL!AB38</f>
        <v>0.7</v>
      </c>
      <c r="T38" s="71">
        <f t="shared" si="7"/>
        <v>1.63654432224725</v>
      </c>
      <c r="U38" s="72">
        <f t="shared" si="8"/>
        <v>0.0135593220338983</v>
      </c>
      <c r="V38" s="72">
        <f t="shared" si="9"/>
        <v>0.0284090909090909</v>
      </c>
      <c r="W38" s="73">
        <f t="shared" si="10"/>
        <v>24.702</v>
      </c>
    </row>
    <row r="39" customHeight="1" spans="1:23">
      <c r="A39" s="61" t="s">
        <v>213</v>
      </c>
      <c r="B39" s="61" t="s">
        <v>214</v>
      </c>
      <c r="C39" s="62">
        <f>MFL!C39</f>
        <v>22</v>
      </c>
      <c r="D39" s="63">
        <f>MFL!D39</f>
        <v>22</v>
      </c>
      <c r="E39" s="64">
        <f>MFL!E39</f>
        <v>383.41</v>
      </c>
      <c r="F39" s="65">
        <v>172</v>
      </c>
      <c r="G39" s="66">
        <v>437</v>
      </c>
      <c r="H39" s="67">
        <v>609</v>
      </c>
      <c r="I39" s="66">
        <v>214</v>
      </c>
      <c r="J39" s="66">
        <v>543</v>
      </c>
      <c r="K39" s="68">
        <v>757</v>
      </c>
      <c r="L39" s="69">
        <f t="shared" si="6"/>
        <v>0.0361247947454844</v>
      </c>
      <c r="M39" s="70">
        <f t="shared" si="1"/>
        <v>0.397329229806213</v>
      </c>
      <c r="N39" s="63">
        <f>MFL!W39</f>
        <v>19968</v>
      </c>
      <c r="O39" s="63">
        <f>MFL!X39</f>
        <v>221</v>
      </c>
      <c r="P39" s="63">
        <f>MFL!Y39</f>
        <v>19</v>
      </c>
      <c r="Q39" s="63">
        <f>MFL!Z39</f>
        <v>152.34</v>
      </c>
      <c r="R39" s="63">
        <f>MFL!AA39</f>
        <v>331.58</v>
      </c>
      <c r="S39" s="63">
        <f>MFL!AB39</f>
        <v>0.69</v>
      </c>
      <c r="T39" s="71">
        <f t="shared" si="7"/>
        <v>0.45943663670909</v>
      </c>
      <c r="U39" s="72">
        <f t="shared" si="8"/>
        <v>0.0110677083333333</v>
      </c>
      <c r="V39" s="72">
        <f t="shared" si="9"/>
        <v>0.085972850678733</v>
      </c>
      <c r="W39" s="73">
        <f t="shared" si="10"/>
        <v>8.01789473684211</v>
      </c>
    </row>
    <row r="40" customHeight="1" spans="1:23">
      <c r="A40" s="61" t="s">
        <v>216</v>
      </c>
      <c r="B40" s="61" t="s">
        <v>217</v>
      </c>
      <c r="C40" s="62">
        <f>MFL!C40</f>
        <v>10</v>
      </c>
      <c r="D40" s="63">
        <f>MFL!D40</f>
        <v>10</v>
      </c>
      <c r="E40" s="64">
        <f>MFL!E40</f>
        <v>178.26</v>
      </c>
      <c r="F40" s="65">
        <v>129</v>
      </c>
      <c r="G40" s="66">
        <v>293</v>
      </c>
      <c r="H40" s="67">
        <v>422</v>
      </c>
      <c r="I40" s="66">
        <v>154</v>
      </c>
      <c r="J40" s="66">
        <v>352</v>
      </c>
      <c r="K40" s="68">
        <v>506</v>
      </c>
      <c r="L40" s="69">
        <f t="shared" si="6"/>
        <v>0.023696682464455</v>
      </c>
      <c r="M40" s="70">
        <f t="shared" si="1"/>
        <v>0.600695613149333</v>
      </c>
      <c r="N40" s="63">
        <f>MFL!W40</f>
        <v>19681</v>
      </c>
      <c r="O40" s="63">
        <f>MFL!X40</f>
        <v>156</v>
      </c>
      <c r="P40" s="63">
        <f>MFL!Y40</f>
        <v>9</v>
      </c>
      <c r="Q40" s="63">
        <f>MFL!Z40</f>
        <v>107.08</v>
      </c>
      <c r="R40" s="63">
        <f>MFL!AA40</f>
        <v>162.62</v>
      </c>
      <c r="S40" s="63">
        <f>MFL!AB40</f>
        <v>0.69</v>
      </c>
      <c r="T40" s="71">
        <f t="shared" si="7"/>
        <v>0.658467593161973</v>
      </c>
      <c r="U40" s="72">
        <f t="shared" si="8"/>
        <v>0.00792642650271836</v>
      </c>
      <c r="V40" s="72">
        <f t="shared" si="9"/>
        <v>0.0576923076923077</v>
      </c>
      <c r="W40" s="73">
        <f t="shared" si="10"/>
        <v>11.8977777777778</v>
      </c>
    </row>
    <row r="41" customHeight="1" spans="1:23">
      <c r="A41" s="61" t="s">
        <v>219</v>
      </c>
      <c r="B41" s="61" t="s">
        <v>220</v>
      </c>
      <c r="C41" s="62">
        <f>MFL!C41</f>
        <v>7</v>
      </c>
      <c r="D41" s="63">
        <f>MFL!D41</f>
        <v>7</v>
      </c>
      <c r="E41" s="64">
        <f>MFL!E41</f>
        <v>176.61</v>
      </c>
      <c r="F41" s="65">
        <v>90</v>
      </c>
      <c r="G41" s="66">
        <v>182</v>
      </c>
      <c r="H41" s="67">
        <v>272</v>
      </c>
      <c r="I41" s="66">
        <v>112</v>
      </c>
      <c r="J41" s="66">
        <v>221</v>
      </c>
      <c r="K41" s="68">
        <v>333</v>
      </c>
      <c r="L41" s="69">
        <f t="shared" si="6"/>
        <v>0.0257352941176471</v>
      </c>
      <c r="M41" s="70">
        <f t="shared" si="1"/>
        <v>0.235830360681728</v>
      </c>
      <c r="N41" s="63">
        <f>MFL!W41</f>
        <v>6404</v>
      </c>
      <c r="O41" s="63">
        <f>MFL!X41</f>
        <v>61</v>
      </c>
      <c r="P41" s="63">
        <f>MFL!Y41</f>
        <v>5</v>
      </c>
      <c r="Q41" s="63">
        <f>MFL!Z41</f>
        <v>41.65</v>
      </c>
      <c r="R41" s="63">
        <f>MFL!AA41</f>
        <v>122.83</v>
      </c>
      <c r="S41" s="63">
        <f>MFL!AB41</f>
        <v>0.68</v>
      </c>
      <c r="T41" s="71">
        <f t="shared" si="7"/>
        <v>0.339086542375641</v>
      </c>
      <c r="U41" s="72">
        <f t="shared" si="8"/>
        <v>0.00952529668956902</v>
      </c>
      <c r="V41" s="72">
        <f t="shared" si="9"/>
        <v>0.0819672131147541</v>
      </c>
      <c r="W41" s="73">
        <f t="shared" si="10"/>
        <v>8.33</v>
      </c>
    </row>
    <row r="42" customHeight="1" spans="1:23">
      <c r="A42" s="61" t="s">
        <v>221</v>
      </c>
      <c r="B42" s="61" t="s">
        <v>222</v>
      </c>
      <c r="C42" s="62">
        <f>MFL!C42</f>
        <v>9</v>
      </c>
      <c r="D42" s="63">
        <f>MFL!D42</f>
        <v>9</v>
      </c>
      <c r="E42" s="64">
        <f>MFL!E42</f>
        <v>195.25</v>
      </c>
      <c r="F42" s="65">
        <v>65</v>
      </c>
      <c r="G42" s="66">
        <v>182</v>
      </c>
      <c r="H42" s="67">
        <v>247</v>
      </c>
      <c r="I42" s="66">
        <v>80</v>
      </c>
      <c r="J42" s="66">
        <v>230</v>
      </c>
      <c r="K42" s="68">
        <v>310</v>
      </c>
      <c r="L42" s="69">
        <f t="shared" si="6"/>
        <v>0.0364372469635627</v>
      </c>
      <c r="M42" s="70">
        <f t="shared" si="1"/>
        <v>0.254186939820743</v>
      </c>
      <c r="N42" s="63">
        <f>MFL!W42</f>
        <v>7112</v>
      </c>
      <c r="O42" s="63">
        <f>MFL!X42</f>
        <v>73</v>
      </c>
      <c r="P42" s="63">
        <f>MFL!Y42</f>
        <v>3</v>
      </c>
      <c r="Q42" s="63">
        <f>MFL!Z42</f>
        <v>49.63</v>
      </c>
      <c r="R42" s="63">
        <f>MFL!AA42</f>
        <v>57.27</v>
      </c>
      <c r="S42" s="63">
        <f>MFL!AB42</f>
        <v>0.68</v>
      </c>
      <c r="T42" s="71">
        <f t="shared" si="7"/>
        <v>0.866596822070892</v>
      </c>
      <c r="U42" s="72">
        <f t="shared" si="8"/>
        <v>0.0102643419572553</v>
      </c>
      <c r="V42" s="72">
        <f t="shared" si="9"/>
        <v>0.0410958904109589</v>
      </c>
      <c r="W42" s="73">
        <f t="shared" si="10"/>
        <v>16.5433333333333</v>
      </c>
    </row>
    <row r="43" customHeight="1" spans="1:23">
      <c r="A43" s="61" t="s">
        <v>223</v>
      </c>
      <c r="B43" s="61" t="s">
        <v>224</v>
      </c>
      <c r="C43" s="62">
        <f>MFL!C43</f>
        <v>11</v>
      </c>
      <c r="D43" s="63">
        <f>MFL!D43</f>
        <v>11</v>
      </c>
      <c r="E43" s="64">
        <f>MFL!E43</f>
        <v>248.16</v>
      </c>
      <c r="F43" s="65">
        <v>59</v>
      </c>
      <c r="G43" s="66">
        <v>162</v>
      </c>
      <c r="H43" s="67">
        <v>221</v>
      </c>
      <c r="I43" s="66">
        <v>68</v>
      </c>
      <c r="J43" s="66">
        <v>208</v>
      </c>
      <c r="K43" s="68">
        <v>276</v>
      </c>
      <c r="L43" s="69">
        <f t="shared" si="6"/>
        <v>0.0497737556561086</v>
      </c>
      <c r="M43" s="70">
        <f t="shared" si="1"/>
        <v>0.249879110251451</v>
      </c>
      <c r="N43" s="63">
        <f>MFL!W43</f>
        <v>6307</v>
      </c>
      <c r="O43" s="63">
        <f>MFL!X43</f>
        <v>93</v>
      </c>
      <c r="P43" s="63">
        <f>MFL!Y43</f>
        <v>6</v>
      </c>
      <c r="Q43" s="63">
        <f>MFL!Z43</f>
        <v>62.01</v>
      </c>
      <c r="R43" s="63">
        <f>MFL!AA43</f>
        <v>143.3</v>
      </c>
      <c r="S43" s="63">
        <f>MFL!AB43</f>
        <v>0.67</v>
      </c>
      <c r="T43" s="71">
        <f t="shared" si="7"/>
        <v>0.432728541521284</v>
      </c>
      <c r="U43" s="72">
        <f t="shared" si="8"/>
        <v>0.0147455208498494</v>
      </c>
      <c r="V43" s="72">
        <f t="shared" si="9"/>
        <v>0.0645161290322581</v>
      </c>
      <c r="W43" s="73">
        <f t="shared" si="10"/>
        <v>10.335</v>
      </c>
    </row>
    <row r="44" customHeight="1" spans="1:23">
      <c r="A44" s="79" t="s">
        <v>226</v>
      </c>
      <c r="B44" s="80" t="s">
        <v>227</v>
      </c>
      <c r="C44" s="62">
        <f>MFL!C44</f>
        <v>14</v>
      </c>
      <c r="D44" s="63">
        <f>MFL!D44</f>
        <v>14</v>
      </c>
      <c r="E44" s="64">
        <f>MFL!E44</f>
        <v>300.79</v>
      </c>
      <c r="F44" s="65">
        <v>99</v>
      </c>
      <c r="G44" s="66">
        <v>308</v>
      </c>
      <c r="H44" s="67">
        <v>407</v>
      </c>
      <c r="I44" s="66">
        <v>118</v>
      </c>
      <c r="J44" s="66">
        <v>381</v>
      </c>
      <c r="K44" s="68">
        <v>499</v>
      </c>
      <c r="L44" s="69">
        <f t="shared" si="6"/>
        <v>0.0343980343980344</v>
      </c>
      <c r="M44" s="70">
        <f t="shared" si="1"/>
        <v>0.303799993350843</v>
      </c>
      <c r="N44" s="63">
        <f>MFL!W44</f>
        <v>10011</v>
      </c>
      <c r="O44" s="63">
        <f>MFL!X44</f>
        <v>144</v>
      </c>
      <c r="P44" s="63">
        <f>MFL!Y44</f>
        <v>10</v>
      </c>
      <c r="Q44" s="63">
        <f>MFL!Z44</f>
        <v>91.38</v>
      </c>
      <c r="R44" s="63">
        <f>MFL!AA44</f>
        <v>211.46</v>
      </c>
      <c r="S44" s="63">
        <f>MFL!AB44</f>
        <v>0.63</v>
      </c>
      <c r="T44" s="71">
        <f t="shared" si="7"/>
        <v>0.432138465903717</v>
      </c>
      <c r="U44" s="72">
        <f t="shared" si="8"/>
        <v>0.0143841774048547</v>
      </c>
      <c r="V44" s="72">
        <f t="shared" si="9"/>
        <v>0.0694444444444444</v>
      </c>
      <c r="W44" s="73">
        <f t="shared" si="10"/>
        <v>9.138</v>
      </c>
    </row>
    <row r="45" customHeight="1" spans="1:23">
      <c r="A45" s="61" t="s">
        <v>228</v>
      </c>
      <c r="B45" s="81" t="s">
        <v>229</v>
      </c>
      <c r="C45" s="62">
        <f>MFL!C45</f>
        <v>17</v>
      </c>
      <c r="D45" s="63">
        <f>MFL!D45</f>
        <v>17</v>
      </c>
      <c r="E45" s="64">
        <f>MFL!E45</f>
        <v>388.85</v>
      </c>
      <c r="F45" s="65">
        <v>143</v>
      </c>
      <c r="G45" s="66">
        <v>411</v>
      </c>
      <c r="H45" s="67">
        <v>554</v>
      </c>
      <c r="I45" s="66">
        <v>208</v>
      </c>
      <c r="J45" s="66">
        <v>498</v>
      </c>
      <c r="K45" s="68">
        <v>706</v>
      </c>
      <c r="L45" s="69">
        <f t="shared" si="6"/>
        <v>0.0306859205776173</v>
      </c>
      <c r="M45" s="70">
        <f t="shared" si="1"/>
        <v>0.38030088723158</v>
      </c>
      <c r="N45" s="63">
        <f>MFL!W45</f>
        <v>11926</v>
      </c>
      <c r="O45" s="63">
        <f>MFL!X45</f>
        <v>232</v>
      </c>
      <c r="P45" s="63">
        <f>MFL!Y45</f>
        <v>19</v>
      </c>
      <c r="Q45" s="63">
        <f>MFL!Z45</f>
        <v>147.88</v>
      </c>
      <c r="R45" s="63">
        <f>MFL!AA45</f>
        <v>437.36</v>
      </c>
      <c r="S45" s="63">
        <f>MFL!AB45</f>
        <v>0.64</v>
      </c>
      <c r="T45" s="71">
        <f t="shared" si="7"/>
        <v>0.338119626852021</v>
      </c>
      <c r="U45" s="72">
        <f t="shared" si="8"/>
        <v>0.0194532953211471</v>
      </c>
      <c r="V45" s="72">
        <f t="shared" si="9"/>
        <v>0.0818965517241379</v>
      </c>
      <c r="W45" s="73">
        <f t="shared" si="10"/>
        <v>7.78315789473684</v>
      </c>
    </row>
    <row r="46" customHeight="1" spans="1:23">
      <c r="A46" s="61" t="s">
        <v>230</v>
      </c>
      <c r="B46" s="81" t="s">
        <v>231</v>
      </c>
      <c r="C46" s="62">
        <f>MFL!C46</f>
        <v>23</v>
      </c>
      <c r="D46" s="63">
        <f>MFL!D46</f>
        <v>23</v>
      </c>
      <c r="E46" s="64">
        <f>MFL!E46</f>
        <v>516.01</v>
      </c>
      <c r="F46" s="65">
        <v>121</v>
      </c>
      <c r="G46" s="66">
        <v>504</v>
      </c>
      <c r="H46" s="67">
        <v>625</v>
      </c>
      <c r="I46" s="66">
        <v>148</v>
      </c>
      <c r="J46" s="66">
        <v>614</v>
      </c>
      <c r="K46" s="68">
        <v>762</v>
      </c>
      <c r="L46" s="69">
        <f t="shared" si="6"/>
        <v>0.0368</v>
      </c>
      <c r="M46" s="70">
        <f t="shared" si="1"/>
        <v>0.321272843549544</v>
      </c>
      <c r="N46" s="63">
        <f>MFL!W46</f>
        <v>13119</v>
      </c>
      <c r="O46" s="63">
        <f>MFL!X46</f>
        <v>262</v>
      </c>
      <c r="P46" s="63">
        <f>MFL!Y46</f>
        <v>16</v>
      </c>
      <c r="Q46" s="63">
        <f>MFL!Z46</f>
        <v>165.78</v>
      </c>
      <c r="R46" s="63">
        <f>MFL!AA46</f>
        <v>351.07</v>
      </c>
      <c r="S46" s="63">
        <f>MFL!AB46</f>
        <v>0.63</v>
      </c>
      <c r="T46" s="71">
        <f t="shared" si="7"/>
        <v>0.47221351867149</v>
      </c>
      <c r="U46" s="72">
        <f t="shared" si="8"/>
        <v>0.0199710343776202</v>
      </c>
      <c r="V46" s="72">
        <f t="shared" si="9"/>
        <v>0.0610687022900763</v>
      </c>
      <c r="W46" s="73">
        <f t="shared" si="10"/>
        <v>10.36125</v>
      </c>
    </row>
    <row r="47" customHeight="1" spans="1:23">
      <c r="A47" s="61" t="s">
        <v>232</v>
      </c>
      <c r="B47" s="81" t="s">
        <v>233</v>
      </c>
      <c r="C47" s="62">
        <f>MFL!C47</f>
        <v>25</v>
      </c>
      <c r="D47" s="63">
        <f>MFL!D47</f>
        <v>25</v>
      </c>
      <c r="E47" s="64">
        <f>MFL!E47</f>
        <v>550.88</v>
      </c>
      <c r="F47" s="65">
        <v>109</v>
      </c>
      <c r="G47" s="66">
        <v>425</v>
      </c>
      <c r="H47" s="67">
        <v>534</v>
      </c>
      <c r="I47" s="66">
        <v>135</v>
      </c>
      <c r="J47" s="66">
        <v>553</v>
      </c>
      <c r="K47" s="68">
        <v>688</v>
      </c>
      <c r="L47" s="69">
        <f t="shared" si="6"/>
        <v>0.0468164794007491</v>
      </c>
      <c r="M47" s="70">
        <f t="shared" si="1"/>
        <v>0.26270694162068</v>
      </c>
      <c r="N47" s="63">
        <f>MFL!W47</f>
        <v>10177</v>
      </c>
      <c r="O47" s="63">
        <f>MFL!X47</f>
        <v>231</v>
      </c>
      <c r="P47" s="63">
        <f>MFL!Y47</f>
        <v>18</v>
      </c>
      <c r="Q47" s="63">
        <f>MFL!Z47</f>
        <v>144.72</v>
      </c>
      <c r="R47" s="63">
        <f>MFL!AA47</f>
        <v>390.87</v>
      </c>
      <c r="S47" s="63">
        <f>MFL!AB47</f>
        <v>0.63</v>
      </c>
      <c r="T47" s="71">
        <f t="shared" si="7"/>
        <v>0.370250978586231</v>
      </c>
      <c r="U47" s="72">
        <f t="shared" si="8"/>
        <v>0.0226982411319642</v>
      </c>
      <c r="V47" s="72">
        <f t="shared" si="9"/>
        <v>0.0779220779220779</v>
      </c>
      <c r="W47" s="73">
        <f t="shared" si="10"/>
        <v>8.04</v>
      </c>
    </row>
    <row r="48" customHeight="1" spans="1:23">
      <c r="A48" s="61" t="s">
        <v>236</v>
      </c>
      <c r="B48" s="81" t="s">
        <v>237</v>
      </c>
      <c r="C48" s="62">
        <f>MFL!C48</f>
        <v>15</v>
      </c>
      <c r="D48" s="63">
        <f>MFL!D48</f>
        <v>15</v>
      </c>
      <c r="E48" s="64">
        <f>MFL!E48</f>
        <v>340.45</v>
      </c>
      <c r="F48" s="65">
        <v>120</v>
      </c>
      <c r="G48" s="66">
        <v>387</v>
      </c>
      <c r="H48" s="67">
        <v>507</v>
      </c>
      <c r="I48" s="66">
        <v>153</v>
      </c>
      <c r="J48" s="66">
        <v>509</v>
      </c>
      <c r="K48" s="68">
        <v>662</v>
      </c>
      <c r="L48" s="69">
        <f t="shared" si="6"/>
        <v>0.029585798816568</v>
      </c>
      <c r="M48" s="70">
        <f t="shared" si="1"/>
        <v>0.488735497136143</v>
      </c>
      <c r="N48" s="63">
        <f>MFL!W48</f>
        <v>13578</v>
      </c>
      <c r="O48" s="63">
        <f>MFL!X48</f>
        <v>255</v>
      </c>
      <c r="P48" s="63">
        <f>MFL!Y48</f>
        <v>10</v>
      </c>
      <c r="Q48" s="63">
        <f>MFL!Z48</f>
        <v>166.39</v>
      </c>
      <c r="R48" s="63">
        <f>MFL!AA48</f>
        <v>221.89</v>
      </c>
      <c r="S48" s="63">
        <f>MFL!AB48</f>
        <v>0.65</v>
      </c>
      <c r="T48" s="71">
        <f t="shared" si="7"/>
        <v>0.749876064716752</v>
      </c>
      <c r="U48" s="72">
        <f t="shared" si="8"/>
        <v>0.0187803800265135</v>
      </c>
      <c r="V48" s="72">
        <f t="shared" si="9"/>
        <v>0.0392156862745098</v>
      </c>
      <c r="W48" s="73">
        <f t="shared" si="10"/>
        <v>16.639</v>
      </c>
    </row>
    <row r="49" customHeight="1" spans="1:23">
      <c r="A49" s="61" t="s">
        <v>240</v>
      </c>
      <c r="B49" s="81" t="s">
        <v>241</v>
      </c>
      <c r="C49" s="62">
        <f>MFL!C49</f>
        <v>18</v>
      </c>
      <c r="D49" s="63">
        <f>MFL!D49</f>
        <v>17</v>
      </c>
      <c r="E49" s="64">
        <f>MFL!E49</f>
        <v>399.52</v>
      </c>
      <c r="F49" s="65">
        <v>79</v>
      </c>
      <c r="G49" s="66">
        <v>492</v>
      </c>
      <c r="H49" s="67">
        <v>571</v>
      </c>
      <c r="I49" s="66">
        <v>104</v>
      </c>
      <c r="J49" s="66">
        <v>615</v>
      </c>
      <c r="K49" s="68">
        <v>719</v>
      </c>
      <c r="L49" s="69">
        <f t="shared" si="6"/>
        <v>0.0297723292469352</v>
      </c>
      <c r="M49" s="70">
        <f t="shared" si="1"/>
        <v>0.403884661593913</v>
      </c>
      <c r="N49" s="63">
        <f>MFL!W49</f>
        <v>6431</v>
      </c>
      <c r="O49" s="63">
        <f>MFL!X49</f>
        <v>237</v>
      </c>
      <c r="P49" s="63">
        <f>MFL!Y49</f>
        <v>14</v>
      </c>
      <c r="Q49" s="63">
        <f>MFL!Z49</f>
        <v>161.36</v>
      </c>
      <c r="R49" s="63">
        <f>MFL!AA49</f>
        <v>320.45</v>
      </c>
      <c r="S49" s="63">
        <f>MFL!AB49</f>
        <v>0.68</v>
      </c>
      <c r="T49" s="71">
        <f t="shared" si="7"/>
        <v>0.503541894211265</v>
      </c>
      <c r="U49" s="72">
        <f t="shared" si="8"/>
        <v>0.0368527445187374</v>
      </c>
      <c r="V49" s="72">
        <f t="shared" si="9"/>
        <v>0.0590717299578059</v>
      </c>
      <c r="W49" s="73">
        <f t="shared" si="10"/>
        <v>11.5257142857143</v>
      </c>
    </row>
    <row r="50" customHeight="1" spans="1:23">
      <c r="A50" s="61" t="s">
        <v>244</v>
      </c>
      <c r="B50" s="81" t="s">
        <v>245</v>
      </c>
      <c r="C50" s="62">
        <f>MFL!C50</f>
        <v>32</v>
      </c>
      <c r="D50" s="63">
        <f>MFL!D50</f>
        <v>32</v>
      </c>
      <c r="E50" s="64">
        <f>MFL!E50</f>
        <v>724.79</v>
      </c>
      <c r="F50" s="65">
        <v>96</v>
      </c>
      <c r="G50" s="66">
        <v>517</v>
      </c>
      <c r="H50" s="67">
        <v>613</v>
      </c>
      <c r="I50" s="66">
        <v>123</v>
      </c>
      <c r="J50" s="66">
        <v>652</v>
      </c>
      <c r="K50" s="68">
        <v>775</v>
      </c>
      <c r="L50" s="69">
        <f t="shared" si="6"/>
        <v>0.0522022838499184</v>
      </c>
      <c r="M50" s="70">
        <f t="shared" si="1"/>
        <v>0.290208198236731</v>
      </c>
      <c r="N50" s="63">
        <f>MFL!W50</f>
        <v>13696</v>
      </c>
      <c r="O50" s="63">
        <f>MFL!X50</f>
        <v>288</v>
      </c>
      <c r="P50" s="63">
        <f>MFL!Y50</f>
        <v>26</v>
      </c>
      <c r="Q50" s="63">
        <f>MFL!Z50</f>
        <v>210.34</v>
      </c>
      <c r="R50" s="63">
        <f>MFL!AA50</f>
        <v>592.39</v>
      </c>
      <c r="S50" s="63">
        <f>MFL!AB50</f>
        <v>0.73</v>
      </c>
      <c r="T50" s="71">
        <f t="shared" si="7"/>
        <v>0.355070139603977</v>
      </c>
      <c r="U50" s="72">
        <f t="shared" si="8"/>
        <v>0.0210280373831776</v>
      </c>
      <c r="V50" s="72">
        <f t="shared" si="9"/>
        <v>0.0902777777777778</v>
      </c>
      <c r="W50" s="73">
        <f t="shared" si="10"/>
        <v>8.09</v>
      </c>
    </row>
    <row r="51" customHeight="1" spans="1:23">
      <c r="A51" s="61" t="s">
        <v>247</v>
      </c>
      <c r="B51" s="81" t="s">
        <v>248</v>
      </c>
      <c r="C51" s="62">
        <f>MFL!C51</f>
        <v>23</v>
      </c>
      <c r="D51" s="63">
        <f>MFL!D51</f>
        <v>22</v>
      </c>
      <c r="E51" s="64">
        <f>MFL!E51</f>
        <v>487.3</v>
      </c>
      <c r="F51" s="65">
        <v>122</v>
      </c>
      <c r="G51" s="66">
        <v>496</v>
      </c>
      <c r="H51" s="67">
        <v>618</v>
      </c>
      <c r="I51" s="66">
        <v>165</v>
      </c>
      <c r="J51" s="66">
        <v>599</v>
      </c>
      <c r="K51" s="68">
        <v>764</v>
      </c>
      <c r="L51" s="69">
        <f t="shared" si="6"/>
        <v>0.0355987055016181</v>
      </c>
      <c r="M51" s="70">
        <f t="shared" si="1"/>
        <v>0.481838703057665</v>
      </c>
      <c r="N51" s="63">
        <f>MFL!W51</f>
        <v>20063</v>
      </c>
      <c r="O51" s="63">
        <f>MFL!X51</f>
        <v>315</v>
      </c>
      <c r="P51" s="63">
        <f>MFL!Y51</f>
        <v>14</v>
      </c>
      <c r="Q51" s="63">
        <f>MFL!Z51</f>
        <v>234.8</v>
      </c>
      <c r="R51" s="63">
        <f>MFL!AA51</f>
        <v>269.23</v>
      </c>
      <c r="S51" s="63">
        <f>MFL!AB51</f>
        <v>0.75</v>
      </c>
      <c r="T51" s="71">
        <f t="shared" si="7"/>
        <v>0.872116777476507</v>
      </c>
      <c r="U51" s="72">
        <f t="shared" si="8"/>
        <v>0.0157005432886408</v>
      </c>
      <c r="V51" s="72">
        <f t="shared" si="9"/>
        <v>0.0444444444444444</v>
      </c>
      <c r="W51" s="73">
        <f t="shared" si="10"/>
        <v>16.7714285714286</v>
      </c>
    </row>
    <row r="52" customHeight="1" spans="1:23">
      <c r="A52" s="61" t="s">
        <v>250</v>
      </c>
      <c r="B52" s="81" t="s">
        <v>251</v>
      </c>
      <c r="C52" s="62">
        <f>MFL!C52</f>
        <v>25</v>
      </c>
      <c r="D52" s="63">
        <f>MFL!D52</f>
        <v>25</v>
      </c>
      <c r="E52" s="64">
        <f>MFL!E52</f>
        <v>566.04</v>
      </c>
      <c r="F52" s="65">
        <v>122</v>
      </c>
      <c r="G52" s="66">
        <v>496</v>
      </c>
      <c r="H52" s="67">
        <v>618</v>
      </c>
      <c r="I52" s="66">
        <v>165</v>
      </c>
      <c r="J52" s="66">
        <v>599</v>
      </c>
      <c r="K52" s="68">
        <v>764</v>
      </c>
      <c r="L52" s="69">
        <f t="shared" si="6"/>
        <v>0.040453074433657</v>
      </c>
      <c r="M52" s="70">
        <f t="shared" si="1"/>
        <v>0.364585541657833</v>
      </c>
      <c r="N52" s="63">
        <f>MFL!W52</f>
        <v>17409</v>
      </c>
      <c r="O52" s="63">
        <f>MFL!X52</f>
        <v>286</v>
      </c>
      <c r="P52" s="63">
        <f>MFL!Y52</f>
        <v>25</v>
      </c>
      <c r="Q52" s="63">
        <f>MFL!Z52</f>
        <v>206.37</v>
      </c>
      <c r="R52" s="63">
        <f>MFL!AA52</f>
        <v>517.94</v>
      </c>
      <c r="S52" s="63">
        <f>MFL!AB52</f>
        <v>0.72</v>
      </c>
      <c r="T52" s="71">
        <f t="shared" si="7"/>
        <v>0.398443835193266</v>
      </c>
      <c r="U52" s="72">
        <f t="shared" si="8"/>
        <v>0.0164282842208053</v>
      </c>
      <c r="V52" s="72">
        <f t="shared" si="9"/>
        <v>0.0874125874125874</v>
      </c>
      <c r="W52" s="73">
        <f t="shared" si="10"/>
        <v>8.2548</v>
      </c>
    </row>
    <row r="53" customHeight="1" spans="1:23">
      <c r="A53" s="61" t="s">
        <v>254</v>
      </c>
      <c r="B53" s="81" t="s">
        <v>255</v>
      </c>
      <c r="C53" s="62">
        <f>MFL!C53</f>
        <v>23</v>
      </c>
      <c r="D53" s="63">
        <f>MFL!D53</f>
        <v>23</v>
      </c>
      <c r="E53" s="64">
        <f>MFL!E53</f>
        <v>516.01</v>
      </c>
      <c r="F53" s="65">
        <v>122</v>
      </c>
      <c r="G53" s="66">
        <v>496</v>
      </c>
      <c r="H53" s="67">
        <v>618</v>
      </c>
      <c r="I53" s="66">
        <v>165</v>
      </c>
      <c r="J53" s="66">
        <v>599</v>
      </c>
      <c r="K53" s="68">
        <v>764</v>
      </c>
      <c r="L53" s="69">
        <f t="shared" si="6"/>
        <v>0.0372168284789644</v>
      </c>
      <c r="M53" s="70">
        <f t="shared" si="1"/>
        <v>0.404992151314897</v>
      </c>
      <c r="N53" s="63">
        <f>MFL!W53</f>
        <v>16338</v>
      </c>
      <c r="O53" s="63">
        <f>MFL!X53</f>
        <v>284</v>
      </c>
      <c r="P53" s="63">
        <f>MFL!Y53</f>
        <v>18</v>
      </c>
      <c r="Q53" s="63">
        <f>MFL!Z53</f>
        <v>208.98</v>
      </c>
      <c r="R53" s="63">
        <f>MFL!AA53</f>
        <v>418.57</v>
      </c>
      <c r="S53" s="63">
        <f>MFL!AB53</f>
        <v>0.74</v>
      </c>
      <c r="T53" s="71">
        <f t="shared" si="7"/>
        <v>0.499271328571087</v>
      </c>
      <c r="U53" s="72">
        <f t="shared" si="8"/>
        <v>0.0173827885910148</v>
      </c>
      <c r="V53" s="72">
        <f t="shared" si="9"/>
        <v>0.0633802816901408</v>
      </c>
      <c r="W53" s="73">
        <f t="shared" si="10"/>
        <v>11.61</v>
      </c>
    </row>
    <row r="54" customHeight="1" spans="1:23">
      <c r="A54" t="s">
        <v>270</v>
      </c>
      <c r="B54" s="1"/>
      <c r="C54" s="1">
        <f>SUBTOTAL(109,表3_325461513[销量])</f>
        <v>1084</v>
      </c>
      <c r="D54" s="1">
        <f>SUBTOTAL(109,表3_325461513[订单量])</f>
        <v>1068</v>
      </c>
      <c r="E54" s="82">
        <f>SUBTOTAL(109,表3_325461513[销售额])</f>
        <v>24993.024</v>
      </c>
      <c r="F54" s="1">
        <f>SUBTOTAL(101,表3_325461513[Sessions-Browser])</f>
        <v>118.96</v>
      </c>
      <c r="G54" s="83">
        <f>SUBTOTAL(101,表3_325461513[Sessions-Mobile])</f>
        <v>436.04</v>
      </c>
      <c r="H54" s="83">
        <f>SUBTOTAL(101,表3_325461513[Sessions-Total])</f>
        <v>555</v>
      </c>
      <c r="I54" s="83">
        <f>SUBTOTAL(101,表3_325461513[PV-Browser])</f>
        <v>154.12</v>
      </c>
      <c r="J54" s="84">
        <f>SUBTOTAL(101,表3_325461513[PV-Mobile])</f>
        <v>574.32</v>
      </c>
      <c r="K54" s="84">
        <f>SUBTOTAL(101,表3_325461513[PV-Total])</f>
        <v>728.44</v>
      </c>
      <c r="L54" s="85">
        <f>SUBTOTAL(101,表3_325461513[CVR])</f>
        <v>0.0386750050921949</v>
      </c>
      <c r="M54" s="85">
        <f t="shared" si="1"/>
        <v>0.472375011523215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11806.08</v>
      </c>
      <c r="R54" s="1">
        <f>SUBTOTAL(109,表3_325461513[广告销售额])</f>
        <v>17899.1</v>
      </c>
      <c r="S54" s="16">
        <f>SUBTOTAL(101,表3_325461513[CPC])</f>
        <v>0.7772</v>
      </c>
      <c r="T54" s="86">
        <f t="shared" si="7"/>
        <v>0.659590705677939</v>
      </c>
      <c r="U54" s="87">
        <f t="shared" ref="U54:W54" si="11">O54/N54</f>
        <v>0.0173258096230079</v>
      </c>
      <c r="V54" s="87">
        <f t="shared" si="11"/>
        <v>0.0521557249848188</v>
      </c>
      <c r="W54" s="88">
        <f t="shared" si="11"/>
        <v>15.2730659767141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pane xSplit="2" ySplit="3" topLeftCell="C27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29.1" customHeight="1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customHeight="1" spans="1:23">
      <c r="A1" s="23" t="s">
        <v>0</v>
      </c>
      <c r="B1" s="24"/>
      <c r="C1" s="25" t="s">
        <v>423</v>
      </c>
      <c r="D1" s="26"/>
      <c r="E1" s="27"/>
      <c r="F1" s="28" t="s">
        <v>434</v>
      </c>
      <c r="G1" s="29"/>
      <c r="H1" s="29"/>
      <c r="I1" s="29"/>
      <c r="J1" s="29"/>
      <c r="K1" s="29"/>
      <c r="L1" s="29"/>
      <c r="M1" s="30"/>
      <c r="N1" s="31" t="s">
        <v>2</v>
      </c>
      <c r="O1" s="32"/>
      <c r="P1" s="32"/>
      <c r="Q1" s="32"/>
      <c r="R1" s="32"/>
      <c r="S1" s="32"/>
      <c r="T1" s="33"/>
      <c r="U1" s="33"/>
      <c r="V1" s="33"/>
      <c r="W1" s="34"/>
    </row>
    <row r="2" ht="12.95" customHeight="1" spans="1:23">
      <c r="A2" s="35"/>
      <c r="B2" s="36"/>
      <c r="C2" s="37" t="s">
        <v>6</v>
      </c>
      <c r="D2" s="38"/>
      <c r="E2" s="38"/>
      <c r="F2" s="39" t="s">
        <v>6</v>
      </c>
      <c r="G2" s="40"/>
      <c r="H2" s="40"/>
      <c r="I2" s="40"/>
      <c r="J2" s="40"/>
      <c r="K2" s="40"/>
      <c r="L2" s="41" t="s">
        <v>7</v>
      </c>
      <c r="M2" s="42"/>
      <c r="N2" s="43" t="s">
        <v>6</v>
      </c>
      <c r="O2" s="44"/>
      <c r="P2" s="44"/>
      <c r="Q2" s="44"/>
      <c r="R2" s="44"/>
      <c r="S2" s="45"/>
      <c r="T2" s="46" t="s">
        <v>7</v>
      </c>
      <c r="U2" s="46"/>
      <c r="V2" s="46"/>
      <c r="W2" s="47"/>
    </row>
    <row r="3" customHeight="1" spans="1:23">
      <c r="A3" s="48" t="s">
        <v>8</v>
      </c>
      <c r="B3" s="48" t="s">
        <v>9</v>
      </c>
      <c r="C3" s="49" t="s">
        <v>10</v>
      </c>
      <c r="D3" s="50" t="s">
        <v>11</v>
      </c>
      <c r="E3" s="50" t="s">
        <v>12</v>
      </c>
      <c r="F3" s="51" t="s">
        <v>425</v>
      </c>
      <c r="G3" s="52" t="s">
        <v>426</v>
      </c>
      <c r="H3" s="53" t="s">
        <v>427</v>
      </c>
      <c r="I3" s="52" t="s">
        <v>428</v>
      </c>
      <c r="J3" s="52" t="s">
        <v>429</v>
      </c>
      <c r="K3" s="54" t="s">
        <v>430</v>
      </c>
      <c r="L3" s="55" t="s">
        <v>431</v>
      </c>
      <c r="M3" s="56" t="s">
        <v>432</v>
      </c>
      <c r="N3" s="57" t="s">
        <v>30</v>
      </c>
      <c r="O3" s="58" t="s">
        <v>31</v>
      </c>
      <c r="P3" s="58" t="s">
        <v>32</v>
      </c>
      <c r="Q3" s="58" t="s">
        <v>33</v>
      </c>
      <c r="R3" s="59" t="s">
        <v>34</v>
      </c>
      <c r="S3" s="58" t="s">
        <v>35</v>
      </c>
      <c r="T3" s="60" t="s">
        <v>36</v>
      </c>
      <c r="U3" s="33" t="s">
        <v>37</v>
      </c>
      <c r="V3" s="33" t="s">
        <v>38</v>
      </c>
      <c r="W3" s="34" t="s">
        <v>39</v>
      </c>
    </row>
    <row r="4" customHeight="1" spans="1:23">
      <c r="A4" s="61" t="s">
        <v>160</v>
      </c>
      <c r="B4" s="61" t="s">
        <v>161</v>
      </c>
      <c r="C4" s="62">
        <f>SFM!C4</f>
        <v>16</v>
      </c>
      <c r="D4" s="63">
        <f>SFM!D4</f>
        <v>16</v>
      </c>
      <c r="E4" s="64">
        <f>SFM!E4</f>
        <v>726.99</v>
      </c>
      <c r="F4" s="65">
        <v>152</v>
      </c>
      <c r="G4" s="66">
        <v>167</v>
      </c>
      <c r="H4" s="67">
        <v>319</v>
      </c>
      <c r="I4" s="66">
        <v>179</v>
      </c>
      <c r="J4" s="66">
        <v>192</v>
      </c>
      <c r="K4" s="68">
        <v>371</v>
      </c>
      <c r="L4" s="69">
        <f>D4/H4</f>
        <v>0.0501567398119122</v>
      </c>
      <c r="M4" s="70">
        <f>Q4/E4</f>
        <v>0.256468452110758</v>
      </c>
      <c r="N4" s="63">
        <f>SFM!W4</f>
        <v>32589</v>
      </c>
      <c r="O4" s="63">
        <f>SFM!X4</f>
        <v>131</v>
      </c>
      <c r="P4" s="63">
        <f>SFM!Y4</f>
        <v>2</v>
      </c>
      <c r="Q4" s="63">
        <f>SFM!Z4</f>
        <v>186.45</v>
      </c>
      <c r="R4" s="63">
        <f>SFM!AA4</f>
        <v>46.4</v>
      </c>
      <c r="S4" s="63">
        <f>SFM!AB4</f>
        <v>1.42</v>
      </c>
      <c r="T4" s="71">
        <f t="shared" ref="T4:T41" si="0">Q4/R4</f>
        <v>4.01831896551724</v>
      </c>
      <c r="U4" s="72">
        <f t="shared" ref="U4:U40" si="1">O4/N4</f>
        <v>0.00401976126913989</v>
      </c>
      <c r="V4" s="72">
        <f t="shared" ref="V4:V40" si="2">P4/O4</f>
        <v>0.0152671755725191</v>
      </c>
      <c r="W4" s="73">
        <f t="shared" ref="W4:W40" si="3">Q4/P4</f>
        <v>93.225</v>
      </c>
    </row>
    <row r="5" customHeight="1" spans="1:23">
      <c r="A5" s="61" t="s">
        <v>162</v>
      </c>
      <c r="B5" s="61" t="s">
        <v>163</v>
      </c>
      <c r="C5" s="62">
        <f>SFM!C5</f>
        <v>6</v>
      </c>
      <c r="D5" s="63">
        <f>SFM!D5</f>
        <v>6</v>
      </c>
      <c r="E5" s="64">
        <f>SFM!E5</f>
        <v>224.34</v>
      </c>
      <c r="F5" s="65">
        <v>181</v>
      </c>
      <c r="G5" s="66">
        <v>205</v>
      </c>
      <c r="H5" s="67">
        <v>386</v>
      </c>
      <c r="I5" s="66">
        <v>258</v>
      </c>
      <c r="J5" s="66">
        <v>252</v>
      </c>
      <c r="K5" s="68">
        <v>510</v>
      </c>
      <c r="L5" s="69">
        <f>D5/H5</f>
        <v>0.0155440414507772</v>
      </c>
      <c r="M5" s="70">
        <f>Q5/E5</f>
        <v>1.87215833110457</v>
      </c>
      <c r="N5" s="63">
        <f>SFM!W5</f>
        <v>77002</v>
      </c>
      <c r="O5" s="63">
        <f>SFM!X5</f>
        <v>356</v>
      </c>
      <c r="P5" s="63">
        <f>SFM!Y5</f>
        <v>4</v>
      </c>
      <c r="Q5" s="63">
        <f>SFM!Z5</f>
        <v>420</v>
      </c>
      <c r="R5" s="63">
        <f>SFM!AA5</f>
        <v>129.56</v>
      </c>
      <c r="S5" s="63">
        <f>SFM!AB5</f>
        <v>1.18</v>
      </c>
      <c r="T5" s="71">
        <f t="shared" si="0"/>
        <v>3.24174127817228</v>
      </c>
      <c r="U5" s="72">
        <f t="shared" si="1"/>
        <v>0.0046232565387912</v>
      </c>
      <c r="V5" s="72">
        <f t="shared" si="2"/>
        <v>0.0112359550561798</v>
      </c>
      <c r="W5" s="73">
        <f t="shared" si="3"/>
        <v>105</v>
      </c>
    </row>
    <row r="6" customHeight="1" spans="1:23">
      <c r="A6" s="61" t="s">
        <v>167</v>
      </c>
      <c r="B6" s="61" t="s">
        <v>168</v>
      </c>
      <c r="C6" s="62">
        <f>SFM!C6</f>
        <v>25</v>
      </c>
      <c r="D6" s="63">
        <f>SFM!D6</f>
        <v>25</v>
      </c>
      <c r="E6" s="64">
        <f>SFM!E6</f>
        <v>957.23</v>
      </c>
      <c r="F6" s="65">
        <v>183</v>
      </c>
      <c r="G6" s="66">
        <v>233</v>
      </c>
      <c r="H6" s="67">
        <v>416</v>
      </c>
      <c r="I6" s="66">
        <v>252</v>
      </c>
      <c r="J6" s="66">
        <v>293</v>
      </c>
      <c r="K6" s="68">
        <v>545</v>
      </c>
      <c r="L6" s="69">
        <f>D6/H6</f>
        <v>0.0600961538461538</v>
      </c>
      <c r="M6" s="70">
        <f>Q6/E6</f>
        <v>0.349424903105837</v>
      </c>
      <c r="N6" s="63">
        <f>SFM!W6</f>
        <v>49932</v>
      </c>
      <c r="O6" s="63">
        <f>SFM!X6</f>
        <v>257</v>
      </c>
      <c r="P6" s="63">
        <f>SFM!Y6</f>
        <v>10</v>
      </c>
      <c r="Q6" s="63">
        <f>SFM!Z6</f>
        <v>334.48</v>
      </c>
      <c r="R6" s="63">
        <f>SFM!AA6</f>
        <v>259.97</v>
      </c>
      <c r="S6" s="63">
        <f>SFM!AB6</f>
        <v>1.3</v>
      </c>
      <c r="T6" s="71">
        <f t="shared" si="0"/>
        <v>1.28660999346078</v>
      </c>
      <c r="U6" s="72">
        <f t="shared" si="1"/>
        <v>0.00514699991989105</v>
      </c>
      <c r="V6" s="72">
        <f t="shared" si="2"/>
        <v>0.0389105058365759</v>
      </c>
      <c r="W6" s="73">
        <f t="shared" si="3"/>
        <v>33.448</v>
      </c>
    </row>
    <row r="7" customHeight="1" spans="1:23">
      <c r="A7" s="61" t="s">
        <v>169</v>
      </c>
      <c r="B7" s="61" t="s">
        <v>170</v>
      </c>
      <c r="C7" s="62">
        <f>SFM!C7</f>
        <v>9</v>
      </c>
      <c r="D7" s="63">
        <f>SFM!D7</f>
        <v>9</v>
      </c>
      <c r="E7" s="64">
        <f>SFM!E7</f>
        <v>307.01</v>
      </c>
      <c r="F7" s="65">
        <v>162</v>
      </c>
      <c r="G7" s="66">
        <v>234</v>
      </c>
      <c r="H7" s="67">
        <v>396</v>
      </c>
      <c r="I7" s="66">
        <v>226</v>
      </c>
      <c r="J7" s="66">
        <v>346</v>
      </c>
      <c r="K7" s="68">
        <v>572</v>
      </c>
      <c r="L7" s="69">
        <f t="shared" ref="L7:L40" si="4">D7/H7</f>
        <v>0.0227272727272727</v>
      </c>
      <c r="M7" s="70">
        <f t="shared" ref="M7:M41" si="5">Q7/E7</f>
        <v>1.11892120777825</v>
      </c>
      <c r="N7" s="63">
        <f>SFM!W7</f>
        <v>57977</v>
      </c>
      <c r="O7" s="63">
        <f>SFM!X7</f>
        <v>246</v>
      </c>
      <c r="P7" s="63">
        <f>SFM!Y7</f>
        <v>9</v>
      </c>
      <c r="Q7" s="63">
        <f>SFM!Z7</f>
        <v>343.52</v>
      </c>
      <c r="R7" s="63">
        <f>SFM!AA7</f>
        <v>307.01</v>
      </c>
      <c r="S7" s="63">
        <f>SFM!AB7</f>
        <v>1.4</v>
      </c>
      <c r="T7" s="71">
        <f t="shared" si="0"/>
        <v>1.11892120777825</v>
      </c>
      <c r="U7" s="72">
        <f t="shared" si="1"/>
        <v>0.00424306190385843</v>
      </c>
      <c r="V7" s="72">
        <f t="shared" si="2"/>
        <v>0.0365853658536585</v>
      </c>
      <c r="W7" s="73">
        <f t="shared" si="3"/>
        <v>38.1688888888889</v>
      </c>
    </row>
    <row r="8" customHeight="1" spans="1:23">
      <c r="A8" s="61" t="s">
        <v>172</v>
      </c>
      <c r="B8" s="61" t="s">
        <v>173</v>
      </c>
      <c r="C8" s="62">
        <f>SFM!C8</f>
        <v>8</v>
      </c>
      <c r="D8" s="63">
        <f>SFM!D8</f>
        <v>8</v>
      </c>
      <c r="E8" s="64">
        <f>SFM!E8</f>
        <v>213.32</v>
      </c>
      <c r="F8" s="65">
        <v>134</v>
      </c>
      <c r="G8" s="66">
        <v>283</v>
      </c>
      <c r="H8" s="67">
        <v>417</v>
      </c>
      <c r="I8" s="66">
        <v>199</v>
      </c>
      <c r="J8" s="66">
        <v>373</v>
      </c>
      <c r="K8" s="68">
        <v>572</v>
      </c>
      <c r="L8" s="69">
        <f t="shared" si="4"/>
        <v>0.0191846522781775</v>
      </c>
      <c r="M8" s="70">
        <f t="shared" si="5"/>
        <v>1.90057191074442</v>
      </c>
      <c r="N8" s="63">
        <f>SFM!W8</f>
        <v>72272</v>
      </c>
      <c r="O8" s="63">
        <f>SFM!X8</f>
        <v>280</v>
      </c>
      <c r="P8" s="63">
        <f>SFM!Y8</f>
        <v>9</v>
      </c>
      <c r="Q8" s="63">
        <f>SFM!Z8</f>
        <v>405.43</v>
      </c>
      <c r="R8" s="63">
        <f>SFM!AA8</f>
        <v>213.33</v>
      </c>
      <c r="S8" s="63">
        <f>SFM!AB8</f>
        <v>1.45</v>
      </c>
      <c r="T8" s="71">
        <f t="shared" si="0"/>
        <v>1.90048282004406</v>
      </c>
      <c r="U8" s="72">
        <f t="shared" si="1"/>
        <v>0.00387425282266991</v>
      </c>
      <c r="V8" s="72">
        <f t="shared" si="2"/>
        <v>0.0321428571428571</v>
      </c>
      <c r="W8" s="73">
        <f t="shared" si="3"/>
        <v>45.0477777777778</v>
      </c>
    </row>
    <row r="9" customHeight="1" spans="1:23">
      <c r="A9" s="61" t="s">
        <v>175</v>
      </c>
      <c r="B9" s="61" t="s">
        <v>176</v>
      </c>
      <c r="C9" s="62">
        <f>SFM!C9</f>
        <v>16</v>
      </c>
      <c r="D9" s="63">
        <f>SFM!D9</f>
        <v>14</v>
      </c>
      <c r="E9" s="64">
        <f>SFM!E9</f>
        <v>578.34</v>
      </c>
      <c r="F9" s="65">
        <v>131</v>
      </c>
      <c r="G9" s="66">
        <v>340</v>
      </c>
      <c r="H9" s="67">
        <v>471</v>
      </c>
      <c r="I9" s="66">
        <v>176</v>
      </c>
      <c r="J9" s="66">
        <v>442</v>
      </c>
      <c r="K9" s="68">
        <v>618</v>
      </c>
      <c r="L9" s="69">
        <f t="shared" si="4"/>
        <v>0.029723991507431</v>
      </c>
      <c r="M9" s="70">
        <f t="shared" si="5"/>
        <v>0.625116713352007</v>
      </c>
      <c r="N9" s="63">
        <f>SFM!W9</f>
        <v>47691</v>
      </c>
      <c r="O9" s="63">
        <f>SFM!X9</f>
        <v>283</v>
      </c>
      <c r="P9" s="63">
        <f>SFM!Y9</f>
        <v>11</v>
      </c>
      <c r="Q9" s="63">
        <f>SFM!Z9</f>
        <v>361.53</v>
      </c>
      <c r="R9" s="63">
        <f>SFM!AA9</f>
        <v>385.04</v>
      </c>
      <c r="S9" s="63">
        <f>SFM!AB9</f>
        <v>1.28</v>
      </c>
      <c r="T9" s="71">
        <f t="shared" si="0"/>
        <v>0.938941408684812</v>
      </c>
      <c r="U9" s="72">
        <f t="shared" si="1"/>
        <v>0.0059340336751169</v>
      </c>
      <c r="V9" s="72">
        <f t="shared" si="2"/>
        <v>0.03886925795053</v>
      </c>
      <c r="W9" s="73">
        <f t="shared" si="3"/>
        <v>32.8663636363636</v>
      </c>
    </row>
    <row r="10" customHeight="1" spans="1:23">
      <c r="A10" s="61" t="s">
        <v>177</v>
      </c>
      <c r="B10" s="61" t="s">
        <v>178</v>
      </c>
      <c r="C10" s="62">
        <f>SFM!C10</f>
        <v>38</v>
      </c>
      <c r="D10" s="63">
        <f>SFM!D10</f>
        <v>36</v>
      </c>
      <c r="E10" s="64">
        <f>SFM!E10</f>
        <v>923.5</v>
      </c>
      <c r="F10" s="65">
        <v>146</v>
      </c>
      <c r="G10" s="66">
        <v>534</v>
      </c>
      <c r="H10" s="67">
        <v>680</v>
      </c>
      <c r="I10" s="66">
        <v>195</v>
      </c>
      <c r="J10" s="66">
        <v>718</v>
      </c>
      <c r="K10" s="68">
        <v>913</v>
      </c>
      <c r="L10" s="69">
        <f t="shared" si="4"/>
        <v>0.0529411764705882</v>
      </c>
      <c r="M10" s="70">
        <f t="shared" si="5"/>
        <v>0.652853275582025</v>
      </c>
      <c r="N10" s="63">
        <f>SFM!W10</f>
        <v>65793</v>
      </c>
      <c r="O10" s="63">
        <f>SFM!X10</f>
        <v>479</v>
      </c>
      <c r="P10" s="63">
        <f>SFM!Y10</f>
        <v>34</v>
      </c>
      <c r="Q10" s="63">
        <f>SFM!Z10</f>
        <v>602.91</v>
      </c>
      <c r="R10" s="63">
        <f>SFM!AA10</f>
        <v>866.68</v>
      </c>
      <c r="S10" s="63">
        <f>SFM!AB10</f>
        <v>1.26</v>
      </c>
      <c r="T10" s="71">
        <f t="shared" si="0"/>
        <v>0.695654682235658</v>
      </c>
      <c r="U10" s="72">
        <f t="shared" si="1"/>
        <v>0.00728040977003633</v>
      </c>
      <c r="V10" s="72">
        <f t="shared" si="2"/>
        <v>0.0709812108559499</v>
      </c>
      <c r="W10" s="73">
        <f t="shared" si="3"/>
        <v>17.7326470588235</v>
      </c>
    </row>
    <row r="11" customHeight="1" spans="1:23">
      <c r="A11" s="74" t="s">
        <v>179</v>
      </c>
      <c r="B11" s="74" t="s">
        <v>180</v>
      </c>
      <c r="C11" s="62">
        <f>SFM!C11</f>
        <v>33</v>
      </c>
      <c r="D11" s="63">
        <f>SFM!D11</f>
        <v>33</v>
      </c>
      <c r="E11" s="64">
        <f>SFM!E11</f>
        <v>766.41</v>
      </c>
      <c r="F11" s="65">
        <v>241</v>
      </c>
      <c r="G11" s="66">
        <v>635</v>
      </c>
      <c r="H11" s="67">
        <v>876</v>
      </c>
      <c r="I11" s="66">
        <v>307</v>
      </c>
      <c r="J11" s="66">
        <v>820</v>
      </c>
      <c r="K11" s="68">
        <v>1127</v>
      </c>
      <c r="L11" s="69">
        <f t="shared" si="4"/>
        <v>0.0376712328767123</v>
      </c>
      <c r="M11" s="70">
        <f t="shared" si="5"/>
        <v>0.935426207904385</v>
      </c>
      <c r="N11" s="63">
        <f>SFM!W11</f>
        <v>107156</v>
      </c>
      <c r="O11" s="63">
        <f>SFM!X11</f>
        <v>591</v>
      </c>
      <c r="P11" s="63">
        <f>SFM!Y11</f>
        <v>29</v>
      </c>
      <c r="Q11" s="63">
        <f>SFM!Z11</f>
        <v>716.92</v>
      </c>
      <c r="R11" s="63">
        <f>SFM!AA11</f>
        <v>669.91</v>
      </c>
      <c r="S11" s="63">
        <f>SFM!AB11</f>
        <v>1.22</v>
      </c>
      <c r="T11" s="71">
        <f t="shared" si="0"/>
        <v>1.07017360540968</v>
      </c>
      <c r="U11" s="72">
        <f t="shared" si="1"/>
        <v>0.00551532345365635</v>
      </c>
      <c r="V11" s="72">
        <f t="shared" si="2"/>
        <v>0.0490693739424704</v>
      </c>
      <c r="W11" s="73">
        <f t="shared" si="3"/>
        <v>24.7213793103448</v>
      </c>
    </row>
    <row r="12" customHeight="1" spans="1:23">
      <c r="A12" s="75" t="s">
        <v>181</v>
      </c>
      <c r="B12" s="76" t="s">
        <v>182</v>
      </c>
      <c r="C12" s="62">
        <f>SFM!C12</f>
        <v>11</v>
      </c>
      <c r="D12" s="63">
        <f>SFM!D12</f>
        <v>11</v>
      </c>
      <c r="E12" s="64">
        <f>SFM!E12</f>
        <v>283.01</v>
      </c>
      <c r="F12" s="65">
        <v>119</v>
      </c>
      <c r="G12" s="66">
        <v>279</v>
      </c>
      <c r="H12" s="67">
        <v>398</v>
      </c>
      <c r="I12" s="66">
        <v>189</v>
      </c>
      <c r="J12" s="66">
        <v>391</v>
      </c>
      <c r="K12" s="68">
        <v>580</v>
      </c>
      <c r="L12" s="69">
        <f t="shared" si="4"/>
        <v>0.0276381909547739</v>
      </c>
      <c r="M12" s="70">
        <f t="shared" si="5"/>
        <v>0.855128794035546</v>
      </c>
      <c r="N12" s="63">
        <f>SFM!W12</f>
        <v>36941</v>
      </c>
      <c r="O12" s="63">
        <f>SFM!X12</f>
        <v>193</v>
      </c>
      <c r="P12" s="63">
        <f>SFM!Y12</f>
        <v>9</v>
      </c>
      <c r="Q12" s="63">
        <f>SFM!Z12</f>
        <v>242.01</v>
      </c>
      <c r="R12" s="63">
        <f>SFM!AA12</f>
        <v>188</v>
      </c>
      <c r="S12" s="63">
        <f>SFM!AB12</f>
        <v>1.17</v>
      </c>
      <c r="T12" s="71">
        <f t="shared" si="0"/>
        <v>1.28728723404255</v>
      </c>
      <c r="U12" s="72">
        <f t="shared" si="1"/>
        <v>0.0052245472510219</v>
      </c>
      <c r="V12" s="72">
        <f t="shared" si="2"/>
        <v>0.0466321243523316</v>
      </c>
      <c r="W12" s="73">
        <f t="shared" si="3"/>
        <v>26.89</v>
      </c>
    </row>
    <row r="13" customHeight="1" spans="1:23">
      <c r="A13" s="75" t="s">
        <v>183</v>
      </c>
      <c r="B13" s="76" t="s">
        <v>184</v>
      </c>
      <c r="C13" s="62">
        <f>SFM!C13</f>
        <v>66</v>
      </c>
      <c r="D13" s="63">
        <f>SFM!D13</f>
        <v>63</v>
      </c>
      <c r="E13" s="64">
        <f>SFM!E13</f>
        <v>1645.68</v>
      </c>
      <c r="F13" s="65">
        <v>315</v>
      </c>
      <c r="G13" s="66">
        <v>836</v>
      </c>
      <c r="H13" s="67">
        <v>1151</v>
      </c>
      <c r="I13" s="66">
        <v>611</v>
      </c>
      <c r="J13" s="66">
        <v>1107</v>
      </c>
      <c r="K13" s="68">
        <v>1718</v>
      </c>
      <c r="L13" s="69">
        <f t="shared" si="4"/>
        <v>0.054735013032146</v>
      </c>
      <c r="M13" s="70">
        <f t="shared" si="5"/>
        <v>0.440128092946381</v>
      </c>
      <c r="N13" s="63">
        <f>SFM!W13</f>
        <v>75565</v>
      </c>
      <c r="O13" s="63">
        <f>SFM!X13</f>
        <v>516</v>
      </c>
      <c r="P13" s="63">
        <f>SFM!Y13</f>
        <v>36</v>
      </c>
      <c r="Q13" s="63">
        <f>SFM!Z13</f>
        <v>724.31</v>
      </c>
      <c r="R13" s="63">
        <f>SFM!AA13</f>
        <v>1067.89</v>
      </c>
      <c r="S13" s="63">
        <f>SFM!AB13</f>
        <v>1.55</v>
      </c>
      <c r="T13" s="71">
        <f t="shared" si="0"/>
        <v>0.67826274241729</v>
      </c>
      <c r="U13" s="72">
        <f t="shared" si="1"/>
        <v>0.00682855819493152</v>
      </c>
      <c r="V13" s="72">
        <f t="shared" si="2"/>
        <v>0.0697674418604651</v>
      </c>
      <c r="W13" s="73">
        <f t="shared" si="3"/>
        <v>20.1197222222222</v>
      </c>
    </row>
    <row r="14" customHeight="1" spans="1:23">
      <c r="A14" s="77" t="s">
        <v>185</v>
      </c>
      <c r="B14" s="78" t="s">
        <v>186</v>
      </c>
      <c r="C14" s="62">
        <f>SFM!C14</f>
        <v>28</v>
      </c>
      <c r="D14" s="63">
        <f>SFM!D14</f>
        <v>26</v>
      </c>
      <c r="E14" s="64">
        <f>SFM!E14</f>
        <v>721.13</v>
      </c>
      <c r="F14" s="65">
        <v>206</v>
      </c>
      <c r="G14" s="66">
        <v>346</v>
      </c>
      <c r="H14" s="67">
        <v>552</v>
      </c>
      <c r="I14" s="66">
        <v>933</v>
      </c>
      <c r="J14" s="66">
        <v>446</v>
      </c>
      <c r="K14" s="68">
        <v>1379</v>
      </c>
      <c r="L14" s="69">
        <f t="shared" si="4"/>
        <v>0.0471014492753623</v>
      </c>
      <c r="M14" s="70">
        <f t="shared" si="5"/>
        <v>0.656760916894319</v>
      </c>
      <c r="N14" s="63">
        <f>SFM!W14</f>
        <v>39471</v>
      </c>
      <c r="O14" s="63">
        <f>SFM!X14</f>
        <v>341</v>
      </c>
      <c r="P14" s="63">
        <f>SFM!Y14</f>
        <v>20</v>
      </c>
      <c r="Q14" s="63">
        <f>SFM!Z14</f>
        <v>473.61</v>
      </c>
      <c r="R14" s="63">
        <f>SFM!AA14</f>
        <v>571.56</v>
      </c>
      <c r="S14" s="63">
        <f>SFM!AB14</f>
        <v>1.39</v>
      </c>
      <c r="T14" s="71">
        <f t="shared" si="0"/>
        <v>0.828626915809364</v>
      </c>
      <c r="U14" s="72">
        <f t="shared" si="1"/>
        <v>0.00863925413594791</v>
      </c>
      <c r="V14" s="72">
        <f t="shared" si="2"/>
        <v>0.0586510263929619</v>
      </c>
      <c r="W14" s="73">
        <f t="shared" si="3"/>
        <v>23.6805</v>
      </c>
    </row>
    <row r="15" customHeight="1" spans="1:23">
      <c r="A15" s="77" t="s">
        <v>187</v>
      </c>
      <c r="B15" s="78" t="s">
        <v>188</v>
      </c>
      <c r="C15" s="62">
        <f>SFM!C15</f>
        <v>20</v>
      </c>
      <c r="D15" s="63">
        <f>SFM!D15</f>
        <v>20</v>
      </c>
      <c r="E15" s="64">
        <f>SFM!E15</f>
        <v>461.5</v>
      </c>
      <c r="F15" s="65">
        <v>70</v>
      </c>
      <c r="G15" s="66">
        <v>227</v>
      </c>
      <c r="H15" s="67">
        <v>297</v>
      </c>
      <c r="I15" s="66">
        <v>191</v>
      </c>
      <c r="J15" s="66">
        <v>281</v>
      </c>
      <c r="K15" s="68">
        <v>472</v>
      </c>
      <c r="L15" s="69">
        <f t="shared" si="4"/>
        <v>0.0673400673400673</v>
      </c>
      <c r="M15" s="70">
        <f t="shared" si="5"/>
        <v>0.548732394366197</v>
      </c>
      <c r="N15" s="63">
        <f>SFM!W15</f>
        <v>19193</v>
      </c>
      <c r="O15" s="63">
        <f>SFM!X15</f>
        <v>205</v>
      </c>
      <c r="P15" s="63">
        <f>SFM!Y15</f>
        <v>12</v>
      </c>
      <c r="Q15" s="63">
        <f>SFM!Z15</f>
        <v>253.24</v>
      </c>
      <c r="R15" s="63">
        <f>SFM!AA15</f>
        <v>255.48</v>
      </c>
      <c r="S15" s="63">
        <f>SFM!AB15</f>
        <v>1.24</v>
      </c>
      <c r="T15" s="71">
        <f t="shared" si="0"/>
        <v>0.991232190386723</v>
      </c>
      <c r="U15" s="72">
        <f t="shared" si="1"/>
        <v>0.0106809774396916</v>
      </c>
      <c r="V15" s="72">
        <f t="shared" si="2"/>
        <v>0.0585365853658537</v>
      </c>
      <c r="W15" s="73">
        <f t="shared" si="3"/>
        <v>21.1033333333333</v>
      </c>
    </row>
    <row r="16" customHeight="1" spans="1:23">
      <c r="A16" s="75" t="s">
        <v>189</v>
      </c>
      <c r="B16" s="76" t="s">
        <v>190</v>
      </c>
      <c r="C16" s="62">
        <f>SFM!C16</f>
        <v>1</v>
      </c>
      <c r="D16" s="63">
        <f>SFM!D16</f>
        <v>1</v>
      </c>
      <c r="E16" s="64">
        <f>SFM!E16</f>
        <v>36.69</v>
      </c>
      <c r="F16" s="65">
        <v>111</v>
      </c>
      <c r="G16" s="66">
        <v>296</v>
      </c>
      <c r="H16" s="67">
        <v>407</v>
      </c>
      <c r="I16" s="66">
        <v>187</v>
      </c>
      <c r="J16" s="66">
        <v>365</v>
      </c>
      <c r="K16" s="68">
        <v>552</v>
      </c>
      <c r="L16" s="69">
        <f t="shared" si="4"/>
        <v>0.00245700245700246</v>
      </c>
      <c r="M16" s="70">
        <f t="shared" si="5"/>
        <v>10.4314527119106</v>
      </c>
      <c r="N16" s="63">
        <f>SFM!W16</f>
        <v>26307</v>
      </c>
      <c r="O16" s="63">
        <f>SFM!X16</f>
        <v>250</v>
      </c>
      <c r="P16" s="63">
        <f>SFM!Y16</f>
        <v>23</v>
      </c>
      <c r="Q16" s="63">
        <f>SFM!Z16</f>
        <v>382.73</v>
      </c>
      <c r="R16" s="63">
        <f>SFM!AA16</f>
        <v>556.34</v>
      </c>
      <c r="S16" s="63">
        <f>SFM!AB16</f>
        <v>1.53</v>
      </c>
      <c r="T16" s="71">
        <f t="shared" si="0"/>
        <v>0.687942625013481</v>
      </c>
      <c r="U16" s="72">
        <f t="shared" si="1"/>
        <v>0.00950317406013608</v>
      </c>
      <c r="V16" s="72">
        <f t="shared" si="2"/>
        <v>0.092</v>
      </c>
      <c r="W16" s="73">
        <f t="shared" si="3"/>
        <v>16.6404347826087</v>
      </c>
    </row>
    <row r="17" customHeight="1" spans="1:23">
      <c r="A17" s="75" t="s">
        <v>191</v>
      </c>
      <c r="B17" s="76" t="s">
        <v>192</v>
      </c>
      <c r="C17" s="62">
        <f>SFM!C17</f>
        <v>0</v>
      </c>
      <c r="D17" s="63">
        <f>SFM!D17</f>
        <v>0</v>
      </c>
      <c r="E17" s="64">
        <f>SFM!E17</f>
        <v>0</v>
      </c>
      <c r="F17" s="65">
        <v>141</v>
      </c>
      <c r="G17" s="66">
        <v>426</v>
      </c>
      <c r="H17" s="67">
        <v>567</v>
      </c>
      <c r="I17" s="66">
        <v>207</v>
      </c>
      <c r="J17" s="66">
        <v>511</v>
      </c>
      <c r="K17" s="68">
        <v>718</v>
      </c>
      <c r="L17" s="69">
        <f t="shared" si="4"/>
        <v>0</v>
      </c>
      <c r="M17" s="70" t="e">
        <f t="shared" si="5"/>
        <v>#DIV/0!</v>
      </c>
      <c r="N17" s="63">
        <f>SFM!W17</f>
        <v>20619</v>
      </c>
      <c r="O17" s="63">
        <f>SFM!X17</f>
        <v>227</v>
      </c>
      <c r="P17" s="63">
        <f>SFM!Y17</f>
        <v>19</v>
      </c>
      <c r="Q17" s="63">
        <f>SFM!Z17</f>
        <v>351.93</v>
      </c>
      <c r="R17" s="63">
        <f>SFM!AA17</f>
        <v>405.22</v>
      </c>
      <c r="S17" s="63">
        <f>SFM!AB17</f>
        <v>1.55</v>
      </c>
      <c r="T17" s="71">
        <f t="shared" si="0"/>
        <v>0.86849118997088</v>
      </c>
      <c r="U17" s="72">
        <f t="shared" si="1"/>
        <v>0.011009263300839</v>
      </c>
      <c r="V17" s="72">
        <f t="shared" si="2"/>
        <v>0.0837004405286344</v>
      </c>
      <c r="W17" s="73">
        <f t="shared" si="3"/>
        <v>18.5226315789474</v>
      </c>
    </row>
    <row r="18" customHeight="1" spans="1:23">
      <c r="A18" s="77" t="s">
        <v>193</v>
      </c>
      <c r="B18" s="78" t="s">
        <v>194</v>
      </c>
      <c r="C18" s="62">
        <f>SFM!C18</f>
        <v>10</v>
      </c>
      <c r="D18" s="63">
        <f>SFM!D18</f>
        <v>10</v>
      </c>
      <c r="E18" s="64">
        <f>SFM!E18</f>
        <v>347.93</v>
      </c>
      <c r="F18" s="65">
        <v>101</v>
      </c>
      <c r="G18" s="66">
        <v>212</v>
      </c>
      <c r="H18" s="67">
        <v>313</v>
      </c>
      <c r="I18" s="66">
        <v>154</v>
      </c>
      <c r="J18" s="66">
        <v>258</v>
      </c>
      <c r="K18" s="68">
        <v>412</v>
      </c>
      <c r="L18" s="69">
        <f t="shared" si="4"/>
        <v>0.0319488817891374</v>
      </c>
      <c r="M18" s="70">
        <f t="shared" si="5"/>
        <v>0.739976432040928</v>
      </c>
      <c r="N18" s="63">
        <f>SFM!W18</f>
        <v>26629</v>
      </c>
      <c r="O18" s="63">
        <f>SFM!X18</f>
        <v>186</v>
      </c>
      <c r="P18" s="63">
        <f>SFM!Y18</f>
        <v>9</v>
      </c>
      <c r="Q18" s="63">
        <f>SFM!Z18</f>
        <v>257.46</v>
      </c>
      <c r="R18" s="63">
        <f>SFM!AA18</f>
        <v>264.43</v>
      </c>
      <c r="S18" s="63">
        <f>SFM!AB18</f>
        <v>1.38</v>
      </c>
      <c r="T18" s="71">
        <f t="shared" si="0"/>
        <v>0.973641417388345</v>
      </c>
      <c r="U18" s="72">
        <f t="shared" si="1"/>
        <v>0.0069848661233993</v>
      </c>
      <c r="V18" s="72">
        <f t="shared" si="2"/>
        <v>0.0483870967741935</v>
      </c>
      <c r="W18" s="73">
        <f t="shared" si="3"/>
        <v>28.6066666666667</v>
      </c>
    </row>
    <row r="19" customHeight="1" spans="1:23">
      <c r="A19" s="61" t="s">
        <v>195</v>
      </c>
      <c r="B19" s="61" t="s">
        <v>196</v>
      </c>
      <c r="C19" s="62">
        <f>SFM!C19</f>
        <v>17</v>
      </c>
      <c r="D19" s="63">
        <f>SFM!D19</f>
        <v>16</v>
      </c>
      <c r="E19" s="64">
        <f>SFM!E19</f>
        <v>470.26</v>
      </c>
      <c r="F19" s="65">
        <v>100</v>
      </c>
      <c r="G19" s="66">
        <v>293</v>
      </c>
      <c r="H19" s="67">
        <v>393</v>
      </c>
      <c r="I19" s="66">
        <v>120</v>
      </c>
      <c r="J19" s="66">
        <v>400</v>
      </c>
      <c r="K19" s="68">
        <v>520</v>
      </c>
      <c r="L19" s="69">
        <f t="shared" si="4"/>
        <v>0.0407124681933842</v>
      </c>
      <c r="M19" s="70">
        <f t="shared" si="5"/>
        <v>0.960404882405478</v>
      </c>
      <c r="N19" s="63">
        <f>SFM!W19</f>
        <v>43105</v>
      </c>
      <c r="O19" s="63">
        <f>SFM!X19</f>
        <v>323</v>
      </c>
      <c r="P19" s="63">
        <f>SFM!Y19</f>
        <v>15</v>
      </c>
      <c r="Q19" s="63">
        <f>SFM!Z19</f>
        <v>451.64</v>
      </c>
      <c r="R19" s="63">
        <f>SFM!AA19</f>
        <v>425.96</v>
      </c>
      <c r="S19" s="63">
        <f>SFM!AB19</f>
        <v>1.4</v>
      </c>
      <c r="T19" s="71">
        <f t="shared" si="0"/>
        <v>1.06028735092497</v>
      </c>
      <c r="U19" s="72">
        <f t="shared" si="1"/>
        <v>0.00749333024011136</v>
      </c>
      <c r="V19" s="72">
        <f t="shared" si="2"/>
        <v>0.0464396284829721</v>
      </c>
      <c r="W19" s="73">
        <f t="shared" si="3"/>
        <v>30.1093333333333</v>
      </c>
    </row>
    <row r="20" customHeight="1" spans="1:23">
      <c r="A20" s="61" t="s">
        <v>198</v>
      </c>
      <c r="B20" s="61" t="s">
        <v>199</v>
      </c>
      <c r="C20" s="62">
        <f>SFM!C20</f>
        <v>10</v>
      </c>
      <c r="D20" s="63">
        <f>SFM!D20</f>
        <v>10</v>
      </c>
      <c r="E20" s="64">
        <f>SFM!E20</f>
        <v>280.4</v>
      </c>
      <c r="F20" s="65">
        <v>38</v>
      </c>
      <c r="G20" s="66">
        <v>141</v>
      </c>
      <c r="H20" s="67">
        <v>179</v>
      </c>
      <c r="I20" s="66">
        <v>50</v>
      </c>
      <c r="J20" s="66">
        <v>166</v>
      </c>
      <c r="K20" s="68">
        <v>216</v>
      </c>
      <c r="L20" s="69">
        <f t="shared" si="4"/>
        <v>0.0558659217877095</v>
      </c>
      <c r="M20" s="70">
        <f t="shared" si="5"/>
        <v>0.479529243937233</v>
      </c>
      <c r="N20" s="63">
        <f>SFM!W20</f>
        <v>14215</v>
      </c>
      <c r="O20" s="63">
        <f>SFM!X20</f>
        <v>111</v>
      </c>
      <c r="P20" s="63">
        <f>SFM!Y20</f>
        <v>9</v>
      </c>
      <c r="Q20" s="63">
        <f>SFM!Z20</f>
        <v>134.46</v>
      </c>
      <c r="R20" s="63">
        <f>SFM!AA20</f>
        <v>260.51</v>
      </c>
      <c r="S20" s="63">
        <f>SFM!AB20</f>
        <v>1.21</v>
      </c>
      <c r="T20" s="71">
        <f t="shared" si="0"/>
        <v>0.516141414916894</v>
      </c>
      <c r="U20" s="72">
        <f t="shared" si="1"/>
        <v>0.007808652831516</v>
      </c>
      <c r="V20" s="72">
        <f t="shared" si="2"/>
        <v>0.0810810810810811</v>
      </c>
      <c r="W20" s="73">
        <f t="shared" si="3"/>
        <v>14.94</v>
      </c>
    </row>
    <row r="21" customHeight="1" spans="1:23">
      <c r="A21" s="61" t="s">
        <v>200</v>
      </c>
      <c r="B21" s="61" t="s">
        <v>201</v>
      </c>
      <c r="C21" s="62">
        <f>SFM!C21</f>
        <v>8</v>
      </c>
      <c r="D21" s="63">
        <f>SFM!D21</f>
        <v>8</v>
      </c>
      <c r="E21" s="64">
        <f>SFM!E21</f>
        <v>179.98</v>
      </c>
      <c r="F21" s="65">
        <v>47</v>
      </c>
      <c r="G21" s="66">
        <v>97</v>
      </c>
      <c r="H21" s="67">
        <v>144</v>
      </c>
      <c r="I21" s="66">
        <v>52</v>
      </c>
      <c r="J21" s="66">
        <v>117</v>
      </c>
      <c r="K21" s="68">
        <v>169</v>
      </c>
      <c r="L21" s="69">
        <f t="shared" si="4"/>
        <v>0.0555555555555556</v>
      </c>
      <c r="M21" s="70">
        <f t="shared" si="5"/>
        <v>0.730303367040782</v>
      </c>
      <c r="N21" s="63">
        <f>SFM!W21</f>
        <v>15171</v>
      </c>
      <c r="O21" s="63">
        <f>SFM!X21</f>
        <v>100</v>
      </c>
      <c r="P21" s="63">
        <f>SFM!Y21</f>
        <v>6</v>
      </c>
      <c r="Q21" s="63">
        <f>SFM!Z21</f>
        <v>131.44</v>
      </c>
      <c r="R21" s="63">
        <f>SFM!AA21</f>
        <v>135.63</v>
      </c>
      <c r="S21" s="63">
        <f>SFM!AB21</f>
        <v>1.29</v>
      </c>
      <c r="T21" s="71">
        <f t="shared" si="0"/>
        <v>0.969107129691071</v>
      </c>
      <c r="U21" s="72">
        <f t="shared" si="1"/>
        <v>0.00659152330103487</v>
      </c>
      <c r="V21" s="72">
        <f t="shared" si="2"/>
        <v>0.06</v>
      </c>
      <c r="W21" s="73">
        <f t="shared" si="3"/>
        <v>21.9066666666667</v>
      </c>
    </row>
    <row r="22" customHeight="1" spans="1:23">
      <c r="A22" s="61" t="s">
        <v>202</v>
      </c>
      <c r="B22" s="61" t="s">
        <v>203</v>
      </c>
      <c r="C22" s="62">
        <f>SFM!C22</f>
        <v>6</v>
      </c>
      <c r="D22" s="63">
        <f>SFM!D22</f>
        <v>6</v>
      </c>
      <c r="E22" s="64">
        <f>SFM!E22</f>
        <v>137.33</v>
      </c>
      <c r="F22" s="65">
        <v>55</v>
      </c>
      <c r="G22" s="66">
        <v>116</v>
      </c>
      <c r="H22" s="67">
        <v>171</v>
      </c>
      <c r="I22" s="66">
        <v>62</v>
      </c>
      <c r="J22" s="66">
        <v>140</v>
      </c>
      <c r="K22" s="68">
        <v>202</v>
      </c>
      <c r="L22" s="69">
        <f t="shared" si="4"/>
        <v>0.0350877192982456</v>
      </c>
      <c r="M22" s="70">
        <f t="shared" si="5"/>
        <v>0.920410689579844</v>
      </c>
      <c r="N22" s="63">
        <f>SFM!W22</f>
        <v>19126</v>
      </c>
      <c r="O22" s="63">
        <f>SFM!X22</f>
        <v>103</v>
      </c>
      <c r="P22" s="63">
        <f>SFM!Y22</f>
        <v>6</v>
      </c>
      <c r="Q22" s="63">
        <f>SFM!Z22</f>
        <v>126.4</v>
      </c>
      <c r="R22" s="63">
        <f>SFM!AA22</f>
        <v>100.38</v>
      </c>
      <c r="S22" s="63">
        <f>SFM!AB22</f>
        <v>1.22</v>
      </c>
      <c r="T22" s="71">
        <f t="shared" si="0"/>
        <v>1.25921498306436</v>
      </c>
      <c r="U22" s="72">
        <f t="shared" si="1"/>
        <v>0.00538533932866255</v>
      </c>
      <c r="V22" s="72">
        <f t="shared" si="2"/>
        <v>0.058252427184466</v>
      </c>
      <c r="W22" s="73">
        <f t="shared" si="3"/>
        <v>21.0666666666667</v>
      </c>
    </row>
    <row r="23" customHeight="1" spans="1:23">
      <c r="A23" s="61" t="s">
        <v>205</v>
      </c>
      <c r="B23" s="61" t="s">
        <v>206</v>
      </c>
      <c r="C23" s="62">
        <f>SFM!C23</f>
        <v>1</v>
      </c>
      <c r="D23" s="63">
        <f>SFM!D23</f>
        <v>1</v>
      </c>
      <c r="E23" s="64">
        <f>SFM!E23</f>
        <v>26.89</v>
      </c>
      <c r="F23" s="65">
        <v>26</v>
      </c>
      <c r="G23" s="66">
        <v>62</v>
      </c>
      <c r="H23" s="67">
        <v>88</v>
      </c>
      <c r="I23" s="66">
        <v>28</v>
      </c>
      <c r="J23" s="66">
        <v>75</v>
      </c>
      <c r="K23" s="68">
        <v>103</v>
      </c>
      <c r="L23" s="69">
        <f t="shared" si="4"/>
        <v>0.0113636363636364</v>
      </c>
      <c r="M23" s="70">
        <f t="shared" si="5"/>
        <v>1.89178133134994</v>
      </c>
      <c r="N23" s="63">
        <f>SFM!W23</f>
        <v>9502</v>
      </c>
      <c r="O23" s="63">
        <f>SFM!X23</f>
        <v>51</v>
      </c>
      <c r="P23" s="63">
        <f>SFM!Y23</f>
        <v>1</v>
      </c>
      <c r="Q23" s="63">
        <f>SFM!Z23</f>
        <v>50.87</v>
      </c>
      <c r="R23" s="63">
        <f>SFM!AA23</f>
        <v>26.89</v>
      </c>
      <c r="S23" s="63">
        <f>SFM!AB23</f>
        <v>1</v>
      </c>
      <c r="T23" s="71">
        <f t="shared" si="0"/>
        <v>1.89178133134994</v>
      </c>
      <c r="U23" s="72">
        <f t="shared" si="1"/>
        <v>0.00536729109661124</v>
      </c>
      <c r="V23" s="72">
        <f t="shared" si="2"/>
        <v>0.0196078431372549</v>
      </c>
      <c r="W23" s="73">
        <f t="shared" si="3"/>
        <v>50.87</v>
      </c>
    </row>
    <row r="24" customHeight="1" spans="1:23">
      <c r="A24" s="61" t="s">
        <v>208</v>
      </c>
      <c r="B24" s="61" t="s">
        <v>209</v>
      </c>
      <c r="C24" s="62">
        <f>SFM!C24</f>
        <v>4</v>
      </c>
      <c r="D24" s="63">
        <f>SFM!D24</f>
        <v>4</v>
      </c>
      <c r="E24" s="64">
        <f>SFM!E24</f>
        <v>158.25</v>
      </c>
      <c r="F24" s="65">
        <v>24</v>
      </c>
      <c r="G24" s="66">
        <v>25</v>
      </c>
      <c r="H24" s="67">
        <v>49</v>
      </c>
      <c r="I24" s="66">
        <v>36</v>
      </c>
      <c r="J24" s="66">
        <v>30</v>
      </c>
      <c r="K24" s="68">
        <v>66</v>
      </c>
      <c r="L24" s="69">
        <f t="shared" si="4"/>
        <v>0.0816326530612245</v>
      </c>
      <c r="M24" s="70">
        <f t="shared" si="5"/>
        <v>0.223380726698262</v>
      </c>
      <c r="N24" s="63">
        <f>SFM!W24</f>
        <v>5013</v>
      </c>
      <c r="O24" s="63">
        <f>SFM!X24</f>
        <v>34</v>
      </c>
      <c r="P24" s="63">
        <f>SFM!Y24</f>
        <v>3</v>
      </c>
      <c r="Q24" s="63">
        <f>SFM!Z24</f>
        <v>35.35</v>
      </c>
      <c r="R24" s="63">
        <f>SFM!AA24</f>
        <v>112.13</v>
      </c>
      <c r="S24" s="63">
        <f>SFM!AB24</f>
        <v>1.04</v>
      </c>
      <c r="T24" s="71">
        <f t="shared" si="0"/>
        <v>0.315259074288772</v>
      </c>
      <c r="U24" s="72">
        <f t="shared" si="1"/>
        <v>0.00678236584879314</v>
      </c>
      <c r="V24" s="72">
        <f t="shared" si="2"/>
        <v>0.0882352941176471</v>
      </c>
      <c r="W24" s="73">
        <f t="shared" si="3"/>
        <v>11.7833333333333</v>
      </c>
    </row>
    <row r="25" customHeight="1" spans="1:23">
      <c r="A25" s="61" t="s">
        <v>210</v>
      </c>
      <c r="B25" s="61" t="s">
        <v>211</v>
      </c>
      <c r="C25" s="62">
        <f>SFM!C25</f>
        <v>2</v>
      </c>
      <c r="D25" s="63">
        <f>SFM!D25</f>
        <v>2</v>
      </c>
      <c r="E25" s="64">
        <f>SFM!E25</f>
        <v>52.8</v>
      </c>
      <c r="F25" s="65">
        <v>32</v>
      </c>
      <c r="G25" s="66">
        <v>58</v>
      </c>
      <c r="H25" s="67">
        <v>90</v>
      </c>
      <c r="I25" s="66">
        <v>42</v>
      </c>
      <c r="J25" s="66">
        <v>71</v>
      </c>
      <c r="K25" s="68">
        <v>113</v>
      </c>
      <c r="L25" s="69">
        <f t="shared" si="4"/>
        <v>0.0222222222222222</v>
      </c>
      <c r="M25" s="70">
        <f t="shared" si="5"/>
        <v>1.00492424242424</v>
      </c>
      <c r="N25" s="63">
        <f>SFM!W25</f>
        <v>7166</v>
      </c>
      <c r="O25" s="63">
        <f>SFM!X25</f>
        <v>50</v>
      </c>
      <c r="P25" s="63">
        <f>SFM!Y25</f>
        <v>1</v>
      </c>
      <c r="Q25" s="63">
        <f>SFM!Z25</f>
        <v>53.06</v>
      </c>
      <c r="R25" s="63">
        <f>SFM!AA25</f>
        <v>15.91</v>
      </c>
      <c r="S25" s="63">
        <f>SFM!AB25</f>
        <v>1.06</v>
      </c>
      <c r="T25" s="71">
        <f t="shared" si="0"/>
        <v>3.33500942803268</v>
      </c>
      <c r="U25" s="72">
        <f t="shared" si="1"/>
        <v>0.00697739324588334</v>
      </c>
      <c r="V25" s="72">
        <f t="shared" si="2"/>
        <v>0.02</v>
      </c>
      <c r="W25" s="73">
        <f t="shared" si="3"/>
        <v>53.06</v>
      </c>
    </row>
    <row r="26" customHeight="1" spans="1:23">
      <c r="A26" s="61" t="s">
        <v>213</v>
      </c>
      <c r="B26" s="61" t="s">
        <v>214</v>
      </c>
      <c r="C26" s="62">
        <f>SFM!C26</f>
        <v>11</v>
      </c>
      <c r="D26" s="63">
        <f>SFM!D26</f>
        <v>11</v>
      </c>
      <c r="E26" s="64">
        <f>SFM!E26</f>
        <v>268.35</v>
      </c>
      <c r="F26" s="65">
        <v>36</v>
      </c>
      <c r="G26" s="66">
        <v>85</v>
      </c>
      <c r="H26" s="67">
        <v>121</v>
      </c>
      <c r="I26" s="66">
        <v>45</v>
      </c>
      <c r="J26" s="66">
        <v>111</v>
      </c>
      <c r="K26" s="68">
        <v>156</v>
      </c>
      <c r="L26" s="69">
        <f t="shared" si="4"/>
        <v>0.0909090909090909</v>
      </c>
      <c r="M26" s="70">
        <f t="shared" si="5"/>
        <v>0.250605552450158</v>
      </c>
      <c r="N26" s="63">
        <f>SFM!W26</f>
        <v>9723</v>
      </c>
      <c r="O26" s="63">
        <f>SFM!X26</f>
        <v>67</v>
      </c>
      <c r="P26" s="63">
        <f>SFM!Y26</f>
        <v>7</v>
      </c>
      <c r="Q26" s="63">
        <f>SFM!Z26</f>
        <v>67.25</v>
      </c>
      <c r="R26" s="63">
        <f>SFM!AA26</f>
        <v>129.1</v>
      </c>
      <c r="S26" s="63">
        <f>SFM!AB26</f>
        <v>1</v>
      </c>
      <c r="T26" s="71">
        <f t="shared" si="0"/>
        <v>0.520914020139427</v>
      </c>
      <c r="U26" s="72">
        <f t="shared" si="1"/>
        <v>0.00689087730124447</v>
      </c>
      <c r="V26" s="72">
        <f t="shared" si="2"/>
        <v>0.104477611940299</v>
      </c>
      <c r="W26" s="73">
        <f t="shared" si="3"/>
        <v>9.60714285714286</v>
      </c>
    </row>
    <row r="27" customHeight="1" spans="1:23">
      <c r="A27" s="61" t="s">
        <v>216</v>
      </c>
      <c r="B27" s="61" t="s">
        <v>217</v>
      </c>
      <c r="C27" s="62">
        <f>SFM!C27</f>
        <v>5</v>
      </c>
      <c r="D27" s="63">
        <f>SFM!D27</f>
        <v>5</v>
      </c>
      <c r="E27" s="64">
        <f>SFM!E27</f>
        <v>101.51</v>
      </c>
      <c r="F27" s="65">
        <v>30</v>
      </c>
      <c r="G27" s="66">
        <v>62</v>
      </c>
      <c r="H27" s="67">
        <v>92</v>
      </c>
      <c r="I27" s="66">
        <v>40</v>
      </c>
      <c r="J27" s="66">
        <v>74</v>
      </c>
      <c r="K27" s="68">
        <v>114</v>
      </c>
      <c r="L27" s="69">
        <f t="shared" si="4"/>
        <v>0.0543478260869565</v>
      </c>
      <c r="M27" s="70">
        <f t="shared" si="5"/>
        <v>0.475519653236134</v>
      </c>
      <c r="N27" s="63">
        <f>SFM!W27</f>
        <v>9525</v>
      </c>
      <c r="O27" s="63">
        <f>SFM!X27</f>
        <v>46</v>
      </c>
      <c r="P27" s="63">
        <f>SFM!Y27</f>
        <v>1</v>
      </c>
      <c r="Q27" s="63">
        <f>SFM!Z27</f>
        <v>48.27</v>
      </c>
      <c r="R27" s="63">
        <f>SFM!AA27</f>
        <v>15.91</v>
      </c>
      <c r="S27" s="63">
        <f>SFM!AB27</f>
        <v>1.05</v>
      </c>
      <c r="T27" s="71">
        <f t="shared" si="0"/>
        <v>3.03394091766185</v>
      </c>
      <c r="U27" s="72">
        <f t="shared" si="1"/>
        <v>0.00482939632545932</v>
      </c>
      <c r="V27" s="72">
        <f t="shared" si="2"/>
        <v>0.0217391304347826</v>
      </c>
      <c r="W27" s="73">
        <f t="shared" si="3"/>
        <v>48.27</v>
      </c>
    </row>
    <row r="28" customHeight="1" spans="1:23">
      <c r="A28" s="61" t="s">
        <v>219</v>
      </c>
      <c r="B28" s="61" t="s">
        <v>220</v>
      </c>
      <c r="C28" s="62">
        <f>SFM!C28</f>
        <v>2</v>
      </c>
      <c r="D28" s="63">
        <f>SFM!D28</f>
        <v>2</v>
      </c>
      <c r="E28" s="64">
        <f>SFM!E28</f>
        <v>53.78</v>
      </c>
      <c r="F28" s="65">
        <v>34</v>
      </c>
      <c r="G28" s="66">
        <v>66</v>
      </c>
      <c r="H28" s="67">
        <v>100</v>
      </c>
      <c r="I28" s="66">
        <v>43</v>
      </c>
      <c r="J28" s="66">
        <v>87</v>
      </c>
      <c r="K28" s="68">
        <v>130</v>
      </c>
      <c r="L28" s="69">
        <f t="shared" si="4"/>
        <v>0.02</v>
      </c>
      <c r="M28" s="70">
        <f t="shared" si="5"/>
        <v>0.790628486426181</v>
      </c>
      <c r="N28" s="63">
        <f>SFM!W28</f>
        <v>6293</v>
      </c>
      <c r="O28" s="63">
        <f>SFM!X28</f>
        <v>44</v>
      </c>
      <c r="P28" s="63">
        <f>SFM!Y28</f>
        <v>2</v>
      </c>
      <c r="Q28" s="63">
        <f>SFM!Z28</f>
        <v>42.52</v>
      </c>
      <c r="R28" s="63">
        <f>SFM!AA28</f>
        <v>40.34</v>
      </c>
      <c r="S28" s="63">
        <f>SFM!AB28</f>
        <v>0.97</v>
      </c>
      <c r="T28" s="71">
        <f t="shared" si="0"/>
        <v>1.05404065443728</v>
      </c>
      <c r="U28" s="72">
        <f t="shared" si="1"/>
        <v>0.00699189575719053</v>
      </c>
      <c r="V28" s="72">
        <f t="shared" si="2"/>
        <v>0.0454545454545455</v>
      </c>
      <c r="W28" s="73">
        <f t="shared" si="3"/>
        <v>21.26</v>
      </c>
    </row>
    <row r="29" customHeight="1" spans="1:23">
      <c r="A29" s="61" t="s">
        <v>221</v>
      </c>
      <c r="B29" s="61" t="s">
        <v>222</v>
      </c>
      <c r="C29" s="62">
        <f>SFM!C29</f>
        <v>1</v>
      </c>
      <c r="D29" s="63">
        <f>SFM!D29</f>
        <v>1</v>
      </c>
      <c r="E29" s="64">
        <f>SFM!E29</f>
        <v>26.89</v>
      </c>
      <c r="F29" s="65">
        <v>23</v>
      </c>
      <c r="G29" s="66">
        <v>61</v>
      </c>
      <c r="H29" s="67">
        <v>84</v>
      </c>
      <c r="I29" s="66">
        <v>30</v>
      </c>
      <c r="J29" s="66">
        <v>75</v>
      </c>
      <c r="K29" s="68">
        <v>105</v>
      </c>
      <c r="L29" s="69">
        <f t="shared" si="4"/>
        <v>0.0119047619047619</v>
      </c>
      <c r="M29" s="70">
        <f t="shared" si="5"/>
        <v>1.5771662328003</v>
      </c>
      <c r="N29" s="63">
        <f>SFM!W29</f>
        <v>7565</v>
      </c>
      <c r="O29" s="63">
        <f>SFM!X29</f>
        <v>45</v>
      </c>
      <c r="P29" s="63">
        <f>SFM!Y29</f>
        <v>1</v>
      </c>
      <c r="Q29" s="63">
        <f>SFM!Z29</f>
        <v>42.41</v>
      </c>
      <c r="R29" s="63">
        <f>SFM!AA29</f>
        <v>26.9</v>
      </c>
      <c r="S29" s="63">
        <f>SFM!AB29</f>
        <v>0.94</v>
      </c>
      <c r="T29" s="71">
        <f t="shared" si="0"/>
        <v>1.57657992565056</v>
      </c>
      <c r="U29" s="72">
        <f t="shared" si="1"/>
        <v>0.00594844679444812</v>
      </c>
      <c r="V29" s="72">
        <f t="shared" si="2"/>
        <v>0.0222222222222222</v>
      </c>
      <c r="W29" s="73">
        <f t="shared" si="3"/>
        <v>42.41</v>
      </c>
    </row>
    <row r="30" customHeight="1" spans="1:23">
      <c r="A30" s="61" t="s">
        <v>223</v>
      </c>
      <c r="B30" s="61" t="s">
        <v>224</v>
      </c>
      <c r="C30" s="62">
        <f>SFM!C30</f>
        <v>4</v>
      </c>
      <c r="D30" s="63">
        <f>SFM!D30</f>
        <v>4</v>
      </c>
      <c r="E30" s="64">
        <f>SFM!E30</f>
        <v>121.31</v>
      </c>
      <c r="F30" s="65">
        <v>29</v>
      </c>
      <c r="G30" s="66">
        <v>35</v>
      </c>
      <c r="H30" s="67">
        <v>64</v>
      </c>
      <c r="I30" s="66">
        <v>34</v>
      </c>
      <c r="J30" s="66">
        <v>43</v>
      </c>
      <c r="K30" s="68">
        <v>77</v>
      </c>
      <c r="L30" s="69">
        <f t="shared" si="4"/>
        <v>0.0625</v>
      </c>
      <c r="M30" s="70">
        <f t="shared" si="5"/>
        <v>0.301623938669524</v>
      </c>
      <c r="N30" s="63">
        <f>SFM!W30</f>
        <v>5577</v>
      </c>
      <c r="O30" s="63">
        <f>SFM!X30</f>
        <v>46</v>
      </c>
      <c r="P30" s="63">
        <f>SFM!Y30</f>
        <v>4</v>
      </c>
      <c r="Q30" s="63">
        <f>SFM!Z30</f>
        <v>36.59</v>
      </c>
      <c r="R30" s="63">
        <f>SFM!AA30</f>
        <v>121.31</v>
      </c>
      <c r="S30" s="63">
        <f>SFM!AB30</f>
        <v>0.8</v>
      </c>
      <c r="T30" s="71">
        <f t="shared" si="0"/>
        <v>0.301623938669524</v>
      </c>
      <c r="U30" s="72">
        <f t="shared" si="1"/>
        <v>0.00824816209431594</v>
      </c>
      <c r="V30" s="72">
        <f t="shared" si="2"/>
        <v>0.0869565217391304</v>
      </c>
      <c r="W30" s="73">
        <f t="shared" si="3"/>
        <v>9.1475</v>
      </c>
    </row>
    <row r="31" customHeight="1" spans="1:23">
      <c r="A31" s="79" t="s">
        <v>226</v>
      </c>
      <c r="B31" s="80" t="s">
        <v>227</v>
      </c>
      <c r="C31" s="62">
        <f>SFM!C31</f>
        <v>2</v>
      </c>
      <c r="D31" s="63">
        <f>SFM!D31</f>
        <v>2</v>
      </c>
      <c r="E31" s="64">
        <f>SFM!E31</f>
        <v>48.65</v>
      </c>
      <c r="F31" s="65">
        <v>30</v>
      </c>
      <c r="G31" s="66">
        <v>79</v>
      </c>
      <c r="H31" s="67">
        <v>109</v>
      </c>
      <c r="I31" s="66">
        <v>37</v>
      </c>
      <c r="J31" s="66">
        <v>94</v>
      </c>
      <c r="K31" s="68">
        <v>131</v>
      </c>
      <c r="L31" s="69">
        <f t="shared" si="4"/>
        <v>0.018348623853211</v>
      </c>
      <c r="M31" s="70">
        <f t="shared" si="5"/>
        <v>1.28078108941418</v>
      </c>
      <c r="N31" s="63">
        <f>SFM!W31</f>
        <v>7479</v>
      </c>
      <c r="O31" s="63">
        <f>SFM!X31</f>
        <v>67</v>
      </c>
      <c r="P31" s="63">
        <f>SFM!Y31</f>
        <v>1</v>
      </c>
      <c r="Q31" s="63">
        <f>SFM!Z31</f>
        <v>62.31</v>
      </c>
      <c r="R31" s="63">
        <f>SFM!AA31</f>
        <v>29.83</v>
      </c>
      <c r="S31" s="63">
        <f>SFM!AB31</f>
        <v>0.93</v>
      </c>
      <c r="T31" s="71">
        <f t="shared" si="0"/>
        <v>2.08883674153537</v>
      </c>
      <c r="U31" s="72">
        <f t="shared" si="1"/>
        <v>0.00895841690065517</v>
      </c>
      <c r="V31" s="72">
        <f t="shared" si="2"/>
        <v>0.0149253731343284</v>
      </c>
      <c r="W31" s="73">
        <f t="shared" si="3"/>
        <v>62.31</v>
      </c>
    </row>
    <row r="32" customHeight="1" spans="1:23">
      <c r="A32" s="61" t="s">
        <v>228</v>
      </c>
      <c r="B32" s="81" t="s">
        <v>229</v>
      </c>
      <c r="C32" s="62">
        <f>SFM!C32</f>
        <v>15</v>
      </c>
      <c r="D32" s="63">
        <f>SFM!D32</f>
        <v>14</v>
      </c>
      <c r="E32" s="64">
        <f>SFM!E32</f>
        <v>239.55</v>
      </c>
      <c r="F32" s="65">
        <v>38</v>
      </c>
      <c r="G32" s="66">
        <v>159</v>
      </c>
      <c r="H32" s="67">
        <v>197</v>
      </c>
      <c r="I32" s="66">
        <v>72</v>
      </c>
      <c r="J32" s="66">
        <v>199</v>
      </c>
      <c r="K32" s="68">
        <v>271</v>
      </c>
      <c r="L32" s="69">
        <f t="shared" si="4"/>
        <v>0.0710659898477157</v>
      </c>
      <c r="M32" s="70">
        <f t="shared" si="5"/>
        <v>0.459361302442079</v>
      </c>
      <c r="N32" s="63">
        <f>SFM!W32</f>
        <v>13319</v>
      </c>
      <c r="O32" s="63">
        <f>SFM!X32</f>
        <v>115</v>
      </c>
      <c r="P32" s="63">
        <f>SFM!Y32</f>
        <v>9</v>
      </c>
      <c r="Q32" s="63">
        <f>SFM!Z32</f>
        <v>110.04</v>
      </c>
      <c r="R32" s="63">
        <f>SFM!AA32</f>
        <v>161.98</v>
      </c>
      <c r="S32" s="63">
        <f>SFM!AB32</f>
        <v>0.96</v>
      </c>
      <c r="T32" s="71">
        <f t="shared" si="0"/>
        <v>0.679343128781331</v>
      </c>
      <c r="U32" s="72">
        <f t="shared" si="1"/>
        <v>0.00863428185299197</v>
      </c>
      <c r="V32" s="72">
        <f t="shared" si="2"/>
        <v>0.0782608695652174</v>
      </c>
      <c r="W32" s="73">
        <f t="shared" si="3"/>
        <v>12.2266666666667</v>
      </c>
    </row>
    <row r="33" customHeight="1" spans="1:23">
      <c r="A33" s="61" t="s">
        <v>230</v>
      </c>
      <c r="B33" s="81" t="s">
        <v>231</v>
      </c>
      <c r="C33" s="62">
        <f>SFM!C33</f>
        <v>8</v>
      </c>
      <c r="D33" s="63">
        <f>SFM!D33</f>
        <v>8</v>
      </c>
      <c r="E33" s="64">
        <f>SFM!E33</f>
        <v>184.1</v>
      </c>
      <c r="F33" s="65">
        <v>54</v>
      </c>
      <c r="G33" s="66">
        <v>170</v>
      </c>
      <c r="H33" s="67">
        <v>224</v>
      </c>
      <c r="I33" s="66">
        <v>70</v>
      </c>
      <c r="J33" s="66">
        <v>216</v>
      </c>
      <c r="K33" s="68">
        <v>286</v>
      </c>
      <c r="L33" s="69">
        <f t="shared" si="4"/>
        <v>0.0357142857142857</v>
      </c>
      <c r="M33" s="70">
        <f t="shared" si="5"/>
        <v>0.573384030418251</v>
      </c>
      <c r="N33" s="63">
        <f>SFM!W33</f>
        <v>14747</v>
      </c>
      <c r="O33" s="63">
        <f>SFM!X33</f>
        <v>118</v>
      </c>
      <c r="P33" s="63">
        <f>SFM!Y33</f>
        <v>5</v>
      </c>
      <c r="Q33" s="63">
        <f>SFM!Z33</f>
        <v>105.56</v>
      </c>
      <c r="R33" s="63">
        <f>SFM!AA33</f>
        <v>122.73</v>
      </c>
      <c r="S33" s="63">
        <f>SFM!AB33</f>
        <v>0.89</v>
      </c>
      <c r="T33" s="71">
        <f t="shared" si="0"/>
        <v>0.860099405198403</v>
      </c>
      <c r="U33" s="72">
        <f t="shared" si="1"/>
        <v>0.00800162744965078</v>
      </c>
      <c r="V33" s="72">
        <f t="shared" si="2"/>
        <v>0.0423728813559322</v>
      </c>
      <c r="W33" s="73">
        <f t="shared" si="3"/>
        <v>21.112</v>
      </c>
    </row>
    <row r="34" customHeight="1" spans="1:23">
      <c r="A34" s="61" t="s">
        <v>232</v>
      </c>
      <c r="B34" s="81" t="s">
        <v>233</v>
      </c>
      <c r="C34" s="62">
        <f>SFM!C34</f>
        <v>10</v>
      </c>
      <c r="D34" s="63">
        <f>SFM!D34</f>
        <v>10</v>
      </c>
      <c r="E34" s="64">
        <f>SFM!E34</f>
        <v>157</v>
      </c>
      <c r="F34" s="65">
        <v>66</v>
      </c>
      <c r="G34" s="66">
        <v>221</v>
      </c>
      <c r="H34" s="67">
        <v>287</v>
      </c>
      <c r="I34" s="66">
        <v>86</v>
      </c>
      <c r="J34" s="66">
        <v>250</v>
      </c>
      <c r="K34" s="68">
        <v>336</v>
      </c>
      <c r="L34" s="69">
        <f t="shared" si="4"/>
        <v>0.0348432055749129</v>
      </c>
      <c r="M34" s="70">
        <f t="shared" si="5"/>
        <v>0.932292993630573</v>
      </c>
      <c r="N34" s="63">
        <f>SFM!W34</f>
        <v>19044</v>
      </c>
      <c r="O34" s="63">
        <f>SFM!X34</f>
        <v>164</v>
      </c>
      <c r="P34" s="63">
        <f>SFM!Y34</f>
        <v>9</v>
      </c>
      <c r="Q34" s="63">
        <f>SFM!Z34</f>
        <v>146.37</v>
      </c>
      <c r="R34" s="63">
        <f>SFM!AA34</f>
        <v>143.55</v>
      </c>
      <c r="S34" s="63">
        <f>SFM!AB34</f>
        <v>0.89</v>
      </c>
      <c r="T34" s="71">
        <f t="shared" si="0"/>
        <v>1.019644723093</v>
      </c>
      <c r="U34" s="72">
        <f t="shared" si="1"/>
        <v>0.00861163621088007</v>
      </c>
      <c r="V34" s="72">
        <f t="shared" si="2"/>
        <v>0.0548780487804878</v>
      </c>
      <c r="W34" s="73">
        <f t="shared" si="3"/>
        <v>16.2633333333333</v>
      </c>
    </row>
    <row r="35" customHeight="1" spans="1:23">
      <c r="A35" s="61" t="s">
        <v>236</v>
      </c>
      <c r="B35" s="81" t="s">
        <v>237</v>
      </c>
      <c r="C35" s="62">
        <f>SFM!C35</f>
        <v>18</v>
      </c>
      <c r="D35" s="63">
        <f>SFM!D35</f>
        <v>17</v>
      </c>
      <c r="E35" s="64">
        <f>SFM!E35</f>
        <v>340.2</v>
      </c>
      <c r="F35" s="65">
        <v>55</v>
      </c>
      <c r="G35" s="66">
        <v>228</v>
      </c>
      <c r="H35" s="67">
        <v>283</v>
      </c>
      <c r="I35" s="66">
        <v>71</v>
      </c>
      <c r="J35" s="66">
        <v>268</v>
      </c>
      <c r="K35" s="68">
        <v>339</v>
      </c>
      <c r="L35" s="69">
        <f t="shared" si="4"/>
        <v>0.0600706713780919</v>
      </c>
      <c r="M35" s="70">
        <f t="shared" si="5"/>
        <v>0.455144032921811</v>
      </c>
      <c r="N35" s="63">
        <f>SFM!W35</f>
        <v>23652</v>
      </c>
      <c r="O35" s="63">
        <f>SFM!X35</f>
        <v>169</v>
      </c>
      <c r="P35" s="63">
        <f>SFM!Y35</f>
        <v>14</v>
      </c>
      <c r="Q35" s="63">
        <f>SFM!Z35</f>
        <v>154.84</v>
      </c>
      <c r="R35" s="63">
        <f>SFM!AA35</f>
        <v>278.84</v>
      </c>
      <c r="S35" s="63">
        <f>SFM!AB35</f>
        <v>0.92</v>
      </c>
      <c r="T35" s="71">
        <f t="shared" si="0"/>
        <v>0.555300530770334</v>
      </c>
      <c r="U35" s="72">
        <f t="shared" si="1"/>
        <v>0.00714527312700829</v>
      </c>
      <c r="V35" s="72">
        <f t="shared" si="2"/>
        <v>0.0828402366863905</v>
      </c>
      <c r="W35" s="73">
        <f t="shared" si="3"/>
        <v>11.06</v>
      </c>
    </row>
    <row r="36" customHeight="1" spans="1:23">
      <c r="A36" s="61" t="s">
        <v>240</v>
      </c>
      <c r="B36" s="81" t="s">
        <v>241</v>
      </c>
      <c r="C36" s="62">
        <f>SFM!C36</f>
        <v>17</v>
      </c>
      <c r="D36" s="63">
        <f>SFM!D36</f>
        <v>9</v>
      </c>
      <c r="E36" s="64">
        <f>SFM!E36</f>
        <v>235.85</v>
      </c>
      <c r="F36" s="65">
        <v>55</v>
      </c>
      <c r="G36" s="66">
        <v>195</v>
      </c>
      <c r="H36" s="67">
        <v>250</v>
      </c>
      <c r="I36" s="66">
        <v>66</v>
      </c>
      <c r="J36" s="66">
        <v>239</v>
      </c>
      <c r="K36" s="68">
        <v>305</v>
      </c>
      <c r="L36" s="69">
        <f t="shared" si="4"/>
        <v>0.036</v>
      </c>
      <c r="M36" s="70">
        <f t="shared" si="5"/>
        <v>0.515539537841849</v>
      </c>
      <c r="N36" s="63">
        <f>SFM!W36</f>
        <v>19003</v>
      </c>
      <c r="O36" s="63">
        <f>SFM!X36</f>
        <v>135</v>
      </c>
      <c r="P36" s="63">
        <f>SFM!Y36</f>
        <v>7</v>
      </c>
      <c r="Q36" s="63">
        <f>SFM!Z36</f>
        <v>121.59</v>
      </c>
      <c r="R36" s="63">
        <f>SFM!AA36</f>
        <v>208.95</v>
      </c>
      <c r="S36" s="63" t="str">
        <f>SFM!AB36</f>
        <v>‎0.90</v>
      </c>
      <c r="T36" s="71">
        <f t="shared" si="0"/>
        <v>0.581909547738694</v>
      </c>
      <c r="U36" s="72">
        <f t="shared" si="1"/>
        <v>0.00710414145134979</v>
      </c>
      <c r="V36" s="72">
        <f t="shared" si="2"/>
        <v>0.0518518518518519</v>
      </c>
      <c r="W36" s="73">
        <f t="shared" si="3"/>
        <v>17.37</v>
      </c>
    </row>
    <row r="37" customHeight="1" spans="1:23">
      <c r="A37" s="61" t="s">
        <v>244</v>
      </c>
      <c r="B37" s="81" t="s">
        <v>245</v>
      </c>
      <c r="C37" s="62">
        <f>SFM!C37</f>
        <v>16</v>
      </c>
      <c r="D37" s="63">
        <f>SFM!D37</f>
        <v>15</v>
      </c>
      <c r="E37" s="64">
        <f>SFM!E37</f>
        <v>260.2</v>
      </c>
      <c r="F37" s="65">
        <v>64</v>
      </c>
      <c r="G37" s="66">
        <v>192</v>
      </c>
      <c r="H37" s="67">
        <v>256</v>
      </c>
      <c r="I37" s="66">
        <v>81</v>
      </c>
      <c r="J37" s="66">
        <v>244</v>
      </c>
      <c r="K37" s="68">
        <v>325</v>
      </c>
      <c r="L37" s="69">
        <f t="shared" si="4"/>
        <v>0.05859375</v>
      </c>
      <c r="M37" s="70">
        <f t="shared" si="5"/>
        <v>0.436702536510377</v>
      </c>
      <c r="N37" s="63">
        <f>SFM!W37</f>
        <v>16830</v>
      </c>
      <c r="O37" s="63">
        <f>SFM!X37</f>
        <v>123</v>
      </c>
      <c r="P37" s="63">
        <f>SFM!Y37</f>
        <v>10</v>
      </c>
      <c r="Q37" s="63">
        <f>SFM!Z37</f>
        <v>113.63</v>
      </c>
      <c r="R37" s="63">
        <f>SFM!AA37</f>
        <v>165.21</v>
      </c>
      <c r="S37" s="63">
        <f>SFM!AB37</f>
        <v>0.92</v>
      </c>
      <c r="T37" s="71">
        <f t="shared" si="0"/>
        <v>0.687791295926397</v>
      </c>
      <c r="U37" s="72">
        <f t="shared" si="1"/>
        <v>0.00730837789661319</v>
      </c>
      <c r="V37" s="72">
        <f t="shared" si="2"/>
        <v>0.0813008130081301</v>
      </c>
      <c r="W37" s="73">
        <f t="shared" si="3"/>
        <v>11.363</v>
      </c>
    </row>
    <row r="38" customHeight="1" spans="1:23">
      <c r="A38" s="61" t="s">
        <v>247</v>
      </c>
      <c r="B38" s="81" t="s">
        <v>248</v>
      </c>
      <c r="C38" s="62">
        <f>SFM!C38</f>
        <v>14</v>
      </c>
      <c r="D38" s="63">
        <f>SFM!D38</f>
        <v>13</v>
      </c>
      <c r="E38" s="64">
        <f>SFM!E38</f>
        <v>263.9</v>
      </c>
      <c r="F38" s="65">
        <v>52</v>
      </c>
      <c r="G38" s="66">
        <v>140</v>
      </c>
      <c r="H38" s="67">
        <v>192</v>
      </c>
      <c r="I38" s="66">
        <v>67</v>
      </c>
      <c r="J38" s="66">
        <v>155</v>
      </c>
      <c r="K38" s="68">
        <v>222</v>
      </c>
      <c r="L38" s="69">
        <f t="shared" si="4"/>
        <v>0.0677083333333333</v>
      </c>
      <c r="M38" s="70">
        <f t="shared" si="5"/>
        <v>0.476051534672224</v>
      </c>
      <c r="N38" s="63">
        <f>SFM!W38</f>
        <v>19550</v>
      </c>
      <c r="O38" s="63">
        <f>SFM!X38</f>
        <v>138</v>
      </c>
      <c r="P38" s="63">
        <f>SFM!Y38</f>
        <v>10</v>
      </c>
      <c r="Q38" s="63">
        <f>SFM!Z38</f>
        <v>125.63</v>
      </c>
      <c r="R38" s="63">
        <f>SFM!AA38</f>
        <v>194.8</v>
      </c>
      <c r="S38" s="63">
        <f>SFM!AB38</f>
        <v>0.91</v>
      </c>
      <c r="T38" s="71">
        <f t="shared" si="0"/>
        <v>0.644917864476386</v>
      </c>
      <c r="U38" s="72">
        <f t="shared" si="1"/>
        <v>0.00705882352941176</v>
      </c>
      <c r="V38" s="72">
        <f t="shared" si="2"/>
        <v>0.072463768115942</v>
      </c>
      <c r="W38" s="73">
        <f t="shared" si="3"/>
        <v>12.563</v>
      </c>
    </row>
    <row r="39" customHeight="1" spans="1:23">
      <c r="A39" s="61" t="s">
        <v>250</v>
      </c>
      <c r="B39" s="81" t="s">
        <v>251</v>
      </c>
      <c r="C39" s="62">
        <f>SFM!C39</f>
        <v>8</v>
      </c>
      <c r="D39" s="63">
        <f>SFM!D39</f>
        <v>7</v>
      </c>
      <c r="E39" s="64">
        <f>SFM!E39</f>
        <v>167.9</v>
      </c>
      <c r="F39" s="65">
        <v>52</v>
      </c>
      <c r="G39" s="66">
        <v>140</v>
      </c>
      <c r="H39" s="67">
        <v>192</v>
      </c>
      <c r="I39" s="66">
        <v>67</v>
      </c>
      <c r="J39" s="66">
        <v>155</v>
      </c>
      <c r="K39" s="68">
        <v>222</v>
      </c>
      <c r="L39" s="69">
        <f t="shared" si="4"/>
        <v>0.0364583333333333</v>
      </c>
      <c r="M39" s="70">
        <f t="shared" si="5"/>
        <v>0.505598570577725</v>
      </c>
      <c r="N39" s="63">
        <f>SFM!W39</f>
        <v>14328</v>
      </c>
      <c r="O39" s="63">
        <f>SFM!X39</f>
        <v>91</v>
      </c>
      <c r="P39" s="63">
        <f>SFM!Y39</f>
        <v>4</v>
      </c>
      <c r="Q39" s="63">
        <f>SFM!Z39</f>
        <v>84.89</v>
      </c>
      <c r="R39" s="63">
        <f>SFM!AA39</f>
        <v>105.05</v>
      </c>
      <c r="S39" s="63">
        <f>SFM!AB39</f>
        <v>0.93</v>
      </c>
      <c r="T39" s="71">
        <f t="shared" si="0"/>
        <v>0.808091385054736</v>
      </c>
      <c r="U39" s="72">
        <f t="shared" si="1"/>
        <v>0.00635120044667783</v>
      </c>
      <c r="V39" s="72">
        <f t="shared" si="2"/>
        <v>0.043956043956044</v>
      </c>
      <c r="W39" s="73">
        <f t="shared" si="3"/>
        <v>21.2225</v>
      </c>
    </row>
    <row r="40" customHeight="1" spans="1:23">
      <c r="A40" s="61" t="s">
        <v>254</v>
      </c>
      <c r="B40" s="81" t="s">
        <v>255</v>
      </c>
      <c r="C40" s="62">
        <f>SFM!C40</f>
        <v>3</v>
      </c>
      <c r="D40" s="63">
        <f>SFM!D40</f>
        <v>3</v>
      </c>
      <c r="E40" s="64">
        <f>SFM!E40</f>
        <v>82.53</v>
      </c>
      <c r="F40" s="65">
        <v>52</v>
      </c>
      <c r="G40" s="66">
        <v>140</v>
      </c>
      <c r="H40" s="67">
        <v>192</v>
      </c>
      <c r="I40" s="66">
        <v>67</v>
      </c>
      <c r="J40" s="66">
        <v>155</v>
      </c>
      <c r="K40" s="68">
        <v>222</v>
      </c>
      <c r="L40" s="69">
        <f t="shared" si="4"/>
        <v>0.015625</v>
      </c>
      <c r="M40" s="70">
        <f t="shared" si="5"/>
        <v>0.344238458742276</v>
      </c>
      <c r="N40" s="63">
        <f>SFM!W40</f>
        <v>9207</v>
      </c>
      <c r="O40" s="63">
        <f>SFM!X40</f>
        <v>28</v>
      </c>
      <c r="P40" s="63">
        <f>SFM!Y40</f>
        <v>0</v>
      </c>
      <c r="Q40" s="63">
        <f>SFM!Z40</f>
        <v>28.41</v>
      </c>
      <c r="R40" s="63">
        <f>SFM!AA40</f>
        <v>0</v>
      </c>
      <c r="S40" s="63">
        <f>SFM!AB40</f>
        <v>1.01</v>
      </c>
      <c r="T40" s="71" t="e">
        <f t="shared" si="0"/>
        <v>#DIV/0!</v>
      </c>
      <c r="U40" s="72">
        <f t="shared" si="1"/>
        <v>0.00304116433148691</v>
      </c>
      <c r="V40" s="72">
        <f t="shared" si="2"/>
        <v>0</v>
      </c>
      <c r="W40" s="73" t="e">
        <f t="shared" si="3"/>
        <v>#DIV/0!</v>
      </c>
    </row>
    <row r="41" customHeight="1" spans="1:23">
      <c r="A41" t="s">
        <v>270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82">
        <f>SUBTOTAL(109,表3_32546151317[销售额])</f>
        <v>12050.71</v>
      </c>
      <c r="F41" s="1">
        <f>SUBTOTAL(101,表3_32546151317[Sessions-Browser])</f>
        <v>91.4864864864865</v>
      </c>
      <c r="G41" s="83">
        <f>SUBTOTAL(101,表3_32546151317[Sessions-Mobile])</f>
        <v>216.702702702703</v>
      </c>
      <c r="H41" s="83">
        <f>SUBTOTAL(101,表3_32546151317[Sessions-Total])</f>
        <v>308.189189189189</v>
      </c>
      <c r="I41" s="83">
        <f>SUBTOTAL(101,表3_32546151317[PV-Browser])</f>
        <v>149.459459459459</v>
      </c>
      <c r="J41" s="84">
        <f>SUBTOTAL(101,表3_32546151317[PV-Mobile])</f>
        <v>274.567567567568</v>
      </c>
      <c r="K41" s="84">
        <f>SUBTOTAL(101,表3_32546151317[PV-Total])</f>
        <v>424.027027027027</v>
      </c>
      <c r="L41" s="85">
        <f>SUBTOTAL(101,表3_32546151317[CVR])</f>
        <v>0.040426916600951</v>
      </c>
      <c r="M41" s="85">
        <f t="shared" si="5"/>
        <v>0.691250557021122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</v>
      </c>
      <c r="R41" s="1">
        <f>SUBTOTAL(109,表3_32546151317[广告销售额])</f>
        <v>9008.73</v>
      </c>
      <c r="S41" s="16">
        <f>SUBTOTAL(101,表3_32546151317[CPC])</f>
        <v>1.15722222222222</v>
      </c>
      <c r="T41" s="86">
        <f t="shared" si="0"/>
        <v>0.924665296884245</v>
      </c>
      <c r="U41" s="87">
        <f t="shared" ref="U41:W41" si="6">O41/N41</f>
        <v>0.00630381000435037</v>
      </c>
      <c r="V41" s="87">
        <f t="shared" si="6"/>
        <v>0.0538083171858697</v>
      </c>
      <c r="W41" s="88">
        <f t="shared" si="6"/>
        <v>23.0749584487535</v>
      </c>
    </row>
  </sheetData>
  <mergeCells count="9">
    <mergeCell ref="C1:E1"/>
    <mergeCell ref="F1:M1"/>
    <mergeCell ref="N1:W1"/>
    <mergeCell ref="C2:E2"/>
    <mergeCell ref="F2:K2"/>
    <mergeCell ref="L2:M2"/>
    <mergeCell ref="N2:S2"/>
    <mergeCell ref="T2:W2"/>
    <mergeCell ref="A1:B2"/>
  </mergeCells>
  <pageMargins left="0.75" right="0.75" top="1" bottom="1" header="0.5" footer="0.5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21"/>
  <sheetViews>
    <sheetView zoomScale="115" zoomScaleNormal="115" topLeftCell="A11" workbookViewId="0">
      <selection activeCell="K4" sqref="K4"/>
    </sheetView>
  </sheetViews>
  <sheetFormatPr defaultColWidth="9" defaultRowHeight="36" customHeight="1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ht="18" customHeight="1" spans="1:12">
      <c r="A1" s="3" t="s">
        <v>435</v>
      </c>
      <c r="B1" s="3" t="s">
        <v>0</v>
      </c>
      <c r="C1" s="4" t="s">
        <v>436</v>
      </c>
      <c r="D1" s="5" t="s">
        <v>437</v>
      </c>
      <c r="E1" s="5" t="s">
        <v>44</v>
      </c>
      <c r="F1" s="4" t="s">
        <v>45</v>
      </c>
      <c r="G1" s="6" t="s">
        <v>438</v>
      </c>
      <c r="H1" s="1"/>
      <c r="I1" s="1" t="s">
        <v>439</v>
      </c>
      <c r="J1" s="1" t="s">
        <v>440</v>
      </c>
      <c r="K1" s="1" t="s">
        <v>439</v>
      </c>
      <c r="L1" s="2" t="s">
        <v>440</v>
      </c>
    </row>
    <row r="2" customHeight="1" spans="1:12">
      <c r="A2" s="7" t="s">
        <v>441</v>
      </c>
      <c r="B2" s="8" t="s">
        <v>442</v>
      </c>
      <c r="C2" s="1" t="s">
        <v>443</v>
      </c>
      <c r="D2" s="2">
        <v>2.11267605633803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2.11267605633803</v>
      </c>
      <c r="K2" s="1">
        <v>1.23</v>
      </c>
      <c r="L2" s="2">
        <f t="shared" ref="L2:L8" si="1">K2/7.1</f>
        <v>0.173239436619718</v>
      </c>
    </row>
    <row r="3" customHeight="1" spans="1:12">
      <c r="A3" s="7" t="s">
        <v>441</v>
      </c>
      <c r="B3" s="8" t="s">
        <v>442</v>
      </c>
      <c r="C3" s="1" t="s">
        <v>444</v>
      </c>
      <c r="D3" s="2">
        <v>2.11267605633803</v>
      </c>
      <c r="E3" s="2">
        <v>0.19279014084507</v>
      </c>
      <c r="F3" s="1">
        <v>0.34</v>
      </c>
      <c r="G3" s="9">
        <v>3.9</v>
      </c>
      <c r="H3" s="1"/>
      <c r="I3" s="1">
        <v>15</v>
      </c>
      <c r="J3" s="2">
        <f t="shared" si="0"/>
        <v>2.11267605633803</v>
      </c>
      <c r="K3" s="1">
        <v>1.37</v>
      </c>
      <c r="L3" s="2">
        <f t="shared" si="1"/>
        <v>0.192957746478873</v>
      </c>
    </row>
    <row r="4" customHeight="1" spans="1:12">
      <c r="A4" s="7" t="s">
        <v>441</v>
      </c>
      <c r="B4" s="8" t="s">
        <v>445</v>
      </c>
      <c r="C4" s="1" t="s">
        <v>444</v>
      </c>
      <c r="D4" s="2">
        <v>3.30985915492958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</v>
      </c>
      <c r="K4" s="1">
        <v>1.46</v>
      </c>
      <c r="L4" s="2">
        <f t="shared" si="1"/>
        <v>0.205633802816901</v>
      </c>
    </row>
    <row r="5" customHeight="1" spans="1:12">
      <c r="A5" s="7" t="s">
        <v>446</v>
      </c>
      <c r="B5" s="8" t="s">
        <v>447</v>
      </c>
      <c r="C5" s="1" t="s">
        <v>448</v>
      </c>
      <c r="D5" s="2">
        <v>2.67605633802817</v>
      </c>
      <c r="E5" s="2">
        <v>0.27</v>
      </c>
      <c r="F5" s="1">
        <v>0.41</v>
      </c>
      <c r="G5" s="9">
        <v>4.9</v>
      </c>
      <c r="H5" s="1"/>
      <c r="I5" s="1">
        <v>19</v>
      </c>
      <c r="J5" s="2">
        <f t="shared" si="0"/>
        <v>2.67605633802817</v>
      </c>
      <c r="L5" s="2">
        <f t="shared" si="1"/>
        <v>0</v>
      </c>
    </row>
    <row r="6" customHeight="1" spans="1:12">
      <c r="A6" s="7" t="s">
        <v>446</v>
      </c>
      <c r="B6" s="8" t="s">
        <v>447</v>
      </c>
      <c r="C6" s="1" t="s">
        <v>449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customHeight="1" spans="1:12">
      <c r="A7" s="7" t="s">
        <v>446</v>
      </c>
      <c r="B7" s="8" t="s">
        <v>447</v>
      </c>
      <c r="C7" s="1" t="s">
        <v>450</v>
      </c>
      <c r="D7" s="2">
        <v>3.66197183098592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3.66197183098592</v>
      </c>
      <c r="L7" s="2">
        <f t="shared" si="1"/>
        <v>0</v>
      </c>
    </row>
    <row r="8" customHeight="1" spans="1:12">
      <c r="A8" s="7" t="s">
        <v>446</v>
      </c>
      <c r="B8" s="8" t="s">
        <v>447</v>
      </c>
      <c r="C8" s="1" t="s">
        <v>451</v>
      </c>
      <c r="D8" s="2">
        <v>5.63380281690141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5.63380281690141</v>
      </c>
      <c r="L8" s="2">
        <f t="shared" si="1"/>
        <v>0</v>
      </c>
    </row>
    <row r="9" customHeight="1" spans="1:12">
      <c r="A9" s="7" t="s">
        <v>452</v>
      </c>
      <c r="B9" s="10" t="s">
        <v>453</v>
      </c>
      <c r="C9" s="1" t="s">
        <v>454</v>
      </c>
      <c r="D9" s="2">
        <v>2.25352112676056</v>
      </c>
      <c r="E9" s="2">
        <v>0.29</v>
      </c>
      <c r="F9" s="1">
        <v>0.34</v>
      </c>
      <c r="G9" s="9">
        <v>4.9</v>
      </c>
      <c r="H9" s="1"/>
      <c r="I9" s="1">
        <v>16</v>
      </c>
      <c r="J9" s="2">
        <f t="shared" si="0"/>
        <v>2.25352112676056</v>
      </c>
    </row>
    <row r="10" customHeight="1" spans="1:12">
      <c r="A10" s="7" t="s">
        <v>452</v>
      </c>
      <c r="B10" s="10" t="s">
        <v>453</v>
      </c>
      <c r="C10" s="1" t="s">
        <v>455</v>
      </c>
      <c r="D10" s="2">
        <v>4.50704225352113</v>
      </c>
      <c r="E10" s="2">
        <v>0.58</v>
      </c>
      <c r="F10" s="1">
        <v>0.34</v>
      </c>
      <c r="G10" s="9">
        <v>4.9</v>
      </c>
      <c r="H10" s="1"/>
      <c r="I10" s="1">
        <v>32</v>
      </c>
      <c r="J10" s="2">
        <f t="shared" si="0"/>
        <v>4.50704225352113</v>
      </c>
    </row>
    <row r="11" customHeight="1" spans="1:12">
      <c r="A11" s="7" t="s">
        <v>456</v>
      </c>
      <c r="B11" s="8" t="s">
        <v>457</v>
      </c>
      <c r="C11" s="1" t="s">
        <v>458</v>
      </c>
      <c r="D11" s="2">
        <v>5.2112676056338</v>
      </c>
      <c r="E11" s="2">
        <v>0.358084507042254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</v>
      </c>
      <c r="L11" s="2">
        <f t="shared" ref="L11:L17" si="2">K11/7.1</f>
        <v>0</v>
      </c>
    </row>
    <row r="12" customHeight="1" spans="1:12">
      <c r="A12" s="7" t="s">
        <v>456</v>
      </c>
      <c r="B12" s="8" t="s">
        <v>457</v>
      </c>
      <c r="C12" s="11" t="s">
        <v>459</v>
      </c>
      <c r="D12" s="2">
        <v>6.19718309859155</v>
      </c>
      <c r="E12" s="2">
        <v>0.358084507042254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</v>
      </c>
      <c r="L12" s="2">
        <f t="shared" si="2"/>
        <v>0</v>
      </c>
    </row>
    <row r="13" customHeight="1" spans="1:12">
      <c r="A13" s="7" t="s">
        <v>460</v>
      </c>
      <c r="B13" s="8" t="s">
        <v>457</v>
      </c>
      <c r="C13" s="1" t="s">
        <v>461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2.95774647887324</v>
      </c>
      <c r="K13" s="1">
        <v>2.96</v>
      </c>
      <c r="L13" s="2">
        <f t="shared" si="2"/>
        <v>0.416901408450704</v>
      </c>
    </row>
    <row r="14" customHeight="1" spans="1:12">
      <c r="A14" s="7" t="s">
        <v>456</v>
      </c>
      <c r="B14" s="8" t="s">
        <v>457</v>
      </c>
      <c r="C14" s="11" t="s">
        <v>462</v>
      </c>
      <c r="D14" s="2">
        <v>3.8</v>
      </c>
      <c r="E14" s="2">
        <v>0.535211267605634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</v>
      </c>
      <c r="K14" s="1">
        <v>3.8</v>
      </c>
      <c r="L14" s="2">
        <f t="shared" si="2"/>
        <v>0.535211267605634</v>
      </c>
    </row>
    <row r="15" customHeight="1" spans="1:12">
      <c r="A15" s="7" t="s">
        <v>463</v>
      </c>
      <c r="B15" s="8" t="s">
        <v>464</v>
      </c>
      <c r="C15" s="11" t="s">
        <v>465</v>
      </c>
      <c r="D15" s="2">
        <v>4.22535211267606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4.22535211267606</v>
      </c>
      <c r="L15" s="2">
        <f t="shared" si="2"/>
        <v>0</v>
      </c>
    </row>
    <row r="16" customHeight="1" spans="1:12">
      <c r="A16" s="7" t="s">
        <v>463</v>
      </c>
      <c r="B16" s="8" t="s">
        <v>464</v>
      </c>
      <c r="C16" s="11" t="s">
        <v>466</v>
      </c>
      <c r="D16" s="2">
        <v>5.35211267605634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5.35211267605634</v>
      </c>
      <c r="L16" s="2">
        <f t="shared" si="2"/>
        <v>0</v>
      </c>
    </row>
    <row r="17" customHeight="1" spans="1:12">
      <c r="A17" s="7" t="s">
        <v>467</v>
      </c>
      <c r="B17" s="8" t="s">
        <v>464</v>
      </c>
      <c r="C17" s="12" t="s">
        <v>468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customHeight="1" spans="1:12">
      <c r="A18" s="7" t="s">
        <v>467</v>
      </c>
      <c r="B18" s="8" t="s">
        <v>464</v>
      </c>
      <c r="C18" s="15" t="s">
        <v>469</v>
      </c>
      <c r="D18" s="2">
        <v>2.5878</v>
      </c>
      <c r="E18" s="2">
        <v>0.364478873239437</v>
      </c>
      <c r="F18" s="14">
        <v>0.34</v>
      </c>
      <c r="G18" s="9">
        <v>3.9</v>
      </c>
      <c r="H18" s="1"/>
      <c r="I18" s="1">
        <v>27.5</v>
      </c>
      <c r="J18" s="2">
        <v>2.5878</v>
      </c>
      <c r="K18" s="2">
        <v>3.87323943661972</v>
      </c>
      <c r="L18" s="2">
        <v>0.364478873239437</v>
      </c>
    </row>
    <row r="19" customHeight="1" spans="1:12">
      <c r="A19" s="7" t="s">
        <v>470</v>
      </c>
      <c r="B19" s="8" t="s">
        <v>464</v>
      </c>
      <c r="C19" s="11" t="s">
        <v>454</v>
      </c>
      <c r="D19" s="2">
        <v>3.52112676056338</v>
      </c>
      <c r="E19" s="2">
        <v>0.984732394366197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0.984732394366197</v>
      </c>
    </row>
    <row r="20" customHeight="1" spans="1:12">
      <c r="A20" s="7" t="s">
        <v>470</v>
      </c>
      <c r="B20" s="8" t="s">
        <v>464</v>
      </c>
      <c r="C20" s="11" t="s">
        <v>455</v>
      </c>
      <c r="D20" s="2">
        <v>7.04225352112676</v>
      </c>
      <c r="E20" s="2">
        <v>1.96946478873239</v>
      </c>
      <c r="F20" s="1">
        <v>0.49</v>
      </c>
      <c r="G20" s="9">
        <v>6.21</v>
      </c>
      <c r="H20" s="1"/>
      <c r="I20" s="1">
        <v>50</v>
      </c>
      <c r="J20" s="2">
        <v>7.04225352112676</v>
      </c>
      <c r="K20" s="16">
        <v>13.9832</v>
      </c>
      <c r="L20" s="2">
        <v>1.96946478873239</v>
      </c>
    </row>
    <row r="21" customHeight="1" spans="1:12">
      <c r="A21" s="17" t="s">
        <v>470</v>
      </c>
      <c r="B21" s="18" t="s">
        <v>464</v>
      </c>
      <c r="C21" s="19" t="s">
        <v>471</v>
      </c>
      <c r="D21" s="20">
        <v>10.5633802816901</v>
      </c>
      <c r="E21" s="20">
        <v>2.95419718309859</v>
      </c>
      <c r="F21" s="21">
        <v>0.68</v>
      </c>
      <c r="G21" s="22">
        <v>7.24</v>
      </c>
      <c r="H21" s="1"/>
      <c r="I21" s="1">
        <v>75</v>
      </c>
      <c r="J21" s="2">
        <v>10.5633802816901</v>
      </c>
      <c r="K21" s="16">
        <v>20.9748</v>
      </c>
      <c r="L21" s="2">
        <v>2.95419718309859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stalwart</cp:lastModifiedBy>
  <dcterms:created xsi:type="dcterms:W3CDTF">2024-12-23T01:47:00Z</dcterms:created>
  <dcterms:modified xsi:type="dcterms:W3CDTF">2026-04-07T01:10:22Z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